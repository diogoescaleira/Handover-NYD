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0. Plano Projeto/"/>
    </mc:Choice>
  </mc:AlternateContent>
  <xr:revisionPtr revIDLastSave="132" documentId="8_{494EACD3-2230-4E90-A005-8CA50E37BFA4}" xr6:coauthVersionLast="47" xr6:coauthVersionMax="47" xr10:uidLastSave="{60AD48CF-ABEC-4280-9D72-B5FF9F1C4A32}"/>
  <bookViews>
    <workbookView xWindow="-110" yWindow="-110" windowWidth="19420" windowHeight="10420" firstSheet="1" activeTab="2" xr2:uid="{24081D38-734C-457B-885D-991CFA05E03A}"/>
  </bookViews>
  <sheets>
    <sheet name="Plano_DE" sheetId="10" r:id="rId1"/>
    <sheet name="Macro_Plano_2025_v1" sheetId="1" r:id="rId2"/>
    <sheet name="Lista - Âmbito Projeto GD" sheetId="13" r:id="rId3"/>
    <sheet name="Aux" sheetId="14" r:id="rId4"/>
    <sheet name="Férias" sheetId="2" r:id="rId5"/>
  </sheets>
  <externalReferences>
    <externalReference r:id="rId6"/>
  </externalReferences>
  <definedNames>
    <definedName name="_AMO_UniqueIdentifier" hidden="1">"'98fdfd1e-8a18-42d0-9169-4592737fd980'"</definedName>
    <definedName name="_xlnm._FilterDatabase" localSheetId="2" hidden="1">'Lista - Âmbito Projeto GD'!$A$3:$AL$71</definedName>
    <definedName name="asefadf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18" i="1"/>
  <c r="L8" i="2" l="1"/>
  <c r="D26" i="2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D20" i="2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L11" i="1" l="1"/>
  <c r="U11" i="1"/>
  <c r="V11" i="1"/>
  <c r="R11" i="1"/>
  <c r="S11" i="1"/>
  <c r="T11" i="1"/>
  <c r="N11" i="1"/>
  <c r="O11" i="1"/>
  <c r="P11" i="1"/>
  <c r="Q11" i="1"/>
  <c r="M11" i="1"/>
  <c r="J11" i="1" l="1"/>
  <c r="M9" i="1" l="1"/>
  <c r="N9" i="1" s="1"/>
  <c r="O9" i="1" s="1"/>
  <c r="P9" i="1" s="1"/>
  <c r="Q9" i="1" s="1"/>
  <c r="R9" i="1" s="1"/>
  <c r="S9" i="1" s="1"/>
  <c r="T9" i="1" s="1"/>
  <c r="U9" i="1" s="1"/>
  <c r="V9" i="1" s="1"/>
  <c r="V108" i="1"/>
  <c r="U108" i="1"/>
  <c r="U106" i="1"/>
  <c r="T106" i="1"/>
  <c r="T60" i="1"/>
  <c r="S60" i="1"/>
  <c r="R60" i="1"/>
  <c r="Q60" i="1"/>
  <c r="P60" i="1"/>
  <c r="O60" i="1"/>
  <c r="O59" i="1"/>
  <c r="O42" i="1"/>
  <c r="N42" i="1"/>
  <c r="N17" i="1"/>
  <c r="M17" i="1"/>
  <c r="M15" i="1"/>
  <c r="J15" i="1" s="1"/>
  <c r="L13" i="1"/>
  <c r="J13" i="1" s="1"/>
  <c r="J106" i="1" l="1"/>
  <c r="B105" i="1" l="1"/>
  <c r="J105" i="1" s="1"/>
  <c r="T105" i="1" s="1"/>
  <c r="B104" i="1"/>
  <c r="J104" i="1" s="1"/>
  <c r="T104" i="1" s="1"/>
  <c r="B103" i="1"/>
  <c r="B102" i="1"/>
  <c r="B101" i="1"/>
  <c r="J101" i="1" s="1"/>
  <c r="S101" i="1" s="1"/>
  <c r="B100" i="1"/>
  <c r="B99" i="1"/>
  <c r="B98" i="1"/>
  <c r="B97" i="1"/>
  <c r="J97" i="1" s="1"/>
  <c r="S97" i="1" s="1"/>
  <c r="B96" i="1"/>
  <c r="B95" i="1"/>
  <c r="B94" i="1"/>
  <c r="B93" i="1"/>
  <c r="J93" i="1" s="1"/>
  <c r="S93" i="1" s="1"/>
  <c r="B92" i="1"/>
  <c r="B91" i="1"/>
  <c r="B90" i="1"/>
  <c r="B89" i="1"/>
  <c r="J89" i="1" s="1"/>
  <c r="S89" i="1" s="1"/>
  <c r="B88" i="1"/>
  <c r="J88" i="1" s="1"/>
  <c r="S88" i="1" s="1"/>
  <c r="B87" i="1"/>
  <c r="B86" i="1"/>
  <c r="B85" i="1"/>
  <c r="J85" i="1" s="1"/>
  <c r="R85" i="1" s="1"/>
  <c r="B84" i="1"/>
  <c r="B83" i="1"/>
  <c r="B82" i="1"/>
  <c r="B81" i="1"/>
  <c r="J81" i="1" s="1"/>
  <c r="R81" i="1" s="1"/>
  <c r="B80" i="1"/>
  <c r="J80" i="1" s="1"/>
  <c r="R80" i="1" s="1"/>
  <c r="B79" i="1"/>
  <c r="B78" i="1"/>
  <c r="B77" i="1"/>
  <c r="J77" i="1" s="1"/>
  <c r="R77" i="1" s="1"/>
  <c r="B76" i="1"/>
  <c r="B75" i="1"/>
  <c r="B74" i="1"/>
  <c r="B73" i="1"/>
  <c r="J73" i="1" s="1"/>
  <c r="Q73" i="1" s="1"/>
  <c r="B72" i="1"/>
  <c r="B71" i="1"/>
  <c r="B70" i="1"/>
  <c r="B69" i="1"/>
  <c r="J69" i="1" s="1"/>
  <c r="P69" i="1" s="1"/>
  <c r="B68" i="1"/>
  <c r="B67" i="1"/>
  <c r="B66" i="1"/>
  <c r="B65" i="1"/>
  <c r="J65" i="1" s="1"/>
  <c r="B64" i="1"/>
  <c r="B63" i="1"/>
  <c r="B62" i="1"/>
  <c r="B61" i="1"/>
  <c r="J61" i="1" s="1"/>
  <c r="O61" i="1" s="1"/>
  <c r="B56" i="1"/>
  <c r="B55" i="1"/>
  <c r="B54" i="1"/>
  <c r="J54" i="1" s="1"/>
  <c r="B53" i="1"/>
  <c r="J53" i="1" s="1"/>
  <c r="B52" i="1"/>
  <c r="B51" i="1"/>
  <c r="B50" i="1"/>
  <c r="J50" i="1" s="1"/>
  <c r="B49" i="1"/>
  <c r="J49" i="1" s="1"/>
  <c r="B48" i="1"/>
  <c r="B47" i="1"/>
  <c r="B46" i="1"/>
  <c r="J46" i="1" s="1"/>
  <c r="B45" i="1"/>
  <c r="J45" i="1" s="1"/>
  <c r="B44" i="1"/>
  <c r="J44" i="1" s="1"/>
  <c r="B43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M18" i="1" s="1"/>
  <c r="H60" i="1"/>
  <c r="H42" i="1"/>
  <c r="H17" i="1"/>
  <c r="N46" i="1" l="1"/>
  <c r="I46" i="1"/>
  <c r="N50" i="1"/>
  <c r="I50" i="1"/>
  <c r="N54" i="1"/>
  <c r="I54" i="1"/>
  <c r="N44" i="1"/>
  <c r="I44" i="1"/>
  <c r="N45" i="1"/>
  <c r="I45" i="1"/>
  <c r="N49" i="1"/>
  <c r="I49" i="1"/>
  <c r="N53" i="1"/>
  <c r="I53" i="1"/>
  <c r="I25" i="1"/>
  <c r="N25" i="1"/>
  <c r="I29" i="1"/>
  <c r="N29" i="1"/>
  <c r="I33" i="1"/>
  <c r="N33" i="1"/>
  <c r="I37" i="1"/>
  <c r="N37" i="1"/>
  <c r="I22" i="1"/>
  <c r="I26" i="1"/>
  <c r="N26" i="1"/>
  <c r="I30" i="1"/>
  <c r="N30" i="1"/>
  <c r="I34" i="1"/>
  <c r="N34" i="1"/>
  <c r="I38" i="1"/>
  <c r="N38" i="1"/>
  <c r="I21" i="1"/>
  <c r="M21" i="1"/>
  <c r="I19" i="1"/>
  <c r="M19" i="1"/>
  <c r="I23" i="1"/>
  <c r="N23" i="1"/>
  <c r="I27" i="1"/>
  <c r="N27" i="1"/>
  <c r="I31" i="1"/>
  <c r="N31" i="1"/>
  <c r="I35" i="1"/>
  <c r="N35" i="1"/>
  <c r="I39" i="1"/>
  <c r="N39" i="1"/>
  <c r="I20" i="1"/>
  <c r="M20" i="1"/>
  <c r="I24" i="1"/>
  <c r="N24" i="1"/>
  <c r="I28" i="1"/>
  <c r="N28" i="1"/>
  <c r="I32" i="1"/>
  <c r="N32" i="1"/>
  <c r="I36" i="1"/>
  <c r="N36" i="1"/>
  <c r="I40" i="1"/>
  <c r="N40" i="1"/>
  <c r="I18" i="1"/>
  <c r="J71" i="1"/>
  <c r="Q71" i="1" s="1"/>
  <c r="J83" i="1"/>
  <c r="R83" i="1" s="1"/>
  <c r="J91" i="1"/>
  <c r="S91" i="1" s="1"/>
  <c r="J95" i="1"/>
  <c r="S95" i="1" s="1"/>
  <c r="J103" i="1"/>
  <c r="J84" i="1"/>
  <c r="R84" i="1" s="1"/>
  <c r="J92" i="1"/>
  <c r="S92" i="1" s="1"/>
  <c r="J96" i="1"/>
  <c r="S96" i="1" s="1"/>
  <c r="J100" i="1"/>
  <c r="S100" i="1" s="1"/>
  <c r="J63" i="1"/>
  <c r="O63" i="1" s="1"/>
  <c r="J67" i="1"/>
  <c r="P67" i="1" s="1"/>
  <c r="J75" i="1"/>
  <c r="Q75" i="1" s="1"/>
  <c r="J79" i="1"/>
  <c r="R79" i="1" s="1"/>
  <c r="J87" i="1"/>
  <c r="S87" i="1" s="1"/>
  <c r="J99" i="1"/>
  <c r="S99" i="1" s="1"/>
  <c r="J64" i="1"/>
  <c r="O64" i="1" s="1"/>
  <c r="J68" i="1"/>
  <c r="P68" i="1" s="1"/>
  <c r="J72" i="1"/>
  <c r="Q72" i="1" s="1"/>
  <c r="J76" i="1"/>
  <c r="J62" i="1"/>
  <c r="O62" i="1" s="1"/>
  <c r="J66" i="1"/>
  <c r="P66" i="1" s="1"/>
  <c r="J70" i="1"/>
  <c r="J74" i="1"/>
  <c r="Q74" i="1" s="1"/>
  <c r="J78" i="1"/>
  <c r="R78" i="1" s="1"/>
  <c r="J82" i="1"/>
  <c r="R82" i="1" s="1"/>
  <c r="J86" i="1"/>
  <c r="R86" i="1" s="1"/>
  <c r="J90" i="1"/>
  <c r="S90" i="1" s="1"/>
  <c r="J94" i="1"/>
  <c r="S94" i="1" s="1"/>
  <c r="J98" i="1"/>
  <c r="S98" i="1" s="1"/>
  <c r="J102" i="1"/>
  <c r="S102" i="1" s="1"/>
  <c r="J43" i="1"/>
  <c r="J47" i="1"/>
  <c r="J51" i="1"/>
  <c r="J55" i="1"/>
  <c r="J48" i="1"/>
  <c r="J52" i="1"/>
  <c r="J56" i="1"/>
  <c r="N43" i="1" l="1"/>
  <c r="I43" i="1"/>
  <c r="O56" i="1"/>
  <c r="I56" i="1"/>
  <c r="N51" i="1"/>
  <c r="I51" i="1"/>
  <c r="N48" i="1"/>
  <c r="I48" i="1"/>
  <c r="N55" i="1"/>
  <c r="I55" i="1"/>
  <c r="N52" i="1"/>
  <c r="I52" i="1"/>
  <c r="N47" i="1"/>
  <c r="I47" i="1"/>
  <c r="M22" i="1"/>
  <c r="N22" i="1" s="1"/>
  <c r="O65" i="1"/>
  <c r="S103" i="1"/>
  <c r="T103" i="1" s="1"/>
  <c r="I17" i="1"/>
  <c r="J17" i="1"/>
  <c r="J42" i="1"/>
  <c r="J60" i="1"/>
  <c r="I42" i="1" l="1"/>
  <c r="P65" i="1"/>
  <c r="P70" i="1" s="1"/>
  <c r="Q70" i="1" l="1"/>
  <c r="Q76" i="1" s="1"/>
  <c r="J58" i="1"/>
  <c r="R76" i="1" l="1"/>
</calcChain>
</file>

<file path=xl/sharedStrings.xml><?xml version="1.0" encoding="utf-8"?>
<sst xmlns="http://schemas.openxmlformats.org/spreadsheetml/2006/main" count="3334" uniqueCount="493">
  <si>
    <t>0. Gestão Projeto</t>
  </si>
  <si>
    <t>n.a.</t>
  </si>
  <si>
    <t>1. Set-Up</t>
  </si>
  <si>
    <t>2. Assessment ao Green Dashboard (Esp. Atual)</t>
  </si>
  <si>
    <t>3. Re-testes aos campos concluídos do GD âmbito projeto anterior</t>
  </si>
  <si>
    <t>INSTRUMENT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</si>
  <si>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</si>
  <si>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</si>
  <si>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</si>
  <si>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</si>
  <si>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</si>
  <si>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</si>
  <si>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</si>
  <si>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</si>
  <si>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</si>
  <si>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</si>
  <si>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</si>
  <si>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</si>
  <si>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</si>
  <si>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</si>
  <si>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</si>
  <si>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</si>
  <si>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FLG_INTRBSNSS</t>
  </si>
  <si>
    <t>INTRBSNSS_ADJ_COD</t>
  </si>
  <si>
    <t>COD_SOC_DSTNTN</t>
  </si>
  <si>
    <t>BSNSS_AREA_DSTNTN</t>
  </si>
  <si>
    <t>INTRNL_TRNSFR_RT_OFF_BLNC</t>
  </si>
  <si>
    <t>IDCMB</t>
  </si>
  <si>
    <t>RWA_OFF_BLNC</t>
  </si>
  <si>
    <t>5. Testes/Re-testes</t>
  </si>
  <si>
    <t xml:space="preserve">Testes ao Universo </t>
  </si>
  <si>
    <t>Testes aos Campos</t>
  </si>
  <si>
    <t>INSTRMNT_ID</t>
  </si>
  <si>
    <t>CCF</t>
  </si>
  <si>
    <t>EAD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</si>
  <si>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</si>
  <si>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</si>
  <si>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</si>
  <si>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</si>
  <si>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</si>
  <si>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</si>
  <si>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</si>
  <si>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</si>
  <si>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</si>
  <si>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</si>
  <si>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AVRG_BLNC_OFF_BLNC</t>
  </si>
  <si>
    <t>GRSS_CMMSSN_INCM_OFF_BLNC</t>
  </si>
  <si>
    <t>GRSS_CMMSSN_EXPNS_OFF_BLNC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</si>
  <si>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</si>
  <si>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</si>
  <si>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</si>
  <si>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</si>
  <si>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</si>
  <si>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</si>
  <si>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</si>
  <si>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</si>
  <si>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</si>
  <si>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</si>
  <si>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</si>
  <si>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TYP_OFF_BLNC_PRDCT</t>
  </si>
  <si>
    <t>INSTR_PROTECTION</t>
  </si>
  <si>
    <t>PRTCTN_ID</t>
  </si>
  <si>
    <t>TYP_RLTN</t>
  </si>
  <si>
    <t>PROTECTION</t>
  </si>
  <si>
    <t>TYP_PRTCTN</t>
  </si>
  <si>
    <t>PRTCTN_VL</t>
  </si>
  <si>
    <t>FLG_ELCTRC_VHCL</t>
  </si>
  <si>
    <t>INSTR_ACTIVITY</t>
  </si>
  <si>
    <t>SSTNBL_CTGRY</t>
  </si>
  <si>
    <t>PRCNTG_ACTVTY</t>
  </si>
  <si>
    <t>SSTNBL_INDCTR</t>
  </si>
  <si>
    <t>Re-testes</t>
  </si>
  <si>
    <t>5. Documentação</t>
  </si>
  <si>
    <t># Campos</t>
  </si>
  <si>
    <t>Duração (horas)</t>
  </si>
  <si>
    <t>Duração (Dias)</t>
  </si>
  <si>
    <t>VAL</t>
  </si>
  <si>
    <t>Gestão Projeto</t>
  </si>
  <si>
    <t>4. Especificação de novos requisitos</t>
  </si>
  <si>
    <t>Horas Total</t>
  </si>
  <si>
    <t>SMART TOTAL</t>
  </si>
  <si>
    <t>Horas Novos Requisitos</t>
  </si>
  <si>
    <t xml:space="preserve"> </t>
  </si>
  <si>
    <t>SMART NOVOS REQUISITOS</t>
  </si>
  <si>
    <t>Status</t>
  </si>
  <si>
    <t>Janeiro</t>
  </si>
  <si>
    <t>Fevereiro</t>
  </si>
  <si>
    <t>FTE ESP.</t>
  </si>
  <si>
    <t>FTE REAIS</t>
  </si>
  <si>
    <t>Complexidade
(todos)</t>
  </si>
  <si>
    <t>CONCAT</t>
  </si>
  <si>
    <t>Table</t>
  </si>
  <si>
    <t>Data field</t>
  </si>
  <si>
    <t xml:space="preserve">Est anterior </t>
  </si>
  <si>
    <t>Especificação</t>
  </si>
  <si>
    <t>Simulação</t>
  </si>
  <si>
    <t>2. Testes comparativos</t>
  </si>
  <si>
    <t>Complexidade (code list)</t>
  </si>
  <si>
    <t>3. Val. Code List</t>
  </si>
  <si>
    <t>4. Val. Formatos</t>
  </si>
  <si>
    <t>5. Val.Controlos Corp.</t>
  </si>
  <si>
    <t>Total Testes</t>
  </si>
  <si>
    <t xml:space="preserve">Cenário </t>
  </si>
  <si>
    <t>Tempo SC1</t>
  </si>
  <si>
    <t>Tempo SC B1</t>
  </si>
  <si>
    <t>Tempo SC B2</t>
  </si>
  <si>
    <t>Flg Concluído</t>
  </si>
  <si>
    <t>INSTRUMENT_COD_SOC</t>
  </si>
  <si>
    <t>Baixa</t>
  </si>
  <si>
    <t>M. Baixa</t>
  </si>
  <si>
    <t>SCA   SCB1</t>
  </si>
  <si>
    <t>Y</t>
  </si>
  <si>
    <t>INSTRUMENT_SUBPORTFOLIO_ID</t>
  </si>
  <si>
    <t>INSTRUMENT_DT_RFRNC</t>
  </si>
  <si>
    <t>INSTRUMENT_INSTRMNT_ID</t>
  </si>
  <si>
    <t>Alta</t>
  </si>
  <si>
    <t>M. Alta</t>
  </si>
  <si>
    <t>N</t>
  </si>
  <si>
    <t>INSTRUMENT_DFLT_STTS_INSTRMNT</t>
  </si>
  <si>
    <t>INSTRUMENT_IMPRMNT_STTS</t>
  </si>
  <si>
    <t>INSTRUMENT_PRFRMNG_STTS</t>
  </si>
  <si>
    <t>INSTRUMENT_TYP_INSTRMNT</t>
  </si>
  <si>
    <t>INSTRUMENT_GRSS_CRRYNG_AMNT_INSTRMNT</t>
  </si>
  <si>
    <t>INSTRUMENT_ACCMLTD_CHNGS_FV_CR_INSTRMNT</t>
  </si>
  <si>
    <t>INSTRUMENT_ACCNTNG_CLSSFCTN</t>
  </si>
  <si>
    <t>INSTRUMENT_CCF</t>
  </si>
  <si>
    <t>INSTRUMENT_EAD</t>
  </si>
  <si>
    <t>INSTRUMENT_OFF_BLNC_SHT_AMNT_INSTRMNT</t>
  </si>
  <si>
    <t>INSTRUMENT_PRVSNS_OFF_BLNC_SHT</t>
  </si>
  <si>
    <t>INSTRUMENT_RWA</t>
  </si>
  <si>
    <t>INSTRUMENT_ACCMLTD_IMPRMNT_INSTRMNT</t>
  </si>
  <si>
    <t>INSTRUMENT_COD_SOC_INTRGRP</t>
  </si>
  <si>
    <t>INSTRUMENT_LCL_INSTMRNT_ID</t>
  </si>
  <si>
    <t>INSTRUMENT_AVRG_BLNC</t>
  </si>
  <si>
    <t>Média</t>
  </si>
  <si>
    <t>INSTRUMENT_NW_BSNSS</t>
  </si>
  <si>
    <t>SCA   SCB 2</t>
  </si>
  <si>
    <t>INSTRUMENT_GRSS_INTRST_INCM</t>
  </si>
  <si>
    <t>INSTRUMENT_GRSS_CMMSSN_INCM</t>
  </si>
  <si>
    <t>INSTRUMENT_INTRNL_TRNSFR_RT</t>
  </si>
  <si>
    <t>INSTRUMENT_NT_LN_LSS_PRVSN</t>
  </si>
  <si>
    <t>INSTRUMENT_BSNSS_AREA</t>
  </si>
  <si>
    <t>INSTRUMENT_MNGMNT_PRDCT</t>
  </si>
  <si>
    <t>INSTRUMENT_GRSS_CMMSSN_EXPNS</t>
  </si>
  <si>
    <t>INSTRUMENT_GNS_FNNCL_TRNSCTN_EXCHNG_DFFRNCS</t>
  </si>
  <si>
    <t>INSTRUMENT_FLG_INTRBSNSS</t>
  </si>
  <si>
    <t>INSTRUMENT_INTRBSNSS_ADJ_COD</t>
  </si>
  <si>
    <t>INSTRUMENT_COD_SOC_DSTNTN</t>
  </si>
  <si>
    <t>INSTRUMENT_BSNSS_AREA_DSTNTN</t>
  </si>
  <si>
    <t>INSTRUMENT_AVRG_BLNC_OFF_BLNC</t>
  </si>
  <si>
    <t>INSTRUMENT_INTRNL_TRNSFR_RT_OFF_BLNC</t>
  </si>
  <si>
    <t>INSTRUMENT_GRSS_CMMSSN_INCM_OFF_BLNC</t>
  </si>
  <si>
    <t>INSTRUMENT_GRSS_CMMSSN_EXPNS_OFF_BLNC</t>
  </si>
  <si>
    <t>INSTRUMENT_RWA_OFF_BLNC</t>
  </si>
  <si>
    <t>INSTRUMENT_GRSS_INTRST_EXPNS</t>
  </si>
  <si>
    <t>INSTRUMENT_NT_LN_LSS_PRVSN_OFF_BLNC</t>
  </si>
  <si>
    <t>INSTRUMENT_GRSS_INTRST_INCM_CCRR</t>
  </si>
  <si>
    <t>INSTRUMENT_GRSS_INTRST_EXPNS_CCRR</t>
  </si>
  <si>
    <t>INSTRUMENT_GRSS_CMMSSN_INCM_CCRR</t>
  </si>
  <si>
    <t>INSTRUMENT_GRSS_CMMSSN_EXPNS_CCRR</t>
  </si>
  <si>
    <t>INSTRUMENT_GNS_FNNCL_TRNSCTN_EXCHNG_CCRR</t>
  </si>
  <si>
    <t>INSTRUMENT_BSNSS_AREA_CCRR</t>
  </si>
  <si>
    <t>INSTRUMENT_GRSS_CMMSSN_INCM_OFF_BLNC_CCRR</t>
  </si>
  <si>
    <t>INSTRUMENT_GRSS_CMMSSN_EXPNS_OFF_BLNC_CCRR</t>
  </si>
  <si>
    <t>INSTRUMENT_CNCLLD_INSTRMNT_STTS</t>
  </si>
  <si>
    <t>INSTRUMENT_IDCMB</t>
  </si>
  <si>
    <t>INSTRUMENT_TYP_OFF_BLNC_PRDCT</t>
  </si>
  <si>
    <t>INSTR_PROTECTION_COD_SOC</t>
  </si>
  <si>
    <t>INSTR_PROTECTION_DT_RFRNC</t>
  </si>
  <si>
    <t>INSTR_PROTECTION_INSTRMNT_ID</t>
  </si>
  <si>
    <t>INSTR_PROTECTION_PRTCTN_ID</t>
  </si>
  <si>
    <t>INSTR_PROTECTION_TYP_RLTN</t>
  </si>
  <si>
    <t>PROTECTION_COD_SOC</t>
  </si>
  <si>
    <t>PROTECTION_DT_RFRNC</t>
  </si>
  <si>
    <t>PROTECTION_PRTCTN_ID</t>
  </si>
  <si>
    <t>PROTECTION_TYP_PRTCTN</t>
  </si>
  <si>
    <t>PROTECTION_PRTCTN_VL</t>
  </si>
  <si>
    <t>PROTECTION_FLG_ELCTRC_VHCL</t>
  </si>
  <si>
    <t>INSTR_ACTIVITY_COD_SOC</t>
  </si>
  <si>
    <t>INSTR_ACTIVITY_DT_RFRNC</t>
  </si>
  <si>
    <t>INSTR_ACTIVITY_INSTRMNT_ID</t>
  </si>
  <si>
    <t>INSTR_ACTIVITY_SSTNBL_CTGRY</t>
  </si>
  <si>
    <t>INSTR_ACTIVITY_PRCNTG_ACTVTY</t>
  </si>
  <si>
    <t>INSTR_ACTIVITY_SSTNBL_INDCTR</t>
  </si>
  <si>
    <t>x</t>
  </si>
  <si>
    <t xml:space="preserve">Março </t>
  </si>
  <si>
    <t>Terminamos no dia 11</t>
  </si>
  <si>
    <t>Simulação/ Testes aos Campos</t>
  </si>
  <si>
    <t xml:space="preserve">Duração (semana) </t>
  </si>
  <si>
    <t>2 corresponde a 1 dia de trabalho</t>
  </si>
  <si>
    <t>Mês 1</t>
  </si>
  <si>
    <t>Mês 2</t>
  </si>
  <si>
    <t>Mês 3</t>
  </si>
  <si>
    <t>Atividade</t>
  </si>
  <si>
    <t>ID</t>
  </si>
  <si>
    <t xml:space="preserve">0. </t>
  </si>
  <si>
    <t>1.</t>
  </si>
  <si>
    <t>2.</t>
  </si>
  <si>
    <t>3.</t>
  </si>
  <si>
    <t>Set-Up</t>
  </si>
  <si>
    <t>Assessment ao Green Dashboard (Especificação Atual)</t>
  </si>
  <si>
    <t>Testes regressivos aos campos concluidos do GD (âmbito projeto anterior)</t>
  </si>
  <si>
    <t>3.2.</t>
  </si>
  <si>
    <t>3.1.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</si>
  <si>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</si>
  <si>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</si>
  <si>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</si>
  <si>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</si>
  <si>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</si>
  <si>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</si>
  <si>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</si>
  <si>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</si>
  <si>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</si>
  <si>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</si>
  <si>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</si>
  <si>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</si>
  <si>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</si>
  <si>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</si>
  <si>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</si>
  <si>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</si>
  <si>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</si>
  <si>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</si>
  <si>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</si>
  <si>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</si>
  <si>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</si>
  <si>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</si>
  <si>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</si>
  <si>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</si>
  <si>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</si>
  <si>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</si>
  <si>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</si>
  <si>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</si>
  <si>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</si>
  <si>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</si>
  <si>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</si>
  <si>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</si>
  <si>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</si>
  <si>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</si>
  <si>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</si>
  <si>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</si>
  <si>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5.</t>
  </si>
  <si>
    <t>5.1.</t>
  </si>
  <si>
    <t>5.2.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</si>
  <si>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</si>
  <si>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</si>
  <si>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</si>
  <si>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</si>
  <si>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</si>
  <si>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</si>
  <si>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</si>
  <si>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</si>
  <si>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</si>
  <si>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</si>
  <si>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</si>
  <si>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</si>
  <si>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</si>
  <si>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</si>
  <si>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</si>
  <si>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</si>
  <si>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</si>
  <si>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</si>
  <si>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</si>
  <si>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</si>
  <si>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</si>
  <si>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</si>
  <si>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</si>
  <si>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</si>
  <si>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</si>
  <si>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</si>
  <si>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</si>
  <si>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</si>
  <si>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</si>
  <si>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</si>
  <si>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</si>
  <si>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</si>
  <si>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</si>
  <si>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</si>
  <si>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</si>
  <si>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</si>
  <si>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</si>
  <si>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</si>
  <si>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</si>
  <si>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</si>
  <si>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</si>
  <si>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</si>
  <si>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</si>
  <si>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</si>
  <si>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</si>
  <si>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</si>
  <si>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</si>
  <si>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Re-especificações e especificação de novos requisitos</t>
  </si>
  <si>
    <t>Testes/Re-testes às métricas do GD</t>
  </si>
  <si>
    <t>Documentação</t>
  </si>
  <si>
    <t>F</t>
  </si>
  <si>
    <t>Férias</t>
  </si>
  <si>
    <t>Saldo</t>
  </si>
  <si>
    <t>por marcar</t>
  </si>
  <si>
    <t>Aniversário</t>
  </si>
  <si>
    <t>F1</t>
  </si>
  <si>
    <t>A</t>
  </si>
  <si>
    <t>Fim de semana</t>
  </si>
  <si>
    <t>Feriado</t>
  </si>
  <si>
    <t>Filipa Carreira</t>
  </si>
  <si>
    <t>Rita Matias</t>
  </si>
  <si>
    <t>Março</t>
  </si>
  <si>
    <t>Férias 2024</t>
  </si>
  <si>
    <t>2x</t>
  </si>
  <si>
    <t xml:space="preserve"> &amp; </t>
  </si>
  <si>
    <t>DEZEMBRO</t>
  </si>
  <si>
    <t>ESTR</t>
  </si>
  <si>
    <t>GD</t>
  </si>
  <si>
    <t>PILAR3</t>
  </si>
  <si>
    <t>GFINANCE</t>
  </si>
  <si>
    <t>ESG_RISKS</t>
  </si>
  <si>
    <t>LF</t>
  </si>
  <si>
    <t>Comparação com lista ATUAL</t>
  </si>
  <si>
    <t>Estimativas</t>
  </si>
  <si>
    <t>ID Data field / Field order</t>
  </si>
  <si>
    <t>Field name</t>
  </si>
  <si>
    <t>Structural 
ECB Loan Tape</t>
  </si>
  <si>
    <t>Green 
Dashboard</t>
  </si>
  <si>
    <t>Pillar III ESG</t>
  </si>
  <si>
    <t>Green Finance</t>
  </si>
  <si>
    <t>ESG Risks</t>
  </si>
  <si>
    <t>Leveraged Finance</t>
  </si>
  <si>
    <t>ATUAL_Structural 
ECB Loan Tape</t>
  </si>
  <si>
    <t>val_ESTR</t>
  </si>
  <si>
    <t>ATUAL_Green 
Dashboard</t>
  </si>
  <si>
    <t>val_GD</t>
  </si>
  <si>
    <t>ATUAL_Pillar III ESG</t>
  </si>
  <si>
    <t>val_PILAR3</t>
  </si>
  <si>
    <t>ATUAL_Green Finance</t>
  </si>
  <si>
    <t>ATUAL_ESG Risks</t>
  </si>
  <si>
    <t>val_ESG_RISKS</t>
  </si>
  <si>
    <t>ATUAL_Leveraged Finance</t>
  </si>
  <si>
    <t>Fonte manual LF</t>
  </si>
  <si>
    <t>Status Data Lake</t>
  </si>
  <si>
    <t>Status Data Lake (Detalhe)</t>
  </si>
  <si>
    <t>AMBITO</t>
  </si>
  <si>
    <t>STATUS</t>
  </si>
  <si>
    <t>format</t>
  </si>
  <si>
    <t>Observações</t>
  </si>
  <si>
    <t>IN.001</t>
  </si>
  <si>
    <t>Entity code of the informing society.</t>
  </si>
  <si>
    <t>n/a</t>
  </si>
  <si>
    <t>Sem alteração</t>
  </si>
  <si>
    <t>VARCHAR2(5)</t>
  </si>
  <si>
    <t>IN.002</t>
  </si>
  <si>
    <t>Subportfolio ID</t>
  </si>
  <si>
    <t>Code List</t>
  </si>
  <si>
    <t>IN.007</t>
  </si>
  <si>
    <t>Reference date</t>
  </si>
  <si>
    <t>DATE</t>
  </si>
  <si>
    <t>IN.008</t>
  </si>
  <si>
    <t>Instrument ID</t>
  </si>
  <si>
    <t>VARCHAR2(60)</t>
  </si>
  <si>
    <t>IN.020</t>
  </si>
  <si>
    <t>Default status of the instrument</t>
  </si>
  <si>
    <t>default</t>
  </si>
  <si>
    <t>IN.034</t>
  </si>
  <si>
    <t>Impairment status</t>
  </si>
  <si>
    <t>mudança de fonte ifrs</t>
  </si>
  <si>
    <t>IN.044</t>
  </si>
  <si>
    <t>Performing status</t>
  </si>
  <si>
    <t>IN.055</t>
  </si>
  <si>
    <t>Type of instrument</t>
  </si>
  <si>
    <t>IN.060</t>
  </si>
  <si>
    <t>Gross carrying amount</t>
  </si>
  <si>
    <t>FLOAT 2 decimal places</t>
  </si>
  <si>
    <t>IN.061</t>
  </si>
  <si>
    <t>Accumulated changes in fair value due to credit risk</t>
  </si>
  <si>
    <t>IN.062</t>
  </si>
  <si>
    <t>Accounting portfolio</t>
  </si>
  <si>
    <t>IN.065</t>
  </si>
  <si>
    <t>Credit conversion factor (CCF) according to CRR</t>
  </si>
  <si>
    <t>FLOAT 6 decimal places</t>
  </si>
  <si>
    <t>IN.074</t>
  </si>
  <si>
    <t>Regulatory EAD</t>
  </si>
  <si>
    <t>Novo Campo</t>
  </si>
  <si>
    <t>Capital</t>
  </si>
  <si>
    <t>IN.078</t>
  </si>
  <si>
    <t>Off-balance sheet amount</t>
  </si>
  <si>
    <t>IN.082</t>
  </si>
  <si>
    <t>Provisions associated with off-balance sheet exposures</t>
  </si>
  <si>
    <t>IN.085</t>
  </si>
  <si>
    <t>IN.088</t>
  </si>
  <si>
    <t>Sum of LLPs and other allowances</t>
  </si>
  <si>
    <t>IN.192</t>
  </si>
  <si>
    <t>Cargabal identification code of the intragroup exposure</t>
  </si>
  <si>
    <t>IN.193</t>
  </si>
  <si>
    <t>Local Instrument ID</t>
  </si>
  <si>
    <t>IN.196</t>
  </si>
  <si>
    <t>Average balance</t>
  </si>
  <si>
    <t>IN.197</t>
  </si>
  <si>
    <t>New Business</t>
  </si>
  <si>
    <t>Y, N</t>
  </si>
  <si>
    <t>IN.198</t>
  </si>
  <si>
    <t>Gross Interest income before distribution to SCIB under the Collabotarion Revenues distribution agreement</t>
  </si>
  <si>
    <t>IN.199</t>
  </si>
  <si>
    <t>Gross fee and commission income before distribution to SCIB under the Collabotarion Revenues distribution agreement</t>
  </si>
  <si>
    <t>IN.200</t>
  </si>
  <si>
    <t>Internal transfer rate amount</t>
  </si>
  <si>
    <t>IN.201</t>
  </si>
  <si>
    <t>Net loan-loss provisions</t>
  </si>
  <si>
    <t>IN.202</t>
  </si>
  <si>
    <t>Business Area</t>
  </si>
  <si>
    <t>IN.203</t>
  </si>
  <si>
    <t>Management Product</t>
  </si>
  <si>
    <t>IN.204</t>
  </si>
  <si>
    <t>Gross fee and commission expense before distribution to SCIB under the Collabotarion Revenues distribution agreement</t>
  </si>
  <si>
    <t>IN.205</t>
  </si>
  <si>
    <t>Gains (Losses) On Financial Transaction (gft) And Exchange Differences, before distribution to SCIB under the Collabotarion Revenues distribution agreement</t>
  </si>
  <si>
    <t>IN.206</t>
  </si>
  <si>
    <t>Flag of interbusiness</t>
  </si>
  <si>
    <t>IN.207</t>
  </si>
  <si>
    <t>Interbusiness adjustment code</t>
  </si>
  <si>
    <t>IN.208</t>
  </si>
  <si>
    <t>Cargabal identification code of the destination entity</t>
  </si>
  <si>
    <t>IN.209</t>
  </si>
  <si>
    <t>Destination Business area</t>
  </si>
  <si>
    <t>IN.210</t>
  </si>
  <si>
    <t>Average off balance</t>
  </si>
  <si>
    <t>IN.211</t>
  </si>
  <si>
    <t>Internal transfer rate due to off balance amounts</t>
  </si>
  <si>
    <t>IN.212</t>
  </si>
  <si>
    <t>Gross fee and commission income corresponding to off balance product before distribution to SCIB under the Collabotarion Revenues distribution agreement</t>
  </si>
  <si>
    <t>IN.213</t>
  </si>
  <si>
    <t>Gross fee and commission expense corresponding to off balance product before distribution to SCIB under the Collabotarion Revenues distribution agreement</t>
  </si>
  <si>
    <t>IN.214</t>
  </si>
  <si>
    <t>RWA Off Balance</t>
  </si>
  <si>
    <t>IN.215</t>
  </si>
  <si>
    <t>Gross Interest expense before distribution to SCIB under the Collabotarion Revenues distribution agreement</t>
  </si>
  <si>
    <t>IN.216</t>
  </si>
  <si>
    <t>Net loan-loss provisions corresponding to off balance exposures</t>
  </si>
  <si>
    <t>IN.217</t>
  </si>
  <si>
    <t>Gross Interest income distributed to SCIB under the Collabotarion Revenues distribution agreement</t>
  </si>
  <si>
    <t>IN.218</t>
  </si>
  <si>
    <t>Gross Interest expense distributed to SCIB under the Collabotarion Revenues distribution agreement</t>
  </si>
  <si>
    <t>IN.219</t>
  </si>
  <si>
    <t>Gross fee and commission income distributed to SCIB under the Collabotarion Revenues distribution agreement</t>
  </si>
  <si>
    <t>IN.220</t>
  </si>
  <si>
    <t>Gross fee and commission expense distributed to SCIB under the Collabotarion Revenues distribution agreement</t>
  </si>
  <si>
    <t>IN.221</t>
  </si>
  <si>
    <t>Gains (Losses) On Financial Transaction (gft) And Exchange Differences distributed to SCIB under the Collabotarion Revenues distribution agreement</t>
  </si>
  <si>
    <t>IN.222</t>
  </si>
  <si>
    <t>Business Area related to CIB</t>
  </si>
  <si>
    <t>IN.223</t>
  </si>
  <si>
    <t>Gross fee and commission income corresponding to off balance product distributed to SCIB under the Collabotarion Revenues distribution agreement</t>
  </si>
  <si>
    <t>IN.224</t>
  </si>
  <si>
    <t>Gross fee and commission expense corresponding to off balance product distributed to SCIB under the Collabotarion Revenues distribution agreement</t>
  </si>
  <si>
    <t>IN.233</t>
  </si>
  <si>
    <t>Cancelled instrument status</t>
  </si>
  <si>
    <t>IN.234</t>
  </si>
  <si>
    <t>IDCOMB</t>
  </si>
  <si>
    <t>VARCHAR2(255)</t>
  </si>
  <si>
    <t>Contabilidade</t>
  </si>
  <si>
    <t>IN.247</t>
  </si>
  <si>
    <t>Type of off balance product</t>
  </si>
  <si>
    <t>IP.001</t>
  </si>
  <si>
    <t>IP.002</t>
  </si>
  <si>
    <t>IP.003</t>
  </si>
  <si>
    <t>IP.004</t>
  </si>
  <si>
    <t>Protection ID</t>
  </si>
  <si>
    <t>IP.007</t>
  </si>
  <si>
    <t>Type of relation</t>
  </si>
  <si>
    <t>PR.001</t>
  </si>
  <si>
    <t>PR.003</t>
  </si>
  <si>
    <t>PR.005</t>
  </si>
  <si>
    <t>PR.014</t>
  </si>
  <si>
    <t>Protection type</t>
  </si>
  <si>
    <t>PR.024</t>
  </si>
  <si>
    <t>Appraised market value</t>
  </si>
  <si>
    <t>PR.076</t>
  </si>
  <si>
    <t>Flag of electric vehicle</t>
  </si>
  <si>
    <t>AC.001</t>
  </si>
  <si>
    <t>Nova Tabela</t>
  </si>
  <si>
    <t>AC.002</t>
  </si>
  <si>
    <t>AC.003</t>
  </si>
  <si>
    <t>AC.004</t>
  </si>
  <si>
    <t>Sustainable Category Green (specific purpose) and General (general purpose)</t>
  </si>
  <si>
    <t>Nova Tabela - Campo existente</t>
  </si>
  <si>
    <t>AC.005</t>
  </si>
  <si>
    <t>Percentage of UoP</t>
  </si>
  <si>
    <t>MV</t>
  </si>
  <si>
    <t>AC.008</t>
  </si>
  <si>
    <t>Sustainable Indicator</t>
  </si>
  <si>
    <t>Igual</t>
  </si>
  <si>
    <t>ESTR &amp; GD &amp; PILAR3</t>
  </si>
  <si>
    <t>Diferente</t>
  </si>
  <si>
    <t>ESTR &amp; GD</t>
  </si>
  <si>
    <t>ESG_RISKS &amp; ESTR &amp; GD</t>
  </si>
  <si>
    <t>GD &amp; PILAR3</t>
  </si>
  <si>
    <t>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</si>
</sst>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dd"/>
    <numFmt numFmtId="166" formatCode="0.000"/>
    <numFmt numFmtId="167" formatCode="0.0000"/>
  </numFmts>
  <fonts count="5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Santander Text"/>
      <family val="2"/>
    </font>
    <font>
      <sz val="11"/>
      <color theme="1"/>
      <name val="Santander Text"/>
      <family val="2"/>
    </font>
    <font>
      <b/>
      <sz val="9"/>
      <color theme="1"/>
      <name val="Santander Text"/>
      <family val="2"/>
    </font>
    <font>
      <b/>
      <sz val="1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theme="3"/>
      <name val="Aptos Display"/>
      <family val="2"/>
      <scheme val="major"/>
    </font>
    <font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8"/>
      <color theme="0" tint="-0.499984740745262"/>
      <name val="Aptos Display"/>
      <family val="2"/>
      <scheme val="maj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ptos Display"/>
      <family val="2"/>
      <scheme val="major"/>
    </font>
    <font>
      <sz val="10"/>
      <color theme="0" tint="-0.14999847407452621"/>
      <name val="Aptos Display"/>
      <family val="2"/>
      <scheme val="major"/>
    </font>
    <font>
      <b/>
      <sz val="8"/>
      <color theme="0" tint="-0.499984740745262"/>
      <name val="Calibri"/>
      <family val="2"/>
    </font>
    <font>
      <b/>
      <sz val="11"/>
      <color theme="1"/>
      <name val="Santander Text"/>
      <family val="2"/>
    </font>
    <font>
      <sz val="11"/>
      <color theme="0" tint="-0.24997711111789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8"/>
      <color theme="1"/>
      <name val="Aptos Display"/>
      <family val="2"/>
      <scheme val="major"/>
    </font>
    <font>
      <b/>
      <sz val="8"/>
      <color theme="1"/>
      <name val="Aptos Display"/>
      <family val="2"/>
      <scheme val="major"/>
    </font>
    <font>
      <b/>
      <sz val="8"/>
      <color theme="3"/>
      <name val="Aptos Display"/>
      <family val="2"/>
      <scheme val="major"/>
    </font>
    <font>
      <b/>
      <sz val="8"/>
      <name val="Aptos Display"/>
      <family val="2"/>
      <scheme val="major"/>
    </font>
    <font>
      <sz val="8"/>
      <color theme="0" tint="-0.499984740745262"/>
      <name val="Aptos Display"/>
      <family val="2"/>
      <scheme val="major"/>
    </font>
    <font>
      <sz val="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9191"/>
      <name val="Aptos Narrow"/>
      <family val="2"/>
      <scheme val="minor"/>
    </font>
    <font>
      <sz val="11"/>
      <color rgb="FFFFC8C8"/>
      <name val="Aptos Narrow"/>
      <family val="2"/>
      <scheme val="minor"/>
    </font>
    <font>
      <b/>
      <sz val="10"/>
      <name val="Santander Text"/>
      <family val="2"/>
    </font>
    <font>
      <b/>
      <sz val="10"/>
      <color theme="1"/>
      <name val="Santander Text"/>
      <family val="2"/>
    </font>
    <font>
      <b/>
      <sz val="10"/>
      <color theme="3"/>
      <name val="Santander Text"/>
      <family val="2"/>
    </font>
    <font>
      <sz val="10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sz val="11"/>
      <name val="Santander Text"/>
      <family val="2"/>
    </font>
    <font>
      <sz val="11"/>
      <color rgb="FFFF9191"/>
      <name val="Santander Text"/>
      <family val="2"/>
    </font>
    <font>
      <b/>
      <sz val="11"/>
      <name val="Santander Text"/>
      <family val="2"/>
    </font>
    <font>
      <b/>
      <i/>
      <sz val="12"/>
      <color theme="0"/>
      <name val="Santander Text"/>
      <family val="2"/>
    </font>
    <font>
      <b/>
      <sz val="12"/>
      <color theme="0"/>
      <name val="Santander Text"/>
      <family val="2"/>
    </font>
    <font>
      <b/>
      <sz val="11"/>
      <color theme="3"/>
      <name val="Santander Text"/>
      <family val="2"/>
    </font>
    <font>
      <sz val="10"/>
      <color theme="0"/>
      <name val="Santander Text"/>
      <family val="2"/>
    </font>
    <font>
      <b/>
      <sz val="11"/>
      <color theme="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theme="1"/>
      <name val="Santander Text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Down">
        <fgColor theme="0" tint="-0.499984740745262"/>
        <bgColor theme="0"/>
      </patternFill>
    </fill>
    <fill>
      <patternFill patternType="darkDown">
        <fgColor theme="8"/>
        <bgColor theme="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89999084444715716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hair">
        <color theme="0"/>
      </right>
      <top/>
      <bottom/>
      <diagonal/>
    </border>
    <border>
      <left style="hair">
        <color theme="0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6" fontId="4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2" fontId="8" fillId="5" borderId="0" xfId="0" applyNumberFormat="1" applyFont="1" applyFill="1" applyAlignment="1">
      <alignment horizontal="center" vertical="center"/>
    </xf>
    <xf numFmtId="0" fontId="13" fillId="5" borderId="0" xfId="0" applyFont="1" applyFill="1"/>
    <xf numFmtId="0" fontId="8" fillId="3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 vertical="center"/>
    </xf>
    <xf numFmtId="2" fontId="8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4" fillId="0" borderId="0" xfId="0" applyFont="1" applyAlignment="1">
      <alignment horizontal="center"/>
    </xf>
    <xf numFmtId="164" fontId="0" fillId="0" borderId="0" xfId="0" applyNumberFormat="1"/>
    <xf numFmtId="2" fontId="8" fillId="0" borderId="0" xfId="0" applyNumberFormat="1" applyFont="1" applyAlignment="1">
      <alignment horizontal="left" vertical="center"/>
    </xf>
    <xf numFmtId="4" fontId="8" fillId="2" borderId="0" xfId="0" applyNumberFormat="1" applyFont="1" applyFill="1" applyAlignment="1">
      <alignment horizontal="left" vertical="center"/>
    </xf>
    <xf numFmtId="4" fontId="8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4" xfId="0" applyBorder="1"/>
    <xf numFmtId="165" fontId="18" fillId="7" borderId="0" xfId="0" applyNumberFormat="1" applyFont="1" applyFill="1" applyAlignment="1" applyProtection="1">
      <alignment horizontal="center" vertical="center"/>
      <protection hidden="1"/>
    </xf>
    <xf numFmtId="1" fontId="18" fillId="7" borderId="0" xfId="0" applyNumberFormat="1" applyFont="1" applyFill="1" applyAlignment="1" applyProtection="1">
      <alignment horizontal="center" vertical="center"/>
      <protection hidden="1"/>
    </xf>
    <xf numFmtId="0" fontId="3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0" fontId="14" fillId="0" borderId="5" xfId="0" applyFont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5" xfId="0" applyFill="1" applyBorder="1"/>
    <xf numFmtId="0" fontId="0" fillId="12" borderId="5" xfId="0" applyFill="1" applyBorder="1" applyAlignment="1">
      <alignment horizontal="center" vertical="center"/>
    </xf>
    <xf numFmtId="9" fontId="14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0" fillId="0" borderId="7" xfId="0" applyBorder="1"/>
    <xf numFmtId="0" fontId="0" fillId="6" borderId="4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0" xfId="0" quotePrefix="1"/>
    <xf numFmtId="0" fontId="0" fillId="0" borderId="9" xfId="0" applyBorder="1"/>
    <xf numFmtId="4" fontId="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2" fontId="22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/>
    <xf numFmtId="2" fontId="26" fillId="0" borderId="0" xfId="0" applyNumberFormat="1" applyFont="1"/>
    <xf numFmtId="166" fontId="26" fillId="0" borderId="0" xfId="0" applyNumberFormat="1" applyFont="1"/>
    <xf numFmtId="164" fontId="26" fillId="0" borderId="0" xfId="0" applyNumberFormat="1" applyFont="1"/>
    <xf numFmtId="167" fontId="26" fillId="0" borderId="0" xfId="0" applyNumberFormat="1" applyFont="1"/>
    <xf numFmtId="0" fontId="21" fillId="10" borderId="0" xfId="0" applyFont="1" applyFill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vertical="center"/>
    </xf>
    <xf numFmtId="0" fontId="22" fillId="10" borderId="0" xfId="0" applyFont="1" applyFill="1" applyAlignment="1">
      <alignment horizontal="left" vertical="center"/>
    </xf>
    <xf numFmtId="0" fontId="24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left" vertical="center"/>
    </xf>
    <xf numFmtId="0" fontId="25" fillId="10" borderId="0" xfId="0" applyFont="1" applyFill="1" applyAlignment="1">
      <alignment vertical="center"/>
    </xf>
    <xf numFmtId="3" fontId="22" fillId="0" borderId="0" xfId="0" applyNumberFormat="1" applyFont="1" applyAlignment="1">
      <alignment horizontal="left" vertical="center"/>
    </xf>
    <xf numFmtId="0" fontId="15" fillId="9" borderId="1" xfId="0" applyFont="1" applyFill="1" applyBorder="1" applyAlignment="1">
      <alignment horizontal="centerContinuous"/>
    </xf>
    <xf numFmtId="2" fontId="9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0" fontId="11" fillId="0" borderId="10" xfId="0" applyFont="1" applyBorder="1" applyAlignment="1">
      <alignment vertical="center"/>
    </xf>
    <xf numFmtId="0" fontId="14" fillId="0" borderId="4" xfId="0" applyFont="1" applyBorder="1"/>
    <xf numFmtId="0" fontId="0" fillId="8" borderId="0" xfId="0" applyFill="1"/>
    <xf numFmtId="0" fontId="0" fillId="14" borderId="4" xfId="0" applyFill="1" applyBorder="1"/>
    <xf numFmtId="0" fontId="28" fillId="15" borderId="4" xfId="0" applyFont="1" applyFill="1" applyBorder="1"/>
    <xf numFmtId="0" fontId="29" fillId="14" borderId="4" xfId="0" applyFont="1" applyFill="1" applyBorder="1"/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4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4" fontId="31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5" fillId="8" borderId="0" xfId="0" applyFont="1" applyFill="1"/>
    <xf numFmtId="0" fontId="35" fillId="8" borderId="3" xfId="0" applyFont="1" applyFill="1" applyBorder="1"/>
    <xf numFmtId="0" fontId="35" fillId="8" borderId="2" xfId="0" applyFont="1" applyFill="1" applyBorder="1"/>
    <xf numFmtId="165" fontId="35" fillId="13" borderId="0" xfId="0" applyNumberFormat="1" applyFont="1" applyFill="1" applyAlignment="1">
      <alignment horizontal="center"/>
    </xf>
    <xf numFmtId="165" fontId="35" fillId="13" borderId="3" xfId="0" applyNumberFormat="1" applyFont="1" applyFill="1" applyBorder="1" applyAlignment="1">
      <alignment horizontal="center"/>
    </xf>
    <xf numFmtId="165" fontId="35" fillId="13" borderId="2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6" borderId="4" xfId="0" applyFont="1" applyFill="1" applyBorder="1" applyAlignment="1">
      <alignment horizontal="center" vertical="center"/>
    </xf>
    <xf numFmtId="0" fontId="37" fillId="15" borderId="4" xfId="0" applyFont="1" applyFill="1" applyBorder="1" applyAlignment="1">
      <alignment horizontal="center" vertical="center"/>
    </xf>
    <xf numFmtId="0" fontId="3" fillId="0" borderId="0" xfId="0" applyFont="1"/>
    <xf numFmtId="2" fontId="8" fillId="16" borderId="0" xfId="0" applyNumberFormat="1" applyFont="1" applyFill="1" applyAlignment="1">
      <alignment vertical="center"/>
    </xf>
    <xf numFmtId="0" fontId="0" fillId="16" borderId="0" xfId="0" applyFill="1"/>
    <xf numFmtId="0" fontId="38" fillId="0" borderId="0" xfId="0" applyFont="1" applyAlignment="1">
      <alignment horizontal="left" vertical="center"/>
    </xf>
    <xf numFmtId="0" fontId="38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32" fillId="6" borderId="0" xfId="0" applyFont="1" applyFill="1" applyAlignment="1">
      <alignment vertical="center"/>
    </xf>
    <xf numFmtId="0" fontId="30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3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0" fontId="0" fillId="0" borderId="11" xfId="0" applyBorder="1"/>
    <xf numFmtId="0" fontId="0" fillId="0" borderId="12" xfId="0" applyBorder="1"/>
    <xf numFmtId="1" fontId="30" fillId="0" borderId="0" xfId="0" applyNumberFormat="1" applyFont="1" applyAlignment="1">
      <alignment horizontal="center" vertical="center"/>
    </xf>
    <xf numFmtId="0" fontId="30" fillId="6" borderId="0" xfId="0" applyFont="1" applyFill="1" applyAlignment="1">
      <alignment horizontal="left" vertical="center"/>
    </xf>
    <xf numFmtId="0" fontId="40" fillId="8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left" vertical="center"/>
    </xf>
    <xf numFmtId="0" fontId="32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/>
    </xf>
    <xf numFmtId="0" fontId="31" fillId="0" borderId="13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left" vertical="center"/>
    </xf>
    <xf numFmtId="0" fontId="32" fillId="0" borderId="14" xfId="0" applyFont="1" applyBorder="1" applyAlignment="1">
      <alignment vertical="center"/>
    </xf>
    <xf numFmtId="0" fontId="5" fillId="0" borderId="14" xfId="0" applyFont="1" applyBorder="1" applyAlignment="1">
      <alignment horizontal="center"/>
    </xf>
    <xf numFmtId="0" fontId="31" fillId="0" borderId="1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6" borderId="0" xfId="0" applyFont="1" applyFill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5" fillId="0" borderId="13" xfId="0" applyFont="1" applyBorder="1"/>
    <xf numFmtId="0" fontId="18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5" fillId="0" borderId="14" xfId="0" applyFont="1" applyBorder="1"/>
    <xf numFmtId="0" fontId="18" fillId="0" borderId="14" xfId="0" applyFont="1" applyBorder="1" applyAlignment="1">
      <alignment horizontal="left" vertical="center"/>
    </xf>
    <xf numFmtId="0" fontId="30" fillId="0" borderId="14" xfId="0" applyFont="1" applyBorder="1" applyAlignment="1">
      <alignment horizontal="center" vertical="center"/>
    </xf>
    <xf numFmtId="2" fontId="8" fillId="0" borderId="15" xfId="0" applyNumberFormat="1" applyFont="1" applyBorder="1" applyAlignment="1">
      <alignment vertical="center"/>
    </xf>
    <xf numFmtId="0" fontId="31" fillId="0" borderId="14" xfId="0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" fillId="17" borderId="0" xfId="0" applyFont="1" applyFill="1"/>
    <xf numFmtId="0" fontId="4" fillId="2" borderId="0" xfId="0" applyFont="1" applyFill="1"/>
    <xf numFmtId="0" fontId="4" fillId="18" borderId="0" xfId="0" applyFont="1" applyFill="1"/>
    <xf numFmtId="0" fontId="4" fillId="19" borderId="16" xfId="0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8" borderId="0" xfId="0" applyFont="1" applyFill="1"/>
    <xf numFmtId="0" fontId="6" fillId="8" borderId="0" xfId="0" applyFont="1" applyFill="1" applyAlignment="1">
      <alignment horizontal="left"/>
    </xf>
    <xf numFmtId="165" fontId="0" fillId="0" borderId="0" xfId="0" applyNumberFormat="1"/>
    <xf numFmtId="0" fontId="0" fillId="13" borderId="0" xfId="0" applyFill="1"/>
    <xf numFmtId="0" fontId="4" fillId="0" borderId="16" xfId="0" applyFont="1" applyBorder="1" applyAlignment="1">
      <alignment horizontal="center" vertical="center"/>
    </xf>
    <xf numFmtId="0" fontId="1" fillId="13" borderId="0" xfId="0" applyFont="1" applyFill="1"/>
    <xf numFmtId="0" fontId="0" fillId="13" borderId="17" xfId="0" applyFill="1" applyBorder="1"/>
    <xf numFmtId="0" fontId="0" fillId="13" borderId="18" xfId="0" applyFill="1" applyBorder="1"/>
    <xf numFmtId="0" fontId="1" fillId="13" borderId="18" xfId="0" applyFont="1" applyFill="1" applyBorder="1"/>
    <xf numFmtId="0" fontId="0" fillId="13" borderId="19" xfId="0" applyFill="1" applyBorder="1"/>
    <xf numFmtId="0" fontId="5" fillId="13" borderId="17" xfId="0" applyFont="1" applyFill="1" applyBorder="1"/>
    <xf numFmtId="0" fontId="5" fillId="13" borderId="18" xfId="0" applyFont="1" applyFill="1" applyBorder="1"/>
    <xf numFmtId="0" fontId="35" fillId="13" borderId="18" xfId="0" applyFont="1" applyFill="1" applyBorder="1"/>
    <xf numFmtId="0" fontId="5" fillId="13" borderId="19" xfId="0" applyFont="1" applyFill="1" applyBorder="1"/>
    <xf numFmtId="165" fontId="42" fillId="8" borderId="0" xfId="0" applyNumberFormat="1" applyFont="1" applyFill="1" applyAlignment="1">
      <alignment horizontal="center" vertical="center"/>
    </xf>
    <xf numFmtId="165" fontId="42" fillId="16" borderId="0" xfId="0" applyNumberFormat="1" applyFont="1" applyFill="1" applyAlignment="1">
      <alignment horizontal="center" vertical="center"/>
    </xf>
    <xf numFmtId="165" fontId="27" fillId="16" borderId="0" xfId="0" applyNumberFormat="1" applyFont="1" applyFill="1"/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165" fontId="27" fillId="8" borderId="0" xfId="0" applyNumberFormat="1" applyFont="1" applyFill="1" applyAlignment="1">
      <alignment horizontal="center" vertical="center"/>
    </xf>
    <xf numFmtId="0" fontId="4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44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Continuous" vertical="center"/>
    </xf>
    <xf numFmtId="0" fontId="27" fillId="21" borderId="0" xfId="0" applyFont="1" applyFill="1" applyAlignment="1">
      <alignment horizontal="centerContinuous" vertical="center"/>
    </xf>
    <xf numFmtId="0" fontId="45" fillId="21" borderId="0" xfId="0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0" fontId="44" fillId="22" borderId="0" xfId="0" applyFont="1" applyFill="1" applyAlignment="1">
      <alignment horizontal="centerContinuous" vertical="center"/>
    </xf>
    <xf numFmtId="0" fontId="27" fillId="22" borderId="0" xfId="0" applyFont="1" applyFill="1" applyAlignment="1">
      <alignment horizontal="centerContinuous" vertical="center"/>
    </xf>
    <xf numFmtId="0" fontId="1" fillId="23" borderId="5" xfId="0" applyFont="1" applyFill="1" applyBorder="1" applyAlignment="1">
      <alignment horizontal="centerContinuous" vertical="center"/>
    </xf>
    <xf numFmtId="0" fontId="27" fillId="23" borderId="5" xfId="0" applyFont="1" applyFill="1" applyBorder="1" applyAlignment="1">
      <alignment horizontal="centerContinuous" vertical="center"/>
    </xf>
    <xf numFmtId="0" fontId="1" fillId="8" borderId="20" xfId="0" applyFont="1" applyFill="1" applyBorder="1" applyAlignment="1">
      <alignment horizontal="center" vertical="center" wrapText="1"/>
    </xf>
    <xf numFmtId="0" fontId="1" fillId="24" borderId="5" xfId="0" applyFont="1" applyFill="1" applyBorder="1" applyAlignment="1">
      <alignment horizontal="center" vertical="center" wrapText="1"/>
    </xf>
    <xf numFmtId="0" fontId="47" fillId="4" borderId="5" xfId="0" applyFont="1" applyFill="1" applyBorder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 wrapText="1"/>
    </xf>
    <xf numFmtId="0" fontId="47" fillId="25" borderId="5" xfId="0" applyFont="1" applyFill="1" applyBorder="1" applyAlignment="1">
      <alignment horizontal="center" vertical="center" wrapText="1"/>
    </xf>
    <xf numFmtId="0" fontId="1" fillId="26" borderId="5" xfId="0" applyFont="1" applyFill="1" applyBorder="1" applyAlignment="1">
      <alignment vertical="center"/>
    </xf>
    <xf numFmtId="0" fontId="1" fillId="27" borderId="5" xfId="0" applyFont="1" applyFill="1" applyBorder="1" applyAlignment="1">
      <alignment vertical="center"/>
    </xf>
    <xf numFmtId="0" fontId="1" fillId="27" borderId="21" xfId="0" applyFont="1" applyFill="1" applyBorder="1" applyAlignment="1">
      <alignment vertical="center"/>
    </xf>
    <xf numFmtId="0" fontId="3" fillId="25" borderId="2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22" xfId="0" applyFont="1" applyFill="1" applyBorder="1" applyAlignment="1">
      <alignment vertical="center" wrapText="1"/>
    </xf>
    <xf numFmtId="0" fontId="47" fillId="0" borderId="20" xfId="0" applyFont="1" applyBorder="1" applyAlignment="1">
      <alignment horizontal="center" vertical="center"/>
    </xf>
    <xf numFmtId="0" fontId="48" fillId="0" borderId="5" xfId="0" applyFont="1" applyBorder="1" applyAlignment="1">
      <alignment horizontal="left" vertical="center"/>
    </xf>
    <xf numFmtId="0" fontId="43" fillId="0" borderId="5" xfId="0" applyFont="1" applyBorder="1" applyAlignment="1">
      <alignment vertical="center"/>
    </xf>
    <xf numFmtId="0" fontId="47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11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9" fontId="47" fillId="0" borderId="5" xfId="0" applyNumberFormat="1" applyFont="1" applyBorder="1" applyAlignment="1">
      <alignment horizontal="left" vertical="center"/>
    </xf>
    <xf numFmtId="9" fontId="14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4" borderId="21" xfId="0" applyFill="1" applyBorder="1" applyAlignment="1">
      <alignment vertical="center"/>
    </xf>
    <xf numFmtId="9" fontId="0" fillId="0" borderId="5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4" fillId="0" borderId="5" xfId="0" applyFont="1" applyBorder="1" applyAlignment="1">
      <alignment vertical="top"/>
    </xf>
    <xf numFmtId="0" fontId="49" fillId="0" borderId="5" xfId="0" applyFont="1" applyBorder="1" applyAlignment="1">
      <alignment horizontal="left" vertical="center"/>
    </xf>
    <xf numFmtId="0" fontId="47" fillId="4" borderId="5" xfId="0" applyFont="1" applyFill="1" applyBorder="1" applyAlignment="1">
      <alignment horizontal="left" vertical="center"/>
    </xf>
    <xf numFmtId="0" fontId="14" fillId="0" borderId="5" xfId="0" applyFont="1" applyBorder="1"/>
    <xf numFmtId="0" fontId="14" fillId="16" borderId="5" xfId="0" applyFont="1" applyFill="1" applyBorder="1" applyAlignment="1">
      <alignment horizontal="center" vertical="center"/>
    </xf>
    <xf numFmtId="0" fontId="50" fillId="2" borderId="0" xfId="0" applyFont="1" applyFill="1"/>
    <xf numFmtId="0" fontId="35" fillId="8" borderId="3" xfId="0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" fontId="4" fillId="8" borderId="0" xfId="0" applyNumberFormat="1" applyFont="1" applyFill="1" applyAlignment="1">
      <alignment horizontal="center"/>
    </xf>
  </cellXfs>
  <cellStyles count="1">
    <cellStyle name="Normal" xfId="0" builtinId="0"/>
  </cellStyles>
  <dxfs count="13"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5" tint="-0.24994659260841701"/>
      </font>
      <fill>
        <patternFill>
          <bgColor theme="5" tint="-0.24994659260841701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</dxf>
    <dxf>
      <font>
        <color theme="4"/>
      </font>
    </dxf>
  </dxfs>
  <tableStyles count="0" defaultTableStyle="TableStyleMedium2" defaultPivotStyle="PivotStyleLight16"/>
  <colors>
    <mruColors>
      <color rgb="FFFF9191"/>
      <color rgb="FFFFC8C8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179917</xdr:colOff>
      <xdr:row>0</xdr:row>
      <xdr:rowOff>116418</xdr:rowOff>
    </xdr:from>
    <xdr:to>
      <xdr:col>3</xdr:col>
      <xdr:colOff>169334</xdr:colOff>
      <xdr:row>2</xdr:row>
      <xdr:rowOff>30569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611F2F2-66A3-456A-84EF-D720DEC35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54667" cy="2739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182563</xdr:colOff>
      <xdr:row>0</xdr:row>
      <xdr:rowOff>119063</xdr:rowOff>
    </xdr:from>
    <xdr:to>
      <xdr:col>2</xdr:col>
      <xdr:colOff>164042</xdr:colOff>
      <xdr:row>2</xdr:row>
      <xdr:rowOff>4109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76194DCC-3AC0-4AC6-AC99-E59C5C87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563" y="119063"/>
          <a:ext cx="1354667" cy="2739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07336\AppData\Local\Microsoft\Windows\INetCache\Content.Outlook\DWYLXVUT\LT%20-%20GD%20-%20MacroPlano.xlsx" TargetMode="External"/><Relationship Id="rId1" Type="http://schemas.openxmlformats.org/officeDocument/2006/relationships/externalLinkPath" Target="file:///C:\Users\E807336\AppData\Local\Microsoft\Windows\INetCache\Content.Outlook\DWYLXVUT\LT%20-%20GD%20-%20MacroPla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V1.0"/>
      <sheetName val="Sheet1"/>
      <sheetName val="RESUMO"/>
      <sheetName val="Plano SCA"/>
      <sheetName val="LISTA - Abril2024"/>
      <sheetName val="LISTA - Atual"/>
      <sheetName val="Aux DE"/>
      <sheetName val="Auxiliar"/>
      <sheetName val="Lista - Âmbito Projeto GD"/>
      <sheetName val="Campos Resumo Prop2.0"/>
      <sheetName val="DataLake"/>
    </sheetNames>
    <sheetDataSet>
      <sheetData sheetId="0"/>
      <sheetData sheetId="1"/>
      <sheetData sheetId="2"/>
      <sheetData sheetId="3">
        <row r="13">
          <cell r="L13">
            <v>2</v>
          </cell>
          <cell r="M13">
            <v>2</v>
          </cell>
          <cell r="N13">
            <v>2</v>
          </cell>
          <cell r="O13">
            <v>2</v>
          </cell>
        </row>
      </sheetData>
      <sheetData sheetId="4"/>
      <sheetData sheetId="5"/>
      <sheetData sheetId="6">
        <row r="3">
          <cell r="F3">
            <v>527.00000000000011</v>
          </cell>
        </row>
      </sheetData>
      <sheetData sheetId="7"/>
      <sheetData sheetId="8"/>
      <sheetData sheetId="9"/>
      <sheetData sheetId="1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9C90-7A66-410F-BE3A-4D36BCB81DF1}">
  <dimension ref="A1:BZ107"/>
  <sheetViews>
    <sheetView showGridLines="0" workbookViewId="0">
      <selection activeCell="F12" sqref="F12"/>
    </sheetView>
  </sheetViews>
  <sheetFormatPr defaultColWidth="6.08984375" defaultRowHeight="14.5" outlineLevelRow="2" x14ac:dyDescent="0.35"/>
  <cols>
    <col min="1" max="1" width="2.90625" style="21" customWidth="1"/>
    <col min="2" max="2" width="2.90625" style="19" customWidth="1"/>
    <col min="3" max="3" width="27.81640625" style="14" customWidth="1"/>
    <col min="4" max="4" width="33.453125" style="32" bestFit="1" customWidth="1"/>
    <col min="5" max="5" width="3.90625" style="32" customWidth="1"/>
    <col min="6" max="6" width="17.08984375" style="16" customWidth="1"/>
    <col min="7" max="7" width="20.36328125" style="32" customWidth="1"/>
    <col min="8" max="8" width="20.36328125" style="38" customWidth="1"/>
    <col min="9" max="9" width="10.36328125" style="21" bestFit="1" customWidth="1"/>
    <col min="10" max="14" width="6.08984375" style="21"/>
    <col min="42" max="42" width="6.453125" customWidth="1"/>
    <col min="46" max="46" width="7.08984375" bestFit="1" customWidth="1"/>
    <col min="48" max="48" width="6.7265625" bestFit="1" customWidth="1"/>
  </cols>
  <sheetData>
    <row r="1" spans="1:78" x14ac:dyDescent="0.35">
      <c r="H1" s="20"/>
      <c r="I1" s="74">
        <v>823.19999999999936</v>
      </c>
      <c r="J1" s="21">
        <v>16.8</v>
      </c>
      <c r="K1" s="21">
        <v>16.8</v>
      </c>
      <c r="L1" s="21">
        <v>16.8</v>
      </c>
      <c r="M1" s="21">
        <v>16.8</v>
      </c>
      <c r="N1" s="21">
        <v>16.8</v>
      </c>
      <c r="O1" s="21">
        <v>16.8</v>
      </c>
      <c r="P1" s="21">
        <v>16.8</v>
      </c>
      <c r="Q1" s="21">
        <v>16.8</v>
      </c>
      <c r="R1" s="21">
        <v>16.8</v>
      </c>
      <c r="S1" s="21">
        <v>16.8</v>
      </c>
      <c r="T1" s="21">
        <v>16.8</v>
      </c>
      <c r="U1" s="21">
        <v>16.8</v>
      </c>
      <c r="V1" s="21">
        <v>16.8</v>
      </c>
      <c r="W1" s="21">
        <v>16.8</v>
      </c>
      <c r="X1" s="21">
        <v>16.8</v>
      </c>
      <c r="Y1" s="21">
        <v>16.8</v>
      </c>
      <c r="Z1" s="21">
        <v>16.8</v>
      </c>
      <c r="AA1" s="21">
        <v>16.8</v>
      </c>
      <c r="AB1" s="21">
        <v>16.8</v>
      </c>
      <c r="AC1" s="21">
        <v>16.8</v>
      </c>
      <c r="AD1" s="21">
        <v>16.8</v>
      </c>
      <c r="AE1" s="21">
        <v>16.8</v>
      </c>
      <c r="AF1" s="21">
        <v>16.8</v>
      </c>
      <c r="AG1" s="21">
        <v>16.8</v>
      </c>
      <c r="AH1" s="21">
        <v>16.8</v>
      </c>
      <c r="AI1" s="21">
        <v>16.8</v>
      </c>
      <c r="AJ1" s="21">
        <v>16.8</v>
      </c>
      <c r="AK1" s="21">
        <v>16.8</v>
      </c>
      <c r="AL1" s="21">
        <v>16.8</v>
      </c>
      <c r="AM1" s="21">
        <v>16.8</v>
      </c>
      <c r="AN1" s="21">
        <v>16.8</v>
      </c>
      <c r="AO1" s="21">
        <v>16.8</v>
      </c>
      <c r="AP1" s="21">
        <v>16.8</v>
      </c>
      <c r="AQ1" s="21">
        <v>16.8</v>
      </c>
      <c r="AR1" s="21">
        <v>16.8</v>
      </c>
      <c r="AS1" s="21">
        <v>16.8</v>
      </c>
      <c r="AT1" s="21">
        <v>16.8</v>
      </c>
      <c r="AU1" s="21">
        <v>16.8</v>
      </c>
      <c r="AV1" s="21">
        <v>16.8</v>
      </c>
      <c r="AW1" s="21">
        <v>16.8</v>
      </c>
      <c r="AX1" s="21">
        <v>16.8</v>
      </c>
      <c r="AY1" s="21">
        <v>16.8</v>
      </c>
      <c r="AZ1" s="21">
        <v>16.8</v>
      </c>
      <c r="BA1" s="21">
        <v>16.8</v>
      </c>
      <c r="BB1" s="21">
        <v>16.8</v>
      </c>
      <c r="BC1" s="21">
        <v>16.8</v>
      </c>
      <c r="BD1" s="21">
        <v>16.8</v>
      </c>
      <c r="BE1" s="21">
        <v>16.8</v>
      </c>
      <c r="BF1" s="21">
        <v>16.8</v>
      </c>
    </row>
    <row r="2" spans="1:78" x14ac:dyDescent="0.35">
      <c r="A2" s="75"/>
      <c r="B2" s="76"/>
      <c r="C2" s="77"/>
      <c r="D2" s="78"/>
      <c r="E2" s="78"/>
      <c r="F2" s="79"/>
      <c r="G2" s="78"/>
      <c r="H2" s="80"/>
      <c r="I2" s="81" t="s">
        <v>76</v>
      </c>
      <c r="J2" s="82">
        <v>0</v>
      </c>
      <c r="K2" s="82">
        <v>0</v>
      </c>
      <c r="L2" s="82">
        <v>0</v>
      </c>
      <c r="M2" s="82">
        <v>0</v>
      </c>
      <c r="N2" s="82">
        <v>0</v>
      </c>
      <c r="O2" s="82">
        <v>0</v>
      </c>
      <c r="P2" s="82">
        <v>0</v>
      </c>
      <c r="Q2" s="82">
        <v>0</v>
      </c>
      <c r="R2" s="82">
        <v>0</v>
      </c>
      <c r="S2" s="82">
        <v>0</v>
      </c>
      <c r="T2" s="82">
        <v>0</v>
      </c>
      <c r="U2" s="82">
        <v>0</v>
      </c>
      <c r="V2" s="82">
        <v>0</v>
      </c>
      <c r="W2" s="82">
        <v>0</v>
      </c>
      <c r="X2" s="82">
        <v>0</v>
      </c>
      <c r="Y2" s="82">
        <v>0</v>
      </c>
      <c r="Z2" s="82">
        <v>0</v>
      </c>
      <c r="AA2" s="82">
        <v>0</v>
      </c>
      <c r="AB2" s="82">
        <v>0</v>
      </c>
      <c r="AC2" s="82">
        <v>0</v>
      </c>
      <c r="AD2" s="82">
        <v>0</v>
      </c>
      <c r="AE2" s="82">
        <v>0</v>
      </c>
      <c r="AF2" s="82">
        <v>0</v>
      </c>
      <c r="AG2" s="82">
        <v>0</v>
      </c>
      <c r="AH2" s="82">
        <v>0</v>
      </c>
      <c r="AI2" s="82">
        <v>0</v>
      </c>
      <c r="AJ2" s="82">
        <v>0</v>
      </c>
      <c r="AK2" s="82">
        <v>0</v>
      </c>
      <c r="AL2" s="82">
        <v>0</v>
      </c>
      <c r="AM2" s="82">
        <v>0</v>
      </c>
      <c r="AN2" s="82">
        <v>0</v>
      </c>
      <c r="AO2" s="82">
        <v>0</v>
      </c>
      <c r="AP2" s="83">
        <v>0</v>
      </c>
      <c r="AQ2" s="84">
        <v>0</v>
      </c>
      <c r="AR2" s="82">
        <v>0</v>
      </c>
      <c r="AS2" s="82">
        <v>0</v>
      </c>
      <c r="AT2" s="85">
        <v>0</v>
      </c>
      <c r="AU2" s="82">
        <v>0</v>
      </c>
      <c r="AV2" s="85">
        <v>0</v>
      </c>
      <c r="AW2" s="86">
        <v>0</v>
      </c>
      <c r="AX2" s="82">
        <v>0</v>
      </c>
      <c r="AY2" s="82">
        <v>0</v>
      </c>
      <c r="AZ2" s="82">
        <v>0</v>
      </c>
      <c r="BA2" s="82">
        <v>0</v>
      </c>
      <c r="BB2" s="82">
        <v>0</v>
      </c>
      <c r="BC2" s="82">
        <v>0</v>
      </c>
      <c r="BD2" s="82">
        <v>0</v>
      </c>
      <c r="BE2" s="82">
        <v>0</v>
      </c>
      <c r="BF2" s="82">
        <v>-1.5750000000000002</v>
      </c>
    </row>
    <row r="3" spans="1:78" x14ac:dyDescent="0.35">
      <c r="A3" s="87"/>
      <c r="B3" s="88"/>
      <c r="C3" s="89"/>
      <c r="D3" s="90"/>
      <c r="E3" s="90"/>
      <c r="F3" s="91"/>
      <c r="G3" s="90"/>
      <c r="H3" s="92"/>
      <c r="I3" s="93" t="s">
        <v>88</v>
      </c>
      <c r="J3" s="93">
        <v>2.1</v>
      </c>
      <c r="K3" s="93">
        <v>2.1</v>
      </c>
      <c r="L3" s="93">
        <v>2.1</v>
      </c>
      <c r="M3" s="93">
        <v>2.1</v>
      </c>
      <c r="N3" s="93">
        <v>2.1</v>
      </c>
      <c r="O3" s="93">
        <v>2.1</v>
      </c>
      <c r="P3" s="93">
        <v>2.1</v>
      </c>
      <c r="Q3" s="93">
        <v>2.1</v>
      </c>
      <c r="R3" s="93">
        <v>2.1</v>
      </c>
      <c r="S3" s="93">
        <v>2.1</v>
      </c>
      <c r="T3" s="93">
        <v>2.1</v>
      </c>
      <c r="U3" s="93">
        <v>2.1</v>
      </c>
      <c r="V3" s="93">
        <v>2.1</v>
      </c>
      <c r="W3" s="93">
        <v>2.1</v>
      </c>
      <c r="X3" s="93">
        <v>2.1</v>
      </c>
      <c r="Y3" s="93">
        <v>2.1</v>
      </c>
      <c r="Z3" s="93">
        <v>2.1</v>
      </c>
      <c r="AA3" s="93">
        <v>2.1</v>
      </c>
      <c r="AB3" s="93">
        <v>2.1</v>
      </c>
      <c r="AC3" s="93">
        <v>2.1</v>
      </c>
      <c r="AD3" s="93">
        <v>2.1</v>
      </c>
      <c r="AE3" s="93">
        <v>2.1</v>
      </c>
      <c r="AF3" s="93">
        <v>2.1</v>
      </c>
      <c r="AG3" s="93">
        <v>2.1</v>
      </c>
      <c r="AH3" s="93">
        <v>2.1</v>
      </c>
      <c r="AI3" s="93">
        <v>2.1</v>
      </c>
      <c r="AJ3" s="93">
        <v>2.1</v>
      </c>
      <c r="AK3" s="93">
        <v>2.1</v>
      </c>
      <c r="AL3" s="93">
        <v>2.1</v>
      </c>
      <c r="AM3" s="93">
        <v>2.1</v>
      </c>
      <c r="AN3" s="93">
        <v>2.1</v>
      </c>
      <c r="AO3" s="93">
        <v>2.1</v>
      </c>
      <c r="AP3" s="93">
        <v>2.1</v>
      </c>
      <c r="AQ3" s="93">
        <v>2.1</v>
      </c>
      <c r="AR3" s="93">
        <v>2.1</v>
      </c>
      <c r="AS3" s="93">
        <v>2.1</v>
      </c>
      <c r="AT3" s="93">
        <v>2.1</v>
      </c>
      <c r="AU3" s="93">
        <v>2.1</v>
      </c>
      <c r="AV3" s="93">
        <v>2.1</v>
      </c>
      <c r="AW3" s="93">
        <v>2.1</v>
      </c>
      <c r="AX3" s="93">
        <v>2.1</v>
      </c>
      <c r="AY3" s="93">
        <v>2.1</v>
      </c>
      <c r="AZ3" s="93">
        <v>2.1</v>
      </c>
      <c r="BA3" s="93">
        <v>2.1</v>
      </c>
      <c r="BB3" s="93">
        <v>2.1</v>
      </c>
      <c r="BC3" s="93">
        <v>2.1</v>
      </c>
      <c r="BD3" s="93">
        <v>2.1</v>
      </c>
      <c r="BE3" s="93">
        <v>2.1</v>
      </c>
      <c r="BF3" s="93">
        <v>0.52500000000000002</v>
      </c>
    </row>
    <row r="4" spans="1:78" x14ac:dyDescent="0.35">
      <c r="A4" s="75"/>
      <c r="B4" s="76"/>
      <c r="C4" s="77"/>
      <c r="D4" s="78"/>
      <c r="E4" s="78"/>
      <c r="F4" s="79"/>
      <c r="G4" s="94"/>
      <c r="H4" s="80"/>
      <c r="I4" s="81" t="s">
        <v>87</v>
      </c>
      <c r="J4" s="81">
        <v>2.1</v>
      </c>
      <c r="K4" s="81">
        <v>2.1</v>
      </c>
      <c r="L4" s="81">
        <v>2.1</v>
      </c>
      <c r="M4" s="81">
        <v>2.1</v>
      </c>
      <c r="N4" s="81">
        <v>2.1</v>
      </c>
      <c r="O4" s="81">
        <v>2.1</v>
      </c>
      <c r="P4" s="81">
        <v>2.1</v>
      </c>
      <c r="Q4" s="81">
        <v>2.1</v>
      </c>
      <c r="R4" s="81">
        <v>2.1</v>
      </c>
      <c r="S4" s="81">
        <v>2.1</v>
      </c>
      <c r="T4" s="81">
        <v>2.1</v>
      </c>
      <c r="U4" s="81">
        <v>2.1</v>
      </c>
      <c r="V4" s="81">
        <v>2.1</v>
      </c>
      <c r="W4" s="81">
        <v>2.1</v>
      </c>
      <c r="X4" s="81">
        <v>2.1</v>
      </c>
      <c r="Y4" s="81">
        <v>2.1</v>
      </c>
      <c r="Z4" s="81">
        <v>2.1</v>
      </c>
      <c r="AA4" s="81">
        <v>2.1</v>
      </c>
      <c r="AB4" s="81">
        <v>2.1</v>
      </c>
      <c r="AC4" s="81">
        <v>2.1</v>
      </c>
      <c r="AD4" s="81">
        <v>2.1</v>
      </c>
      <c r="AE4" s="81">
        <v>2.1</v>
      </c>
      <c r="AF4" s="81">
        <v>2.1</v>
      </c>
      <c r="AG4" s="81">
        <v>2.1</v>
      </c>
      <c r="AH4" s="81">
        <v>2.1</v>
      </c>
      <c r="AI4" s="81">
        <v>2.1</v>
      </c>
      <c r="AJ4" s="81">
        <v>2.1</v>
      </c>
      <c r="AK4" s="81">
        <v>2.1</v>
      </c>
      <c r="AL4" s="81">
        <v>2.1</v>
      </c>
      <c r="AM4" s="81">
        <v>2.1</v>
      </c>
      <c r="AN4" s="81">
        <v>2.1</v>
      </c>
      <c r="AO4" s="81">
        <v>2.1</v>
      </c>
      <c r="AP4" s="81">
        <v>2.1</v>
      </c>
      <c r="AQ4" s="81">
        <v>2.1</v>
      </c>
      <c r="AR4" s="81">
        <v>2.1</v>
      </c>
      <c r="AS4" s="81">
        <v>2.1</v>
      </c>
      <c r="AT4" s="81">
        <v>2.1</v>
      </c>
      <c r="AU4" s="81">
        <v>2.1</v>
      </c>
      <c r="AV4" s="81">
        <v>2.1</v>
      </c>
      <c r="AW4" s="81">
        <v>2.1</v>
      </c>
      <c r="AX4" s="81">
        <v>2.1</v>
      </c>
      <c r="AY4" s="81">
        <v>2.1</v>
      </c>
      <c r="AZ4" s="81">
        <v>2.1</v>
      </c>
      <c r="BA4" s="81">
        <v>2.1</v>
      </c>
      <c r="BB4" s="81">
        <v>2.1</v>
      </c>
      <c r="BC4" s="81">
        <v>2.1</v>
      </c>
      <c r="BD4" s="81">
        <v>2.1</v>
      </c>
      <c r="BE4" s="81">
        <v>2.1</v>
      </c>
      <c r="BF4" s="81">
        <v>2.1</v>
      </c>
    </row>
    <row r="5" spans="1:78" x14ac:dyDescent="0.35">
      <c r="G5"/>
      <c r="H5"/>
      <c r="J5" s="95" t="s">
        <v>190</v>
      </c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 t="s">
        <v>191</v>
      </c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 t="s">
        <v>192</v>
      </c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</row>
    <row r="6" spans="1:78" ht="18" hidden="1" x14ac:dyDescent="0.35">
      <c r="D6" s="14"/>
      <c r="E6" s="14"/>
      <c r="G6" s="14"/>
      <c r="H6" s="96"/>
      <c r="I6" s="97">
        <v>45657</v>
      </c>
      <c r="J6" s="45">
        <v>45658</v>
      </c>
      <c r="K6" s="45">
        <v>45659</v>
      </c>
      <c r="L6" s="45">
        <v>45660</v>
      </c>
      <c r="M6" s="45">
        <v>4</v>
      </c>
      <c r="N6" s="45">
        <v>5</v>
      </c>
      <c r="O6" s="45">
        <v>6</v>
      </c>
      <c r="P6" s="45">
        <v>9</v>
      </c>
      <c r="Q6" s="45">
        <v>10</v>
      </c>
      <c r="R6" s="45">
        <v>11</v>
      </c>
      <c r="S6" s="45">
        <v>12</v>
      </c>
      <c r="T6" s="45">
        <v>13</v>
      </c>
      <c r="U6" s="45">
        <v>16</v>
      </c>
      <c r="V6" s="45">
        <v>17</v>
      </c>
      <c r="W6" s="45">
        <v>18</v>
      </c>
      <c r="X6" s="45">
        <v>19</v>
      </c>
    </row>
    <row r="7" spans="1:78" ht="18" x14ac:dyDescent="0.35">
      <c r="D7" s="14"/>
      <c r="E7" s="14"/>
      <c r="F7" s="16" t="s">
        <v>73</v>
      </c>
      <c r="G7" s="16" t="s">
        <v>74</v>
      </c>
      <c r="H7" s="17" t="s">
        <v>75</v>
      </c>
      <c r="I7" s="18" t="s">
        <v>76</v>
      </c>
      <c r="J7" s="45">
        <v>1</v>
      </c>
      <c r="K7" s="45">
        <v>2</v>
      </c>
      <c r="L7" s="45">
        <v>3</v>
      </c>
      <c r="M7" s="45">
        <v>4</v>
      </c>
      <c r="N7" s="45">
        <v>5</v>
      </c>
      <c r="O7" s="45">
        <v>6</v>
      </c>
      <c r="P7" s="45">
        <v>7</v>
      </c>
      <c r="Q7" s="45">
        <v>8</v>
      </c>
      <c r="R7" s="45">
        <v>9</v>
      </c>
      <c r="S7" s="45">
        <v>10</v>
      </c>
      <c r="T7" s="45">
        <v>11</v>
      </c>
      <c r="U7" s="45">
        <v>12</v>
      </c>
      <c r="V7" s="45">
        <v>13</v>
      </c>
      <c r="W7" s="45">
        <v>14</v>
      </c>
      <c r="X7" s="45">
        <v>15</v>
      </c>
      <c r="Y7" s="45">
        <v>16</v>
      </c>
      <c r="Z7" s="45">
        <v>17</v>
      </c>
      <c r="AA7" s="45">
        <v>18</v>
      </c>
      <c r="AB7" s="45">
        <v>19</v>
      </c>
      <c r="AC7" s="45">
        <v>20</v>
      </c>
      <c r="AD7" s="45">
        <v>21</v>
      </c>
      <c r="AE7" s="45">
        <v>22</v>
      </c>
      <c r="AF7" s="45">
        <v>23</v>
      </c>
      <c r="AG7" s="45">
        <v>24</v>
      </c>
      <c r="AH7" s="45">
        <v>25</v>
      </c>
      <c r="AI7" s="45">
        <v>26</v>
      </c>
      <c r="AJ7" s="45">
        <v>27</v>
      </c>
      <c r="AK7" s="45">
        <v>28</v>
      </c>
      <c r="AL7" s="45">
        <v>29</v>
      </c>
      <c r="AM7" s="45">
        <v>30</v>
      </c>
      <c r="AN7" s="45">
        <v>31</v>
      </c>
      <c r="AO7" s="46">
        <v>32</v>
      </c>
      <c r="AP7" s="46">
        <v>33</v>
      </c>
      <c r="AQ7" s="46">
        <v>34</v>
      </c>
      <c r="AR7" s="46">
        <v>35</v>
      </c>
      <c r="AS7" s="46">
        <v>36</v>
      </c>
      <c r="AT7" s="46">
        <v>37</v>
      </c>
      <c r="AU7" s="46">
        <v>38</v>
      </c>
      <c r="AV7" s="46">
        <v>39</v>
      </c>
      <c r="AW7" s="46">
        <v>40</v>
      </c>
      <c r="AX7" s="46">
        <v>41</v>
      </c>
      <c r="AY7" s="46">
        <v>42</v>
      </c>
      <c r="AZ7" s="46">
        <v>43</v>
      </c>
      <c r="BA7" s="46">
        <v>44</v>
      </c>
      <c r="BB7" s="46">
        <v>45</v>
      </c>
      <c r="BC7" s="46">
        <v>46</v>
      </c>
      <c r="BD7" s="46">
        <v>47</v>
      </c>
      <c r="BE7" s="46">
        <v>48</v>
      </c>
      <c r="BF7" s="46">
        <v>49</v>
      </c>
      <c r="BG7" s="46">
        <v>50</v>
      </c>
      <c r="BH7" s="46">
        <v>51</v>
      </c>
      <c r="BI7" s="46">
        <v>52</v>
      </c>
      <c r="BJ7" s="46">
        <v>53</v>
      </c>
      <c r="BK7" s="46">
        <v>54</v>
      </c>
      <c r="BL7" s="46">
        <v>55</v>
      </c>
      <c r="BM7" s="46">
        <v>56</v>
      </c>
      <c r="BN7" s="46">
        <v>57</v>
      </c>
      <c r="BO7" s="46">
        <v>58</v>
      </c>
      <c r="BP7" s="46">
        <v>59</v>
      </c>
      <c r="BQ7" s="46">
        <v>60</v>
      </c>
      <c r="BR7" s="46">
        <v>61</v>
      </c>
      <c r="BS7" s="46">
        <v>62</v>
      </c>
      <c r="BT7" s="46">
        <v>63</v>
      </c>
      <c r="BU7" s="46">
        <v>64</v>
      </c>
      <c r="BV7" s="46">
        <v>65</v>
      </c>
      <c r="BW7" s="46">
        <v>66</v>
      </c>
      <c r="BX7" s="46">
        <v>67</v>
      </c>
      <c r="BY7" s="46">
        <v>68</v>
      </c>
      <c r="BZ7" s="46">
        <v>69</v>
      </c>
    </row>
    <row r="8" spans="1:78" x14ac:dyDescent="0.35">
      <c r="G8" s="19"/>
      <c r="H8" s="20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</row>
    <row r="9" spans="1:78" hidden="1" x14ac:dyDescent="0.35">
      <c r="C9" s="33" t="s">
        <v>77</v>
      </c>
      <c r="D9" s="34"/>
      <c r="E9" s="35"/>
      <c r="F9" s="22" t="s">
        <v>1</v>
      </c>
      <c r="G9" s="23">
        <v>0</v>
      </c>
      <c r="H9" s="24">
        <v>0</v>
      </c>
      <c r="I9" s="25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</row>
    <row r="10" spans="1:78" x14ac:dyDescent="0.35">
      <c r="C10" s="6" t="s">
        <v>0</v>
      </c>
      <c r="D10" s="7"/>
      <c r="E10" s="8"/>
      <c r="F10" s="9" t="s">
        <v>1</v>
      </c>
      <c r="G10" s="26">
        <v>51.199999999999946</v>
      </c>
      <c r="H10" s="27">
        <v>6.3999999999999932</v>
      </c>
      <c r="I10" s="28">
        <v>0</v>
      </c>
      <c r="J10" s="98">
        <v>0.1</v>
      </c>
      <c r="K10" s="98">
        <v>0.1</v>
      </c>
      <c r="L10" s="98">
        <v>0.1</v>
      </c>
      <c r="M10" s="98">
        <v>0.1</v>
      </c>
      <c r="N10" s="98">
        <v>0.1</v>
      </c>
      <c r="O10" s="98">
        <v>0.1</v>
      </c>
      <c r="P10" s="98">
        <v>0.1</v>
      </c>
      <c r="Q10" s="98">
        <v>0.1</v>
      </c>
      <c r="R10" s="98">
        <v>0.1</v>
      </c>
      <c r="S10" s="98">
        <v>0.1</v>
      </c>
      <c r="T10" s="98">
        <v>0.1</v>
      </c>
      <c r="U10" s="98">
        <v>0.1</v>
      </c>
      <c r="V10" s="98">
        <v>0.1</v>
      </c>
      <c r="W10" s="98">
        <v>0.1</v>
      </c>
      <c r="X10" s="98">
        <v>0.1</v>
      </c>
      <c r="Y10" s="98">
        <v>0.1</v>
      </c>
      <c r="Z10" s="98">
        <v>0.1</v>
      </c>
      <c r="AA10" s="98">
        <v>0.1</v>
      </c>
      <c r="AB10" s="98">
        <v>0.1</v>
      </c>
      <c r="AC10" s="98">
        <v>0.1</v>
      </c>
      <c r="AD10" s="98">
        <v>0.1</v>
      </c>
      <c r="AE10" s="98">
        <v>0.1</v>
      </c>
      <c r="AF10" s="98">
        <v>0.1</v>
      </c>
      <c r="AG10" s="98">
        <v>0.1</v>
      </c>
      <c r="AH10" s="98">
        <v>0.1</v>
      </c>
      <c r="AI10" s="98">
        <v>0.1</v>
      </c>
      <c r="AJ10" s="98">
        <v>0.1</v>
      </c>
      <c r="AK10" s="98">
        <v>0.1</v>
      </c>
      <c r="AL10" s="98">
        <v>0.1</v>
      </c>
      <c r="AM10" s="98">
        <v>0.1</v>
      </c>
      <c r="AN10" s="98">
        <v>0.1</v>
      </c>
      <c r="AO10" s="98">
        <v>0.1</v>
      </c>
      <c r="AP10" s="98">
        <v>0.1</v>
      </c>
      <c r="AQ10" s="98">
        <v>0.1</v>
      </c>
      <c r="AR10" s="98">
        <v>0.1</v>
      </c>
      <c r="AS10" s="98">
        <v>0.1</v>
      </c>
      <c r="AT10" s="98">
        <v>0.1</v>
      </c>
      <c r="AU10" s="98">
        <v>0.1</v>
      </c>
      <c r="AV10" s="98">
        <v>0.1</v>
      </c>
      <c r="AW10" s="98">
        <v>0.1</v>
      </c>
      <c r="AX10" s="98">
        <v>0.1</v>
      </c>
      <c r="AY10" s="98">
        <v>0.1</v>
      </c>
      <c r="AZ10" s="98">
        <v>0.1</v>
      </c>
      <c r="BA10" s="98">
        <v>0.1</v>
      </c>
      <c r="BB10" s="98">
        <v>0.1</v>
      </c>
      <c r="BC10" s="98">
        <v>0.1</v>
      </c>
      <c r="BD10" s="98">
        <v>0.1</v>
      </c>
      <c r="BE10" s="98">
        <v>0.1</v>
      </c>
      <c r="BF10" s="98">
        <v>0.1</v>
      </c>
      <c r="BG10" s="98">
        <v>0.1</v>
      </c>
      <c r="BH10" s="98">
        <v>0.1</v>
      </c>
      <c r="BI10" s="98">
        <v>0.1</v>
      </c>
      <c r="BJ10" s="98">
        <v>0.1</v>
      </c>
      <c r="BK10" s="98">
        <v>0.1</v>
      </c>
      <c r="BL10" s="98">
        <v>0.1</v>
      </c>
      <c r="BM10" s="98">
        <v>0.1</v>
      </c>
      <c r="BN10" s="98">
        <v>0.1</v>
      </c>
      <c r="BO10" s="98">
        <v>0.1</v>
      </c>
      <c r="BP10" s="98">
        <v>0.1</v>
      </c>
      <c r="BQ10" s="98">
        <v>0.1</v>
      </c>
      <c r="BR10" s="98">
        <v>0.1</v>
      </c>
      <c r="BS10" s="98">
        <v>0.1</v>
      </c>
      <c r="BT10" s="98">
        <v>0.1</v>
      </c>
      <c r="BU10" s="98">
        <v>0.1</v>
      </c>
      <c r="BV10" s="98">
        <v>0.1</v>
      </c>
      <c r="BW10" s="98">
        <v>0.1</v>
      </c>
      <c r="BX10" s="98">
        <v>0.1</v>
      </c>
      <c r="BY10" s="98">
        <v>0.1</v>
      </c>
      <c r="BZ10" s="98">
        <v>0.1</v>
      </c>
    </row>
    <row r="11" spans="1:78" x14ac:dyDescent="0.35">
      <c r="C11" s="6" t="s">
        <v>2</v>
      </c>
      <c r="D11" s="7"/>
      <c r="E11" s="8"/>
      <c r="F11" s="9" t="s">
        <v>1</v>
      </c>
      <c r="G11" s="26">
        <v>32</v>
      </c>
      <c r="H11" s="27">
        <v>4</v>
      </c>
      <c r="I11" s="28">
        <v>0</v>
      </c>
      <c r="J11" s="98">
        <v>2</v>
      </c>
      <c r="K11" s="98">
        <v>2</v>
      </c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</row>
    <row r="12" spans="1:78" x14ac:dyDescent="0.35">
      <c r="C12" s="6" t="s">
        <v>3</v>
      </c>
      <c r="D12" s="7"/>
      <c r="E12" s="8"/>
      <c r="F12" s="9" t="s">
        <v>1</v>
      </c>
      <c r="G12" s="26">
        <v>64</v>
      </c>
      <c r="H12" s="27">
        <v>8</v>
      </c>
      <c r="I12" s="28">
        <v>0</v>
      </c>
      <c r="J12" s="98"/>
      <c r="K12" s="98"/>
      <c r="L12" s="98">
        <v>2</v>
      </c>
      <c r="M12" s="98">
        <v>2</v>
      </c>
      <c r="N12" s="98">
        <v>2</v>
      </c>
      <c r="O12" s="98">
        <v>2</v>
      </c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</row>
    <row r="13" spans="1:78" x14ac:dyDescent="0.35">
      <c r="C13" s="6" t="s">
        <v>4</v>
      </c>
      <c r="D13" s="7"/>
      <c r="E13" s="8"/>
      <c r="F13" s="9">
        <v>23</v>
      </c>
      <c r="G13" s="26">
        <v>82</v>
      </c>
      <c r="H13" s="27">
        <v>10.25</v>
      </c>
      <c r="I13" s="28">
        <v>0</v>
      </c>
      <c r="J13" s="98"/>
      <c r="K13" s="98"/>
      <c r="L13" s="98"/>
      <c r="M13" s="98"/>
      <c r="N13" s="98"/>
      <c r="O13" s="98"/>
      <c r="P13" s="98">
        <v>2</v>
      </c>
      <c r="Q13" s="98">
        <v>2</v>
      </c>
      <c r="R13" s="98">
        <v>2</v>
      </c>
      <c r="S13" s="98">
        <v>2</v>
      </c>
      <c r="T13" s="98">
        <v>2</v>
      </c>
      <c r="U13" s="98">
        <v>0.25</v>
      </c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</row>
    <row r="14" spans="1:78" hidden="1" outlineLevel="2" x14ac:dyDescent="0.35">
      <c r="B14" s="41" t="s">
        <v>107</v>
      </c>
      <c r="C14" s="10" t="s">
        <v>5</v>
      </c>
      <c r="D14" s="11" t="s">
        <v>6</v>
      </c>
      <c r="E14" s="14"/>
      <c r="F14" s="10" t="s">
        <v>110</v>
      </c>
      <c r="G14" s="19">
        <v>3.5</v>
      </c>
      <c r="H14" s="20"/>
      <c r="I14" s="28">
        <v>0</v>
      </c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</row>
    <row r="15" spans="1:78" hidden="1" outlineLevel="2" x14ac:dyDescent="0.35">
      <c r="B15" s="41" t="s">
        <v>112</v>
      </c>
      <c r="C15" s="10" t="s">
        <v>5</v>
      </c>
      <c r="D15" s="11" t="s">
        <v>7</v>
      </c>
      <c r="E15" s="14"/>
      <c r="F15" s="10" t="s">
        <v>110</v>
      </c>
      <c r="G15" s="19">
        <v>3.5</v>
      </c>
      <c r="H15" s="20"/>
      <c r="I15" s="28">
        <v>0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</row>
    <row r="16" spans="1:78" hidden="1" outlineLevel="2" x14ac:dyDescent="0.35">
      <c r="B16" s="41" t="s">
        <v>113</v>
      </c>
      <c r="C16" s="10" t="s">
        <v>5</v>
      </c>
      <c r="D16" s="11" t="s">
        <v>8</v>
      </c>
      <c r="E16" s="14"/>
      <c r="F16" s="10" t="s">
        <v>110</v>
      </c>
      <c r="G16" s="19">
        <v>3.5</v>
      </c>
      <c r="H16" s="20"/>
      <c r="I16" s="28">
        <v>0</v>
      </c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</row>
    <row r="17" spans="2:78" hidden="1" outlineLevel="2" x14ac:dyDescent="0.35">
      <c r="B17" s="41" t="s">
        <v>118</v>
      </c>
      <c r="C17" s="10" t="s">
        <v>5</v>
      </c>
      <c r="D17" s="11" t="s">
        <v>9</v>
      </c>
      <c r="E17" s="14"/>
      <c r="F17" s="10" t="s">
        <v>110</v>
      </c>
      <c r="G17" s="19">
        <v>3.5</v>
      </c>
      <c r="H17" s="20"/>
      <c r="I17" s="28">
        <v>0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</row>
    <row r="18" spans="2:78" hidden="1" outlineLevel="2" x14ac:dyDescent="0.35">
      <c r="B18" s="41" t="s">
        <v>119</v>
      </c>
      <c r="C18" s="10" t="s">
        <v>5</v>
      </c>
      <c r="D18" s="11" t="s">
        <v>10</v>
      </c>
      <c r="E18" s="14"/>
      <c r="F18" s="10" t="s">
        <v>110</v>
      </c>
      <c r="G18" s="19">
        <v>3.5</v>
      </c>
      <c r="H18" s="20"/>
      <c r="I18" s="28">
        <v>0</v>
      </c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</row>
    <row r="19" spans="2:78" hidden="1" outlineLevel="2" x14ac:dyDescent="0.35">
      <c r="B19" s="41" t="s">
        <v>120</v>
      </c>
      <c r="C19" s="10" t="s">
        <v>5</v>
      </c>
      <c r="D19" s="11" t="s">
        <v>11</v>
      </c>
      <c r="E19" s="14"/>
      <c r="F19" s="10" t="s">
        <v>110</v>
      </c>
      <c r="G19" s="19">
        <v>3.5</v>
      </c>
      <c r="H19" s="20"/>
      <c r="I19" s="28">
        <v>0</v>
      </c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</row>
    <row r="20" spans="2:78" hidden="1" outlineLevel="2" x14ac:dyDescent="0.35">
      <c r="B20" s="41" t="s">
        <v>121</v>
      </c>
      <c r="C20" s="10" t="s">
        <v>5</v>
      </c>
      <c r="D20" s="11" t="s">
        <v>12</v>
      </c>
      <c r="E20" s="14"/>
      <c r="F20" s="10" t="s">
        <v>110</v>
      </c>
      <c r="G20" s="19">
        <v>3.5</v>
      </c>
      <c r="H20" s="20"/>
      <c r="I20" s="28">
        <v>0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</row>
    <row r="21" spans="2:78" hidden="1" outlineLevel="2" x14ac:dyDescent="0.35">
      <c r="B21" s="41" t="s">
        <v>122</v>
      </c>
      <c r="C21" s="10" t="s">
        <v>5</v>
      </c>
      <c r="D21" s="11" t="s">
        <v>13</v>
      </c>
      <c r="E21" s="14"/>
      <c r="F21" s="10" t="s">
        <v>110</v>
      </c>
      <c r="G21" s="19">
        <v>3.5</v>
      </c>
      <c r="H21" s="20"/>
      <c r="I21" s="28">
        <v>0</v>
      </c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</row>
    <row r="22" spans="2:78" hidden="1" outlineLevel="2" x14ac:dyDescent="0.35">
      <c r="B22" s="41" t="s">
        <v>123</v>
      </c>
      <c r="C22" s="10" t="s">
        <v>5</v>
      </c>
      <c r="D22" s="11" t="s">
        <v>14</v>
      </c>
      <c r="E22" s="14"/>
      <c r="F22" s="10" t="s">
        <v>110</v>
      </c>
      <c r="G22" s="19">
        <v>3.5</v>
      </c>
      <c r="H22" s="20"/>
      <c r="I22" s="28">
        <v>0</v>
      </c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</row>
    <row r="23" spans="2:78" hidden="1" outlineLevel="2" x14ac:dyDescent="0.35">
      <c r="B23" s="41" t="s">
        <v>124</v>
      </c>
      <c r="C23" s="10" t="s">
        <v>5</v>
      </c>
      <c r="D23" s="11" t="s">
        <v>15</v>
      </c>
      <c r="E23" s="14"/>
      <c r="F23" s="10" t="s">
        <v>110</v>
      </c>
      <c r="G23" s="19">
        <v>3.5</v>
      </c>
      <c r="H23" s="20"/>
      <c r="I23" s="2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</row>
    <row r="24" spans="2:78" hidden="1" outlineLevel="2" x14ac:dyDescent="0.35">
      <c r="B24" s="41" t="s">
        <v>127</v>
      </c>
      <c r="C24" s="10" t="s">
        <v>5</v>
      </c>
      <c r="D24" s="11" t="s">
        <v>16</v>
      </c>
      <c r="E24" s="14"/>
      <c r="F24" s="10" t="s">
        <v>110</v>
      </c>
      <c r="G24" s="19">
        <v>3.5</v>
      </c>
      <c r="H24" s="20"/>
      <c r="I24" s="28">
        <v>0</v>
      </c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</row>
    <row r="25" spans="2:78" hidden="1" outlineLevel="2" x14ac:dyDescent="0.35">
      <c r="B25" s="41" t="s">
        <v>128</v>
      </c>
      <c r="C25" s="10" t="s">
        <v>5</v>
      </c>
      <c r="D25" s="11" t="s">
        <v>17</v>
      </c>
      <c r="E25" s="14"/>
      <c r="F25" s="10" t="s">
        <v>110</v>
      </c>
      <c r="G25" s="19">
        <v>3.5</v>
      </c>
      <c r="H25" s="20"/>
      <c r="I25" s="28">
        <v>0</v>
      </c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</row>
    <row r="26" spans="2:78" hidden="1" outlineLevel="2" x14ac:dyDescent="0.35">
      <c r="B26" s="41" t="s">
        <v>129</v>
      </c>
      <c r="C26" s="10" t="s">
        <v>5</v>
      </c>
      <c r="D26" s="11" t="s">
        <v>18</v>
      </c>
      <c r="E26" s="14"/>
      <c r="F26" s="10" t="s">
        <v>110</v>
      </c>
      <c r="G26" s="19">
        <v>3.5</v>
      </c>
      <c r="H26" s="20"/>
      <c r="I26" s="28">
        <v>0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</row>
    <row r="27" spans="2:78" hidden="1" outlineLevel="2" x14ac:dyDescent="0.35">
      <c r="B27" s="41" t="s">
        <v>130</v>
      </c>
      <c r="C27" s="10" t="s">
        <v>5</v>
      </c>
      <c r="D27" s="11" t="s">
        <v>19</v>
      </c>
      <c r="E27" s="14"/>
      <c r="F27" s="10" t="s">
        <v>110</v>
      </c>
      <c r="G27" s="19">
        <v>3.5</v>
      </c>
      <c r="H27" s="20"/>
      <c r="I27" s="28">
        <v>0</v>
      </c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</row>
    <row r="28" spans="2:78" hidden="1" outlineLevel="2" x14ac:dyDescent="0.35">
      <c r="B28" s="41" t="s">
        <v>131</v>
      </c>
      <c r="C28" s="10" t="s">
        <v>5</v>
      </c>
      <c r="D28" s="11" t="s">
        <v>20</v>
      </c>
      <c r="E28" s="14"/>
      <c r="F28" s="10" t="s">
        <v>110</v>
      </c>
      <c r="G28" s="19">
        <v>3.5</v>
      </c>
      <c r="H28" s="20"/>
      <c r="I28" s="28">
        <v>0</v>
      </c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</row>
    <row r="29" spans="2:78" hidden="1" outlineLevel="2" x14ac:dyDescent="0.35">
      <c r="B29" s="41" t="s">
        <v>132</v>
      </c>
      <c r="C29" s="10" t="s">
        <v>5</v>
      </c>
      <c r="D29" s="11" t="s">
        <v>21</v>
      </c>
      <c r="E29" s="14"/>
      <c r="F29" s="10" t="s">
        <v>110</v>
      </c>
      <c r="G29" s="19">
        <v>3.5</v>
      </c>
      <c r="H29" s="20"/>
      <c r="I29" s="28">
        <v>0</v>
      </c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</row>
    <row r="30" spans="2:78" hidden="1" outlineLevel="2" x14ac:dyDescent="0.35">
      <c r="B30" s="41" t="s">
        <v>145</v>
      </c>
      <c r="C30" s="10" t="s">
        <v>5</v>
      </c>
      <c r="D30" s="11" t="s">
        <v>22</v>
      </c>
      <c r="E30" s="14"/>
      <c r="F30" s="10" t="s">
        <v>110</v>
      </c>
      <c r="G30" s="19">
        <v>4</v>
      </c>
      <c r="H30" s="20"/>
      <c r="I30" s="28">
        <v>0</v>
      </c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</row>
    <row r="31" spans="2:78" hidden="1" outlineLevel="2" x14ac:dyDescent="0.35">
      <c r="B31" s="41" t="s">
        <v>146</v>
      </c>
      <c r="C31" s="10" t="s">
        <v>5</v>
      </c>
      <c r="D31" s="11" t="s">
        <v>23</v>
      </c>
      <c r="E31" s="14"/>
      <c r="F31" s="10" t="s">
        <v>110</v>
      </c>
      <c r="G31" s="19">
        <v>4</v>
      </c>
      <c r="H31" s="20"/>
      <c r="I31" s="28">
        <v>0</v>
      </c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</row>
    <row r="32" spans="2:78" hidden="1" outlineLevel="2" x14ac:dyDescent="0.35">
      <c r="B32" s="41" t="s">
        <v>147</v>
      </c>
      <c r="C32" s="10" t="s">
        <v>5</v>
      </c>
      <c r="D32" s="11" t="s">
        <v>24</v>
      </c>
      <c r="E32" s="14"/>
      <c r="F32" s="10" t="s">
        <v>110</v>
      </c>
      <c r="G32" s="19">
        <v>3.5</v>
      </c>
      <c r="H32" s="20"/>
      <c r="I32" s="28">
        <v>0</v>
      </c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</row>
    <row r="33" spans="2:78" hidden="1" outlineLevel="2" x14ac:dyDescent="0.35">
      <c r="B33" s="41" t="s">
        <v>148</v>
      </c>
      <c r="C33" s="10" t="s">
        <v>5</v>
      </c>
      <c r="D33" s="11" t="s">
        <v>25</v>
      </c>
      <c r="E33" s="14"/>
      <c r="F33" s="10" t="s">
        <v>110</v>
      </c>
      <c r="G33" s="19">
        <v>4</v>
      </c>
      <c r="H33" s="20"/>
      <c r="I33" s="28">
        <v>0</v>
      </c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</row>
    <row r="34" spans="2:78" hidden="1" outlineLevel="2" x14ac:dyDescent="0.35">
      <c r="B34" s="41" t="s">
        <v>150</v>
      </c>
      <c r="C34" s="10" t="s">
        <v>5</v>
      </c>
      <c r="D34" s="11" t="s">
        <v>26</v>
      </c>
      <c r="E34" s="14"/>
      <c r="F34" s="10" t="s">
        <v>110</v>
      </c>
      <c r="G34" s="19">
        <v>3.5</v>
      </c>
      <c r="H34" s="20"/>
      <c r="I34" s="28">
        <v>0</v>
      </c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</row>
    <row r="35" spans="2:78" hidden="1" outlineLevel="2" x14ac:dyDescent="0.35">
      <c r="B35" s="41" t="s">
        <v>165</v>
      </c>
      <c r="C35" s="10" t="s">
        <v>5</v>
      </c>
      <c r="D35" s="11" t="s">
        <v>27</v>
      </c>
      <c r="E35" s="14"/>
      <c r="F35" s="10" t="s">
        <v>110</v>
      </c>
      <c r="G35" s="19">
        <v>3.5</v>
      </c>
      <c r="H35" s="20"/>
      <c r="I35" s="28">
        <v>0</v>
      </c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</row>
    <row r="36" spans="2:78" hidden="1" outlineLevel="2" x14ac:dyDescent="0.35">
      <c r="B36" s="41" t="s">
        <v>153</v>
      </c>
      <c r="C36" s="10" t="s">
        <v>5</v>
      </c>
      <c r="D36" s="11" t="s">
        <v>28</v>
      </c>
      <c r="E36" s="14"/>
      <c r="F36" s="10" t="s">
        <v>110</v>
      </c>
      <c r="G36" s="19">
        <v>3.5</v>
      </c>
      <c r="H36" s="20"/>
      <c r="I36" s="28">
        <v>0</v>
      </c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</row>
    <row r="37" spans="2:78" collapsed="1" x14ac:dyDescent="0.35">
      <c r="C37" s="6" t="s">
        <v>78</v>
      </c>
      <c r="D37" s="7"/>
      <c r="E37" s="8"/>
      <c r="F37" s="9">
        <v>14</v>
      </c>
      <c r="G37" s="26">
        <v>15</v>
      </c>
      <c r="H37" s="27">
        <v>1.875</v>
      </c>
      <c r="I37" s="28">
        <v>0</v>
      </c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>
        <v>1.75</v>
      </c>
      <c r="V37" s="98">
        <v>0.125</v>
      </c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</row>
    <row r="38" spans="2:78" hidden="1" outlineLevel="2" x14ac:dyDescent="0.35">
      <c r="B38" s="41" t="s">
        <v>125</v>
      </c>
      <c r="C38" s="10" t="s">
        <v>5</v>
      </c>
      <c r="D38" s="11" t="s">
        <v>33</v>
      </c>
      <c r="E38" s="14"/>
      <c r="F38" s="10" t="s">
        <v>110</v>
      </c>
      <c r="G38" s="19">
        <v>1</v>
      </c>
      <c r="H38" s="19"/>
      <c r="I38" s="28">
        <v>0</v>
      </c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</row>
    <row r="39" spans="2:78" hidden="1" outlineLevel="2" x14ac:dyDescent="0.35">
      <c r="B39" s="41" t="s">
        <v>126</v>
      </c>
      <c r="C39" s="10" t="s">
        <v>5</v>
      </c>
      <c r="D39" s="11" t="s">
        <v>34</v>
      </c>
      <c r="E39" s="14"/>
      <c r="F39" s="10" t="s">
        <v>110</v>
      </c>
      <c r="G39" s="19">
        <v>1</v>
      </c>
      <c r="H39" s="19"/>
      <c r="I39" s="28">
        <v>0</v>
      </c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</row>
    <row r="40" spans="2:78" hidden="1" outlineLevel="2" x14ac:dyDescent="0.35">
      <c r="B40" s="41" t="s">
        <v>166</v>
      </c>
      <c r="C40" s="10" t="s">
        <v>5</v>
      </c>
      <c r="D40" s="11" t="s">
        <v>59</v>
      </c>
      <c r="E40" s="14"/>
      <c r="F40" s="10" t="s">
        <v>110</v>
      </c>
      <c r="G40" s="19">
        <v>1</v>
      </c>
      <c r="H40" s="19"/>
      <c r="I40" s="28">
        <v>0</v>
      </c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</row>
    <row r="41" spans="2:78" hidden="1" outlineLevel="2" x14ac:dyDescent="0.35">
      <c r="B41" s="41" t="s">
        <v>167</v>
      </c>
      <c r="C41" s="10" t="s">
        <v>60</v>
      </c>
      <c r="D41" s="11" t="s">
        <v>6</v>
      </c>
      <c r="E41" s="14"/>
      <c r="F41" s="10" t="s">
        <v>110</v>
      </c>
      <c r="G41" s="19">
        <v>1</v>
      </c>
      <c r="H41" s="19"/>
      <c r="I41" s="28">
        <v>0</v>
      </c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</row>
    <row r="42" spans="2:78" hidden="1" outlineLevel="2" x14ac:dyDescent="0.35">
      <c r="B42" s="41" t="s">
        <v>168</v>
      </c>
      <c r="C42" s="10" t="s">
        <v>60</v>
      </c>
      <c r="D42" s="11" t="s">
        <v>8</v>
      </c>
      <c r="E42" s="14"/>
      <c r="F42" s="10" t="s">
        <v>110</v>
      </c>
      <c r="G42" s="19">
        <v>1</v>
      </c>
      <c r="H42" s="19"/>
      <c r="I42" s="28">
        <v>0</v>
      </c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</row>
    <row r="43" spans="2:78" hidden="1" outlineLevel="2" x14ac:dyDescent="0.35">
      <c r="B43" s="41" t="s">
        <v>169</v>
      </c>
      <c r="C43" s="10" t="s">
        <v>60</v>
      </c>
      <c r="D43" s="11" t="s">
        <v>32</v>
      </c>
      <c r="E43" s="14"/>
      <c r="F43" s="10" t="s">
        <v>110</v>
      </c>
      <c r="G43" s="19">
        <v>1</v>
      </c>
      <c r="H43" s="19"/>
      <c r="I43" s="28">
        <v>0</v>
      </c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</row>
    <row r="44" spans="2:78" hidden="1" outlineLevel="2" x14ac:dyDescent="0.35">
      <c r="B44" s="41" t="s">
        <v>170</v>
      </c>
      <c r="C44" s="10" t="s">
        <v>60</v>
      </c>
      <c r="D44" s="11" t="s">
        <v>61</v>
      </c>
      <c r="E44" s="14"/>
      <c r="F44" s="10" t="s">
        <v>110</v>
      </c>
      <c r="G44" s="19">
        <v>1</v>
      </c>
      <c r="H44" s="19"/>
      <c r="I44" s="28">
        <v>0</v>
      </c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</row>
    <row r="45" spans="2:78" hidden="1" outlineLevel="2" x14ac:dyDescent="0.35">
      <c r="B45" s="41" t="s">
        <v>172</v>
      </c>
      <c r="C45" s="10" t="s">
        <v>63</v>
      </c>
      <c r="D45" s="11" t="s">
        <v>6</v>
      </c>
      <c r="E45" s="14"/>
      <c r="F45" s="10" t="s">
        <v>110</v>
      </c>
      <c r="G45" s="19">
        <v>1</v>
      </c>
      <c r="H45" s="19"/>
      <c r="I45" s="28">
        <v>0</v>
      </c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</row>
    <row r="46" spans="2:78" hidden="1" outlineLevel="2" x14ac:dyDescent="0.35">
      <c r="B46" s="41" t="s">
        <v>173</v>
      </c>
      <c r="C46" s="10" t="s">
        <v>63</v>
      </c>
      <c r="D46" s="11" t="s">
        <v>8</v>
      </c>
      <c r="E46" s="14"/>
      <c r="F46" s="10" t="s">
        <v>110</v>
      </c>
      <c r="G46" s="19">
        <v>1</v>
      </c>
      <c r="H46" s="19"/>
      <c r="I46" s="28">
        <v>0</v>
      </c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</row>
    <row r="47" spans="2:78" hidden="1" outlineLevel="2" x14ac:dyDescent="0.35">
      <c r="B47" s="41" t="s">
        <v>174</v>
      </c>
      <c r="C47" s="10" t="s">
        <v>63</v>
      </c>
      <c r="D47" s="11" t="s">
        <v>61</v>
      </c>
      <c r="E47" s="14"/>
      <c r="F47" s="10" t="s">
        <v>110</v>
      </c>
      <c r="G47" s="19">
        <v>1</v>
      </c>
      <c r="H47" s="19"/>
      <c r="I47" s="28">
        <v>0</v>
      </c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</row>
    <row r="48" spans="2:78" hidden="1" outlineLevel="2" x14ac:dyDescent="0.35">
      <c r="B48" s="41" t="s">
        <v>175</v>
      </c>
      <c r="C48" s="10" t="s">
        <v>63</v>
      </c>
      <c r="D48" s="11" t="s">
        <v>64</v>
      </c>
      <c r="E48" s="14"/>
      <c r="F48" s="10" t="s">
        <v>110</v>
      </c>
      <c r="G48" s="19">
        <v>1</v>
      </c>
      <c r="H48" s="19"/>
      <c r="I48" s="28">
        <v>0</v>
      </c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</row>
    <row r="49" spans="2:78" hidden="1" outlineLevel="2" x14ac:dyDescent="0.35">
      <c r="B49" s="41" t="s">
        <v>176</v>
      </c>
      <c r="C49" s="10" t="s">
        <v>63</v>
      </c>
      <c r="D49" s="11" t="s">
        <v>65</v>
      </c>
      <c r="E49" s="14"/>
      <c r="F49" s="10" t="s">
        <v>110</v>
      </c>
      <c r="G49" s="19">
        <v>1</v>
      </c>
      <c r="H49" s="19"/>
      <c r="I49" s="28">
        <v>0</v>
      </c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</row>
    <row r="50" spans="2:78" hidden="1" outlineLevel="2" x14ac:dyDescent="0.35">
      <c r="B50" s="41" t="s">
        <v>177</v>
      </c>
      <c r="C50" s="10" t="s">
        <v>63</v>
      </c>
      <c r="D50" s="11" t="s">
        <v>66</v>
      </c>
      <c r="E50" s="14"/>
      <c r="F50" s="10" t="s">
        <v>110</v>
      </c>
      <c r="G50" s="19">
        <v>2</v>
      </c>
      <c r="H50" s="19"/>
      <c r="I50" s="28">
        <v>0</v>
      </c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</row>
    <row r="51" spans="2:78" hidden="1" outlineLevel="2" x14ac:dyDescent="0.35">
      <c r="B51" s="41" t="s">
        <v>182</v>
      </c>
      <c r="C51" s="10" t="s">
        <v>67</v>
      </c>
      <c r="D51" s="11" t="s">
        <v>69</v>
      </c>
      <c r="E51" s="14"/>
      <c r="F51" s="10" t="s">
        <v>110</v>
      </c>
      <c r="G51" s="19">
        <v>1</v>
      </c>
      <c r="H51" s="19"/>
      <c r="I51" s="28">
        <v>0</v>
      </c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</row>
    <row r="52" spans="2:78" collapsed="1" x14ac:dyDescent="0.35">
      <c r="B52" s="42"/>
      <c r="C52" s="6" t="s">
        <v>29</v>
      </c>
      <c r="D52" s="7"/>
      <c r="E52" s="8"/>
      <c r="F52" s="9"/>
      <c r="G52" s="9">
        <v>498.4</v>
      </c>
      <c r="H52" s="9"/>
      <c r="I52" s="28">
        <v>0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</row>
    <row r="53" spans="2:78" x14ac:dyDescent="0.35">
      <c r="B53" s="42"/>
      <c r="C53"/>
      <c r="D53" s="12" t="s">
        <v>30</v>
      </c>
      <c r="E53" s="13"/>
      <c r="F53" s="29" t="s">
        <v>1</v>
      </c>
      <c r="G53" s="29">
        <v>40</v>
      </c>
      <c r="H53" s="30">
        <v>5</v>
      </c>
      <c r="I53" s="28">
        <v>0</v>
      </c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>
        <v>1.875</v>
      </c>
      <c r="W53" s="98">
        <v>2</v>
      </c>
      <c r="X53" s="98">
        <v>1.125</v>
      </c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</row>
    <row r="54" spans="2:78" x14ac:dyDescent="0.35">
      <c r="B54" s="42"/>
      <c r="C54"/>
      <c r="D54" s="12" t="s">
        <v>31</v>
      </c>
      <c r="E54" s="13"/>
      <c r="F54" s="29">
        <v>45</v>
      </c>
      <c r="G54" s="29">
        <v>382</v>
      </c>
      <c r="H54" s="30">
        <v>47.75</v>
      </c>
      <c r="I54" s="28">
        <v>0</v>
      </c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>
        <v>0.875</v>
      </c>
      <c r="Y54" s="98">
        <v>2</v>
      </c>
      <c r="Z54" s="98">
        <v>2</v>
      </c>
      <c r="AA54" s="98">
        <v>2</v>
      </c>
      <c r="AB54" s="98">
        <v>2</v>
      </c>
      <c r="AC54" s="98">
        <v>2</v>
      </c>
      <c r="AD54" s="98">
        <v>2</v>
      </c>
      <c r="AE54" s="98">
        <v>2</v>
      </c>
      <c r="AF54" s="98">
        <v>2</v>
      </c>
      <c r="AG54" s="98">
        <v>2</v>
      </c>
      <c r="AH54" s="98">
        <v>2</v>
      </c>
      <c r="AI54" s="98">
        <v>2</v>
      </c>
      <c r="AJ54" s="98">
        <v>2</v>
      </c>
      <c r="AK54" s="98">
        <v>2</v>
      </c>
      <c r="AL54" s="98">
        <v>2</v>
      </c>
      <c r="AM54" s="98">
        <v>2</v>
      </c>
      <c r="AN54" s="98">
        <v>2</v>
      </c>
      <c r="AO54" s="98">
        <v>2</v>
      </c>
      <c r="AP54" s="98">
        <v>2</v>
      </c>
      <c r="AQ54" s="98">
        <v>2</v>
      </c>
      <c r="AR54" s="98">
        <v>2</v>
      </c>
      <c r="AS54" s="98">
        <v>2</v>
      </c>
      <c r="AT54" s="98">
        <v>2</v>
      </c>
      <c r="AU54" s="98">
        <v>2</v>
      </c>
      <c r="AV54" s="98">
        <v>0.875</v>
      </c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</row>
    <row r="55" spans="2:78" hidden="1" outlineLevel="1" x14ac:dyDescent="0.35">
      <c r="B55" s="41" t="s">
        <v>114</v>
      </c>
      <c r="C55" s="10" t="s">
        <v>5</v>
      </c>
      <c r="D55" s="11" t="s">
        <v>32</v>
      </c>
      <c r="E55" s="14"/>
      <c r="F55" s="10" t="s">
        <v>110</v>
      </c>
      <c r="G55" s="19">
        <v>22</v>
      </c>
      <c r="H55" s="19"/>
      <c r="I55" s="28">
        <v>0</v>
      </c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</row>
    <row r="56" spans="2:78" hidden="1" outlineLevel="1" x14ac:dyDescent="0.35">
      <c r="B56" s="41" t="s">
        <v>125</v>
      </c>
      <c r="C56" s="10" t="s">
        <v>5</v>
      </c>
      <c r="D56" s="11" t="s">
        <v>33</v>
      </c>
      <c r="E56" s="14"/>
      <c r="F56" s="10" t="s">
        <v>110</v>
      </c>
      <c r="G56" s="19">
        <v>3.5</v>
      </c>
      <c r="H56" s="19"/>
      <c r="I56" s="28">
        <v>0</v>
      </c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</row>
    <row r="57" spans="2:78" hidden="1" outlineLevel="1" x14ac:dyDescent="0.35">
      <c r="B57" s="41" t="s">
        <v>126</v>
      </c>
      <c r="C57" s="10" t="s">
        <v>5</v>
      </c>
      <c r="D57" s="11" t="s">
        <v>34</v>
      </c>
      <c r="E57" s="14"/>
      <c r="F57" s="10" t="s">
        <v>110</v>
      </c>
      <c r="G57" s="19">
        <v>3.5</v>
      </c>
      <c r="H57" s="19"/>
      <c r="I57" s="28">
        <v>0</v>
      </c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</row>
    <row r="58" spans="2:78" hidden="1" outlineLevel="1" x14ac:dyDescent="0.35">
      <c r="B58" s="41" t="s">
        <v>133</v>
      </c>
      <c r="C58" s="10" t="s">
        <v>5</v>
      </c>
      <c r="D58" s="11" t="s">
        <v>35</v>
      </c>
      <c r="E58" s="14"/>
      <c r="F58" s="10" t="s">
        <v>110</v>
      </c>
      <c r="G58" s="19">
        <v>7.5</v>
      </c>
      <c r="H58" s="19"/>
      <c r="I58" s="28">
        <v>0</v>
      </c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</row>
    <row r="59" spans="2:78" hidden="1" outlineLevel="1" x14ac:dyDescent="0.35">
      <c r="B59" s="41" t="s">
        <v>135</v>
      </c>
      <c r="C59" s="10" t="s">
        <v>5</v>
      </c>
      <c r="D59" s="11" t="s">
        <v>36</v>
      </c>
      <c r="E59" s="14"/>
      <c r="F59" s="10" t="s">
        <v>136</v>
      </c>
      <c r="G59" s="19">
        <v>15</v>
      </c>
      <c r="H59" s="19"/>
      <c r="I59" s="28">
        <v>0</v>
      </c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</row>
    <row r="60" spans="2:78" hidden="1" outlineLevel="1" x14ac:dyDescent="0.35">
      <c r="B60" s="41" t="s">
        <v>137</v>
      </c>
      <c r="C60" s="10" t="s">
        <v>5</v>
      </c>
      <c r="D60" s="11" t="s">
        <v>37</v>
      </c>
      <c r="E60" s="14"/>
      <c r="F60" s="10" t="s">
        <v>136</v>
      </c>
      <c r="G60" s="19">
        <v>18</v>
      </c>
      <c r="H60" s="19"/>
      <c r="I60" s="28">
        <v>0</v>
      </c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</row>
    <row r="61" spans="2:78" hidden="1" outlineLevel="1" x14ac:dyDescent="0.35">
      <c r="B61" s="41" t="s">
        <v>138</v>
      </c>
      <c r="C61" s="10" t="s">
        <v>5</v>
      </c>
      <c r="D61" s="11" t="s">
        <v>38</v>
      </c>
      <c r="E61" s="14"/>
      <c r="F61" s="10" t="s">
        <v>136</v>
      </c>
      <c r="G61" s="19">
        <v>18</v>
      </c>
      <c r="H61" s="19"/>
      <c r="I61" s="28">
        <v>0</v>
      </c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</row>
    <row r="62" spans="2:78" hidden="1" outlineLevel="1" x14ac:dyDescent="0.35">
      <c r="B62" s="41" t="s">
        <v>139</v>
      </c>
      <c r="C62" s="10" t="s">
        <v>5</v>
      </c>
      <c r="D62" s="11" t="s">
        <v>39</v>
      </c>
      <c r="E62" s="14"/>
      <c r="F62" s="10" t="s">
        <v>110</v>
      </c>
      <c r="G62" s="19">
        <v>7.5</v>
      </c>
      <c r="H62" s="19"/>
      <c r="I62" s="28">
        <v>0</v>
      </c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</row>
    <row r="63" spans="2:78" hidden="1" outlineLevel="1" x14ac:dyDescent="0.35">
      <c r="B63" s="41" t="s">
        <v>140</v>
      </c>
      <c r="C63" s="10" t="s">
        <v>5</v>
      </c>
      <c r="D63" s="11" t="s">
        <v>40</v>
      </c>
      <c r="E63" s="14"/>
      <c r="F63" s="10" t="s">
        <v>110</v>
      </c>
      <c r="G63" s="19">
        <v>7.5</v>
      </c>
      <c r="H63" s="19"/>
      <c r="I63" s="28">
        <v>0</v>
      </c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</row>
    <row r="64" spans="2:78" hidden="1" outlineLevel="1" x14ac:dyDescent="0.35">
      <c r="B64" s="41" t="s">
        <v>141</v>
      </c>
      <c r="C64" s="10" t="s">
        <v>5</v>
      </c>
      <c r="D64" s="11" t="s">
        <v>41</v>
      </c>
      <c r="E64" s="14"/>
      <c r="F64" s="10" t="s">
        <v>110</v>
      </c>
      <c r="G64" s="19">
        <v>35</v>
      </c>
      <c r="H64" s="19"/>
      <c r="I64" s="28">
        <v>0</v>
      </c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</row>
    <row r="65" spans="2:78" hidden="1" outlineLevel="1" x14ac:dyDescent="0.35">
      <c r="B65" s="41" t="s">
        <v>142</v>
      </c>
      <c r="C65" s="10" t="s">
        <v>5</v>
      </c>
      <c r="D65" s="11" t="s">
        <v>42</v>
      </c>
      <c r="E65" s="14"/>
      <c r="F65" s="10" t="s">
        <v>110</v>
      </c>
      <c r="G65" s="19">
        <v>18</v>
      </c>
      <c r="H65" s="19"/>
      <c r="I65" s="28">
        <v>0</v>
      </c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</row>
    <row r="66" spans="2:78" hidden="1" outlineLevel="1" x14ac:dyDescent="0.35">
      <c r="B66" s="41" t="s">
        <v>143</v>
      </c>
      <c r="C66" s="10" t="s">
        <v>5</v>
      </c>
      <c r="D66" s="11" t="s">
        <v>43</v>
      </c>
      <c r="E66" s="14"/>
      <c r="F66" s="10" t="s">
        <v>110</v>
      </c>
      <c r="G66" s="19">
        <v>7.5</v>
      </c>
      <c r="H66" s="19"/>
      <c r="I66" s="28">
        <v>0</v>
      </c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</row>
    <row r="67" spans="2:78" hidden="1" outlineLevel="1" x14ac:dyDescent="0.35">
      <c r="B67" s="41" t="s">
        <v>144</v>
      </c>
      <c r="C67" s="10" t="s">
        <v>5</v>
      </c>
      <c r="D67" s="11" t="s">
        <v>44</v>
      </c>
      <c r="E67" s="14"/>
      <c r="F67" s="10" t="s">
        <v>110</v>
      </c>
      <c r="G67" s="19">
        <v>7.5</v>
      </c>
      <c r="H67" s="19"/>
      <c r="I67" s="28">
        <v>0</v>
      </c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</row>
    <row r="68" spans="2:78" hidden="1" outlineLevel="1" x14ac:dyDescent="0.35">
      <c r="B68" s="41" t="s">
        <v>149</v>
      </c>
      <c r="C68" s="10" t="s">
        <v>5</v>
      </c>
      <c r="D68" s="11" t="s">
        <v>45</v>
      </c>
      <c r="E68" s="14"/>
      <c r="F68" s="10" t="s">
        <v>110</v>
      </c>
      <c r="G68" s="19">
        <v>7.5</v>
      </c>
      <c r="H68" s="19"/>
      <c r="I68" s="28">
        <v>0</v>
      </c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</row>
    <row r="69" spans="2:78" hidden="1" outlineLevel="1" x14ac:dyDescent="0.35">
      <c r="B69" s="41" t="s">
        <v>151</v>
      </c>
      <c r="C69" s="10" t="s">
        <v>5</v>
      </c>
      <c r="D69" s="11" t="s">
        <v>46</v>
      </c>
      <c r="E69" s="14"/>
      <c r="F69" s="10" t="s">
        <v>136</v>
      </c>
      <c r="G69" s="19">
        <v>18</v>
      </c>
      <c r="H69" s="19"/>
      <c r="I69" s="28">
        <v>0</v>
      </c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</row>
    <row r="70" spans="2:78" hidden="1" outlineLevel="1" x14ac:dyDescent="0.35">
      <c r="B70" s="41" t="s">
        <v>152</v>
      </c>
      <c r="C70" s="10" t="s">
        <v>5</v>
      </c>
      <c r="D70" s="11" t="s">
        <v>47</v>
      </c>
      <c r="E70" s="14"/>
      <c r="F70" s="10" t="s">
        <v>110</v>
      </c>
      <c r="G70" s="19">
        <v>7.5</v>
      </c>
      <c r="H70" s="19"/>
      <c r="I70" s="28">
        <v>0</v>
      </c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</row>
    <row r="71" spans="2:78" hidden="1" outlineLevel="1" x14ac:dyDescent="0.35">
      <c r="B71" s="41" t="s">
        <v>154</v>
      </c>
      <c r="C71" s="10" t="s">
        <v>5</v>
      </c>
      <c r="D71" s="11" t="s">
        <v>48</v>
      </c>
      <c r="E71" s="14"/>
      <c r="F71" s="10" t="s">
        <v>110</v>
      </c>
      <c r="G71" s="19">
        <v>7.5</v>
      </c>
      <c r="H71" s="19"/>
      <c r="I71" s="28">
        <v>0</v>
      </c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</row>
    <row r="72" spans="2:78" hidden="1" outlineLevel="1" x14ac:dyDescent="0.35">
      <c r="B72" s="41" t="s">
        <v>155</v>
      </c>
      <c r="C72" s="10" t="s">
        <v>5</v>
      </c>
      <c r="D72" s="11" t="s">
        <v>49</v>
      </c>
      <c r="E72" s="14"/>
      <c r="F72" s="10" t="s">
        <v>110</v>
      </c>
      <c r="G72" s="19">
        <v>7.5</v>
      </c>
      <c r="H72" s="19"/>
      <c r="I72" s="28">
        <v>0</v>
      </c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</row>
    <row r="73" spans="2:78" hidden="1" outlineLevel="1" x14ac:dyDescent="0.35">
      <c r="B73" s="41" t="s">
        <v>156</v>
      </c>
      <c r="C73" s="10" t="s">
        <v>5</v>
      </c>
      <c r="D73" s="11" t="s">
        <v>50</v>
      </c>
      <c r="E73" s="14"/>
      <c r="F73" s="10" t="s">
        <v>110</v>
      </c>
      <c r="G73" s="19">
        <v>7.5</v>
      </c>
      <c r="H73" s="19"/>
      <c r="I73" s="28">
        <v>0</v>
      </c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</row>
    <row r="74" spans="2:78" hidden="1" outlineLevel="1" x14ac:dyDescent="0.35">
      <c r="B74" s="41" t="s">
        <v>157</v>
      </c>
      <c r="C74" s="10" t="s">
        <v>5</v>
      </c>
      <c r="D74" s="11" t="s">
        <v>51</v>
      </c>
      <c r="E74" s="14"/>
      <c r="F74" s="10" t="s">
        <v>110</v>
      </c>
      <c r="G74" s="19">
        <v>7.5</v>
      </c>
      <c r="H74" s="19"/>
      <c r="I74" s="28">
        <v>0</v>
      </c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</row>
    <row r="75" spans="2:78" hidden="1" outlineLevel="1" x14ac:dyDescent="0.35">
      <c r="B75" s="41" t="s">
        <v>158</v>
      </c>
      <c r="C75" s="10" t="s">
        <v>5</v>
      </c>
      <c r="D75" s="11" t="s">
        <v>52</v>
      </c>
      <c r="E75" s="14"/>
      <c r="F75" s="10" t="s">
        <v>110</v>
      </c>
      <c r="G75" s="19">
        <v>7.5</v>
      </c>
      <c r="H75" s="19"/>
      <c r="I75" s="28">
        <v>0</v>
      </c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</row>
    <row r="76" spans="2:78" hidden="1" outlineLevel="1" x14ac:dyDescent="0.35">
      <c r="B76" s="41" t="s">
        <v>159</v>
      </c>
      <c r="C76" s="10" t="s">
        <v>5</v>
      </c>
      <c r="D76" s="11" t="s">
        <v>53</v>
      </c>
      <c r="E76" s="14"/>
      <c r="F76" s="10" t="s">
        <v>110</v>
      </c>
      <c r="G76" s="19">
        <v>7.5</v>
      </c>
      <c r="H76" s="19"/>
      <c r="I76" s="28">
        <v>0</v>
      </c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</row>
    <row r="77" spans="2:78" hidden="1" outlineLevel="1" x14ac:dyDescent="0.35">
      <c r="B77" s="41" t="s">
        <v>160</v>
      </c>
      <c r="C77" s="10" t="s">
        <v>5</v>
      </c>
      <c r="D77" s="11" t="s">
        <v>54</v>
      </c>
      <c r="E77" s="14"/>
      <c r="F77" s="10" t="s">
        <v>110</v>
      </c>
      <c r="G77" s="19">
        <v>7.5</v>
      </c>
      <c r="H77" s="19"/>
      <c r="I77" s="28">
        <v>0</v>
      </c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</row>
    <row r="78" spans="2:78" hidden="1" outlineLevel="1" x14ac:dyDescent="0.35">
      <c r="B78" s="41" t="s">
        <v>161</v>
      </c>
      <c r="C78" s="10" t="s">
        <v>5</v>
      </c>
      <c r="D78" s="11" t="s">
        <v>55</v>
      </c>
      <c r="E78" s="14"/>
      <c r="F78" s="10" t="s">
        <v>110</v>
      </c>
      <c r="G78" s="19">
        <v>8</v>
      </c>
      <c r="H78" s="19"/>
      <c r="I78" s="28">
        <v>0</v>
      </c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</row>
    <row r="79" spans="2:78" hidden="1" outlineLevel="1" x14ac:dyDescent="0.35">
      <c r="B79" s="41" t="s">
        <v>162</v>
      </c>
      <c r="C79" s="10" t="s">
        <v>5</v>
      </c>
      <c r="D79" s="11" t="s">
        <v>56</v>
      </c>
      <c r="E79" s="14"/>
      <c r="F79" s="10" t="s">
        <v>110</v>
      </c>
      <c r="G79" s="19">
        <v>7.5</v>
      </c>
      <c r="H79" s="19"/>
      <c r="I79" s="28">
        <v>0</v>
      </c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</row>
    <row r="80" spans="2:78" hidden="1" outlineLevel="1" x14ac:dyDescent="0.35">
      <c r="B80" s="41" t="s">
        <v>163</v>
      </c>
      <c r="C80" s="10" t="s">
        <v>5</v>
      </c>
      <c r="D80" s="11" t="s">
        <v>57</v>
      </c>
      <c r="E80" s="14"/>
      <c r="F80" s="10" t="s">
        <v>110</v>
      </c>
      <c r="G80" s="19">
        <v>7.5</v>
      </c>
      <c r="H80" s="19"/>
      <c r="I80" s="28">
        <v>0</v>
      </c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</row>
    <row r="81" spans="2:78" hidden="1" outlineLevel="1" x14ac:dyDescent="0.35">
      <c r="B81" s="41" t="s">
        <v>164</v>
      </c>
      <c r="C81" s="10" t="s">
        <v>5</v>
      </c>
      <c r="D81" s="11" t="s">
        <v>58</v>
      </c>
      <c r="E81" s="14"/>
      <c r="F81" s="10" t="s">
        <v>110</v>
      </c>
      <c r="G81" s="19">
        <v>8</v>
      </c>
      <c r="H81" s="19"/>
      <c r="I81" s="28">
        <v>0</v>
      </c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</row>
    <row r="82" spans="2:78" hidden="1" outlineLevel="1" x14ac:dyDescent="0.35">
      <c r="B82" s="41" t="s">
        <v>166</v>
      </c>
      <c r="C82" s="10" t="s">
        <v>5</v>
      </c>
      <c r="D82" s="11" t="s">
        <v>59</v>
      </c>
      <c r="E82" s="14"/>
      <c r="F82" s="10" t="s">
        <v>110</v>
      </c>
      <c r="G82" s="19">
        <v>4</v>
      </c>
      <c r="H82" s="19"/>
      <c r="I82" s="28">
        <v>0</v>
      </c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</row>
    <row r="83" spans="2:78" hidden="1" outlineLevel="1" x14ac:dyDescent="0.35">
      <c r="B83" s="41" t="s">
        <v>167</v>
      </c>
      <c r="C83" s="10" t="s">
        <v>60</v>
      </c>
      <c r="D83" s="11" t="s">
        <v>6</v>
      </c>
      <c r="E83" s="14"/>
      <c r="F83" s="10" t="s">
        <v>110</v>
      </c>
      <c r="G83" s="19">
        <v>3.5</v>
      </c>
      <c r="H83" s="19"/>
      <c r="I83" s="28">
        <v>0</v>
      </c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</row>
    <row r="84" spans="2:78" hidden="1" outlineLevel="1" x14ac:dyDescent="0.35">
      <c r="B84" s="41" t="s">
        <v>168</v>
      </c>
      <c r="C84" s="10" t="s">
        <v>60</v>
      </c>
      <c r="D84" s="11" t="s">
        <v>8</v>
      </c>
      <c r="E84" s="14"/>
      <c r="F84" s="10" t="s">
        <v>110</v>
      </c>
      <c r="G84" s="19">
        <v>3.5</v>
      </c>
      <c r="H84" s="19"/>
      <c r="I84" s="28">
        <v>0</v>
      </c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</row>
    <row r="85" spans="2:78" hidden="1" outlineLevel="1" x14ac:dyDescent="0.35">
      <c r="B85" s="41" t="s">
        <v>169</v>
      </c>
      <c r="C85" s="10" t="s">
        <v>60</v>
      </c>
      <c r="D85" s="11" t="s">
        <v>32</v>
      </c>
      <c r="E85" s="14"/>
      <c r="F85" s="10" t="s">
        <v>110</v>
      </c>
      <c r="G85" s="19">
        <v>3.5</v>
      </c>
      <c r="H85" s="19"/>
      <c r="I85" s="28">
        <v>0</v>
      </c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</row>
    <row r="86" spans="2:78" hidden="1" outlineLevel="1" x14ac:dyDescent="0.35">
      <c r="B86" s="41" t="s">
        <v>170</v>
      </c>
      <c r="C86" s="10" t="s">
        <v>60</v>
      </c>
      <c r="D86" s="11" t="s">
        <v>61</v>
      </c>
      <c r="E86" s="14"/>
      <c r="F86" s="10" t="s">
        <v>110</v>
      </c>
      <c r="G86" s="19">
        <v>3.5</v>
      </c>
      <c r="H86" s="19"/>
      <c r="I86" s="28">
        <v>0</v>
      </c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</row>
    <row r="87" spans="2:78" hidden="1" outlineLevel="1" x14ac:dyDescent="0.35">
      <c r="B87" s="41" t="s">
        <v>171</v>
      </c>
      <c r="C87" s="10" t="s">
        <v>60</v>
      </c>
      <c r="D87" s="11" t="s">
        <v>62</v>
      </c>
      <c r="E87" s="14"/>
      <c r="F87" s="10" t="s">
        <v>136</v>
      </c>
      <c r="G87" s="19">
        <v>4</v>
      </c>
      <c r="H87" s="19"/>
      <c r="I87" s="28">
        <v>0</v>
      </c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</row>
    <row r="88" spans="2:78" hidden="1" outlineLevel="1" x14ac:dyDescent="0.35">
      <c r="B88" s="41" t="s">
        <v>172</v>
      </c>
      <c r="C88" s="10" t="s">
        <v>63</v>
      </c>
      <c r="D88" s="11" t="s">
        <v>6</v>
      </c>
      <c r="E88" s="14"/>
      <c r="F88" s="10" t="s">
        <v>110</v>
      </c>
      <c r="G88" s="19">
        <v>3.5</v>
      </c>
      <c r="H88" s="19"/>
      <c r="I88" s="28">
        <v>0</v>
      </c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</row>
    <row r="89" spans="2:78" hidden="1" outlineLevel="1" x14ac:dyDescent="0.35">
      <c r="B89" s="41" t="s">
        <v>173</v>
      </c>
      <c r="C89" s="10" t="s">
        <v>63</v>
      </c>
      <c r="D89" s="11" t="s">
        <v>8</v>
      </c>
      <c r="E89" s="14"/>
      <c r="F89" s="10" t="s">
        <v>110</v>
      </c>
      <c r="G89" s="19">
        <v>3.5</v>
      </c>
      <c r="H89" s="19"/>
      <c r="I89" s="28">
        <v>0</v>
      </c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</row>
    <row r="90" spans="2:78" hidden="1" outlineLevel="1" x14ac:dyDescent="0.35">
      <c r="B90" s="41" t="s">
        <v>174</v>
      </c>
      <c r="C90" s="10" t="s">
        <v>63</v>
      </c>
      <c r="D90" s="11" t="s">
        <v>61</v>
      </c>
      <c r="E90" s="14"/>
      <c r="F90" s="10" t="s">
        <v>110</v>
      </c>
      <c r="G90" s="19">
        <v>3.5</v>
      </c>
      <c r="H90" s="19"/>
      <c r="I90" s="28">
        <v>0</v>
      </c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</row>
    <row r="91" spans="2:78" hidden="1" outlineLevel="1" x14ac:dyDescent="0.35">
      <c r="B91" s="41" t="s">
        <v>175</v>
      </c>
      <c r="C91" s="10" t="s">
        <v>63</v>
      </c>
      <c r="D91" s="11" t="s">
        <v>64</v>
      </c>
      <c r="E91" s="14"/>
      <c r="F91" s="10" t="s">
        <v>110</v>
      </c>
      <c r="G91" s="19">
        <v>4</v>
      </c>
      <c r="H91" s="19"/>
      <c r="I91" s="28">
        <v>0</v>
      </c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</row>
    <row r="92" spans="2:78" hidden="1" outlineLevel="1" x14ac:dyDescent="0.35">
      <c r="B92" s="41" t="s">
        <v>176</v>
      </c>
      <c r="C92" s="10" t="s">
        <v>63</v>
      </c>
      <c r="D92" s="11" t="s">
        <v>65</v>
      </c>
      <c r="E92" s="14"/>
      <c r="F92" s="10" t="s">
        <v>110</v>
      </c>
      <c r="G92" s="19">
        <v>3.5</v>
      </c>
      <c r="H92" s="19"/>
      <c r="I92" s="28">
        <v>0</v>
      </c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</row>
    <row r="93" spans="2:78" hidden="1" outlineLevel="1" x14ac:dyDescent="0.35">
      <c r="B93" s="41" t="s">
        <v>177</v>
      </c>
      <c r="C93" s="10" t="s">
        <v>63</v>
      </c>
      <c r="D93" s="11" t="s">
        <v>66</v>
      </c>
      <c r="E93" s="14"/>
      <c r="F93" s="10" t="s">
        <v>110</v>
      </c>
      <c r="G93" s="19">
        <v>5</v>
      </c>
      <c r="H93" s="19"/>
      <c r="I93" s="28">
        <v>0</v>
      </c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</row>
    <row r="94" spans="2:78" hidden="1" outlineLevel="1" x14ac:dyDescent="0.35">
      <c r="B94" s="41" t="s">
        <v>178</v>
      </c>
      <c r="C94" s="10" t="s">
        <v>67</v>
      </c>
      <c r="D94" s="11" t="s">
        <v>6</v>
      </c>
      <c r="E94" s="14"/>
      <c r="F94" s="10" t="s">
        <v>136</v>
      </c>
      <c r="G94" s="19">
        <v>3.5</v>
      </c>
      <c r="H94" s="19"/>
      <c r="I94" s="28">
        <v>0</v>
      </c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</row>
    <row r="95" spans="2:78" hidden="1" outlineLevel="1" x14ac:dyDescent="0.35">
      <c r="B95" s="41" t="s">
        <v>179</v>
      </c>
      <c r="C95" s="10" t="s">
        <v>67</v>
      </c>
      <c r="D95" s="11" t="s">
        <v>8</v>
      </c>
      <c r="E95" s="14"/>
      <c r="F95" s="10" t="s">
        <v>136</v>
      </c>
      <c r="G95" s="19">
        <v>3.5</v>
      </c>
      <c r="H95" s="19"/>
      <c r="I95" s="28">
        <v>0</v>
      </c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</row>
    <row r="96" spans="2:78" hidden="1" outlineLevel="1" x14ac:dyDescent="0.35">
      <c r="B96" s="41" t="s">
        <v>180</v>
      </c>
      <c r="C96" s="10" t="s">
        <v>67</v>
      </c>
      <c r="D96" s="11" t="s">
        <v>32</v>
      </c>
      <c r="E96" s="14"/>
      <c r="F96" s="10" t="s">
        <v>136</v>
      </c>
      <c r="G96" s="19">
        <v>3.5</v>
      </c>
      <c r="H96" s="19"/>
      <c r="I96" s="28">
        <v>0</v>
      </c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98"/>
      <c r="BX96" s="98"/>
      <c r="BY96" s="98"/>
      <c r="BZ96" s="98"/>
    </row>
    <row r="97" spans="1:78" hidden="1" outlineLevel="1" x14ac:dyDescent="0.35">
      <c r="B97" s="41" t="s">
        <v>181</v>
      </c>
      <c r="C97" s="10" t="s">
        <v>67</v>
      </c>
      <c r="D97" s="11" t="s">
        <v>68</v>
      </c>
      <c r="E97" s="14"/>
      <c r="F97" s="10" t="s">
        <v>136</v>
      </c>
      <c r="G97" s="19">
        <v>18</v>
      </c>
      <c r="H97" s="19"/>
      <c r="I97" s="28">
        <v>0</v>
      </c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98"/>
      <c r="BX97" s="98"/>
      <c r="BY97" s="98"/>
      <c r="BZ97" s="98"/>
    </row>
    <row r="98" spans="1:78" hidden="1" outlineLevel="1" x14ac:dyDescent="0.35">
      <c r="B98" s="41" t="s">
        <v>182</v>
      </c>
      <c r="C98" s="10" t="s">
        <v>67</v>
      </c>
      <c r="D98" s="11" t="s">
        <v>69</v>
      </c>
      <c r="E98" s="14"/>
      <c r="F98" s="10" t="s">
        <v>110</v>
      </c>
      <c r="G98" s="19">
        <v>3.5</v>
      </c>
      <c r="H98" s="19"/>
      <c r="I98" s="28">
        <v>0</v>
      </c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</row>
    <row r="99" spans="1:78" hidden="1" outlineLevel="1" x14ac:dyDescent="0.35">
      <c r="B99" s="41" t="s">
        <v>183</v>
      </c>
      <c r="C99" s="10" t="s">
        <v>67</v>
      </c>
      <c r="D99" s="11" t="s">
        <v>70</v>
      </c>
      <c r="E99" s="14"/>
      <c r="F99" s="10" t="s">
        <v>136</v>
      </c>
      <c r="G99" s="19">
        <v>18</v>
      </c>
      <c r="H99" s="19"/>
      <c r="I99" s="28">
        <v>0</v>
      </c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98"/>
      <c r="AN99" s="98"/>
      <c r="AO99" s="98"/>
      <c r="AP99" s="98"/>
      <c r="AQ99" s="98"/>
      <c r="AR99" s="98"/>
      <c r="AS99" s="98"/>
      <c r="AT99" s="98"/>
      <c r="AU99" s="98"/>
      <c r="AV99" s="98"/>
      <c r="AW99" s="98"/>
      <c r="AX99" s="98"/>
      <c r="AY99" s="98"/>
      <c r="AZ99" s="98"/>
      <c r="BA99" s="98"/>
      <c r="BB99" s="98"/>
      <c r="BC99" s="98"/>
      <c r="BD99" s="98"/>
      <c r="BE99" s="98"/>
      <c r="BF99" s="98"/>
      <c r="BG99" s="98"/>
      <c r="BH99" s="98"/>
      <c r="BI99" s="98"/>
      <c r="BJ99" s="98"/>
      <c r="BK99" s="98"/>
      <c r="BL99" s="98"/>
      <c r="BM99" s="98"/>
      <c r="BN99" s="98"/>
      <c r="BO99" s="98"/>
      <c r="BP99" s="98"/>
      <c r="BQ99" s="98"/>
      <c r="BR99" s="98"/>
      <c r="BS99" s="98"/>
      <c r="BT99" s="98"/>
      <c r="BU99" s="98"/>
      <c r="BV99" s="98"/>
      <c r="BW99" s="98"/>
      <c r="BX99" s="98"/>
      <c r="BY99" s="98"/>
      <c r="BZ99" s="98"/>
    </row>
    <row r="100" spans="1:78" collapsed="1" x14ac:dyDescent="0.35">
      <c r="B100" s="42"/>
      <c r="C100" s="15"/>
      <c r="D100" s="12" t="s">
        <v>71</v>
      </c>
      <c r="E100" s="13"/>
      <c r="F100" s="29"/>
      <c r="G100" s="29">
        <v>76.400000000000006</v>
      </c>
      <c r="H100" s="30">
        <v>9.5500000000000007</v>
      </c>
      <c r="I100" s="28">
        <v>0</v>
      </c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98"/>
      <c r="AN100" s="98"/>
      <c r="AO100" s="98"/>
      <c r="AP100" s="98"/>
      <c r="AQ100" s="98"/>
      <c r="AR100" s="98"/>
      <c r="AS100" s="98"/>
      <c r="AT100" s="98"/>
      <c r="AU100" s="98"/>
      <c r="AV100" s="98">
        <v>1.125</v>
      </c>
      <c r="AW100" s="98">
        <v>2</v>
      </c>
      <c r="AX100" s="98">
        <v>2</v>
      </c>
      <c r="AY100" s="98">
        <v>2</v>
      </c>
      <c r="AZ100" s="98">
        <v>2</v>
      </c>
      <c r="BA100" s="98">
        <v>0.42499999999999999</v>
      </c>
      <c r="BB100" s="98"/>
      <c r="BC100" s="98"/>
      <c r="BD100" s="98"/>
      <c r="BE100" s="98"/>
      <c r="BF100" s="98"/>
      <c r="BG100" s="98"/>
      <c r="BH100" s="98"/>
      <c r="BI100" s="98"/>
      <c r="BJ100" s="98"/>
      <c r="BK100" s="98"/>
      <c r="BL100" s="98"/>
      <c r="BM100" s="98"/>
      <c r="BN100" s="98"/>
      <c r="BO100" s="98"/>
      <c r="BP100" s="98"/>
      <c r="BQ100" s="98"/>
      <c r="BR100" s="98"/>
      <c r="BS100" s="98"/>
      <c r="BT100" s="98"/>
      <c r="BU100" s="98"/>
      <c r="BV100" s="98"/>
      <c r="BW100" s="98"/>
      <c r="BX100" s="98"/>
      <c r="BY100" s="98"/>
      <c r="BZ100" s="98"/>
    </row>
    <row r="101" spans="1:78" x14ac:dyDescent="0.35">
      <c r="B101" s="42"/>
      <c r="C101" s="6" t="s">
        <v>72</v>
      </c>
      <c r="D101" s="7"/>
      <c r="E101" s="8"/>
      <c r="F101" s="9"/>
      <c r="G101" s="31">
        <v>80</v>
      </c>
      <c r="H101" s="31">
        <v>10</v>
      </c>
      <c r="I101" s="28">
        <v>0</v>
      </c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>
        <v>1.575</v>
      </c>
      <c r="BB101" s="98">
        <v>2</v>
      </c>
      <c r="BC101" s="98">
        <v>2</v>
      </c>
      <c r="BD101" s="98">
        <v>2</v>
      </c>
      <c r="BE101" s="98">
        <v>2</v>
      </c>
      <c r="BF101" s="98">
        <v>0.42499999999999999</v>
      </c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</row>
    <row r="102" spans="1:78" x14ac:dyDescent="0.35">
      <c r="A102"/>
      <c r="B102"/>
      <c r="C102"/>
      <c r="D102"/>
      <c r="E102"/>
      <c r="F102" s="36"/>
      <c r="G102"/>
      <c r="H102"/>
      <c r="I102" s="37"/>
      <c r="J102"/>
      <c r="K102"/>
      <c r="L102"/>
      <c r="M102"/>
      <c r="N102"/>
      <c r="BF102" t="s">
        <v>184</v>
      </c>
    </row>
    <row r="104" spans="1:78" x14ac:dyDescent="0.35">
      <c r="C104" s="13" t="s">
        <v>79</v>
      </c>
      <c r="D104" s="39">
        <v>823.19999999999936</v>
      </c>
      <c r="E104" s="32" t="s">
        <v>80</v>
      </c>
    </row>
    <row r="105" spans="1:78" x14ac:dyDescent="0.35">
      <c r="C105" s="14" t="s">
        <v>81</v>
      </c>
      <c r="D105" s="40" t="s">
        <v>82</v>
      </c>
      <c r="E105" s="32" t="s">
        <v>83</v>
      </c>
    </row>
    <row r="107" spans="1:78" x14ac:dyDescent="0.35">
      <c r="D107" s="40"/>
    </row>
  </sheetData>
  <conditionalFormatting sqref="I9:I101">
    <cfRule type="cellIs" dxfId="12" priority="4" operator="notEqual">
      <formula>0</formula>
    </cfRule>
    <cfRule type="cellIs" dxfId="11" priority="6" operator="equal">
      <formula>0</formula>
    </cfRule>
  </conditionalFormatting>
  <conditionalFormatting sqref="J2:BF2">
    <cfRule type="cellIs" dxfId="10" priority="1" operator="equal">
      <formula>0</formula>
    </cfRule>
    <cfRule type="cellIs" dxfId="9" priority="2" operator="greaterThan">
      <formula>0</formula>
    </cfRule>
    <cfRule type="cellIs" dxfId="8" priority="3" operator="lessThan">
      <formula>0</formula>
    </cfRule>
  </conditionalFormatting>
  <conditionalFormatting sqref="J8:BZ101">
    <cfRule type="cellIs" dxfId="7" priority="5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0F2C-9677-43D0-9FE1-38E562F591D0}">
  <sheetPr>
    <tabColor rgb="FFFF0000"/>
  </sheetPr>
  <dimension ref="A1:W114"/>
  <sheetViews>
    <sheetView showGridLines="0" zoomScale="60" zoomScaleNormal="60" workbookViewId="0">
      <pane xSplit="11" ySplit="10" topLeftCell="L11" activePane="bottomRight" state="frozen"/>
      <selection pane="topRight" activeCell="L1" sqref="L1"/>
      <selection pane="bottomLeft" activeCell="A11" sqref="A11"/>
      <selection pane="bottomRight" activeCell="L11" sqref="L11"/>
    </sheetView>
  </sheetViews>
  <sheetFormatPr defaultRowHeight="18" outlineLevelRow="1" x14ac:dyDescent="0.55000000000000004"/>
  <cols>
    <col min="1" max="1" width="3.6328125" customWidth="1"/>
    <col min="3" max="3" width="7.08984375" customWidth="1"/>
    <col min="4" max="4" width="40.08984375" customWidth="1"/>
    <col min="5" max="5" width="25.81640625" customWidth="1"/>
    <col min="6" max="6" width="3.6328125" customWidth="1"/>
    <col min="7" max="7" width="7.81640625" style="2" bestFit="1" customWidth="1"/>
    <col min="8" max="8" width="10.1796875" style="2" bestFit="1" customWidth="1"/>
    <col min="9" max="9" width="18.81640625" style="2" bestFit="1" customWidth="1"/>
    <col min="10" max="10" width="16.08984375" style="2" bestFit="1" customWidth="1"/>
    <col min="11" max="11" width="2.1796875" customWidth="1"/>
    <col min="12" max="22" width="7.36328125" customWidth="1"/>
  </cols>
  <sheetData>
    <row r="1" spans="1:23" ht="14.5" x14ac:dyDescent="0.35">
      <c r="G1"/>
      <c r="H1"/>
      <c r="I1"/>
      <c r="J1"/>
    </row>
    <row r="2" spans="1:23" ht="14.5" x14ac:dyDescent="0.35">
      <c r="G2"/>
      <c r="H2"/>
      <c r="I2"/>
      <c r="J2"/>
    </row>
    <row r="3" spans="1:23" ht="14.5" x14ac:dyDescent="0.35">
      <c r="G3"/>
      <c r="H3"/>
      <c r="I3"/>
      <c r="J3"/>
    </row>
    <row r="4" spans="1:23" ht="3" customHeight="1" x14ac:dyDescent="0.35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3" ht="14.5" x14ac:dyDescent="0.35">
      <c r="G5"/>
      <c r="H5"/>
      <c r="I5"/>
      <c r="J5"/>
    </row>
    <row r="6" spans="1:23" ht="14.5" x14ac:dyDescent="0.35">
      <c r="G6"/>
      <c r="H6"/>
      <c r="I6"/>
      <c r="J6"/>
      <c r="V6" s="72" t="s">
        <v>189</v>
      </c>
    </row>
    <row r="7" spans="1:23" ht="14.5" x14ac:dyDescent="0.35">
      <c r="G7"/>
      <c r="H7"/>
      <c r="I7"/>
      <c r="J7"/>
      <c r="V7" t="s">
        <v>186</v>
      </c>
    </row>
    <row r="8" spans="1:23" x14ac:dyDescent="0.55000000000000004">
      <c r="G8"/>
      <c r="H8"/>
      <c r="I8"/>
      <c r="J8"/>
      <c r="L8" s="110"/>
      <c r="M8" s="110"/>
      <c r="N8" s="110" t="s">
        <v>85</v>
      </c>
      <c r="O8" s="110"/>
      <c r="P8" s="110"/>
      <c r="Q8" s="111"/>
      <c r="R8" s="110" t="s">
        <v>86</v>
      </c>
      <c r="S8" s="110"/>
      <c r="T8" s="112"/>
      <c r="U8" s="243" t="s">
        <v>185</v>
      </c>
      <c r="V8" s="244"/>
    </row>
    <row r="9" spans="1:23" ht="19" x14ac:dyDescent="0.55000000000000004">
      <c r="C9" s="138" t="s">
        <v>194</v>
      </c>
      <c r="D9" s="138" t="s">
        <v>193</v>
      </c>
      <c r="E9" s="138"/>
      <c r="F9" s="138"/>
      <c r="G9" s="139" t="s">
        <v>84</v>
      </c>
      <c r="H9" s="138" t="s">
        <v>73</v>
      </c>
      <c r="I9" s="138" t="s">
        <v>188</v>
      </c>
      <c r="J9" s="138" t="s">
        <v>74</v>
      </c>
      <c r="K9" s="43"/>
      <c r="L9" s="113">
        <v>45660</v>
      </c>
      <c r="M9" s="113">
        <f t="shared" ref="M9:V9" si="0">L9+7</f>
        <v>45667</v>
      </c>
      <c r="N9" s="113">
        <f t="shared" si="0"/>
        <v>45674</v>
      </c>
      <c r="O9" s="113">
        <f t="shared" si="0"/>
        <v>45681</v>
      </c>
      <c r="P9" s="113">
        <f t="shared" si="0"/>
        <v>45688</v>
      </c>
      <c r="Q9" s="114">
        <f t="shared" si="0"/>
        <v>45695</v>
      </c>
      <c r="R9" s="113">
        <f t="shared" si="0"/>
        <v>45702</v>
      </c>
      <c r="S9" s="113">
        <f t="shared" si="0"/>
        <v>45709</v>
      </c>
      <c r="T9" s="115">
        <f t="shared" si="0"/>
        <v>45716</v>
      </c>
      <c r="U9" s="113">
        <f t="shared" si="0"/>
        <v>45723</v>
      </c>
      <c r="V9" s="113">
        <f t="shared" si="0"/>
        <v>45730</v>
      </c>
    </row>
    <row r="10" spans="1:23" ht="3" customHeight="1" x14ac:dyDescent="0.55000000000000004">
      <c r="D10" s="14"/>
      <c r="E10" s="32"/>
      <c r="F10" s="32"/>
      <c r="G10" s="107"/>
      <c r="H10" s="109"/>
      <c r="I10" s="109"/>
      <c r="J10" s="116"/>
      <c r="K10" s="2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 x14ac:dyDescent="0.35">
      <c r="C11" s="150" t="s">
        <v>195</v>
      </c>
      <c r="D11" s="123" t="s">
        <v>77</v>
      </c>
      <c r="E11" s="107"/>
      <c r="F11" s="105"/>
      <c r="G11" s="105"/>
      <c r="H11" s="109" t="s">
        <v>1</v>
      </c>
      <c r="I11" s="109"/>
      <c r="J11" s="116">
        <f>SUM(L11:V11)*8</f>
        <v>41.6</v>
      </c>
      <c r="K11" s="28"/>
      <c r="L11" s="119">
        <f>0.1*2</f>
        <v>0.2</v>
      </c>
      <c r="M11" s="119">
        <f>0.1*5</f>
        <v>0.5</v>
      </c>
      <c r="N11" s="119">
        <f t="shared" ref="N11:V11" si="1">0.1*5</f>
        <v>0.5</v>
      </c>
      <c r="O11" s="119">
        <f t="shared" si="1"/>
        <v>0.5</v>
      </c>
      <c r="P11" s="119">
        <f t="shared" si="1"/>
        <v>0.5</v>
      </c>
      <c r="Q11" s="119">
        <f t="shared" si="1"/>
        <v>0.5</v>
      </c>
      <c r="R11" s="119">
        <f>0.1*5</f>
        <v>0.5</v>
      </c>
      <c r="S11" s="119">
        <f t="shared" si="1"/>
        <v>0.5</v>
      </c>
      <c r="T11" s="119">
        <f t="shared" si="1"/>
        <v>0.5</v>
      </c>
      <c r="U11" s="119">
        <f>0.1*5</f>
        <v>0.5</v>
      </c>
      <c r="V11" s="119">
        <f t="shared" si="1"/>
        <v>0.5</v>
      </c>
    </row>
    <row r="12" spans="1:23" ht="3" customHeight="1" x14ac:dyDescent="0.35">
      <c r="C12" s="151"/>
      <c r="D12" s="124"/>
      <c r="E12" s="125"/>
      <c r="F12" s="126"/>
      <c r="G12" s="126"/>
      <c r="H12" s="127"/>
      <c r="I12" s="127"/>
      <c r="J12" s="128"/>
      <c r="K12" s="121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</row>
    <row r="13" spans="1:23" x14ac:dyDescent="0.35">
      <c r="C13" s="150" t="s">
        <v>196</v>
      </c>
      <c r="D13" s="123" t="s">
        <v>199</v>
      </c>
      <c r="E13" s="107"/>
      <c r="F13" s="105"/>
      <c r="G13" s="105"/>
      <c r="H13" s="109" t="s">
        <v>1</v>
      </c>
      <c r="I13" s="109"/>
      <c r="J13" s="116" t="e">
        <f>SUM(L13:M13)*8</f>
        <v>#REF!</v>
      </c>
      <c r="K13" s="28"/>
      <c r="L13" s="44" t="e">
        <f>SUM(#REF!)</f>
        <v>#REF!</v>
      </c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 spans="1:23" s="122" customFormat="1" ht="3" customHeight="1" x14ac:dyDescent="0.35">
      <c r="C14" s="151"/>
      <c r="D14" s="124"/>
      <c r="E14" s="125"/>
      <c r="F14" s="126"/>
      <c r="G14" s="126"/>
      <c r="H14" s="127"/>
      <c r="I14" s="127"/>
      <c r="J14" s="128"/>
      <c r="K14" s="121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</row>
    <row r="15" spans="1:23" x14ac:dyDescent="0.35">
      <c r="C15" s="150" t="s">
        <v>197</v>
      </c>
      <c r="D15" s="123" t="s">
        <v>200</v>
      </c>
      <c r="E15" s="107"/>
      <c r="F15" s="105"/>
      <c r="G15" s="105"/>
      <c r="H15" s="109" t="s">
        <v>1</v>
      </c>
      <c r="I15" s="109"/>
      <c r="J15" s="116">
        <f>SUM(L15:V15)*8</f>
        <v>64</v>
      </c>
      <c r="K15" s="28"/>
      <c r="L15" s="44"/>
      <c r="M15" s="44">
        <f>SUM('[1]Plano SCA'!$L$13:$P$13)</f>
        <v>8</v>
      </c>
      <c r="N15" s="44"/>
      <c r="O15" s="44"/>
      <c r="P15" s="44"/>
      <c r="Q15" s="44"/>
      <c r="R15" s="44"/>
      <c r="S15" s="44"/>
      <c r="T15" s="44"/>
      <c r="U15" s="44"/>
      <c r="V15" s="44"/>
    </row>
    <row r="16" spans="1:23" s="122" customFormat="1" ht="3" customHeight="1" x14ac:dyDescent="0.35">
      <c r="C16" s="151"/>
      <c r="D16" s="124"/>
      <c r="E16" s="125"/>
      <c r="F16" s="126"/>
      <c r="G16" s="126"/>
      <c r="H16" s="127"/>
      <c r="I16" s="127"/>
      <c r="J16" s="128"/>
      <c r="K16" s="121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</row>
    <row r="17" spans="2:22" x14ac:dyDescent="0.35">
      <c r="C17" s="150" t="s">
        <v>198</v>
      </c>
      <c r="D17" s="123" t="s">
        <v>201</v>
      </c>
      <c r="E17" s="107"/>
      <c r="F17" s="105"/>
      <c r="G17" s="105"/>
      <c r="H17" s="109">
        <f>COUNTA(E18:E40)</f>
        <v>23</v>
      </c>
      <c r="I17" s="109">
        <f>SUM(I18:I40)</f>
        <v>2.0499999999999998</v>
      </c>
      <c r="J17" s="116">
        <f>SUM(J18:J40)</f>
        <v>82</v>
      </c>
      <c r="K17" s="28"/>
      <c r="L17" s="44"/>
      <c r="M17" s="44" t="e">
        <f>#REF!</f>
        <v>#REF!</v>
      </c>
      <c r="N17" s="44" t="e">
        <f>+SUM(#REF!)</f>
        <v>#REF!</v>
      </c>
      <c r="O17" s="44"/>
      <c r="P17" s="44"/>
      <c r="Q17" s="44"/>
      <c r="R17" s="44"/>
      <c r="S17" s="44"/>
      <c r="T17" s="44"/>
      <c r="U17" s="44"/>
      <c r="V17" s="44"/>
    </row>
    <row r="18" spans="2:22" outlineLevel="1" x14ac:dyDescent="0.55000000000000004">
      <c r="B18" s="41" t="str">
        <f>D18&amp;"_"&amp;E18</f>
        <v>INSTRUMENT_COD_SOC</v>
      </c>
      <c r="C18" s="155" t="s">
        <v>203</v>
      </c>
      <c r="D18" s="140" t="s">
        <v>5</v>
      </c>
      <c r="E18" s="141" t="s">
        <v>6</v>
      </c>
      <c r="F18" s="142"/>
      <c r="G18" s="142"/>
      <c r="H18" s="140"/>
      <c r="I18" s="143">
        <f>J18/8/5</f>
        <v>8.7499999999999994E-2</v>
      </c>
      <c r="J18" s="144">
        <f>SUMIF(Aux!B:B,Macro_Plano_2025_v1!B18,Aux!I:I)+SUMIF(Aux!B:B,Macro_Plano_2025_v1!B18,Aux!O:O)</f>
        <v>3.5</v>
      </c>
      <c r="K18" s="28"/>
      <c r="L18" s="44"/>
      <c r="M18" s="101">
        <f>J18/8</f>
        <v>0.4375</v>
      </c>
      <c r="N18" s="44"/>
      <c r="O18" s="44"/>
      <c r="P18" s="44"/>
      <c r="Q18" s="44"/>
      <c r="R18" s="44"/>
      <c r="S18" s="44"/>
      <c r="T18" s="44"/>
      <c r="U18" s="44"/>
      <c r="V18" s="44"/>
    </row>
    <row r="19" spans="2:22" outlineLevel="1" x14ac:dyDescent="0.55000000000000004">
      <c r="B19" s="41" t="str">
        <f t="shared" ref="B19:B56" si="2">D19&amp;"_"&amp;E19</f>
        <v>INSTRUMENT_SUBPORTFOLIO_ID</v>
      </c>
      <c r="C19" s="152" t="s">
        <v>202</v>
      </c>
      <c r="D19" s="145" t="s">
        <v>5</v>
      </c>
      <c r="E19" s="146" t="s">
        <v>7</v>
      </c>
      <c r="F19" s="147"/>
      <c r="G19" s="147"/>
      <c r="H19" s="145"/>
      <c r="I19" s="148">
        <f t="shared" ref="I19:I40" si="3">J19/8/5</f>
        <v>8.7499999999999994E-2</v>
      </c>
      <c r="J19" s="144">
        <f>SUMIF(Aux!B:B,Macro_Plano_2025_v1!B19,Aux!I:I)+SUMIF(Aux!B:B,Macro_Plano_2025_v1!B19,Aux!O:O)</f>
        <v>3.5</v>
      </c>
      <c r="K19" s="28"/>
      <c r="L19" s="44"/>
      <c r="M19" s="44">
        <f t="shared" ref="M19:M21" si="4">J19/8</f>
        <v>0.4375</v>
      </c>
      <c r="N19" s="44"/>
      <c r="O19" s="44"/>
      <c r="P19" s="44"/>
      <c r="Q19" s="44"/>
      <c r="R19" s="44"/>
      <c r="S19" s="44"/>
      <c r="T19" s="44"/>
      <c r="U19" s="44"/>
      <c r="V19" s="44"/>
    </row>
    <row r="20" spans="2:22" outlineLevel="1" x14ac:dyDescent="0.55000000000000004">
      <c r="B20" s="41" t="str">
        <f t="shared" si="2"/>
        <v>INSTRUMENT_DT_RFRNC</v>
      </c>
      <c r="C20" s="152" t="s">
        <v>204</v>
      </c>
      <c r="D20" s="145" t="s">
        <v>5</v>
      </c>
      <c r="E20" s="146" t="s">
        <v>8</v>
      </c>
      <c r="F20" s="147"/>
      <c r="G20" s="147"/>
      <c r="H20" s="145"/>
      <c r="I20" s="148">
        <f t="shared" si="3"/>
        <v>8.7499999999999994E-2</v>
      </c>
      <c r="J20" s="144">
        <f>SUMIF(Aux!B:B,Macro_Plano_2025_v1!B20,Aux!I:I)+SUMIF(Aux!B:B,Macro_Plano_2025_v1!B20,Aux!O:O)</f>
        <v>3.5</v>
      </c>
      <c r="K20" s="28"/>
      <c r="L20" s="44"/>
      <c r="M20" s="44">
        <f t="shared" si="4"/>
        <v>0.4375</v>
      </c>
      <c r="N20" s="44"/>
      <c r="O20" s="44"/>
      <c r="P20" s="44"/>
      <c r="Q20" s="44"/>
      <c r="R20" s="44"/>
      <c r="S20" s="44"/>
      <c r="T20" s="44"/>
      <c r="U20" s="44"/>
      <c r="V20" s="44"/>
    </row>
    <row r="21" spans="2:22" outlineLevel="1" x14ac:dyDescent="0.55000000000000004">
      <c r="B21" s="41" t="str">
        <f t="shared" si="2"/>
        <v>INSTRUMENT_DFLT_STTS_INSTRMNT</v>
      </c>
      <c r="C21" s="152" t="s">
        <v>205</v>
      </c>
      <c r="D21" s="145" t="s">
        <v>5</v>
      </c>
      <c r="E21" s="146" t="s">
        <v>9</v>
      </c>
      <c r="F21" s="147"/>
      <c r="G21" s="147"/>
      <c r="H21" s="145"/>
      <c r="I21" s="148">
        <f t="shared" si="3"/>
        <v>8.7499999999999994E-2</v>
      </c>
      <c r="J21" s="144">
        <f>SUMIF(Aux!B:B,Macro_Plano_2025_v1!B21,Aux!I:I)+SUMIF(Aux!B:B,Macro_Plano_2025_v1!B21,Aux!O:O)</f>
        <v>3.5</v>
      </c>
      <c r="K21" s="28"/>
      <c r="L21" s="44"/>
      <c r="M21" s="44">
        <f t="shared" si="4"/>
        <v>0.4375</v>
      </c>
      <c r="N21" s="44"/>
      <c r="O21" s="44"/>
      <c r="P21" s="44"/>
      <c r="Q21" s="44"/>
      <c r="R21" s="44"/>
      <c r="S21" s="44"/>
      <c r="T21" s="44"/>
      <c r="U21" s="44"/>
      <c r="V21" s="44"/>
    </row>
    <row r="22" spans="2:22" outlineLevel="1" x14ac:dyDescent="0.55000000000000004">
      <c r="B22" s="41" t="str">
        <f t="shared" si="2"/>
        <v>INSTRUMENT_IMPRMNT_STTS</v>
      </c>
      <c r="C22" s="152" t="s">
        <v>206</v>
      </c>
      <c r="D22" s="145" t="s">
        <v>5</v>
      </c>
      <c r="E22" s="146" t="s">
        <v>10</v>
      </c>
      <c r="F22" s="147"/>
      <c r="G22" s="147"/>
      <c r="H22" s="145"/>
      <c r="I22" s="148">
        <f t="shared" si="3"/>
        <v>8.7499999999999994E-2</v>
      </c>
      <c r="J22" s="144">
        <f>SUMIF(Aux!B:B,Macro_Plano_2025_v1!B22,Aux!I:I)+SUMIF(Aux!B:B,Macro_Plano_2025_v1!B22,Aux!O:O)</f>
        <v>3.5</v>
      </c>
      <c r="K22" s="28"/>
      <c r="L22" s="44"/>
      <c r="M22" s="73" t="e">
        <f>M17-SUM(M18:M21)</f>
        <v>#REF!</v>
      </c>
      <c r="N22" s="44" t="e">
        <f>(J22/8)-M22</f>
        <v>#REF!</v>
      </c>
      <c r="O22" s="44"/>
      <c r="P22" s="44"/>
      <c r="Q22" s="44"/>
      <c r="R22" s="44"/>
      <c r="S22" s="44"/>
      <c r="T22" s="44"/>
      <c r="U22" s="44"/>
      <c r="V22" s="44"/>
    </row>
    <row r="23" spans="2:22" outlineLevel="1" x14ac:dyDescent="0.55000000000000004">
      <c r="B23" s="41" t="str">
        <f t="shared" si="2"/>
        <v>INSTRUMENT_PRFRMNG_STTS</v>
      </c>
      <c r="C23" s="152" t="s">
        <v>207</v>
      </c>
      <c r="D23" s="145" t="s">
        <v>5</v>
      </c>
      <c r="E23" s="146" t="s">
        <v>11</v>
      </c>
      <c r="F23" s="147"/>
      <c r="G23" s="147"/>
      <c r="H23" s="145"/>
      <c r="I23" s="148">
        <f t="shared" si="3"/>
        <v>8.7499999999999994E-2</v>
      </c>
      <c r="J23" s="144">
        <f>SUMIF(Aux!B:B,Macro_Plano_2025_v1!B23,Aux!I:I)+SUMIF(Aux!B:B,Macro_Plano_2025_v1!B23,Aux!O:O)</f>
        <v>3.5</v>
      </c>
      <c r="K23" s="28"/>
      <c r="L23" s="44"/>
      <c r="M23" s="44"/>
      <c r="N23" s="44">
        <f>J23/8</f>
        <v>0.4375</v>
      </c>
      <c r="O23" s="44"/>
      <c r="P23" s="44"/>
      <c r="Q23" s="44"/>
      <c r="R23" s="44"/>
      <c r="S23" s="44"/>
      <c r="T23" s="44"/>
      <c r="U23" s="44"/>
      <c r="V23" s="44"/>
    </row>
    <row r="24" spans="2:22" outlineLevel="1" x14ac:dyDescent="0.55000000000000004">
      <c r="B24" s="41" t="str">
        <f t="shared" si="2"/>
        <v>INSTRUMENT_TYP_INSTRMNT</v>
      </c>
      <c r="C24" s="152" t="s">
        <v>208</v>
      </c>
      <c r="D24" s="145" t="s">
        <v>5</v>
      </c>
      <c r="E24" s="146" t="s">
        <v>12</v>
      </c>
      <c r="F24" s="147"/>
      <c r="G24" s="147"/>
      <c r="H24" s="145"/>
      <c r="I24" s="148">
        <f t="shared" si="3"/>
        <v>8.7499999999999994E-2</v>
      </c>
      <c r="J24" s="144">
        <f>SUMIF(Aux!B:B,Macro_Plano_2025_v1!B24,Aux!I:I)+SUMIF(Aux!B:B,Macro_Plano_2025_v1!B24,Aux!O:O)</f>
        <v>3.5</v>
      </c>
      <c r="K24" s="28"/>
      <c r="L24" s="44"/>
      <c r="M24" s="44"/>
      <c r="N24" s="44">
        <f t="shared" ref="N24:N40" si="5">J24/8</f>
        <v>0.4375</v>
      </c>
      <c r="O24" s="44"/>
      <c r="P24" s="44"/>
      <c r="Q24" s="44"/>
      <c r="R24" s="44"/>
      <c r="S24" s="44"/>
      <c r="T24" s="44"/>
      <c r="U24" s="44"/>
      <c r="V24" s="44"/>
    </row>
    <row r="25" spans="2:22" outlineLevel="1" x14ac:dyDescent="0.55000000000000004">
      <c r="B25" s="41" t="str">
        <f t="shared" si="2"/>
        <v>INSTRUMENT_GRSS_CRRYNG_AMNT_INSTRMNT</v>
      </c>
      <c r="C25" s="152" t="s">
        <v>209</v>
      </c>
      <c r="D25" s="145" t="s">
        <v>5</v>
      </c>
      <c r="E25" s="146" t="s">
        <v>13</v>
      </c>
      <c r="F25" s="147"/>
      <c r="G25" s="147"/>
      <c r="H25" s="145"/>
      <c r="I25" s="148">
        <f t="shared" si="3"/>
        <v>8.7499999999999994E-2</v>
      </c>
      <c r="J25" s="144">
        <f>SUMIF(Aux!B:B,Macro_Plano_2025_v1!B25,Aux!I:I)+SUMIF(Aux!B:B,Macro_Plano_2025_v1!B25,Aux!O:O)</f>
        <v>3.5</v>
      </c>
      <c r="K25" s="28"/>
      <c r="L25" s="44"/>
      <c r="M25" s="44"/>
      <c r="N25" s="44">
        <f t="shared" si="5"/>
        <v>0.4375</v>
      </c>
      <c r="O25" s="44"/>
      <c r="P25" s="44"/>
      <c r="Q25" s="44"/>
      <c r="R25" s="44"/>
      <c r="S25" s="44"/>
      <c r="T25" s="44"/>
      <c r="U25" s="44"/>
      <c r="V25" s="44"/>
    </row>
    <row r="26" spans="2:22" outlineLevel="1" x14ac:dyDescent="0.55000000000000004">
      <c r="B26" s="41" t="str">
        <f t="shared" si="2"/>
        <v>INSTRUMENT_ACCMLTD_CHNGS_FV_CR_INSTRMNT</v>
      </c>
      <c r="C26" s="152" t="s">
        <v>210</v>
      </c>
      <c r="D26" s="145" t="s">
        <v>5</v>
      </c>
      <c r="E26" s="146" t="s">
        <v>14</v>
      </c>
      <c r="F26" s="147"/>
      <c r="G26" s="147"/>
      <c r="H26" s="145"/>
      <c r="I26" s="148">
        <f t="shared" si="3"/>
        <v>8.7499999999999994E-2</v>
      </c>
      <c r="J26" s="144">
        <f>SUMIF(Aux!B:B,Macro_Plano_2025_v1!B26,Aux!I:I)+SUMIF(Aux!B:B,Macro_Plano_2025_v1!B26,Aux!O:O)</f>
        <v>3.5</v>
      </c>
      <c r="K26" s="28"/>
      <c r="L26" s="44"/>
      <c r="M26" s="44"/>
      <c r="N26" s="44">
        <f t="shared" si="5"/>
        <v>0.4375</v>
      </c>
      <c r="O26" s="44"/>
      <c r="P26" s="44"/>
      <c r="Q26" s="44"/>
      <c r="R26" s="44"/>
      <c r="S26" s="44"/>
      <c r="T26" s="44"/>
      <c r="U26" s="44"/>
      <c r="V26" s="44"/>
    </row>
    <row r="27" spans="2:22" outlineLevel="1" x14ac:dyDescent="0.55000000000000004">
      <c r="B27" s="41" t="str">
        <f t="shared" si="2"/>
        <v>INSTRUMENT_ACCNTNG_CLSSFCTN</v>
      </c>
      <c r="C27" s="152" t="s">
        <v>211</v>
      </c>
      <c r="D27" s="145" t="s">
        <v>5</v>
      </c>
      <c r="E27" s="146" t="s">
        <v>15</v>
      </c>
      <c r="F27" s="147"/>
      <c r="G27" s="147"/>
      <c r="H27" s="145"/>
      <c r="I27" s="148">
        <f t="shared" si="3"/>
        <v>8.7499999999999994E-2</v>
      </c>
      <c r="J27" s="144">
        <f>SUMIF(Aux!B:B,Macro_Plano_2025_v1!B27,Aux!I:I)+SUMIF(Aux!B:B,Macro_Plano_2025_v1!B27,Aux!O:O)</f>
        <v>3.5</v>
      </c>
      <c r="K27" s="28"/>
      <c r="L27" s="44"/>
      <c r="M27" s="44"/>
      <c r="N27" s="44">
        <f t="shared" si="5"/>
        <v>0.4375</v>
      </c>
      <c r="O27" s="44"/>
      <c r="P27" s="44"/>
      <c r="Q27" s="44"/>
      <c r="R27" s="44"/>
      <c r="S27" s="44"/>
      <c r="T27" s="44"/>
      <c r="U27" s="44"/>
      <c r="V27" s="44"/>
    </row>
    <row r="28" spans="2:22" outlineLevel="1" x14ac:dyDescent="0.55000000000000004">
      <c r="B28" s="41" t="str">
        <f t="shared" si="2"/>
        <v>INSTRUMENT_OFF_BLNC_SHT_AMNT_INSTRMNT</v>
      </c>
      <c r="C28" s="152" t="s">
        <v>212</v>
      </c>
      <c r="D28" s="145" t="s">
        <v>5</v>
      </c>
      <c r="E28" s="146" t="s">
        <v>16</v>
      </c>
      <c r="F28" s="147"/>
      <c r="G28" s="147"/>
      <c r="H28" s="145"/>
      <c r="I28" s="148">
        <f t="shared" si="3"/>
        <v>8.7499999999999994E-2</v>
      </c>
      <c r="J28" s="144">
        <f>SUMIF(Aux!B:B,Macro_Plano_2025_v1!B28,Aux!I:I)+SUMIF(Aux!B:B,Macro_Plano_2025_v1!B28,Aux!O:O)</f>
        <v>3.5</v>
      </c>
      <c r="K28" s="28"/>
      <c r="L28" s="44"/>
      <c r="M28" s="44"/>
      <c r="N28" s="44">
        <f t="shared" si="5"/>
        <v>0.4375</v>
      </c>
      <c r="O28" s="44"/>
      <c r="P28" s="44"/>
      <c r="Q28" s="44"/>
      <c r="R28" s="44"/>
      <c r="S28" s="44"/>
      <c r="T28" s="44"/>
      <c r="U28" s="44"/>
      <c r="V28" s="44"/>
    </row>
    <row r="29" spans="2:22" outlineLevel="1" x14ac:dyDescent="0.55000000000000004">
      <c r="B29" s="41" t="str">
        <f t="shared" si="2"/>
        <v>INSTRUMENT_PRVSNS_OFF_BLNC_SHT</v>
      </c>
      <c r="C29" s="152" t="s">
        <v>213</v>
      </c>
      <c r="D29" s="145" t="s">
        <v>5</v>
      </c>
      <c r="E29" s="146" t="s">
        <v>17</v>
      </c>
      <c r="F29" s="147"/>
      <c r="G29" s="147"/>
      <c r="H29" s="145"/>
      <c r="I29" s="148">
        <f t="shared" si="3"/>
        <v>8.7499999999999994E-2</v>
      </c>
      <c r="J29" s="144">
        <f>SUMIF(Aux!B:B,Macro_Plano_2025_v1!B29,Aux!I:I)+SUMIF(Aux!B:B,Macro_Plano_2025_v1!B29,Aux!O:O)</f>
        <v>3.5</v>
      </c>
      <c r="K29" s="28"/>
      <c r="L29" s="44"/>
      <c r="M29" s="44"/>
      <c r="N29" s="44">
        <f t="shared" si="5"/>
        <v>0.4375</v>
      </c>
      <c r="O29" s="44"/>
      <c r="P29" s="44"/>
      <c r="Q29" s="44"/>
      <c r="R29" s="44"/>
      <c r="S29" s="44"/>
      <c r="T29" s="44"/>
      <c r="U29" s="44"/>
      <c r="V29" s="44"/>
    </row>
    <row r="30" spans="2:22" outlineLevel="1" x14ac:dyDescent="0.55000000000000004">
      <c r="B30" s="41" t="str">
        <f t="shared" si="2"/>
        <v>INSTRUMENT_RWA</v>
      </c>
      <c r="C30" s="152" t="s">
        <v>214</v>
      </c>
      <c r="D30" s="145" t="s">
        <v>5</v>
      </c>
      <c r="E30" s="146" t="s">
        <v>18</v>
      </c>
      <c r="F30" s="147"/>
      <c r="G30" s="147"/>
      <c r="H30" s="145"/>
      <c r="I30" s="148">
        <f t="shared" si="3"/>
        <v>8.7499999999999994E-2</v>
      </c>
      <c r="J30" s="144">
        <f>SUMIF(Aux!B:B,Macro_Plano_2025_v1!B30,Aux!I:I)+SUMIF(Aux!B:B,Macro_Plano_2025_v1!B30,Aux!O:O)</f>
        <v>3.5</v>
      </c>
      <c r="K30" s="28"/>
      <c r="L30" s="44"/>
      <c r="M30" s="44"/>
      <c r="N30" s="44">
        <f t="shared" si="5"/>
        <v>0.4375</v>
      </c>
      <c r="O30" s="44"/>
      <c r="P30" s="44"/>
      <c r="Q30" s="44"/>
      <c r="R30" s="44"/>
      <c r="S30" s="44"/>
      <c r="T30" s="44"/>
      <c r="U30" s="44"/>
      <c r="V30" s="44"/>
    </row>
    <row r="31" spans="2:22" outlineLevel="1" x14ac:dyDescent="0.55000000000000004">
      <c r="B31" s="41" t="str">
        <f t="shared" si="2"/>
        <v>INSTRUMENT_ACCMLTD_IMPRMNT_INSTRMNT</v>
      </c>
      <c r="C31" s="152" t="s">
        <v>215</v>
      </c>
      <c r="D31" s="145" t="s">
        <v>5</v>
      </c>
      <c r="E31" s="146" t="s">
        <v>19</v>
      </c>
      <c r="F31" s="147"/>
      <c r="G31" s="147"/>
      <c r="H31" s="145"/>
      <c r="I31" s="148">
        <f t="shared" si="3"/>
        <v>8.7499999999999994E-2</v>
      </c>
      <c r="J31" s="144">
        <f>SUMIF(Aux!B:B,Macro_Plano_2025_v1!B31,Aux!I:I)+SUMIF(Aux!B:B,Macro_Plano_2025_v1!B31,Aux!O:O)</f>
        <v>3.5</v>
      </c>
      <c r="K31" s="28"/>
      <c r="L31" s="44"/>
      <c r="M31" s="44"/>
      <c r="N31" s="44">
        <f t="shared" si="5"/>
        <v>0.4375</v>
      </c>
      <c r="O31" s="44"/>
      <c r="P31" s="44"/>
      <c r="Q31" s="44"/>
      <c r="R31" s="44"/>
      <c r="S31" s="44"/>
      <c r="T31" s="44"/>
      <c r="U31" s="44"/>
      <c r="V31" s="44"/>
    </row>
    <row r="32" spans="2:22" outlineLevel="1" x14ac:dyDescent="0.55000000000000004">
      <c r="B32" s="41" t="str">
        <f t="shared" si="2"/>
        <v>INSTRUMENT_COD_SOC_INTRGRP</v>
      </c>
      <c r="C32" s="152" t="s">
        <v>216</v>
      </c>
      <c r="D32" s="145" t="s">
        <v>5</v>
      </c>
      <c r="E32" s="146" t="s">
        <v>20</v>
      </c>
      <c r="F32" s="147"/>
      <c r="G32" s="147"/>
      <c r="H32" s="145"/>
      <c r="I32" s="148">
        <f t="shared" si="3"/>
        <v>8.7499999999999994E-2</v>
      </c>
      <c r="J32" s="144">
        <f>SUMIF(Aux!B:B,Macro_Plano_2025_v1!B32,Aux!I:I)+SUMIF(Aux!B:B,Macro_Plano_2025_v1!B32,Aux!O:O)</f>
        <v>3.5</v>
      </c>
      <c r="K32" s="28"/>
      <c r="L32" s="44"/>
      <c r="M32" s="44"/>
      <c r="N32" s="44">
        <f t="shared" si="5"/>
        <v>0.4375</v>
      </c>
      <c r="O32" s="44"/>
      <c r="P32" s="44"/>
      <c r="Q32" s="44"/>
      <c r="R32" s="44"/>
      <c r="S32" s="44"/>
      <c r="T32" s="44"/>
      <c r="U32" s="44"/>
      <c r="V32" s="44"/>
    </row>
    <row r="33" spans="2:22" outlineLevel="1" x14ac:dyDescent="0.55000000000000004">
      <c r="B33" s="41" t="str">
        <f t="shared" si="2"/>
        <v>INSTRUMENT_LCL_INSTMRNT_ID</v>
      </c>
      <c r="C33" s="152" t="s">
        <v>217</v>
      </c>
      <c r="D33" s="145" t="s">
        <v>5</v>
      </c>
      <c r="E33" s="146" t="s">
        <v>21</v>
      </c>
      <c r="F33" s="147"/>
      <c r="G33" s="147"/>
      <c r="H33" s="145"/>
      <c r="I33" s="148">
        <f t="shared" si="3"/>
        <v>8.7499999999999994E-2</v>
      </c>
      <c r="J33" s="144">
        <f>SUMIF(Aux!B:B,Macro_Plano_2025_v1!B33,Aux!I:I)+SUMIF(Aux!B:B,Macro_Plano_2025_v1!B33,Aux!O:O)</f>
        <v>3.5</v>
      </c>
      <c r="K33" s="28"/>
      <c r="L33" s="44"/>
      <c r="M33" s="44"/>
      <c r="N33" s="44">
        <f t="shared" si="5"/>
        <v>0.4375</v>
      </c>
      <c r="O33" s="44"/>
      <c r="P33" s="44"/>
      <c r="Q33" s="44"/>
      <c r="R33" s="44"/>
      <c r="S33" s="44"/>
      <c r="T33" s="44"/>
      <c r="U33" s="44"/>
      <c r="V33" s="44"/>
    </row>
    <row r="34" spans="2:22" outlineLevel="1" x14ac:dyDescent="0.55000000000000004">
      <c r="B34" s="41" t="str">
        <f t="shared" si="2"/>
        <v>INSTRUMENT_FLG_INTRBSNSS</v>
      </c>
      <c r="C34" s="152" t="s">
        <v>218</v>
      </c>
      <c r="D34" s="145" t="s">
        <v>5</v>
      </c>
      <c r="E34" s="146" t="s">
        <v>22</v>
      </c>
      <c r="F34" s="147"/>
      <c r="G34" s="147"/>
      <c r="H34" s="145"/>
      <c r="I34" s="148">
        <f t="shared" si="3"/>
        <v>0.1</v>
      </c>
      <c r="J34" s="144">
        <f>SUMIF(Aux!B:B,Macro_Plano_2025_v1!B34,Aux!I:I)+SUMIF(Aux!B:B,Macro_Plano_2025_v1!B34,Aux!O:O)</f>
        <v>4</v>
      </c>
      <c r="K34" s="28"/>
      <c r="L34" s="44"/>
      <c r="M34" s="44"/>
      <c r="N34" s="44">
        <f t="shared" si="5"/>
        <v>0.5</v>
      </c>
      <c r="O34" s="44"/>
      <c r="P34" s="44"/>
      <c r="Q34" s="44"/>
      <c r="R34" s="44"/>
      <c r="S34" s="44"/>
      <c r="T34" s="44"/>
      <c r="U34" s="44"/>
      <c r="V34" s="44"/>
    </row>
    <row r="35" spans="2:22" outlineLevel="1" x14ac:dyDescent="0.55000000000000004">
      <c r="B35" s="41" t="str">
        <f t="shared" si="2"/>
        <v>INSTRUMENT_INTRBSNSS_ADJ_COD</v>
      </c>
      <c r="C35" s="152" t="s">
        <v>219</v>
      </c>
      <c r="D35" s="145" t="s">
        <v>5</v>
      </c>
      <c r="E35" s="146" t="s">
        <v>23</v>
      </c>
      <c r="F35" s="147"/>
      <c r="G35" s="147"/>
      <c r="H35" s="145"/>
      <c r="I35" s="148">
        <f t="shared" si="3"/>
        <v>0.1</v>
      </c>
      <c r="J35" s="144">
        <f>SUMIF(Aux!B:B,Macro_Plano_2025_v1!B35,Aux!I:I)+SUMIF(Aux!B:B,Macro_Plano_2025_v1!B35,Aux!O:O)</f>
        <v>4</v>
      </c>
      <c r="K35" s="28"/>
      <c r="L35" s="44"/>
      <c r="M35" s="44"/>
      <c r="N35" s="44">
        <f t="shared" si="5"/>
        <v>0.5</v>
      </c>
      <c r="O35" s="44"/>
      <c r="P35" s="44"/>
      <c r="Q35" s="44"/>
      <c r="R35" s="44"/>
      <c r="S35" s="44"/>
      <c r="T35" s="44"/>
      <c r="U35" s="44"/>
      <c r="V35" s="44"/>
    </row>
    <row r="36" spans="2:22" outlineLevel="1" x14ac:dyDescent="0.55000000000000004">
      <c r="B36" s="41" t="str">
        <f t="shared" si="2"/>
        <v>INSTRUMENT_COD_SOC_DSTNTN</v>
      </c>
      <c r="C36" s="152" t="s">
        <v>220</v>
      </c>
      <c r="D36" s="145" t="s">
        <v>5</v>
      </c>
      <c r="E36" s="146" t="s">
        <v>24</v>
      </c>
      <c r="F36" s="147"/>
      <c r="G36" s="147"/>
      <c r="H36" s="145"/>
      <c r="I36" s="148">
        <f t="shared" si="3"/>
        <v>8.7499999999999994E-2</v>
      </c>
      <c r="J36" s="144">
        <f>SUMIF(Aux!B:B,Macro_Plano_2025_v1!B36,Aux!I:I)+SUMIF(Aux!B:B,Macro_Plano_2025_v1!B36,Aux!O:O)</f>
        <v>3.5</v>
      </c>
      <c r="K36" s="28"/>
      <c r="L36" s="44"/>
      <c r="M36" s="44"/>
      <c r="N36" s="44">
        <f t="shared" si="5"/>
        <v>0.4375</v>
      </c>
      <c r="O36" s="44"/>
      <c r="P36" s="44"/>
      <c r="Q36" s="44"/>
      <c r="R36" s="44"/>
      <c r="S36" s="44"/>
      <c r="T36" s="44"/>
      <c r="U36" s="44"/>
      <c r="V36" s="44"/>
    </row>
    <row r="37" spans="2:22" outlineLevel="1" x14ac:dyDescent="0.55000000000000004">
      <c r="B37" s="41" t="str">
        <f t="shared" si="2"/>
        <v>INSTRUMENT_BSNSS_AREA_DSTNTN</v>
      </c>
      <c r="C37" s="152" t="s">
        <v>221</v>
      </c>
      <c r="D37" s="145" t="s">
        <v>5</v>
      </c>
      <c r="E37" s="146" t="s">
        <v>25</v>
      </c>
      <c r="F37" s="147"/>
      <c r="G37" s="147"/>
      <c r="H37" s="145"/>
      <c r="I37" s="148">
        <f t="shared" si="3"/>
        <v>0.1</v>
      </c>
      <c r="J37" s="144">
        <f>SUMIF(Aux!B:B,Macro_Plano_2025_v1!B37,Aux!I:I)+SUMIF(Aux!B:B,Macro_Plano_2025_v1!B37,Aux!O:O)</f>
        <v>4</v>
      </c>
      <c r="K37" s="28"/>
      <c r="L37" s="44"/>
      <c r="M37" s="44"/>
      <c r="N37" s="44">
        <f t="shared" si="5"/>
        <v>0.5</v>
      </c>
      <c r="O37" s="44"/>
      <c r="P37" s="44"/>
      <c r="Q37" s="44"/>
      <c r="R37" s="44"/>
      <c r="S37" s="44"/>
      <c r="T37" s="44"/>
      <c r="U37" s="44"/>
      <c r="V37" s="44"/>
    </row>
    <row r="38" spans="2:22" outlineLevel="1" x14ac:dyDescent="0.55000000000000004">
      <c r="B38" s="41" t="str">
        <f t="shared" si="2"/>
        <v>INSTRUMENT_INTRNL_TRNSFR_RT_OFF_BLNC</v>
      </c>
      <c r="C38" s="152" t="s">
        <v>222</v>
      </c>
      <c r="D38" s="145" t="s">
        <v>5</v>
      </c>
      <c r="E38" s="146" t="s">
        <v>26</v>
      </c>
      <c r="F38" s="147"/>
      <c r="G38" s="147"/>
      <c r="H38" s="145"/>
      <c r="I38" s="148">
        <f t="shared" si="3"/>
        <v>8.7499999999999994E-2</v>
      </c>
      <c r="J38" s="144">
        <f>SUMIF(Aux!B:B,Macro_Plano_2025_v1!B38,Aux!I:I)+SUMIF(Aux!B:B,Macro_Plano_2025_v1!B38,Aux!O:O)</f>
        <v>3.5</v>
      </c>
      <c r="K38" s="28"/>
      <c r="L38" s="44"/>
      <c r="M38" s="44"/>
      <c r="N38" s="44">
        <f t="shared" si="5"/>
        <v>0.4375</v>
      </c>
      <c r="O38" s="44"/>
      <c r="P38" s="44"/>
      <c r="Q38" s="44"/>
      <c r="R38" s="44"/>
      <c r="S38" s="44"/>
      <c r="T38" s="44"/>
      <c r="U38" s="44"/>
      <c r="V38" s="44"/>
    </row>
    <row r="39" spans="2:22" outlineLevel="1" x14ac:dyDescent="0.55000000000000004">
      <c r="B39" s="41" t="str">
        <f t="shared" si="2"/>
        <v>INSTRUMENT_IDCMB</v>
      </c>
      <c r="C39" s="152" t="s">
        <v>223</v>
      </c>
      <c r="D39" s="145" t="s">
        <v>5</v>
      </c>
      <c r="E39" s="146" t="s">
        <v>27</v>
      </c>
      <c r="F39" s="147"/>
      <c r="G39" s="147"/>
      <c r="H39" s="145"/>
      <c r="I39" s="148">
        <f t="shared" si="3"/>
        <v>8.7499999999999994E-2</v>
      </c>
      <c r="J39" s="144">
        <f>SUMIF(Aux!B:B,Macro_Plano_2025_v1!B39,Aux!I:I)+SUMIF(Aux!B:B,Macro_Plano_2025_v1!B39,Aux!O:O)</f>
        <v>3.5</v>
      </c>
      <c r="K39" s="28"/>
      <c r="L39" s="44"/>
      <c r="M39" s="44"/>
      <c r="N39" s="44">
        <f t="shared" si="5"/>
        <v>0.4375</v>
      </c>
      <c r="O39" s="44"/>
      <c r="P39" s="44"/>
      <c r="Q39" s="44"/>
      <c r="R39" s="44"/>
      <c r="S39" s="44"/>
      <c r="T39" s="44"/>
      <c r="U39" s="44"/>
      <c r="V39" s="44"/>
    </row>
    <row r="40" spans="2:22" outlineLevel="1" x14ac:dyDescent="0.55000000000000004">
      <c r="B40" s="41" t="str">
        <f t="shared" si="2"/>
        <v>INSTRUMENT_RWA_OFF_BLNC</v>
      </c>
      <c r="C40" s="152" t="s">
        <v>224</v>
      </c>
      <c r="D40" s="145" t="s">
        <v>5</v>
      </c>
      <c r="E40" s="146" t="s">
        <v>28</v>
      </c>
      <c r="F40" s="147"/>
      <c r="G40" s="147"/>
      <c r="H40" s="145"/>
      <c r="I40" s="148">
        <f t="shared" si="3"/>
        <v>8.7499999999999994E-2</v>
      </c>
      <c r="J40" s="144">
        <f>SUMIF(Aux!B:B,Macro_Plano_2025_v1!B40,Aux!I:I)+SUMIF(Aux!B:B,Macro_Plano_2025_v1!B40,Aux!O:O)</f>
        <v>3.5</v>
      </c>
      <c r="K40" s="28"/>
      <c r="L40" s="44"/>
      <c r="M40" s="44"/>
      <c r="N40" s="44">
        <f t="shared" si="5"/>
        <v>0.4375</v>
      </c>
      <c r="O40" s="44"/>
      <c r="P40" s="44"/>
      <c r="Q40" s="44"/>
      <c r="R40" s="44"/>
      <c r="S40" s="44"/>
      <c r="T40" s="44"/>
      <c r="U40" s="44"/>
      <c r="V40" s="44"/>
    </row>
    <row r="41" spans="2:22" ht="3" customHeight="1" outlineLevel="1" x14ac:dyDescent="0.55000000000000004">
      <c r="B41" s="41"/>
      <c r="C41" s="154"/>
      <c r="D41" s="130"/>
      <c r="E41" s="131"/>
      <c r="F41" s="126"/>
      <c r="G41" s="126"/>
      <c r="H41" s="130"/>
      <c r="I41" s="132"/>
      <c r="J41" s="128"/>
      <c r="K41" s="2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</row>
    <row r="42" spans="2:22" x14ac:dyDescent="0.35">
      <c r="B42" s="19"/>
      <c r="C42" s="129" t="s">
        <v>225</v>
      </c>
      <c r="D42" s="123" t="s">
        <v>290</v>
      </c>
      <c r="E42" s="107"/>
      <c r="F42" s="105"/>
      <c r="G42" s="105"/>
      <c r="H42" s="109">
        <f>COUNTA(E43:E56)</f>
        <v>14</v>
      </c>
      <c r="I42" s="109" t="e">
        <f>+SUM(I43:I56)</f>
        <v>#REF!</v>
      </c>
      <c r="J42" s="116" t="e">
        <f>SUM(J43:J56)</f>
        <v>#REF!</v>
      </c>
      <c r="K42" s="28"/>
      <c r="L42" s="44"/>
      <c r="M42" s="44"/>
      <c r="N42" s="102" t="e">
        <f>SUM(#REF!)</f>
        <v>#REF!</v>
      </c>
      <c r="O42" s="102" t="e">
        <f>SUM(#REF!)</f>
        <v>#REF!</v>
      </c>
      <c r="P42" s="99"/>
      <c r="Q42" s="99"/>
      <c r="R42" s="99"/>
      <c r="S42" s="99"/>
      <c r="T42" s="99"/>
      <c r="U42" s="99"/>
      <c r="V42" s="99"/>
    </row>
    <row r="43" spans="2:22" ht="16.5" outlineLevel="1" x14ac:dyDescent="0.35">
      <c r="B43" s="41" t="str">
        <f t="shared" si="2"/>
        <v>INSTRUMENT_CCF</v>
      </c>
      <c r="C43" s="155" t="s">
        <v>226</v>
      </c>
      <c r="D43" s="140" t="s">
        <v>5</v>
      </c>
      <c r="E43" s="141" t="s">
        <v>33</v>
      </c>
      <c r="F43" s="142"/>
      <c r="G43" s="142"/>
      <c r="H43" s="140"/>
      <c r="I43" s="140" t="e">
        <f>J43/8/5</f>
        <v>#REF!</v>
      </c>
      <c r="J43" s="144" t="e">
        <f>SUMIF(#REF!,Macro_Plano_2025_v1!B43,#REF!)</f>
        <v>#REF!</v>
      </c>
      <c r="K43" s="28"/>
      <c r="L43" s="44"/>
      <c r="M43" s="44"/>
      <c r="N43" s="44" t="e">
        <f>J43/8</f>
        <v>#REF!</v>
      </c>
      <c r="O43" s="44"/>
      <c r="P43" s="99"/>
      <c r="Q43" s="99"/>
      <c r="R43" s="99"/>
      <c r="S43" s="99"/>
      <c r="T43" s="99"/>
      <c r="U43" s="99"/>
      <c r="V43" s="99"/>
    </row>
    <row r="44" spans="2:22" ht="16.5" outlineLevel="1" x14ac:dyDescent="0.35">
      <c r="B44" s="41" t="str">
        <f t="shared" si="2"/>
        <v>INSTRUMENT_EAD</v>
      </c>
      <c r="C44" s="152" t="s">
        <v>227</v>
      </c>
      <c r="D44" s="145" t="s">
        <v>5</v>
      </c>
      <c r="E44" s="146" t="s">
        <v>34</v>
      </c>
      <c r="F44" s="147"/>
      <c r="G44" s="147"/>
      <c r="H44" s="145"/>
      <c r="I44" s="145" t="e">
        <f t="shared" ref="I44:I56" si="6">J44/8/5</f>
        <v>#REF!</v>
      </c>
      <c r="J44" s="149" t="e">
        <f>SUMIF(#REF!,Macro_Plano_2025_v1!B44,#REF!)</f>
        <v>#REF!</v>
      </c>
      <c r="K44" s="28"/>
      <c r="L44" s="44"/>
      <c r="M44" s="44"/>
      <c r="N44" s="44" t="e">
        <f t="shared" ref="N44:N55" si="7">J44/8</f>
        <v>#REF!</v>
      </c>
      <c r="O44" s="44"/>
      <c r="P44" s="99"/>
      <c r="Q44" s="99"/>
      <c r="R44" s="99"/>
      <c r="S44" s="99"/>
      <c r="T44" s="99"/>
      <c r="U44" s="99"/>
      <c r="V44" s="99"/>
    </row>
    <row r="45" spans="2:22" ht="16.5" outlineLevel="1" x14ac:dyDescent="0.35">
      <c r="B45" s="41" t="str">
        <f t="shared" si="2"/>
        <v>INSTRUMENT_TYP_OFF_BLNC_PRDCT</v>
      </c>
      <c r="C45" s="152" t="s">
        <v>228</v>
      </c>
      <c r="D45" s="145" t="s">
        <v>5</v>
      </c>
      <c r="E45" s="146" t="s">
        <v>59</v>
      </c>
      <c r="F45" s="147"/>
      <c r="G45" s="147"/>
      <c r="H45" s="145"/>
      <c r="I45" s="145" t="e">
        <f t="shared" si="6"/>
        <v>#REF!</v>
      </c>
      <c r="J45" s="149" t="e">
        <f>SUMIF(#REF!,Macro_Plano_2025_v1!B45,#REF!)</f>
        <v>#REF!</v>
      </c>
      <c r="K45" s="28"/>
      <c r="L45" s="44"/>
      <c r="M45" s="44"/>
      <c r="N45" s="44" t="e">
        <f t="shared" si="7"/>
        <v>#REF!</v>
      </c>
      <c r="O45" s="44"/>
      <c r="P45" s="99"/>
      <c r="Q45" s="99"/>
      <c r="R45" s="99"/>
      <c r="S45" s="99"/>
      <c r="T45" s="99"/>
      <c r="U45" s="99"/>
      <c r="V45" s="99"/>
    </row>
    <row r="46" spans="2:22" ht="16.5" outlineLevel="1" x14ac:dyDescent="0.35">
      <c r="B46" s="41" t="str">
        <f t="shared" si="2"/>
        <v>INSTR_PROTECTION_COD_SOC</v>
      </c>
      <c r="C46" s="152" t="s">
        <v>229</v>
      </c>
      <c r="D46" s="145" t="s">
        <v>60</v>
      </c>
      <c r="E46" s="146" t="s">
        <v>6</v>
      </c>
      <c r="F46" s="147"/>
      <c r="G46" s="147"/>
      <c r="H46" s="145"/>
      <c r="I46" s="145" t="e">
        <f t="shared" si="6"/>
        <v>#REF!</v>
      </c>
      <c r="J46" s="149" t="e">
        <f>SUMIF(#REF!,Macro_Plano_2025_v1!B46,#REF!)</f>
        <v>#REF!</v>
      </c>
      <c r="K46" s="28"/>
      <c r="L46" s="44"/>
      <c r="M46" s="44"/>
      <c r="N46" s="44" t="e">
        <f t="shared" si="7"/>
        <v>#REF!</v>
      </c>
      <c r="O46" s="44"/>
      <c r="P46" s="99"/>
      <c r="Q46" s="99"/>
      <c r="R46" s="99"/>
      <c r="S46" s="99"/>
      <c r="T46" s="99"/>
      <c r="U46" s="99"/>
      <c r="V46" s="99"/>
    </row>
    <row r="47" spans="2:22" ht="16.5" outlineLevel="1" x14ac:dyDescent="0.35">
      <c r="B47" s="41" t="str">
        <f t="shared" si="2"/>
        <v>INSTR_PROTECTION_DT_RFRNC</v>
      </c>
      <c r="C47" s="152" t="s">
        <v>230</v>
      </c>
      <c r="D47" s="145" t="s">
        <v>60</v>
      </c>
      <c r="E47" s="146" t="s">
        <v>8</v>
      </c>
      <c r="F47" s="147"/>
      <c r="G47" s="147"/>
      <c r="H47" s="145"/>
      <c r="I47" s="145" t="e">
        <f t="shared" si="6"/>
        <v>#REF!</v>
      </c>
      <c r="J47" s="149" t="e">
        <f>SUMIF(#REF!,Macro_Plano_2025_v1!B47,#REF!)</f>
        <v>#REF!</v>
      </c>
      <c r="K47" s="28"/>
      <c r="L47" s="44"/>
      <c r="M47" s="44"/>
      <c r="N47" s="44" t="e">
        <f t="shared" si="7"/>
        <v>#REF!</v>
      </c>
      <c r="O47" s="44"/>
      <c r="P47" s="99"/>
      <c r="Q47" s="99"/>
      <c r="R47" s="99"/>
      <c r="S47" s="99"/>
      <c r="T47" s="99"/>
      <c r="U47" s="99"/>
      <c r="V47" s="99"/>
    </row>
    <row r="48" spans="2:22" ht="16.5" outlineLevel="1" x14ac:dyDescent="0.35">
      <c r="B48" s="41" t="str">
        <f t="shared" si="2"/>
        <v>INSTR_PROTECTION_INSTRMNT_ID</v>
      </c>
      <c r="C48" s="152" t="s">
        <v>231</v>
      </c>
      <c r="D48" s="145" t="s">
        <v>60</v>
      </c>
      <c r="E48" s="146" t="s">
        <v>32</v>
      </c>
      <c r="F48" s="147"/>
      <c r="G48" s="147"/>
      <c r="H48" s="145"/>
      <c r="I48" s="145" t="e">
        <f t="shared" si="6"/>
        <v>#REF!</v>
      </c>
      <c r="J48" s="149" t="e">
        <f>SUMIF(#REF!,Macro_Plano_2025_v1!B48,#REF!)</f>
        <v>#REF!</v>
      </c>
      <c r="K48" s="28"/>
      <c r="L48" s="44"/>
      <c r="M48" s="44"/>
      <c r="N48" s="44" t="e">
        <f t="shared" si="7"/>
        <v>#REF!</v>
      </c>
      <c r="O48" s="44"/>
      <c r="P48" s="99"/>
      <c r="Q48" s="99"/>
      <c r="R48" s="99"/>
      <c r="S48" s="99"/>
      <c r="T48" s="99"/>
      <c r="U48" s="99"/>
      <c r="V48" s="99"/>
    </row>
    <row r="49" spans="2:22" ht="16.5" outlineLevel="1" x14ac:dyDescent="0.35">
      <c r="B49" s="41" t="str">
        <f t="shared" si="2"/>
        <v>INSTR_PROTECTION_PRTCTN_ID</v>
      </c>
      <c r="C49" s="152" t="s">
        <v>232</v>
      </c>
      <c r="D49" s="145" t="s">
        <v>60</v>
      </c>
      <c r="E49" s="146" t="s">
        <v>61</v>
      </c>
      <c r="F49" s="147"/>
      <c r="G49" s="147"/>
      <c r="H49" s="145"/>
      <c r="I49" s="145" t="e">
        <f t="shared" si="6"/>
        <v>#REF!</v>
      </c>
      <c r="J49" s="149" t="e">
        <f>SUMIF(#REF!,Macro_Plano_2025_v1!B49,#REF!)</f>
        <v>#REF!</v>
      </c>
      <c r="K49" s="28"/>
      <c r="L49" s="44"/>
      <c r="M49" s="44"/>
      <c r="N49" s="44" t="e">
        <f t="shared" si="7"/>
        <v>#REF!</v>
      </c>
      <c r="O49" s="44"/>
      <c r="P49" s="99"/>
      <c r="Q49" s="99"/>
      <c r="R49" s="99"/>
      <c r="S49" s="99"/>
      <c r="T49" s="99"/>
      <c r="U49" s="99"/>
      <c r="V49" s="99"/>
    </row>
    <row r="50" spans="2:22" ht="16.5" outlineLevel="1" x14ac:dyDescent="0.35">
      <c r="B50" s="41" t="str">
        <f t="shared" si="2"/>
        <v>PROTECTION_COD_SOC</v>
      </c>
      <c r="C50" s="152" t="s">
        <v>233</v>
      </c>
      <c r="D50" s="145" t="s">
        <v>63</v>
      </c>
      <c r="E50" s="146" t="s">
        <v>6</v>
      </c>
      <c r="F50" s="147"/>
      <c r="G50" s="147"/>
      <c r="H50" s="145"/>
      <c r="I50" s="145" t="e">
        <f t="shared" si="6"/>
        <v>#REF!</v>
      </c>
      <c r="J50" s="149" t="e">
        <f>SUMIF(#REF!,Macro_Plano_2025_v1!B50,#REF!)</f>
        <v>#REF!</v>
      </c>
      <c r="K50" s="28"/>
      <c r="L50" s="44"/>
      <c r="M50" s="44"/>
      <c r="N50" s="44" t="e">
        <f t="shared" si="7"/>
        <v>#REF!</v>
      </c>
      <c r="O50" s="44"/>
      <c r="P50" s="99"/>
      <c r="Q50" s="99"/>
      <c r="R50" s="99"/>
      <c r="S50" s="99"/>
      <c r="T50" s="99"/>
      <c r="U50" s="99"/>
      <c r="V50" s="99"/>
    </row>
    <row r="51" spans="2:22" ht="16.5" outlineLevel="1" x14ac:dyDescent="0.35">
      <c r="B51" s="41" t="str">
        <f t="shared" si="2"/>
        <v>PROTECTION_DT_RFRNC</v>
      </c>
      <c r="C51" s="152" t="s">
        <v>234</v>
      </c>
      <c r="D51" s="145" t="s">
        <v>63</v>
      </c>
      <c r="E51" s="146" t="s">
        <v>8</v>
      </c>
      <c r="F51" s="147"/>
      <c r="G51" s="147"/>
      <c r="H51" s="145"/>
      <c r="I51" s="145" t="e">
        <f t="shared" si="6"/>
        <v>#REF!</v>
      </c>
      <c r="J51" s="149" t="e">
        <f>SUMIF(#REF!,Macro_Plano_2025_v1!B51,#REF!)</f>
        <v>#REF!</v>
      </c>
      <c r="K51" s="28"/>
      <c r="L51" s="44"/>
      <c r="M51" s="44"/>
      <c r="N51" s="44" t="e">
        <f t="shared" si="7"/>
        <v>#REF!</v>
      </c>
      <c r="O51" s="44"/>
      <c r="P51" s="99"/>
      <c r="Q51" s="99"/>
      <c r="R51" s="99"/>
      <c r="S51" s="99"/>
      <c r="T51" s="99"/>
      <c r="U51" s="99"/>
      <c r="V51" s="99"/>
    </row>
    <row r="52" spans="2:22" ht="16.5" outlineLevel="1" x14ac:dyDescent="0.35">
      <c r="B52" s="41" t="str">
        <f t="shared" si="2"/>
        <v>PROTECTION_PRTCTN_ID</v>
      </c>
      <c r="C52" s="152" t="s">
        <v>235</v>
      </c>
      <c r="D52" s="145" t="s">
        <v>63</v>
      </c>
      <c r="E52" s="146" t="s">
        <v>61</v>
      </c>
      <c r="F52" s="147"/>
      <c r="G52" s="147"/>
      <c r="H52" s="145"/>
      <c r="I52" s="145" t="e">
        <f t="shared" si="6"/>
        <v>#REF!</v>
      </c>
      <c r="J52" s="149" t="e">
        <f>SUMIF(#REF!,Macro_Plano_2025_v1!B52,#REF!)</f>
        <v>#REF!</v>
      </c>
      <c r="K52" s="28"/>
      <c r="L52" s="44"/>
      <c r="M52" s="44"/>
      <c r="N52" s="44" t="e">
        <f t="shared" si="7"/>
        <v>#REF!</v>
      </c>
      <c r="O52" s="44"/>
      <c r="P52" s="99"/>
      <c r="Q52" s="99"/>
      <c r="R52" s="99"/>
      <c r="S52" s="99"/>
      <c r="T52" s="99"/>
      <c r="U52" s="99"/>
      <c r="V52" s="99"/>
    </row>
    <row r="53" spans="2:22" ht="16.5" outlineLevel="1" x14ac:dyDescent="0.35">
      <c r="B53" s="41" t="str">
        <f t="shared" si="2"/>
        <v>PROTECTION_TYP_PRTCTN</v>
      </c>
      <c r="C53" s="152" t="s">
        <v>236</v>
      </c>
      <c r="D53" s="145" t="s">
        <v>63</v>
      </c>
      <c r="E53" s="146" t="s">
        <v>64</v>
      </c>
      <c r="F53" s="147"/>
      <c r="G53" s="147"/>
      <c r="H53" s="145"/>
      <c r="I53" s="145" t="e">
        <f t="shared" si="6"/>
        <v>#REF!</v>
      </c>
      <c r="J53" s="149" t="e">
        <f>SUMIF(#REF!,Macro_Plano_2025_v1!B53,#REF!)</f>
        <v>#REF!</v>
      </c>
      <c r="K53" s="28"/>
      <c r="L53" s="44"/>
      <c r="M53" s="44"/>
      <c r="N53" s="44" t="e">
        <f t="shared" si="7"/>
        <v>#REF!</v>
      </c>
      <c r="O53" s="44"/>
      <c r="P53" s="99"/>
      <c r="Q53" s="99"/>
      <c r="R53" s="99"/>
      <c r="S53" s="99"/>
      <c r="T53" s="99"/>
      <c r="U53" s="99"/>
      <c r="V53" s="99"/>
    </row>
    <row r="54" spans="2:22" ht="16.5" outlineLevel="1" x14ac:dyDescent="0.35">
      <c r="B54" s="41" t="str">
        <f t="shared" si="2"/>
        <v>PROTECTION_PRTCTN_VL</v>
      </c>
      <c r="C54" s="152" t="s">
        <v>237</v>
      </c>
      <c r="D54" s="145" t="s">
        <v>63</v>
      </c>
      <c r="E54" s="146" t="s">
        <v>65</v>
      </c>
      <c r="F54" s="147"/>
      <c r="G54" s="147"/>
      <c r="H54" s="145"/>
      <c r="I54" s="145" t="e">
        <f t="shared" si="6"/>
        <v>#REF!</v>
      </c>
      <c r="J54" s="149" t="e">
        <f>SUMIF(#REF!,Macro_Plano_2025_v1!B54,#REF!)</f>
        <v>#REF!</v>
      </c>
      <c r="K54" s="28"/>
      <c r="L54" s="44"/>
      <c r="M54" s="44"/>
      <c r="N54" s="44" t="e">
        <f t="shared" si="7"/>
        <v>#REF!</v>
      </c>
      <c r="O54" s="44"/>
      <c r="P54" s="99"/>
      <c r="Q54" s="99"/>
      <c r="R54" s="99"/>
      <c r="S54" s="99"/>
      <c r="T54" s="99"/>
      <c r="U54" s="99"/>
      <c r="V54" s="99"/>
    </row>
    <row r="55" spans="2:22" ht="16.5" outlineLevel="1" x14ac:dyDescent="0.35">
      <c r="B55" s="41" t="str">
        <f t="shared" si="2"/>
        <v>PROTECTION_FLG_ELCTRC_VHCL</v>
      </c>
      <c r="C55" s="152" t="s">
        <v>238</v>
      </c>
      <c r="D55" s="145" t="s">
        <v>63</v>
      </c>
      <c r="E55" s="146" t="s">
        <v>66</v>
      </c>
      <c r="F55" s="147"/>
      <c r="G55" s="147"/>
      <c r="H55" s="145"/>
      <c r="I55" s="145" t="e">
        <f t="shared" si="6"/>
        <v>#REF!</v>
      </c>
      <c r="J55" s="149" t="e">
        <f>SUMIF(#REF!,Macro_Plano_2025_v1!B55,#REF!)</f>
        <v>#REF!</v>
      </c>
      <c r="K55" s="28"/>
      <c r="L55" s="44"/>
      <c r="M55" s="44"/>
      <c r="N55" s="44" t="e">
        <f t="shared" si="7"/>
        <v>#REF!</v>
      </c>
      <c r="O55" s="44"/>
      <c r="P55" s="99"/>
      <c r="Q55" s="99"/>
      <c r="R55" s="99"/>
      <c r="S55" s="99"/>
      <c r="T55" s="99"/>
      <c r="U55" s="99"/>
      <c r="V55" s="99"/>
    </row>
    <row r="56" spans="2:22" ht="16.5" outlineLevel="1" x14ac:dyDescent="0.35">
      <c r="B56" s="41" t="str">
        <f t="shared" si="2"/>
        <v>INSTR_ACTIVITY_PRCNTG_ACTVTY</v>
      </c>
      <c r="C56" s="152" t="s">
        <v>239</v>
      </c>
      <c r="D56" s="145" t="s">
        <v>67</v>
      </c>
      <c r="E56" s="146" t="s">
        <v>69</v>
      </c>
      <c r="F56" s="147"/>
      <c r="G56" s="147"/>
      <c r="H56" s="145"/>
      <c r="I56" s="145" t="e">
        <f t="shared" si="6"/>
        <v>#REF!</v>
      </c>
      <c r="J56" s="149" t="e">
        <f>SUMIF(#REF!,Macro_Plano_2025_v1!B56,#REF!)</f>
        <v>#REF!</v>
      </c>
      <c r="K56" s="28"/>
      <c r="L56" s="44"/>
      <c r="M56" s="44"/>
      <c r="N56" s="44"/>
      <c r="O56" s="44" t="e">
        <f>J56/8</f>
        <v>#REF!</v>
      </c>
      <c r="P56" s="44"/>
      <c r="Q56" s="44"/>
      <c r="R56" s="44"/>
      <c r="S56" s="44"/>
      <c r="T56" s="44"/>
      <c r="U56" s="44"/>
      <c r="V56" s="44"/>
    </row>
    <row r="57" spans="2:22" ht="3" customHeight="1" outlineLevel="1" x14ac:dyDescent="0.35">
      <c r="B57" s="41"/>
      <c r="C57" s="137"/>
      <c r="D57" s="130"/>
      <c r="E57" s="131"/>
      <c r="F57" s="126"/>
      <c r="G57" s="126"/>
      <c r="H57" s="130"/>
      <c r="I57" s="130"/>
      <c r="J57" s="128"/>
      <c r="K57" s="28"/>
      <c r="L57" s="69"/>
      <c r="M57" s="71"/>
      <c r="N57" s="71"/>
      <c r="O57" s="133"/>
      <c r="P57" s="69"/>
      <c r="Q57" s="69"/>
      <c r="R57" s="69"/>
      <c r="S57" s="69"/>
      <c r="T57" s="69"/>
      <c r="U57" s="69"/>
      <c r="V57" s="69"/>
    </row>
    <row r="58" spans="2:22" x14ac:dyDescent="0.35">
      <c r="B58" s="42"/>
      <c r="C58" s="129" t="s">
        <v>240</v>
      </c>
      <c r="D58" s="123" t="s">
        <v>291</v>
      </c>
      <c r="E58" s="150"/>
      <c r="F58" s="166"/>
      <c r="G58" s="166"/>
      <c r="H58" s="167"/>
      <c r="I58" s="167"/>
      <c r="J58" s="167" t="e">
        <f>J59+J60+J106</f>
        <v>#REF!</v>
      </c>
      <c r="K58" s="28"/>
      <c r="L58" s="44"/>
      <c r="M58" s="44"/>
      <c r="N58" s="134"/>
      <c r="O58" s="134"/>
      <c r="P58" s="134"/>
      <c r="Q58" s="44"/>
      <c r="R58" s="44"/>
      <c r="S58" s="44"/>
      <c r="T58" s="44"/>
      <c r="U58" s="44"/>
      <c r="V58" s="44"/>
    </row>
    <row r="59" spans="2:22" x14ac:dyDescent="0.55000000000000004">
      <c r="B59" s="42"/>
      <c r="C59" s="156" t="s">
        <v>241</v>
      </c>
      <c r="D59" s="158"/>
      <c r="E59" s="159" t="s">
        <v>30</v>
      </c>
      <c r="F59" s="142"/>
      <c r="G59" s="142"/>
      <c r="H59" s="157" t="s">
        <v>1</v>
      </c>
      <c r="I59" s="157"/>
      <c r="J59" s="157">
        <v>40</v>
      </c>
      <c r="K59" s="28"/>
      <c r="L59" s="44"/>
      <c r="M59" s="135"/>
      <c r="N59" s="135"/>
      <c r="O59" s="135" t="e">
        <f>SUM(#REF!)</f>
        <v>#REF!</v>
      </c>
      <c r="P59" s="44"/>
      <c r="Q59" s="44"/>
      <c r="R59" s="44"/>
      <c r="S59" s="44"/>
      <c r="T59" s="44"/>
      <c r="U59" s="68"/>
      <c r="V59" s="44"/>
    </row>
    <row r="60" spans="2:22" x14ac:dyDescent="0.55000000000000004">
      <c r="B60" s="42"/>
      <c r="C60" s="160" t="s">
        <v>242</v>
      </c>
      <c r="D60" s="161"/>
      <c r="E60" s="162" t="s">
        <v>187</v>
      </c>
      <c r="F60" s="147"/>
      <c r="G60" s="147"/>
      <c r="H60" s="163">
        <f>COUNTA(E61:E105)</f>
        <v>45</v>
      </c>
      <c r="I60" s="163"/>
      <c r="J60" s="163" t="e">
        <f>SUM(J61:J105)</f>
        <v>#REF!</v>
      </c>
      <c r="K60" s="28"/>
      <c r="L60" s="44"/>
      <c r="M60" s="44"/>
      <c r="N60" s="44"/>
      <c r="O60" s="44" t="e">
        <f>SUM(#REF!)</f>
        <v>#REF!</v>
      </c>
      <c r="P60" s="44" t="e">
        <f>SUM(#REF!)</f>
        <v>#REF!</v>
      </c>
      <c r="Q60" s="44" t="e">
        <f>SUM(#REF!)</f>
        <v>#REF!</v>
      </c>
      <c r="R60" s="44" t="e">
        <f>SUM(#REF!)</f>
        <v>#REF!</v>
      </c>
      <c r="S60" s="44" t="e">
        <f>SUM(#REF!)</f>
        <v>#REF!</v>
      </c>
      <c r="T60" s="44" t="e">
        <f>SUM(#REF!)</f>
        <v>#REF!</v>
      </c>
      <c r="U60" s="68"/>
      <c r="V60" s="44"/>
    </row>
    <row r="61" spans="2:22" ht="16.5" outlineLevel="1" x14ac:dyDescent="0.35">
      <c r="B61" s="41" t="str">
        <f>D61&amp;"_"&amp;E61</f>
        <v>INSTRUMENT_INSTRMNT_ID</v>
      </c>
      <c r="C61" s="152" t="s">
        <v>243</v>
      </c>
      <c r="D61" s="145" t="s">
        <v>5</v>
      </c>
      <c r="E61" s="146" t="s">
        <v>32</v>
      </c>
      <c r="F61" s="147"/>
      <c r="G61" s="147"/>
      <c r="H61" s="145"/>
      <c r="I61" s="145"/>
      <c r="J61" s="149" t="e">
        <f>SUMIF(#REF!,Macro_Plano_2025_v1!B61,#REF!)+SUMIF(#REF!,Macro_Plano_2025_v1!B61,#REF!)</f>
        <v>#REF!</v>
      </c>
      <c r="K61" s="28"/>
      <c r="L61" s="44"/>
      <c r="M61" s="44"/>
      <c r="N61" s="44"/>
      <c r="O61" s="103" t="e">
        <f>J61/8</f>
        <v>#REF!</v>
      </c>
      <c r="P61" s="44"/>
      <c r="Q61" s="44"/>
      <c r="R61" s="44"/>
      <c r="S61" s="44"/>
      <c r="T61" s="44"/>
      <c r="U61" s="68"/>
      <c r="V61" s="44"/>
    </row>
    <row r="62" spans="2:22" ht="16.5" outlineLevel="1" x14ac:dyDescent="0.35">
      <c r="B62" s="41" t="str">
        <f t="shared" ref="B62:B105" si="8">D62&amp;"_"&amp;E62</f>
        <v>INSTRUMENT_CCF</v>
      </c>
      <c r="C62" s="152" t="s">
        <v>244</v>
      </c>
      <c r="D62" s="145" t="s">
        <v>5</v>
      </c>
      <c r="E62" s="146" t="s">
        <v>33</v>
      </c>
      <c r="F62" s="147"/>
      <c r="G62" s="147"/>
      <c r="H62" s="145"/>
      <c r="I62" s="145"/>
      <c r="J62" s="149" t="e">
        <f>SUMIF(#REF!,Macro_Plano_2025_v1!B62,#REF!)+SUMIF(#REF!,Macro_Plano_2025_v1!B62,#REF!)</f>
        <v>#REF!</v>
      </c>
      <c r="K62" s="28"/>
      <c r="L62" s="44"/>
      <c r="M62" s="44"/>
      <c r="N62" s="44"/>
      <c r="O62" s="103" t="e">
        <f t="shared" ref="O62:O64" si="9">J62/8</f>
        <v>#REF!</v>
      </c>
      <c r="P62" s="44"/>
      <c r="Q62" s="44"/>
      <c r="R62" s="44"/>
      <c r="S62" s="44"/>
      <c r="T62" s="44"/>
      <c r="U62" s="68"/>
      <c r="V62" s="44"/>
    </row>
    <row r="63" spans="2:22" ht="16.5" outlineLevel="1" x14ac:dyDescent="0.35">
      <c r="B63" s="41" t="str">
        <f t="shared" si="8"/>
        <v>INSTRUMENT_EAD</v>
      </c>
      <c r="C63" s="155" t="s">
        <v>245</v>
      </c>
      <c r="D63" s="140" t="s">
        <v>5</v>
      </c>
      <c r="E63" s="141" t="s">
        <v>34</v>
      </c>
      <c r="F63" s="142"/>
      <c r="G63" s="142"/>
      <c r="H63" s="140"/>
      <c r="I63" s="140"/>
      <c r="J63" s="144" t="e">
        <f>SUMIF(#REF!,Macro_Plano_2025_v1!B63,#REF!)+SUMIF(#REF!,Macro_Plano_2025_v1!B63,#REF!)</f>
        <v>#REF!</v>
      </c>
      <c r="K63" s="164"/>
      <c r="L63" s="44"/>
      <c r="M63" s="44"/>
      <c r="N63" s="44"/>
      <c r="O63" s="103" t="e">
        <f t="shared" si="9"/>
        <v>#REF!</v>
      </c>
      <c r="P63" s="44"/>
      <c r="Q63" s="44"/>
      <c r="R63" s="44"/>
      <c r="S63" s="44"/>
      <c r="T63" s="44"/>
      <c r="U63" s="68"/>
      <c r="V63" s="44"/>
    </row>
    <row r="64" spans="2:22" ht="16.5" outlineLevel="1" x14ac:dyDescent="0.35">
      <c r="B64" s="41" t="str">
        <f t="shared" si="8"/>
        <v>INSTRUMENT_AVRG_BLNC</v>
      </c>
      <c r="C64" s="152" t="s">
        <v>246</v>
      </c>
      <c r="D64" s="145" t="s">
        <v>5</v>
      </c>
      <c r="E64" s="146" t="s">
        <v>35</v>
      </c>
      <c r="F64" s="147"/>
      <c r="G64" s="147"/>
      <c r="H64" s="145"/>
      <c r="I64" s="145"/>
      <c r="J64" s="149" t="e">
        <f>SUMIF(#REF!,Macro_Plano_2025_v1!B64,#REF!)+SUMIF(#REF!,Macro_Plano_2025_v1!B64,#REF!)</f>
        <v>#REF!</v>
      </c>
      <c r="K64" s="28"/>
      <c r="L64" s="44"/>
      <c r="M64" s="44"/>
      <c r="N64" s="44"/>
      <c r="O64" s="103" t="e">
        <f t="shared" si="9"/>
        <v>#REF!</v>
      </c>
      <c r="P64" s="44"/>
      <c r="Q64" s="44"/>
      <c r="R64" s="44"/>
      <c r="S64" s="44"/>
      <c r="T64" s="44"/>
      <c r="U64" s="68"/>
      <c r="V64" s="44"/>
    </row>
    <row r="65" spans="2:22" ht="16.5" outlineLevel="1" x14ac:dyDescent="0.35">
      <c r="B65" s="41" t="str">
        <f t="shared" si="8"/>
        <v>INSTRUMENT_NW_BSNSS</v>
      </c>
      <c r="C65" s="152" t="s">
        <v>247</v>
      </c>
      <c r="D65" s="145" t="s">
        <v>5</v>
      </c>
      <c r="E65" s="146" t="s">
        <v>36</v>
      </c>
      <c r="F65" s="147"/>
      <c r="G65" s="147"/>
      <c r="H65" s="145"/>
      <c r="I65" s="145"/>
      <c r="J65" s="149" t="e">
        <f>SUMIF(#REF!,Macro_Plano_2025_v1!B65,#REF!)+SUMIF(#REF!,Macro_Plano_2025_v1!B65,#REF!)</f>
        <v>#REF!</v>
      </c>
      <c r="K65" s="28"/>
      <c r="L65" s="44"/>
      <c r="M65" s="44"/>
      <c r="N65" s="44"/>
      <c r="O65" s="103" t="e">
        <f>O60-SUM(O61:O64)</f>
        <v>#REF!</v>
      </c>
      <c r="P65" s="103" t="e">
        <f>(J65/8)-O65</f>
        <v>#REF!</v>
      </c>
      <c r="Q65" s="44"/>
      <c r="R65" s="44"/>
      <c r="S65" s="44"/>
      <c r="T65" s="44"/>
      <c r="U65" s="68"/>
      <c r="V65" s="44"/>
    </row>
    <row r="66" spans="2:22" ht="16.5" outlineLevel="1" x14ac:dyDescent="0.35">
      <c r="B66" s="41" t="str">
        <f t="shared" si="8"/>
        <v>INSTRUMENT_GRSS_INTRST_INCM</v>
      </c>
      <c r="C66" s="152" t="s">
        <v>248</v>
      </c>
      <c r="D66" s="145" t="s">
        <v>5</v>
      </c>
      <c r="E66" s="146" t="s">
        <v>37</v>
      </c>
      <c r="F66" s="147"/>
      <c r="G66" s="147"/>
      <c r="H66" s="145"/>
      <c r="I66" s="145"/>
      <c r="J66" s="149" t="e">
        <f>SUMIF(#REF!,Macro_Plano_2025_v1!B66,#REF!)+SUMIF(#REF!,Macro_Plano_2025_v1!B66,#REF!)</f>
        <v>#REF!</v>
      </c>
      <c r="K66" s="28"/>
      <c r="L66" s="44"/>
      <c r="M66" s="44"/>
      <c r="N66" s="44"/>
      <c r="O66" s="44"/>
      <c r="P66" s="103" t="e">
        <f>J66/8</f>
        <v>#REF!</v>
      </c>
      <c r="Q66" s="44"/>
      <c r="R66" s="44"/>
      <c r="S66" s="44"/>
      <c r="T66" s="44"/>
      <c r="U66" s="68"/>
      <c r="V66" s="44"/>
    </row>
    <row r="67" spans="2:22" ht="16.5" outlineLevel="1" x14ac:dyDescent="0.35">
      <c r="B67" s="41" t="str">
        <f t="shared" si="8"/>
        <v>INSTRUMENT_GRSS_CMMSSN_INCM</v>
      </c>
      <c r="C67" s="152" t="s">
        <v>249</v>
      </c>
      <c r="D67" s="145" t="s">
        <v>5</v>
      </c>
      <c r="E67" s="146" t="s">
        <v>38</v>
      </c>
      <c r="F67" s="147"/>
      <c r="G67" s="147"/>
      <c r="H67" s="145"/>
      <c r="I67" s="145"/>
      <c r="J67" s="149" t="e">
        <f>SUMIF(#REF!,Macro_Plano_2025_v1!B67,#REF!)+SUMIF(#REF!,Macro_Plano_2025_v1!B67,#REF!)</f>
        <v>#REF!</v>
      </c>
      <c r="K67" s="28"/>
      <c r="L67" s="44"/>
      <c r="M67" s="44"/>
      <c r="N67" s="44"/>
      <c r="O67" s="44"/>
      <c r="P67" s="103" t="e">
        <f>J67/8</f>
        <v>#REF!</v>
      </c>
      <c r="Q67" s="44"/>
      <c r="R67" s="44"/>
      <c r="S67" s="44"/>
      <c r="T67" s="44"/>
      <c r="U67" s="68"/>
      <c r="V67" s="44"/>
    </row>
    <row r="68" spans="2:22" ht="16.5" outlineLevel="1" x14ac:dyDescent="0.35">
      <c r="B68" s="41" t="str">
        <f t="shared" si="8"/>
        <v>INSTRUMENT_INTRNL_TRNSFR_RT</v>
      </c>
      <c r="C68" s="152" t="s">
        <v>250</v>
      </c>
      <c r="D68" s="145" t="s">
        <v>5</v>
      </c>
      <c r="E68" s="146" t="s">
        <v>39</v>
      </c>
      <c r="F68" s="147"/>
      <c r="G68" s="147"/>
      <c r="H68" s="145"/>
      <c r="I68" s="145"/>
      <c r="J68" s="149" t="e">
        <f>SUMIF(#REF!,Macro_Plano_2025_v1!B68,#REF!)+SUMIF(#REF!,Macro_Plano_2025_v1!B68,#REF!)</f>
        <v>#REF!</v>
      </c>
      <c r="K68" s="28"/>
      <c r="L68" s="44"/>
      <c r="M68" s="44"/>
      <c r="N68" s="44"/>
      <c r="O68" s="44"/>
      <c r="P68" s="103" t="e">
        <f>J68/8</f>
        <v>#REF!</v>
      </c>
      <c r="Q68" s="44"/>
      <c r="R68" s="44"/>
      <c r="S68" s="44"/>
      <c r="T68" s="44"/>
      <c r="U68" s="68"/>
      <c r="V68" s="44"/>
    </row>
    <row r="69" spans="2:22" ht="16.5" outlineLevel="1" x14ac:dyDescent="0.35">
      <c r="B69" s="41" t="str">
        <f t="shared" si="8"/>
        <v>INSTRUMENT_NT_LN_LSS_PRVSN</v>
      </c>
      <c r="C69" s="152" t="s">
        <v>251</v>
      </c>
      <c r="D69" s="145" t="s">
        <v>5</v>
      </c>
      <c r="E69" s="146" t="s">
        <v>40</v>
      </c>
      <c r="F69" s="147"/>
      <c r="G69" s="147"/>
      <c r="H69" s="145"/>
      <c r="I69" s="145"/>
      <c r="J69" s="149" t="e">
        <f>SUMIF(#REF!,Macro_Plano_2025_v1!B69,#REF!)+SUMIF(#REF!,Macro_Plano_2025_v1!B69,#REF!)</f>
        <v>#REF!</v>
      </c>
      <c r="K69" s="28"/>
      <c r="L69" s="44"/>
      <c r="M69" s="44"/>
      <c r="N69" s="44"/>
      <c r="O69" s="44"/>
      <c r="P69" s="103" t="e">
        <f>J69/8</f>
        <v>#REF!</v>
      </c>
      <c r="Q69" s="44"/>
      <c r="R69" s="44"/>
      <c r="S69" s="44"/>
      <c r="T69" s="44"/>
      <c r="U69" s="68"/>
      <c r="V69" s="44"/>
    </row>
    <row r="70" spans="2:22" ht="16.5" outlineLevel="1" x14ac:dyDescent="0.35">
      <c r="B70" s="41" t="str">
        <f t="shared" si="8"/>
        <v>INSTRUMENT_BSNSS_AREA</v>
      </c>
      <c r="C70" s="152" t="s">
        <v>252</v>
      </c>
      <c r="D70" s="145" t="s">
        <v>5</v>
      </c>
      <c r="E70" s="146" t="s">
        <v>41</v>
      </c>
      <c r="F70" s="147"/>
      <c r="G70" s="147"/>
      <c r="H70" s="145"/>
      <c r="I70" s="145"/>
      <c r="J70" s="149" t="e">
        <f>SUMIF(#REF!,Macro_Plano_2025_v1!B70,#REF!)+SUMIF(#REF!,Macro_Plano_2025_v1!B70,#REF!)</f>
        <v>#REF!</v>
      </c>
      <c r="K70" s="28"/>
      <c r="L70" s="44"/>
      <c r="M70" s="44"/>
      <c r="N70" s="44"/>
      <c r="O70" s="44"/>
      <c r="P70" s="103" t="e">
        <f>P60-SUM(P65:P69)</f>
        <v>#REF!</v>
      </c>
      <c r="Q70" s="103" t="e">
        <f>(J70/8)-P70</f>
        <v>#REF!</v>
      </c>
      <c r="R70" s="44"/>
      <c r="S70" s="44"/>
      <c r="T70" s="44"/>
      <c r="U70" s="68"/>
      <c r="V70" s="44"/>
    </row>
    <row r="71" spans="2:22" ht="16.5" outlineLevel="1" x14ac:dyDescent="0.35">
      <c r="B71" s="41" t="str">
        <f t="shared" si="8"/>
        <v>INSTRUMENT_MNGMNT_PRDCT</v>
      </c>
      <c r="C71" s="152" t="s">
        <v>253</v>
      </c>
      <c r="D71" s="145" t="s">
        <v>5</v>
      </c>
      <c r="E71" s="146" t="s">
        <v>42</v>
      </c>
      <c r="F71" s="147"/>
      <c r="G71" s="147"/>
      <c r="H71" s="145"/>
      <c r="I71" s="145"/>
      <c r="J71" s="149" t="e">
        <f>SUMIF(#REF!,Macro_Plano_2025_v1!B71,#REF!)+SUMIF(#REF!,Macro_Plano_2025_v1!B71,#REF!)</f>
        <v>#REF!</v>
      </c>
      <c r="K71" s="28"/>
      <c r="L71" s="44"/>
      <c r="M71" s="44"/>
      <c r="N71" s="44"/>
      <c r="O71" s="44"/>
      <c r="P71" s="44"/>
      <c r="Q71" s="103" t="e">
        <f>J71/8</f>
        <v>#REF!</v>
      </c>
      <c r="R71" s="44"/>
      <c r="S71" s="44"/>
      <c r="T71" s="44"/>
      <c r="U71" s="68"/>
      <c r="V71" s="44"/>
    </row>
    <row r="72" spans="2:22" ht="16.5" outlineLevel="1" x14ac:dyDescent="0.35">
      <c r="B72" s="41" t="str">
        <f t="shared" si="8"/>
        <v>INSTRUMENT_GRSS_CMMSSN_EXPNS</v>
      </c>
      <c r="C72" s="152" t="s">
        <v>254</v>
      </c>
      <c r="D72" s="145" t="s">
        <v>5</v>
      </c>
      <c r="E72" s="146" t="s">
        <v>43</v>
      </c>
      <c r="F72" s="147"/>
      <c r="G72" s="147"/>
      <c r="H72" s="145"/>
      <c r="I72" s="145"/>
      <c r="J72" s="149" t="e">
        <f>SUMIF(#REF!,Macro_Plano_2025_v1!B72,#REF!)+SUMIF(#REF!,Macro_Plano_2025_v1!B72,#REF!)</f>
        <v>#REF!</v>
      </c>
      <c r="K72" s="28"/>
      <c r="L72" s="44"/>
      <c r="M72" s="44"/>
      <c r="N72" s="44"/>
      <c r="O72" s="44"/>
      <c r="P72" s="44"/>
      <c r="Q72" s="103" t="e">
        <f t="shared" ref="Q72:Q75" si="10">J72/8</f>
        <v>#REF!</v>
      </c>
      <c r="R72" s="44"/>
      <c r="S72" s="44"/>
      <c r="T72" s="44"/>
      <c r="U72" s="68"/>
      <c r="V72" s="44"/>
    </row>
    <row r="73" spans="2:22" ht="16.5" outlineLevel="1" x14ac:dyDescent="0.35">
      <c r="B73" s="41" t="str">
        <f t="shared" si="8"/>
        <v>INSTRUMENT_GNS_FNNCL_TRNSCTN_EXCHNG_DFFRNCS</v>
      </c>
      <c r="C73" s="152" t="s">
        <v>255</v>
      </c>
      <c r="D73" s="145" t="s">
        <v>5</v>
      </c>
      <c r="E73" s="146" t="s">
        <v>44</v>
      </c>
      <c r="F73" s="147"/>
      <c r="G73" s="147"/>
      <c r="H73" s="145"/>
      <c r="I73" s="145"/>
      <c r="J73" s="149" t="e">
        <f>SUMIF(#REF!,Macro_Plano_2025_v1!B73,#REF!)+SUMIF(#REF!,Macro_Plano_2025_v1!B73,#REF!)</f>
        <v>#REF!</v>
      </c>
      <c r="K73" s="28"/>
      <c r="L73" s="44"/>
      <c r="M73" s="44"/>
      <c r="N73" s="44"/>
      <c r="O73" s="44"/>
      <c r="P73" s="44"/>
      <c r="Q73" s="103" t="e">
        <f t="shared" si="10"/>
        <v>#REF!</v>
      </c>
      <c r="R73" s="44"/>
      <c r="S73" s="44"/>
      <c r="T73" s="44"/>
      <c r="U73" s="68"/>
      <c r="V73" s="44"/>
    </row>
    <row r="74" spans="2:22" ht="16.5" outlineLevel="1" x14ac:dyDescent="0.35">
      <c r="B74" s="41" t="str">
        <f t="shared" si="8"/>
        <v>INSTRUMENT_AVRG_BLNC_OFF_BLNC</v>
      </c>
      <c r="C74" s="152" t="s">
        <v>256</v>
      </c>
      <c r="D74" s="145" t="s">
        <v>5</v>
      </c>
      <c r="E74" s="146" t="s">
        <v>45</v>
      </c>
      <c r="F74" s="147"/>
      <c r="G74" s="147"/>
      <c r="H74" s="145"/>
      <c r="I74" s="145"/>
      <c r="J74" s="149" t="e">
        <f>SUMIF(#REF!,Macro_Plano_2025_v1!B74,#REF!)+SUMIF(#REF!,Macro_Plano_2025_v1!B74,#REF!)</f>
        <v>#REF!</v>
      </c>
      <c r="K74" s="28"/>
      <c r="L74" s="44"/>
      <c r="M74" s="44"/>
      <c r="N74" s="44"/>
      <c r="O74" s="44"/>
      <c r="P74" s="44"/>
      <c r="Q74" s="103" t="e">
        <f t="shared" si="10"/>
        <v>#REF!</v>
      </c>
      <c r="R74" s="44"/>
      <c r="S74" s="44"/>
      <c r="T74" s="44"/>
      <c r="U74" s="68"/>
      <c r="V74" s="44"/>
    </row>
    <row r="75" spans="2:22" ht="16.5" outlineLevel="1" x14ac:dyDescent="0.35">
      <c r="B75" s="41" t="str">
        <f t="shared" si="8"/>
        <v>INSTRUMENT_GRSS_CMMSSN_INCM_OFF_BLNC</v>
      </c>
      <c r="C75" s="152" t="s">
        <v>257</v>
      </c>
      <c r="D75" s="145" t="s">
        <v>5</v>
      </c>
      <c r="E75" s="146" t="s">
        <v>46</v>
      </c>
      <c r="F75" s="147"/>
      <c r="G75" s="147"/>
      <c r="H75" s="145"/>
      <c r="I75" s="145"/>
      <c r="J75" s="149" t="e">
        <f>SUMIF(#REF!,Macro_Plano_2025_v1!B75,#REF!)+SUMIF(#REF!,Macro_Plano_2025_v1!B75,#REF!)</f>
        <v>#REF!</v>
      </c>
      <c r="K75" s="28"/>
      <c r="L75" s="44"/>
      <c r="M75" s="44"/>
      <c r="N75" s="44"/>
      <c r="O75" s="44"/>
      <c r="P75" s="44"/>
      <c r="Q75" s="103" t="e">
        <f t="shared" si="10"/>
        <v>#REF!</v>
      </c>
      <c r="R75" s="44"/>
      <c r="S75" s="44"/>
      <c r="T75" s="44"/>
      <c r="U75" s="68"/>
      <c r="V75" s="44"/>
    </row>
    <row r="76" spans="2:22" ht="16.5" outlineLevel="1" x14ac:dyDescent="0.35">
      <c r="B76" s="41" t="str">
        <f t="shared" si="8"/>
        <v>INSTRUMENT_GRSS_CMMSSN_EXPNS_OFF_BLNC</v>
      </c>
      <c r="C76" s="152" t="s">
        <v>258</v>
      </c>
      <c r="D76" s="145" t="s">
        <v>5</v>
      </c>
      <c r="E76" s="146" t="s">
        <v>47</v>
      </c>
      <c r="F76" s="147"/>
      <c r="G76" s="147"/>
      <c r="H76" s="145"/>
      <c r="I76" s="145"/>
      <c r="J76" s="149" t="e">
        <f>SUMIF(#REF!,Macro_Plano_2025_v1!B76,#REF!)+SUMIF(#REF!,Macro_Plano_2025_v1!B76,#REF!)</f>
        <v>#REF!</v>
      </c>
      <c r="K76" s="28"/>
      <c r="L76" s="44"/>
      <c r="M76" s="44"/>
      <c r="N76" s="44"/>
      <c r="O76" s="44"/>
      <c r="P76" s="44"/>
      <c r="Q76" s="103" t="e">
        <f>Q60-SUM(Q70:Q75)</f>
        <v>#REF!</v>
      </c>
      <c r="R76" s="103" t="e">
        <f>(J76/8)-Q76</f>
        <v>#REF!</v>
      </c>
      <c r="S76" s="44"/>
      <c r="T76" s="44"/>
      <c r="U76" s="68"/>
      <c r="V76" s="44"/>
    </row>
    <row r="77" spans="2:22" ht="16.5" outlineLevel="1" x14ac:dyDescent="0.35">
      <c r="B77" s="41" t="str">
        <f t="shared" si="8"/>
        <v>INSTRUMENT_GRSS_INTRST_EXPNS</v>
      </c>
      <c r="C77" s="152" t="s">
        <v>259</v>
      </c>
      <c r="D77" s="145" t="s">
        <v>5</v>
      </c>
      <c r="E77" s="146" t="s">
        <v>48</v>
      </c>
      <c r="F77" s="147"/>
      <c r="G77" s="147"/>
      <c r="H77" s="145"/>
      <c r="I77" s="145"/>
      <c r="J77" s="149" t="e">
        <f>SUMIF(#REF!,Macro_Plano_2025_v1!B77,#REF!)+SUMIF(#REF!,Macro_Plano_2025_v1!B77,#REF!)</f>
        <v>#REF!</v>
      </c>
      <c r="K77" s="28"/>
      <c r="L77" s="44"/>
      <c r="M77" s="44"/>
      <c r="N77" s="44"/>
      <c r="O77" s="44"/>
      <c r="P77" s="44"/>
      <c r="Q77" s="44"/>
      <c r="R77" s="103" t="e">
        <f>J77/8</f>
        <v>#REF!</v>
      </c>
      <c r="S77" s="44"/>
      <c r="T77" s="44"/>
      <c r="U77" s="68"/>
      <c r="V77" s="44"/>
    </row>
    <row r="78" spans="2:22" ht="16.5" outlineLevel="1" x14ac:dyDescent="0.35">
      <c r="B78" s="41" t="str">
        <f t="shared" si="8"/>
        <v>INSTRUMENT_NT_LN_LSS_PRVSN_OFF_BLNC</v>
      </c>
      <c r="C78" s="152" t="s">
        <v>260</v>
      </c>
      <c r="D78" s="145" t="s">
        <v>5</v>
      </c>
      <c r="E78" s="146" t="s">
        <v>49</v>
      </c>
      <c r="F78" s="147"/>
      <c r="G78" s="147"/>
      <c r="H78" s="145"/>
      <c r="I78" s="145"/>
      <c r="J78" s="149" t="e">
        <f>SUMIF(#REF!,Macro_Plano_2025_v1!B78,#REF!)+SUMIF(#REF!,Macro_Plano_2025_v1!B78,#REF!)</f>
        <v>#REF!</v>
      </c>
      <c r="K78" s="28"/>
      <c r="L78" s="44"/>
      <c r="M78" s="44"/>
      <c r="N78" s="44"/>
      <c r="O78" s="44"/>
      <c r="P78" s="44"/>
      <c r="Q78" s="44"/>
      <c r="R78" s="103" t="e">
        <f t="shared" ref="R78:R86" si="11">J78/8</f>
        <v>#REF!</v>
      </c>
      <c r="S78" s="44"/>
      <c r="T78" s="44"/>
      <c r="U78" s="68"/>
      <c r="V78" s="44"/>
    </row>
    <row r="79" spans="2:22" ht="16.5" outlineLevel="1" x14ac:dyDescent="0.35">
      <c r="B79" s="41" t="str">
        <f t="shared" si="8"/>
        <v>INSTRUMENT_GRSS_INTRST_INCM_CCRR</v>
      </c>
      <c r="C79" s="152" t="s">
        <v>261</v>
      </c>
      <c r="D79" s="145" t="s">
        <v>5</v>
      </c>
      <c r="E79" s="146" t="s">
        <v>50</v>
      </c>
      <c r="F79" s="147"/>
      <c r="G79" s="147"/>
      <c r="H79" s="145"/>
      <c r="I79" s="145"/>
      <c r="J79" s="149" t="e">
        <f>SUMIF(#REF!,Macro_Plano_2025_v1!B79,#REF!)+SUMIF(#REF!,Macro_Plano_2025_v1!B79,#REF!)</f>
        <v>#REF!</v>
      </c>
      <c r="K79" s="28"/>
      <c r="L79" s="44"/>
      <c r="M79" s="44"/>
      <c r="N79" s="44"/>
      <c r="O79" s="44"/>
      <c r="P79" s="44"/>
      <c r="Q79" s="44"/>
      <c r="R79" s="103" t="e">
        <f t="shared" si="11"/>
        <v>#REF!</v>
      </c>
      <c r="S79" s="44"/>
      <c r="T79" s="44"/>
      <c r="U79" s="68"/>
      <c r="V79" s="44"/>
    </row>
    <row r="80" spans="2:22" ht="16.5" outlineLevel="1" x14ac:dyDescent="0.35">
      <c r="B80" s="41" t="str">
        <f t="shared" si="8"/>
        <v>INSTRUMENT_GRSS_INTRST_EXPNS_CCRR</v>
      </c>
      <c r="C80" s="152" t="s">
        <v>262</v>
      </c>
      <c r="D80" s="145" t="s">
        <v>5</v>
      </c>
      <c r="E80" s="146" t="s">
        <v>51</v>
      </c>
      <c r="F80" s="147"/>
      <c r="G80" s="147"/>
      <c r="H80" s="145"/>
      <c r="I80" s="145"/>
      <c r="J80" s="149" t="e">
        <f>SUMIF(#REF!,Macro_Plano_2025_v1!B80,#REF!)+SUMIF(#REF!,Macro_Plano_2025_v1!B80,#REF!)</f>
        <v>#REF!</v>
      </c>
      <c r="K80" s="28"/>
      <c r="L80" s="44"/>
      <c r="M80" s="44"/>
      <c r="N80" s="44"/>
      <c r="O80" s="44"/>
      <c r="P80" s="44"/>
      <c r="Q80" s="44"/>
      <c r="R80" s="103" t="e">
        <f t="shared" si="11"/>
        <v>#REF!</v>
      </c>
      <c r="S80" s="44"/>
      <c r="T80" s="44"/>
      <c r="U80" s="68"/>
      <c r="V80" s="44"/>
    </row>
    <row r="81" spans="2:22" ht="16.5" outlineLevel="1" x14ac:dyDescent="0.35">
      <c r="B81" s="41" t="str">
        <f t="shared" si="8"/>
        <v>INSTRUMENT_GRSS_CMMSSN_INCM_CCRR</v>
      </c>
      <c r="C81" s="152" t="s">
        <v>263</v>
      </c>
      <c r="D81" s="145" t="s">
        <v>5</v>
      </c>
      <c r="E81" s="146" t="s">
        <v>52</v>
      </c>
      <c r="F81" s="147"/>
      <c r="G81" s="147"/>
      <c r="H81" s="145"/>
      <c r="I81" s="145"/>
      <c r="J81" s="149" t="e">
        <f>SUMIF(#REF!,Macro_Plano_2025_v1!B81,#REF!)+SUMIF(#REF!,Macro_Plano_2025_v1!B81,#REF!)</f>
        <v>#REF!</v>
      </c>
      <c r="K81" s="28"/>
      <c r="L81" s="44"/>
      <c r="M81" s="44"/>
      <c r="N81" s="44"/>
      <c r="O81" s="44"/>
      <c r="P81" s="44"/>
      <c r="Q81" s="44"/>
      <c r="R81" s="103" t="e">
        <f t="shared" si="11"/>
        <v>#REF!</v>
      </c>
      <c r="S81" s="44"/>
      <c r="T81" s="44"/>
      <c r="U81" s="68"/>
      <c r="V81" s="44"/>
    </row>
    <row r="82" spans="2:22" ht="16.5" outlineLevel="1" x14ac:dyDescent="0.35">
      <c r="B82" s="41" t="str">
        <f t="shared" si="8"/>
        <v>INSTRUMENT_GRSS_CMMSSN_EXPNS_CCRR</v>
      </c>
      <c r="C82" s="152" t="s">
        <v>264</v>
      </c>
      <c r="D82" s="145" t="s">
        <v>5</v>
      </c>
      <c r="E82" s="146" t="s">
        <v>53</v>
      </c>
      <c r="F82" s="147"/>
      <c r="G82" s="147"/>
      <c r="H82" s="145"/>
      <c r="I82" s="145"/>
      <c r="J82" s="149" t="e">
        <f>SUMIF(#REF!,Macro_Plano_2025_v1!B82,#REF!)+SUMIF(#REF!,Macro_Plano_2025_v1!B82,#REF!)</f>
        <v>#REF!</v>
      </c>
      <c r="K82" s="28"/>
      <c r="L82" s="44"/>
      <c r="M82" s="44"/>
      <c r="N82" s="44"/>
      <c r="O82" s="44"/>
      <c r="P82" s="44"/>
      <c r="Q82" s="44"/>
      <c r="R82" s="103" t="e">
        <f t="shared" si="11"/>
        <v>#REF!</v>
      </c>
      <c r="S82" s="44"/>
      <c r="T82" s="44"/>
      <c r="U82" s="68"/>
      <c r="V82" s="44"/>
    </row>
    <row r="83" spans="2:22" ht="16.5" outlineLevel="1" x14ac:dyDescent="0.35">
      <c r="B83" s="41" t="str">
        <f t="shared" si="8"/>
        <v>INSTRUMENT_GNS_FNNCL_TRNSCTN_EXCHNG_CCRR</v>
      </c>
      <c r="C83" s="152" t="s">
        <v>265</v>
      </c>
      <c r="D83" s="145" t="s">
        <v>5</v>
      </c>
      <c r="E83" s="146" t="s">
        <v>54</v>
      </c>
      <c r="F83" s="147"/>
      <c r="G83" s="147"/>
      <c r="H83" s="145"/>
      <c r="I83" s="145"/>
      <c r="J83" s="149" t="e">
        <f>SUMIF(#REF!,Macro_Plano_2025_v1!B83,#REF!)+SUMIF(#REF!,Macro_Plano_2025_v1!B83,#REF!)</f>
        <v>#REF!</v>
      </c>
      <c r="K83" s="28"/>
      <c r="L83" s="44"/>
      <c r="M83" s="44"/>
      <c r="N83" s="44"/>
      <c r="O83" s="44"/>
      <c r="P83" s="44"/>
      <c r="Q83" s="44"/>
      <c r="R83" s="103" t="e">
        <f t="shared" si="11"/>
        <v>#REF!</v>
      </c>
      <c r="S83" s="44"/>
      <c r="T83" s="44"/>
      <c r="U83" s="68"/>
      <c r="V83" s="44"/>
    </row>
    <row r="84" spans="2:22" ht="16.5" outlineLevel="1" x14ac:dyDescent="0.35">
      <c r="B84" s="41" t="str">
        <f t="shared" si="8"/>
        <v>INSTRUMENT_BSNSS_AREA_CCRR</v>
      </c>
      <c r="C84" s="152" t="s">
        <v>266</v>
      </c>
      <c r="D84" s="145" t="s">
        <v>5</v>
      </c>
      <c r="E84" s="146" t="s">
        <v>55</v>
      </c>
      <c r="F84" s="147"/>
      <c r="G84" s="147"/>
      <c r="H84" s="145"/>
      <c r="I84" s="145"/>
      <c r="J84" s="149" t="e">
        <f>SUMIF(#REF!,Macro_Plano_2025_v1!B84,#REF!)+SUMIF(#REF!,Macro_Plano_2025_v1!B84,#REF!)</f>
        <v>#REF!</v>
      </c>
      <c r="K84" s="28"/>
      <c r="L84" s="44"/>
      <c r="M84" s="44"/>
      <c r="N84" s="44"/>
      <c r="O84" s="44"/>
      <c r="P84" s="44"/>
      <c r="Q84" s="44"/>
      <c r="R84" s="103" t="e">
        <f t="shared" si="11"/>
        <v>#REF!</v>
      </c>
      <c r="S84" s="44"/>
      <c r="T84" s="44"/>
      <c r="U84" s="68"/>
      <c r="V84" s="44"/>
    </row>
    <row r="85" spans="2:22" ht="16.5" outlineLevel="1" x14ac:dyDescent="0.35">
      <c r="B85" s="41" t="str">
        <f t="shared" si="8"/>
        <v>INSTRUMENT_GRSS_CMMSSN_INCM_OFF_BLNC_CCRR</v>
      </c>
      <c r="C85" s="152" t="s">
        <v>267</v>
      </c>
      <c r="D85" s="145" t="s">
        <v>5</v>
      </c>
      <c r="E85" s="146" t="s">
        <v>56</v>
      </c>
      <c r="F85" s="147"/>
      <c r="G85" s="147"/>
      <c r="H85" s="145"/>
      <c r="I85" s="145"/>
      <c r="J85" s="149" t="e">
        <f>SUMIF(#REF!,Macro_Plano_2025_v1!B85,#REF!)+SUMIF(#REF!,Macro_Plano_2025_v1!B85,#REF!)</f>
        <v>#REF!</v>
      </c>
      <c r="K85" s="28"/>
      <c r="L85" s="44"/>
      <c r="M85" s="44"/>
      <c r="N85" s="44"/>
      <c r="O85" s="44"/>
      <c r="P85" s="44"/>
      <c r="Q85" s="44"/>
      <c r="R85" s="103" t="e">
        <f t="shared" si="11"/>
        <v>#REF!</v>
      </c>
      <c r="S85" s="44"/>
      <c r="T85" s="44"/>
      <c r="U85" s="68"/>
      <c r="V85" s="44"/>
    </row>
    <row r="86" spans="2:22" ht="16.5" outlineLevel="1" x14ac:dyDescent="0.35">
      <c r="B86" s="41" t="str">
        <f t="shared" si="8"/>
        <v>INSTRUMENT_GRSS_CMMSSN_EXPNS_OFF_BLNC_CCRR</v>
      </c>
      <c r="C86" s="152" t="s">
        <v>268</v>
      </c>
      <c r="D86" s="145" t="s">
        <v>5</v>
      </c>
      <c r="E86" s="146" t="s">
        <v>57</v>
      </c>
      <c r="F86" s="147"/>
      <c r="G86" s="147"/>
      <c r="H86" s="145"/>
      <c r="I86" s="145"/>
      <c r="J86" s="149" t="e">
        <f>SUMIF(#REF!,Macro_Plano_2025_v1!B86,#REF!)+SUMIF(#REF!,Macro_Plano_2025_v1!B86,#REF!)</f>
        <v>#REF!</v>
      </c>
      <c r="K86" s="28"/>
      <c r="L86" s="44"/>
      <c r="M86" s="44"/>
      <c r="N86" s="44"/>
      <c r="O86" s="44"/>
      <c r="P86" s="44"/>
      <c r="Q86" s="44"/>
      <c r="R86" s="103" t="e">
        <f t="shared" si="11"/>
        <v>#REF!</v>
      </c>
      <c r="S86" s="44"/>
      <c r="T86" s="44"/>
      <c r="U86" s="68"/>
      <c r="V86" s="44"/>
    </row>
    <row r="87" spans="2:22" ht="16.5" outlineLevel="1" x14ac:dyDescent="0.35">
      <c r="B87" s="41" t="str">
        <f t="shared" si="8"/>
        <v>INSTRUMENT_CNCLLD_INSTRMNT_STTS</v>
      </c>
      <c r="C87" s="155" t="s">
        <v>269</v>
      </c>
      <c r="D87" s="140" t="s">
        <v>5</v>
      </c>
      <c r="E87" s="141" t="s">
        <v>58</v>
      </c>
      <c r="F87" s="142"/>
      <c r="G87" s="142"/>
      <c r="H87" s="140"/>
      <c r="I87" s="140"/>
      <c r="J87" s="144" t="e">
        <f>SUMIF(#REF!,Macro_Plano_2025_v1!B87,#REF!)+SUMIF(#REF!,Macro_Plano_2025_v1!B87,#REF!)</f>
        <v>#REF!</v>
      </c>
      <c r="K87" s="28"/>
      <c r="L87" s="44"/>
      <c r="M87" s="44"/>
      <c r="N87" s="44"/>
      <c r="O87" s="44"/>
      <c r="P87" s="44"/>
      <c r="Q87" s="44"/>
      <c r="R87" s="44"/>
      <c r="S87" s="103" t="e">
        <f>J87/8</f>
        <v>#REF!</v>
      </c>
      <c r="T87" s="44"/>
      <c r="U87" s="68"/>
      <c r="V87" s="44"/>
    </row>
    <row r="88" spans="2:22" ht="16.5" outlineLevel="1" x14ac:dyDescent="0.35">
      <c r="B88" s="41" t="str">
        <f t="shared" si="8"/>
        <v>INSTRUMENT_TYP_OFF_BLNC_PRDCT</v>
      </c>
      <c r="C88" s="152" t="s">
        <v>270</v>
      </c>
      <c r="D88" s="145" t="s">
        <v>5</v>
      </c>
      <c r="E88" s="146" t="s">
        <v>59</v>
      </c>
      <c r="F88" s="147"/>
      <c r="G88" s="147"/>
      <c r="H88" s="145"/>
      <c r="I88" s="145"/>
      <c r="J88" s="149" t="e">
        <f>SUMIF(#REF!,Macro_Plano_2025_v1!B88,#REF!)+SUMIF(#REF!,Macro_Plano_2025_v1!B88,#REF!)</f>
        <v>#REF!</v>
      </c>
      <c r="K88" s="28"/>
      <c r="L88" s="44"/>
      <c r="M88" s="44"/>
      <c r="N88" s="44"/>
      <c r="O88" s="44"/>
      <c r="P88" s="44"/>
      <c r="Q88" s="44"/>
      <c r="R88" s="44"/>
      <c r="S88" s="103" t="e">
        <f t="shared" ref="S88:S102" si="12">J88/8</f>
        <v>#REF!</v>
      </c>
      <c r="T88" s="44"/>
      <c r="U88" s="68"/>
      <c r="V88" s="44"/>
    </row>
    <row r="89" spans="2:22" ht="16.5" outlineLevel="1" x14ac:dyDescent="0.35">
      <c r="B89" s="41" t="str">
        <f t="shared" si="8"/>
        <v>INSTR_PROTECTION_COD_SOC</v>
      </c>
      <c r="C89" s="152" t="s">
        <v>271</v>
      </c>
      <c r="D89" s="145" t="s">
        <v>60</v>
      </c>
      <c r="E89" s="146" t="s">
        <v>6</v>
      </c>
      <c r="F89" s="147"/>
      <c r="G89" s="147"/>
      <c r="H89" s="145"/>
      <c r="I89" s="145"/>
      <c r="J89" s="149" t="e">
        <f>SUMIF(#REF!,Macro_Plano_2025_v1!B89,#REF!)+SUMIF(#REF!,Macro_Plano_2025_v1!B89,#REF!)</f>
        <v>#REF!</v>
      </c>
      <c r="K89" s="28"/>
      <c r="L89" s="44"/>
      <c r="M89" s="44"/>
      <c r="N89" s="44"/>
      <c r="O89" s="44"/>
      <c r="P89" s="44"/>
      <c r="Q89" s="44"/>
      <c r="R89" s="44"/>
      <c r="S89" s="103" t="e">
        <f t="shared" si="12"/>
        <v>#REF!</v>
      </c>
      <c r="T89" s="44"/>
      <c r="U89" s="68"/>
      <c r="V89" s="44"/>
    </row>
    <row r="90" spans="2:22" ht="16.5" outlineLevel="1" x14ac:dyDescent="0.35">
      <c r="B90" s="41" t="str">
        <f t="shared" si="8"/>
        <v>INSTR_PROTECTION_DT_RFRNC</v>
      </c>
      <c r="C90" s="152" t="s">
        <v>272</v>
      </c>
      <c r="D90" s="145" t="s">
        <v>60</v>
      </c>
      <c r="E90" s="146" t="s">
        <v>8</v>
      </c>
      <c r="F90" s="147"/>
      <c r="G90" s="147"/>
      <c r="H90" s="145"/>
      <c r="I90" s="145"/>
      <c r="J90" s="149" t="e">
        <f>SUMIF(#REF!,Macro_Plano_2025_v1!B90,#REF!)+SUMIF(#REF!,Macro_Plano_2025_v1!B90,#REF!)</f>
        <v>#REF!</v>
      </c>
      <c r="K90" s="28"/>
      <c r="L90" s="44"/>
      <c r="M90" s="44"/>
      <c r="N90" s="44"/>
      <c r="O90" s="44"/>
      <c r="P90" s="44"/>
      <c r="Q90" s="44"/>
      <c r="R90" s="44"/>
      <c r="S90" s="103" t="e">
        <f t="shared" si="12"/>
        <v>#REF!</v>
      </c>
      <c r="T90" s="44"/>
      <c r="U90" s="68"/>
      <c r="V90" s="44"/>
    </row>
    <row r="91" spans="2:22" ht="16.5" outlineLevel="1" x14ac:dyDescent="0.35">
      <c r="B91" s="41" t="str">
        <f t="shared" si="8"/>
        <v>INSTR_PROTECTION_INSTRMNT_ID</v>
      </c>
      <c r="C91" s="152" t="s">
        <v>273</v>
      </c>
      <c r="D91" s="145" t="s">
        <v>60</v>
      </c>
      <c r="E91" s="146" t="s">
        <v>32</v>
      </c>
      <c r="F91" s="147"/>
      <c r="G91" s="147"/>
      <c r="H91" s="145"/>
      <c r="I91" s="145"/>
      <c r="J91" s="149" t="e">
        <f>SUMIF(#REF!,Macro_Plano_2025_v1!B91,#REF!)+SUMIF(#REF!,Macro_Plano_2025_v1!B91,#REF!)</f>
        <v>#REF!</v>
      </c>
      <c r="K91" s="28"/>
      <c r="L91" s="44"/>
      <c r="M91" s="44"/>
      <c r="N91" s="44"/>
      <c r="O91" s="44"/>
      <c r="P91" s="44"/>
      <c r="Q91" s="44"/>
      <c r="R91" s="44"/>
      <c r="S91" s="103" t="e">
        <f t="shared" si="12"/>
        <v>#REF!</v>
      </c>
      <c r="T91" s="44"/>
      <c r="U91" s="68"/>
      <c r="V91" s="44"/>
    </row>
    <row r="92" spans="2:22" ht="16.5" outlineLevel="1" x14ac:dyDescent="0.35">
      <c r="B92" s="41" t="str">
        <f t="shared" si="8"/>
        <v>INSTR_PROTECTION_PRTCTN_ID</v>
      </c>
      <c r="C92" s="152" t="s">
        <v>274</v>
      </c>
      <c r="D92" s="145" t="s">
        <v>60</v>
      </c>
      <c r="E92" s="146" t="s">
        <v>61</v>
      </c>
      <c r="F92" s="147"/>
      <c r="G92" s="147"/>
      <c r="H92" s="145"/>
      <c r="I92" s="145"/>
      <c r="J92" s="149" t="e">
        <f>SUMIF(#REF!,Macro_Plano_2025_v1!B92,#REF!)+SUMIF(#REF!,Macro_Plano_2025_v1!B92,#REF!)</f>
        <v>#REF!</v>
      </c>
      <c r="K92" s="28"/>
      <c r="L92" s="44"/>
      <c r="M92" s="44"/>
      <c r="N92" s="44"/>
      <c r="O92" s="44"/>
      <c r="P92" s="44"/>
      <c r="Q92" s="44"/>
      <c r="R92" s="44"/>
      <c r="S92" s="103" t="e">
        <f t="shared" si="12"/>
        <v>#REF!</v>
      </c>
      <c r="T92" s="44"/>
      <c r="U92" s="68"/>
      <c r="V92" s="44"/>
    </row>
    <row r="93" spans="2:22" ht="16.5" outlineLevel="1" x14ac:dyDescent="0.35">
      <c r="B93" s="41" t="str">
        <f t="shared" si="8"/>
        <v>INSTR_PROTECTION_TYP_RLTN</v>
      </c>
      <c r="C93" s="152" t="s">
        <v>275</v>
      </c>
      <c r="D93" s="145" t="s">
        <v>60</v>
      </c>
      <c r="E93" s="146" t="s">
        <v>62</v>
      </c>
      <c r="F93" s="147"/>
      <c r="G93" s="147"/>
      <c r="H93" s="145"/>
      <c r="I93" s="145"/>
      <c r="J93" s="149" t="e">
        <f>SUMIF(#REF!,Macro_Plano_2025_v1!B93,#REF!)+SUMIF(#REF!,Macro_Plano_2025_v1!B93,#REF!)</f>
        <v>#REF!</v>
      </c>
      <c r="K93" s="28"/>
      <c r="L93" s="44"/>
      <c r="M93" s="44"/>
      <c r="N93" s="44"/>
      <c r="O93" s="44"/>
      <c r="P93" s="44"/>
      <c r="Q93" s="44"/>
      <c r="R93" s="44"/>
      <c r="S93" s="103" t="e">
        <f t="shared" si="12"/>
        <v>#REF!</v>
      </c>
      <c r="T93" s="44"/>
      <c r="U93" s="68"/>
      <c r="V93" s="44"/>
    </row>
    <row r="94" spans="2:22" ht="16.5" outlineLevel="1" x14ac:dyDescent="0.35">
      <c r="B94" s="41" t="str">
        <f t="shared" si="8"/>
        <v>PROTECTION_COD_SOC</v>
      </c>
      <c r="C94" s="152" t="s">
        <v>276</v>
      </c>
      <c r="D94" s="145" t="s">
        <v>63</v>
      </c>
      <c r="E94" s="146" t="s">
        <v>6</v>
      </c>
      <c r="F94" s="147"/>
      <c r="G94" s="147"/>
      <c r="H94" s="145"/>
      <c r="I94" s="145"/>
      <c r="J94" s="149" t="e">
        <f>SUMIF(#REF!,Macro_Plano_2025_v1!B94,#REF!)+SUMIF(#REF!,Macro_Plano_2025_v1!B94,#REF!)</f>
        <v>#REF!</v>
      </c>
      <c r="K94" s="28"/>
      <c r="L94" s="44"/>
      <c r="M94" s="44"/>
      <c r="N94" s="44"/>
      <c r="O94" s="44"/>
      <c r="P94" s="44"/>
      <c r="Q94" s="44"/>
      <c r="R94" s="44"/>
      <c r="S94" s="103" t="e">
        <f t="shared" si="12"/>
        <v>#REF!</v>
      </c>
      <c r="T94" s="44"/>
      <c r="U94" s="68"/>
      <c r="V94" s="44"/>
    </row>
    <row r="95" spans="2:22" ht="16.5" outlineLevel="1" x14ac:dyDescent="0.35">
      <c r="B95" s="41" t="str">
        <f t="shared" si="8"/>
        <v>PROTECTION_DT_RFRNC</v>
      </c>
      <c r="C95" s="152" t="s">
        <v>277</v>
      </c>
      <c r="D95" s="145" t="s">
        <v>63</v>
      </c>
      <c r="E95" s="146" t="s">
        <v>8</v>
      </c>
      <c r="F95" s="147"/>
      <c r="G95" s="147"/>
      <c r="H95" s="145"/>
      <c r="I95" s="145"/>
      <c r="J95" s="149" t="e">
        <f>SUMIF(#REF!,Macro_Plano_2025_v1!B95,#REF!)+SUMIF(#REF!,Macro_Plano_2025_v1!B95,#REF!)</f>
        <v>#REF!</v>
      </c>
      <c r="K95" s="28"/>
      <c r="L95" s="44"/>
      <c r="M95" s="44"/>
      <c r="N95" s="44"/>
      <c r="O95" s="44"/>
      <c r="P95" s="44"/>
      <c r="Q95" s="44"/>
      <c r="R95" s="44"/>
      <c r="S95" s="103" t="e">
        <f t="shared" si="12"/>
        <v>#REF!</v>
      </c>
      <c r="T95" s="44"/>
      <c r="U95" s="68"/>
      <c r="V95" s="44"/>
    </row>
    <row r="96" spans="2:22" ht="16.5" outlineLevel="1" x14ac:dyDescent="0.35">
      <c r="B96" s="41" t="str">
        <f t="shared" si="8"/>
        <v>PROTECTION_PRTCTN_ID</v>
      </c>
      <c r="C96" s="152" t="s">
        <v>278</v>
      </c>
      <c r="D96" s="145" t="s">
        <v>63</v>
      </c>
      <c r="E96" s="146" t="s">
        <v>61</v>
      </c>
      <c r="F96" s="147"/>
      <c r="G96" s="147"/>
      <c r="H96" s="145"/>
      <c r="I96" s="145"/>
      <c r="J96" s="149" t="e">
        <f>SUMIF(#REF!,Macro_Plano_2025_v1!B96,#REF!)+SUMIF(#REF!,Macro_Plano_2025_v1!B96,#REF!)</f>
        <v>#REF!</v>
      </c>
      <c r="K96" s="28"/>
      <c r="L96" s="44"/>
      <c r="M96" s="44"/>
      <c r="N96" s="44"/>
      <c r="O96" s="44"/>
      <c r="P96" s="44"/>
      <c r="Q96" s="44"/>
      <c r="R96" s="44"/>
      <c r="S96" s="103" t="e">
        <f>J96/8</f>
        <v>#REF!</v>
      </c>
      <c r="T96" s="44"/>
      <c r="U96" s="68"/>
      <c r="V96" s="44"/>
    </row>
    <row r="97" spans="2:22" ht="16.5" outlineLevel="1" x14ac:dyDescent="0.35">
      <c r="B97" s="41" t="str">
        <f t="shared" si="8"/>
        <v>PROTECTION_TYP_PRTCTN</v>
      </c>
      <c r="C97" s="152" t="s">
        <v>279</v>
      </c>
      <c r="D97" s="145" t="s">
        <v>63</v>
      </c>
      <c r="E97" s="146" t="s">
        <v>64</v>
      </c>
      <c r="F97" s="147"/>
      <c r="G97" s="147"/>
      <c r="H97" s="145"/>
      <c r="I97" s="145"/>
      <c r="J97" s="149" t="e">
        <f>SUMIF(#REF!,Macro_Plano_2025_v1!B97,#REF!)+SUMIF(#REF!,Macro_Plano_2025_v1!B97,#REF!)</f>
        <v>#REF!</v>
      </c>
      <c r="K97" s="28"/>
      <c r="L97" s="44"/>
      <c r="M97" s="44"/>
      <c r="N97" s="44"/>
      <c r="O97" s="44"/>
      <c r="P97" s="44"/>
      <c r="Q97" s="44"/>
      <c r="R97" s="44"/>
      <c r="S97" s="103" t="e">
        <f t="shared" si="12"/>
        <v>#REF!</v>
      </c>
      <c r="T97" s="44"/>
      <c r="U97" s="68"/>
      <c r="V97" s="44"/>
    </row>
    <row r="98" spans="2:22" ht="16.5" outlineLevel="1" x14ac:dyDescent="0.35">
      <c r="B98" s="41" t="str">
        <f t="shared" si="8"/>
        <v>PROTECTION_PRTCTN_VL</v>
      </c>
      <c r="C98" s="152" t="s">
        <v>280</v>
      </c>
      <c r="D98" s="145" t="s">
        <v>63</v>
      </c>
      <c r="E98" s="146" t="s">
        <v>65</v>
      </c>
      <c r="F98" s="147"/>
      <c r="G98" s="147"/>
      <c r="H98" s="145"/>
      <c r="I98" s="145"/>
      <c r="J98" s="149" t="e">
        <f>SUMIF(#REF!,Macro_Plano_2025_v1!B98,#REF!)+SUMIF(#REF!,Macro_Plano_2025_v1!B98,#REF!)</f>
        <v>#REF!</v>
      </c>
      <c r="K98" s="28"/>
      <c r="L98" s="44"/>
      <c r="M98" s="44"/>
      <c r="N98" s="44"/>
      <c r="O98" s="44"/>
      <c r="P98" s="44"/>
      <c r="Q98" s="44"/>
      <c r="R98" s="44"/>
      <c r="S98" s="103" t="e">
        <f t="shared" si="12"/>
        <v>#REF!</v>
      </c>
      <c r="T98" s="44"/>
      <c r="U98" s="68"/>
      <c r="V98" s="44"/>
    </row>
    <row r="99" spans="2:22" ht="16.5" outlineLevel="1" x14ac:dyDescent="0.35">
      <c r="B99" s="41" t="str">
        <f t="shared" si="8"/>
        <v>PROTECTION_FLG_ELCTRC_VHCL</v>
      </c>
      <c r="C99" s="152" t="s">
        <v>281</v>
      </c>
      <c r="D99" s="145" t="s">
        <v>63</v>
      </c>
      <c r="E99" s="146" t="s">
        <v>66</v>
      </c>
      <c r="F99" s="147"/>
      <c r="G99" s="147"/>
      <c r="H99" s="145"/>
      <c r="I99" s="145"/>
      <c r="J99" s="149" t="e">
        <f>SUMIF(#REF!,Macro_Plano_2025_v1!B99,#REF!)+SUMIF(#REF!,Macro_Plano_2025_v1!B99,#REF!)</f>
        <v>#REF!</v>
      </c>
      <c r="K99" s="28"/>
      <c r="L99" s="44"/>
      <c r="M99" s="44"/>
      <c r="N99" s="44"/>
      <c r="O99" s="44"/>
      <c r="P99" s="44"/>
      <c r="Q99" s="44"/>
      <c r="R99" s="44"/>
      <c r="S99" s="103" t="e">
        <f t="shared" si="12"/>
        <v>#REF!</v>
      </c>
      <c r="T99" s="44"/>
      <c r="U99" s="68"/>
      <c r="V99" s="44"/>
    </row>
    <row r="100" spans="2:22" ht="16.5" outlineLevel="1" x14ac:dyDescent="0.35">
      <c r="B100" s="41" t="str">
        <f t="shared" si="8"/>
        <v>INSTR_ACTIVITY_COD_SOC</v>
      </c>
      <c r="C100" s="152" t="s">
        <v>282</v>
      </c>
      <c r="D100" s="145" t="s">
        <v>67</v>
      </c>
      <c r="E100" s="146" t="s">
        <v>6</v>
      </c>
      <c r="F100" s="147"/>
      <c r="G100" s="147"/>
      <c r="H100" s="145"/>
      <c r="I100" s="145"/>
      <c r="J100" s="149" t="e">
        <f>SUMIF(#REF!,Macro_Plano_2025_v1!B100,#REF!)+SUMIF(#REF!,Macro_Plano_2025_v1!B100,#REF!)</f>
        <v>#REF!</v>
      </c>
      <c r="K100" s="28"/>
      <c r="L100" s="44"/>
      <c r="M100" s="44"/>
      <c r="N100" s="44"/>
      <c r="O100" s="44"/>
      <c r="P100" s="44"/>
      <c r="Q100" s="44"/>
      <c r="R100" s="44"/>
      <c r="S100" s="103" t="e">
        <f t="shared" si="12"/>
        <v>#REF!</v>
      </c>
      <c r="T100" s="44"/>
      <c r="U100" s="68"/>
      <c r="V100" s="44"/>
    </row>
    <row r="101" spans="2:22" ht="16.5" outlineLevel="1" x14ac:dyDescent="0.35">
      <c r="B101" s="41" t="str">
        <f t="shared" si="8"/>
        <v>INSTR_ACTIVITY_DT_RFRNC</v>
      </c>
      <c r="C101" s="153" t="s">
        <v>283</v>
      </c>
      <c r="D101" s="104" t="s">
        <v>67</v>
      </c>
      <c r="E101" s="106" t="s">
        <v>8</v>
      </c>
      <c r="F101" s="105"/>
      <c r="G101" s="105"/>
      <c r="H101" s="104"/>
      <c r="I101" s="104"/>
      <c r="J101" s="116" t="e">
        <f>SUMIF(#REF!,Macro_Plano_2025_v1!B101,#REF!)+SUMIF(#REF!,Macro_Plano_2025_v1!B101,#REF!)</f>
        <v>#REF!</v>
      </c>
      <c r="K101" s="28"/>
      <c r="L101" s="44"/>
      <c r="M101" s="44"/>
      <c r="N101" s="44"/>
      <c r="O101" s="44"/>
      <c r="P101" s="44"/>
      <c r="Q101" s="44"/>
      <c r="R101" s="44"/>
      <c r="S101" s="103" t="e">
        <f>J101/8</f>
        <v>#REF!</v>
      </c>
      <c r="T101" s="44"/>
      <c r="U101" s="68"/>
      <c r="V101" s="44"/>
    </row>
    <row r="102" spans="2:22" ht="16.5" outlineLevel="1" x14ac:dyDescent="0.35">
      <c r="B102" s="41" t="str">
        <f t="shared" si="8"/>
        <v>INSTR_ACTIVITY_INSTRMNT_ID</v>
      </c>
      <c r="C102" s="155" t="s">
        <v>284</v>
      </c>
      <c r="D102" s="140" t="s">
        <v>67</v>
      </c>
      <c r="E102" s="141" t="s">
        <v>32</v>
      </c>
      <c r="F102" s="142"/>
      <c r="G102" s="142"/>
      <c r="H102" s="140"/>
      <c r="I102" s="140"/>
      <c r="J102" s="144" t="e">
        <f>SUMIF(#REF!,Macro_Plano_2025_v1!B102,#REF!)+SUMIF(#REF!,Macro_Plano_2025_v1!B102,#REF!)</f>
        <v>#REF!</v>
      </c>
      <c r="K102" s="28"/>
      <c r="L102" s="44"/>
      <c r="M102" s="44"/>
      <c r="N102" s="44"/>
      <c r="O102" s="44"/>
      <c r="P102" s="44"/>
      <c r="Q102" s="44"/>
      <c r="R102" s="44"/>
      <c r="S102" s="103" t="e">
        <f t="shared" si="12"/>
        <v>#REF!</v>
      </c>
      <c r="T102" s="44"/>
      <c r="U102" s="68"/>
      <c r="V102" s="44"/>
    </row>
    <row r="103" spans="2:22" ht="16.5" outlineLevel="1" x14ac:dyDescent="0.35">
      <c r="B103" s="41" t="str">
        <f t="shared" si="8"/>
        <v>INSTR_ACTIVITY_SSTNBL_CTGRY</v>
      </c>
      <c r="C103" s="152" t="s">
        <v>285</v>
      </c>
      <c r="D103" s="145" t="s">
        <v>67</v>
      </c>
      <c r="E103" s="146" t="s">
        <v>68</v>
      </c>
      <c r="F103" s="147"/>
      <c r="G103" s="147"/>
      <c r="H103" s="145"/>
      <c r="I103" s="145"/>
      <c r="J103" s="149" t="e">
        <f>SUMIF(#REF!,Macro_Plano_2025_v1!B103,#REF!)+SUMIF(#REF!,Macro_Plano_2025_v1!B103,#REF!)</f>
        <v>#REF!</v>
      </c>
      <c r="K103" s="28"/>
      <c r="L103" s="44"/>
      <c r="M103" s="44"/>
      <c r="N103" s="44"/>
      <c r="O103" s="44"/>
      <c r="P103" s="44"/>
      <c r="Q103" s="44"/>
      <c r="R103" s="44"/>
      <c r="S103" s="103" t="e">
        <f>S60-SUM(S87:S102)</f>
        <v>#REF!</v>
      </c>
      <c r="T103" s="103" t="e">
        <f>(J103/8)-S103</f>
        <v>#REF!</v>
      </c>
      <c r="U103" s="68"/>
      <c r="V103" s="44"/>
    </row>
    <row r="104" spans="2:22" ht="16.5" outlineLevel="1" x14ac:dyDescent="0.35">
      <c r="B104" s="41" t="str">
        <f t="shared" si="8"/>
        <v>INSTR_ACTIVITY_PRCNTG_ACTVTY</v>
      </c>
      <c r="C104" s="152" t="s">
        <v>286</v>
      </c>
      <c r="D104" s="145" t="s">
        <v>67</v>
      </c>
      <c r="E104" s="146" t="s">
        <v>69</v>
      </c>
      <c r="F104" s="147"/>
      <c r="G104" s="147"/>
      <c r="H104" s="145"/>
      <c r="I104" s="145"/>
      <c r="J104" s="149" t="e">
        <f>SUMIF(#REF!,Macro_Plano_2025_v1!B104,#REF!)+SUMIF(#REF!,Macro_Plano_2025_v1!B104,#REF!)</f>
        <v>#REF!</v>
      </c>
      <c r="K104" s="28"/>
      <c r="L104" s="44"/>
      <c r="M104" s="44"/>
      <c r="N104" s="44"/>
      <c r="O104" s="44"/>
      <c r="P104" s="44"/>
      <c r="Q104" s="44"/>
      <c r="R104" s="44"/>
      <c r="S104" s="44"/>
      <c r="T104" s="103" t="e">
        <f>J104/8</f>
        <v>#REF!</v>
      </c>
      <c r="U104" s="68"/>
      <c r="V104" s="44"/>
    </row>
    <row r="105" spans="2:22" ht="16.5" outlineLevel="1" x14ac:dyDescent="0.35">
      <c r="B105" s="41" t="str">
        <f t="shared" si="8"/>
        <v>INSTR_ACTIVITY_SSTNBL_INDCTR</v>
      </c>
      <c r="C105" s="152" t="s">
        <v>287</v>
      </c>
      <c r="D105" s="145" t="s">
        <v>67</v>
      </c>
      <c r="E105" s="146" t="s">
        <v>70</v>
      </c>
      <c r="F105" s="147"/>
      <c r="G105" s="147"/>
      <c r="H105" s="145"/>
      <c r="I105" s="145"/>
      <c r="J105" s="149" t="e">
        <f>SUMIF(#REF!,Macro_Plano_2025_v1!B105,#REF!)+SUMIF(#REF!,Macro_Plano_2025_v1!B105,#REF!)</f>
        <v>#REF!</v>
      </c>
      <c r="K105" s="28"/>
      <c r="L105" s="44"/>
      <c r="M105" s="44"/>
      <c r="N105" s="44"/>
      <c r="O105" s="44"/>
      <c r="P105" s="44"/>
      <c r="Q105" s="44"/>
      <c r="R105" s="44"/>
      <c r="S105" s="44"/>
      <c r="T105" s="103" t="e">
        <f>J105/8</f>
        <v>#REF!</v>
      </c>
      <c r="U105" s="68"/>
      <c r="V105" s="44"/>
    </row>
    <row r="106" spans="2:22" ht="16.5" x14ac:dyDescent="0.35">
      <c r="C106" s="160" t="s">
        <v>288</v>
      </c>
      <c r="D106" s="160"/>
      <c r="E106" s="165" t="s">
        <v>71</v>
      </c>
      <c r="F106" s="147"/>
      <c r="G106" s="147"/>
      <c r="H106" s="163"/>
      <c r="I106" s="163"/>
      <c r="J106" s="163" t="e">
        <f>#REF!</f>
        <v>#REF!</v>
      </c>
      <c r="K106" s="28"/>
      <c r="L106" s="44"/>
      <c r="M106" s="44"/>
      <c r="N106" s="44"/>
      <c r="O106" s="44"/>
      <c r="P106" s="44"/>
      <c r="Q106" s="44"/>
      <c r="R106" s="44"/>
      <c r="S106" s="44"/>
      <c r="T106" s="44" t="e">
        <f>SUM(#REF!)</f>
        <v>#REF!</v>
      </c>
      <c r="U106" s="68" t="e">
        <f>SUM(#REF!)</f>
        <v>#REF!</v>
      </c>
      <c r="V106" s="44"/>
    </row>
    <row r="107" spans="2:22" ht="3" customHeight="1" x14ac:dyDescent="0.35">
      <c r="C107" s="137"/>
      <c r="D107" s="137"/>
      <c r="E107" s="125"/>
      <c r="F107" s="126"/>
      <c r="G107" s="126"/>
      <c r="H107" s="127"/>
      <c r="I107" s="127"/>
      <c r="J107" s="127"/>
      <c r="K107" s="28"/>
      <c r="L107" s="69"/>
      <c r="M107" s="69"/>
      <c r="N107" s="69"/>
      <c r="O107" s="69"/>
      <c r="P107" s="69"/>
      <c r="Q107" s="69"/>
      <c r="R107" s="69"/>
      <c r="S107" s="69"/>
      <c r="T107" s="69"/>
      <c r="U107" s="70"/>
      <c r="V107" s="69"/>
    </row>
    <row r="108" spans="2:22" x14ac:dyDescent="0.35">
      <c r="C108" s="123" t="s">
        <v>289</v>
      </c>
      <c r="D108" s="129" t="s">
        <v>292</v>
      </c>
      <c r="E108" s="107"/>
      <c r="F108" s="105"/>
      <c r="G108" s="105"/>
      <c r="H108" s="109"/>
      <c r="I108" s="109"/>
      <c r="J108" s="136">
        <v>80</v>
      </c>
      <c r="K108" s="28"/>
      <c r="L108" s="44"/>
      <c r="M108" s="44"/>
      <c r="N108" s="44"/>
      <c r="O108" s="44"/>
      <c r="P108" s="44"/>
      <c r="Q108" s="44"/>
      <c r="R108" s="44"/>
      <c r="S108" s="44"/>
      <c r="T108" s="44"/>
      <c r="U108" s="68" t="e">
        <f>SUM(#REF!)</f>
        <v>#REF!</v>
      </c>
      <c r="V108" s="44" t="e">
        <f>SUM(#REF!)</f>
        <v>#REF!</v>
      </c>
    </row>
    <row r="109" spans="2:22" x14ac:dyDescent="0.55000000000000004">
      <c r="D109" s="2"/>
      <c r="E109" s="2"/>
      <c r="F109" s="2"/>
      <c r="H109" s="117"/>
      <c r="I109" s="117"/>
      <c r="K109" s="28"/>
    </row>
    <row r="110" spans="2:22" ht="16.5" x14ac:dyDescent="0.35">
      <c r="D110" s="105"/>
      <c r="E110" s="107"/>
      <c r="F110" s="107"/>
      <c r="G110" s="107"/>
      <c r="H110" s="109"/>
      <c r="I110" s="109"/>
      <c r="J110" s="107"/>
      <c r="K110" s="28"/>
    </row>
    <row r="111" spans="2:22" ht="16.5" x14ac:dyDescent="0.35">
      <c r="D111" s="105"/>
      <c r="E111" s="108"/>
      <c r="F111" s="107"/>
      <c r="G111" s="107"/>
      <c r="H111" s="109"/>
      <c r="I111" s="109"/>
      <c r="J111" s="107"/>
      <c r="K111" s="28"/>
    </row>
    <row r="112" spans="2:22" ht="16.5" x14ac:dyDescent="0.35">
      <c r="D112" s="105"/>
      <c r="E112" s="108"/>
      <c r="F112" s="107"/>
      <c r="G112" s="107"/>
      <c r="H112" s="109"/>
      <c r="I112" s="109"/>
      <c r="J112" s="107"/>
      <c r="K112" s="28"/>
    </row>
    <row r="113" spans="11:11" x14ac:dyDescent="0.55000000000000004">
      <c r="K113" s="28"/>
    </row>
    <row r="114" spans="11:11" x14ac:dyDescent="0.55000000000000004">
      <c r="K114" s="28"/>
    </row>
  </sheetData>
  <mergeCells count="1">
    <mergeCell ref="U8:V8"/>
  </mergeCells>
  <conditionalFormatting sqref="L13:V17">
    <cfRule type="cellIs" dxfId="6" priority="7" operator="greaterThan">
      <formula>1</formula>
    </cfRule>
  </conditionalFormatting>
  <conditionalFormatting sqref="L18:V40">
    <cfRule type="containsBlanks" dxfId="5" priority="5">
      <formula>LEN(TRIM(L18))=0</formula>
    </cfRule>
    <cfRule type="cellIs" dxfId="4" priority="6" operator="between">
      <formula>0</formula>
      <formula>1</formula>
    </cfRule>
  </conditionalFormatting>
  <conditionalFormatting sqref="L43:V56">
    <cfRule type="containsBlanks" dxfId="3" priority="1">
      <formula>LEN(TRIM(L43))=0</formula>
    </cfRule>
    <cfRule type="cellIs" dxfId="2" priority="2" operator="between">
      <formula>0</formula>
      <formula>1</formula>
    </cfRule>
  </conditionalFormatting>
  <conditionalFormatting sqref="L59:V60">
    <cfRule type="cellIs" dxfId="1" priority="4" operator="greaterThan">
      <formula>1</formula>
    </cfRule>
  </conditionalFormatting>
  <conditionalFormatting sqref="L106:V108">
    <cfRule type="cellIs" dxfId="0" priority="3" operator="greaterThan">
      <formula>1</formula>
    </cfRule>
  </conditionalFormatting>
  <dataValidations count="1">
    <dataValidation type="list" allowBlank="1" showInputMessage="1" showErrorMessage="1" sqref="G13:G108" xr:uid="{3274E5EE-7415-4205-A65B-FC10EA0D0FF1}">
      <formula1>"Done, WIP, To Start"</formula1>
    </dataValidation>
  </dataValidation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D689-3D69-44D0-BD4E-BC45B16CE2D2}">
  <sheetPr filterMode="1">
    <tabColor rgb="FFFF0000"/>
  </sheetPr>
  <dimension ref="A1:AL81"/>
  <sheetViews>
    <sheetView showGridLines="0" tabSelected="1" topLeftCell="G2" zoomScale="70" zoomScaleNormal="70" workbookViewId="0">
      <selection activeCell="N52" sqref="N52"/>
    </sheetView>
  </sheetViews>
  <sheetFormatPr defaultColWidth="9.81640625" defaultRowHeight="14.5" x14ac:dyDescent="0.35"/>
  <cols>
    <col min="1" max="1" width="26.08984375" style="49" hidden="1" customWidth="1"/>
    <col min="2" max="2" width="61.81640625" style="49" bestFit="1" customWidth="1"/>
    <col min="3" max="3" width="19.08984375" style="193" customWidth="1"/>
    <col min="4" max="4" width="44.6328125" style="194" customWidth="1"/>
    <col min="5" max="5" width="65.90625" style="195" customWidth="1"/>
    <col min="6" max="6" width="23.36328125" style="48" customWidth="1"/>
    <col min="7" max="10" width="20.36328125" style="194" customWidth="1"/>
    <col min="11" max="11" width="21.1796875" style="194" customWidth="1"/>
    <col min="12" max="12" width="20.36328125" style="195" customWidth="1"/>
    <col min="13" max="13" width="20.6328125" style="195" customWidth="1"/>
    <col min="14" max="14" width="20.36328125" style="195" customWidth="1"/>
    <col min="15" max="15" width="14.7265625" style="195" customWidth="1"/>
    <col min="16" max="16" width="20.36328125" style="195" customWidth="1"/>
    <col min="17" max="17" width="14.7265625" style="195" customWidth="1"/>
    <col min="18" max="19" width="20.36328125" style="195" customWidth="1"/>
    <col min="20" max="20" width="17.90625" style="195" customWidth="1"/>
    <col min="21" max="21" width="20.36328125" style="195" customWidth="1"/>
    <col min="22" max="22" width="18.54296875" style="195" customWidth="1"/>
    <col min="23" max="23" width="39.453125" style="195" bestFit="1" customWidth="1"/>
    <col min="24" max="24" width="70.26953125" style="195" customWidth="1"/>
    <col min="25" max="25" width="31.1796875" style="195" customWidth="1"/>
    <col min="26" max="26" width="29.453125" style="195" bestFit="1" customWidth="1"/>
    <col min="27" max="27" width="43.54296875" style="48" customWidth="1"/>
    <col min="28" max="28" width="24.453125" style="195" bestFit="1" customWidth="1"/>
    <col min="29" max="29" width="15.90625" style="195" customWidth="1"/>
    <col min="30" max="30" width="16.453125" style="195" customWidth="1"/>
    <col min="31" max="31" width="15.90625" style="195" customWidth="1"/>
    <col min="32" max="32" width="25.6328125" style="195" customWidth="1"/>
    <col min="33" max="33" width="26.7265625" style="195" customWidth="1"/>
    <col min="34" max="34" width="18.1796875" style="195" customWidth="1"/>
    <col min="35" max="35" width="18.453125" style="195" customWidth="1"/>
    <col min="36" max="36" width="23.6328125" style="195" customWidth="1"/>
    <col min="37" max="37" width="14.81640625" style="195" customWidth="1"/>
    <col min="38" max="38" width="33.453125" style="195" customWidth="1"/>
    <col min="39" max="16384" width="9.81640625" style="195"/>
  </cols>
  <sheetData>
    <row r="1" spans="1:38" ht="14.9" customHeight="1" x14ac:dyDescent="0.35">
      <c r="M1" s="196"/>
      <c r="O1" s="196"/>
      <c r="Q1" s="196"/>
      <c r="T1" s="196"/>
      <c r="Y1" s="197" t="s">
        <v>307</v>
      </c>
    </row>
    <row r="2" spans="1:38" ht="18.5" x14ac:dyDescent="0.35">
      <c r="A2" s="198"/>
      <c r="B2" s="198" t="s">
        <v>308</v>
      </c>
      <c r="C2" s="199"/>
      <c r="D2" s="199"/>
      <c r="E2" s="200"/>
      <c r="F2" s="201" t="s">
        <v>309</v>
      </c>
      <c r="G2" s="202" t="s">
        <v>310</v>
      </c>
      <c r="H2" s="202" t="s">
        <v>311</v>
      </c>
      <c r="I2" s="202" t="s">
        <v>312</v>
      </c>
      <c r="J2" s="202" t="s">
        <v>313</v>
      </c>
      <c r="K2" s="202" t="s">
        <v>314</v>
      </c>
      <c r="L2" s="203" t="s">
        <v>315</v>
      </c>
      <c r="M2" s="204"/>
      <c r="N2" s="204"/>
      <c r="O2" s="204"/>
      <c r="P2" s="204"/>
      <c r="Q2" s="204"/>
      <c r="R2" s="204"/>
      <c r="S2" s="204"/>
      <c r="T2" s="204"/>
      <c r="U2" s="204"/>
      <c r="V2" s="203" t="s">
        <v>315</v>
      </c>
      <c r="W2" s="204"/>
      <c r="X2" s="204"/>
      <c r="Y2" s="204"/>
      <c r="Z2" s="204"/>
      <c r="AC2" s="205" t="s">
        <v>316</v>
      </c>
      <c r="AD2" s="205"/>
      <c r="AE2" s="206"/>
      <c r="AF2" s="206"/>
      <c r="AG2" s="205"/>
      <c r="AH2" s="206"/>
      <c r="AI2" s="206"/>
      <c r="AJ2" s="206"/>
      <c r="AK2" s="206"/>
    </row>
    <row r="3" spans="1:38" ht="29" x14ac:dyDescent="0.35">
      <c r="A3" s="207" t="s">
        <v>317</v>
      </c>
      <c r="B3" s="50" t="s">
        <v>90</v>
      </c>
      <c r="C3" s="51" t="s">
        <v>91</v>
      </c>
      <c r="D3" s="51" t="s">
        <v>92</v>
      </c>
      <c r="E3" s="51" t="s">
        <v>318</v>
      </c>
      <c r="F3" s="208" t="s">
        <v>319</v>
      </c>
      <c r="G3" s="208" t="s">
        <v>320</v>
      </c>
      <c r="H3" s="208" t="s">
        <v>321</v>
      </c>
      <c r="I3" s="209" t="s">
        <v>322</v>
      </c>
      <c r="J3" s="208" t="s">
        <v>323</v>
      </c>
      <c r="K3" s="209" t="s">
        <v>324</v>
      </c>
      <c r="L3" s="210" t="s">
        <v>325</v>
      </c>
      <c r="M3" s="210" t="s">
        <v>326</v>
      </c>
      <c r="N3" s="210" t="s">
        <v>327</v>
      </c>
      <c r="O3" s="210" t="s">
        <v>328</v>
      </c>
      <c r="P3" s="210" t="s">
        <v>329</v>
      </c>
      <c r="Q3" s="210" t="s">
        <v>330</v>
      </c>
      <c r="R3" s="211" t="s">
        <v>331</v>
      </c>
      <c r="S3" s="210" t="s">
        <v>332</v>
      </c>
      <c r="T3" s="210" t="s">
        <v>333</v>
      </c>
      <c r="U3" s="211" t="s">
        <v>334</v>
      </c>
      <c r="V3" s="212" t="s">
        <v>335</v>
      </c>
      <c r="W3" s="212" t="s">
        <v>336</v>
      </c>
      <c r="X3" s="212" t="s">
        <v>337</v>
      </c>
      <c r="Y3" s="213" t="s">
        <v>338</v>
      </c>
      <c r="Z3" s="214" t="s">
        <v>339</v>
      </c>
      <c r="AA3" s="52" t="s">
        <v>93</v>
      </c>
      <c r="AB3" s="215" t="s">
        <v>340</v>
      </c>
      <c r="AC3" s="216" t="s">
        <v>89</v>
      </c>
      <c r="AD3" s="216" t="s">
        <v>94</v>
      </c>
      <c r="AE3" s="216" t="s">
        <v>95</v>
      </c>
      <c r="AF3" s="216" t="s">
        <v>96</v>
      </c>
      <c r="AG3" s="216" t="s">
        <v>97</v>
      </c>
      <c r="AH3" s="216" t="s">
        <v>98</v>
      </c>
      <c r="AI3" s="216" t="s">
        <v>99</v>
      </c>
      <c r="AJ3" s="216" t="s">
        <v>100</v>
      </c>
      <c r="AK3" s="217" t="s">
        <v>101</v>
      </c>
      <c r="AL3" s="218" t="s">
        <v>341</v>
      </c>
    </row>
    <row r="4" spans="1:38" hidden="1" x14ac:dyDescent="0.35">
      <c r="A4" s="219" t="s">
        <v>342</v>
      </c>
      <c r="B4" s="220" t="s">
        <v>107</v>
      </c>
      <c r="C4" s="221" t="s">
        <v>5</v>
      </c>
      <c r="D4" s="222" t="s">
        <v>6</v>
      </c>
      <c r="E4" s="223" t="s">
        <v>343</v>
      </c>
      <c r="F4" s="224" t="s">
        <v>111</v>
      </c>
      <c r="G4" s="224" t="s">
        <v>111</v>
      </c>
      <c r="H4" s="224" t="s">
        <v>111</v>
      </c>
      <c r="I4" s="224" t="s">
        <v>117</v>
      </c>
      <c r="J4" s="224" t="s">
        <v>111</v>
      </c>
      <c r="K4" s="224" t="s">
        <v>111</v>
      </c>
      <c r="L4" s="62" t="s">
        <v>111</v>
      </c>
      <c r="M4" s="62" t="s">
        <v>486</v>
      </c>
      <c r="N4" s="62" t="s">
        <v>111</v>
      </c>
      <c r="O4" s="62" t="s">
        <v>486</v>
      </c>
      <c r="P4" s="62" t="s">
        <v>111</v>
      </c>
      <c r="Q4" s="62" t="s">
        <v>486</v>
      </c>
      <c r="R4" s="62" t="s">
        <v>344</v>
      </c>
      <c r="S4" s="62" t="s">
        <v>111</v>
      </c>
      <c r="T4" s="62" t="s">
        <v>486</v>
      </c>
      <c r="U4" s="62" t="s">
        <v>344</v>
      </c>
      <c r="V4" s="62" t="s">
        <v>117</v>
      </c>
      <c r="W4" s="225" t="s">
        <v>344</v>
      </c>
      <c r="X4" s="225" t="s">
        <v>344</v>
      </c>
      <c r="Y4" s="225" t="s">
        <v>487</v>
      </c>
      <c r="Z4" s="226" t="s">
        <v>345</v>
      </c>
      <c r="AA4" s="58" t="s">
        <v>108</v>
      </c>
      <c r="AB4" s="225" t="s">
        <v>346</v>
      </c>
      <c r="AC4" s="227" t="s">
        <v>109</v>
      </c>
      <c r="AD4" s="228">
        <v>0</v>
      </c>
      <c r="AE4" s="229">
        <v>1</v>
      </c>
      <c r="AF4" s="225">
        <v>1</v>
      </c>
      <c r="AG4" s="225" t="s">
        <v>1</v>
      </c>
      <c r="AH4" s="225">
        <v>0</v>
      </c>
      <c r="AI4" s="225">
        <v>0.5</v>
      </c>
      <c r="AJ4" s="225">
        <v>1</v>
      </c>
      <c r="AK4" s="230">
        <v>2.5</v>
      </c>
      <c r="AL4" s="225"/>
    </row>
    <row r="5" spans="1:38" hidden="1" x14ac:dyDescent="0.35">
      <c r="A5" s="219" t="s">
        <v>347</v>
      </c>
      <c r="B5" s="220" t="s">
        <v>112</v>
      </c>
      <c r="C5" s="221" t="s">
        <v>5</v>
      </c>
      <c r="D5" s="222" t="s">
        <v>7</v>
      </c>
      <c r="E5" s="223" t="s">
        <v>348</v>
      </c>
      <c r="F5" s="224" t="s">
        <v>111</v>
      </c>
      <c r="G5" s="224" t="s">
        <v>111</v>
      </c>
      <c r="H5" s="224" t="s">
        <v>111</v>
      </c>
      <c r="I5" s="224" t="s">
        <v>117</v>
      </c>
      <c r="J5" s="224" t="s">
        <v>111</v>
      </c>
      <c r="K5" s="224" t="s">
        <v>111</v>
      </c>
      <c r="L5" s="62" t="s">
        <v>111</v>
      </c>
      <c r="M5" s="62" t="s">
        <v>486</v>
      </c>
      <c r="N5" s="62" t="s">
        <v>111</v>
      </c>
      <c r="O5" s="62" t="s">
        <v>486</v>
      </c>
      <c r="P5" s="62" t="s">
        <v>111</v>
      </c>
      <c r="Q5" s="62" t="s">
        <v>486</v>
      </c>
      <c r="R5" s="62" t="s">
        <v>344</v>
      </c>
      <c r="S5" s="62" t="s">
        <v>111</v>
      </c>
      <c r="T5" s="62" t="s">
        <v>486</v>
      </c>
      <c r="U5" s="62" t="s">
        <v>344</v>
      </c>
      <c r="V5" s="62" t="s">
        <v>117</v>
      </c>
      <c r="W5" s="225" t="s">
        <v>344</v>
      </c>
      <c r="X5" s="225" t="s">
        <v>344</v>
      </c>
      <c r="Y5" s="225" t="s">
        <v>487</v>
      </c>
      <c r="Z5" s="226" t="s">
        <v>345</v>
      </c>
      <c r="AA5" s="58" t="s">
        <v>108</v>
      </c>
      <c r="AB5" s="225" t="s">
        <v>349</v>
      </c>
      <c r="AC5" s="227" t="s">
        <v>109</v>
      </c>
      <c r="AD5" s="228">
        <v>0</v>
      </c>
      <c r="AE5" s="229">
        <v>1</v>
      </c>
      <c r="AF5" s="225">
        <v>1</v>
      </c>
      <c r="AG5" s="228" t="s">
        <v>1</v>
      </c>
      <c r="AH5" s="225">
        <v>0</v>
      </c>
      <c r="AI5" s="225">
        <v>0.5</v>
      </c>
      <c r="AJ5" s="225">
        <v>1</v>
      </c>
      <c r="AK5" s="230">
        <v>2.5</v>
      </c>
      <c r="AL5" s="225"/>
    </row>
    <row r="6" spans="1:38" hidden="1" x14ac:dyDescent="0.35">
      <c r="A6" s="219" t="s">
        <v>350</v>
      </c>
      <c r="B6" s="220" t="s">
        <v>113</v>
      </c>
      <c r="C6" s="221" t="s">
        <v>5</v>
      </c>
      <c r="D6" s="222" t="s">
        <v>8</v>
      </c>
      <c r="E6" s="223" t="s">
        <v>351</v>
      </c>
      <c r="F6" s="224" t="s">
        <v>111</v>
      </c>
      <c r="G6" s="224" t="s">
        <v>111</v>
      </c>
      <c r="H6" s="224" t="s">
        <v>111</v>
      </c>
      <c r="I6" s="224" t="s">
        <v>117</v>
      </c>
      <c r="J6" s="224" t="s">
        <v>111</v>
      </c>
      <c r="K6" s="224" t="s">
        <v>111</v>
      </c>
      <c r="L6" s="62" t="s">
        <v>111</v>
      </c>
      <c r="M6" s="62" t="s">
        <v>486</v>
      </c>
      <c r="N6" s="62" t="s">
        <v>111</v>
      </c>
      <c r="O6" s="62" t="s">
        <v>486</v>
      </c>
      <c r="P6" s="62" t="s">
        <v>111</v>
      </c>
      <c r="Q6" s="62" t="s">
        <v>486</v>
      </c>
      <c r="R6" s="62" t="s">
        <v>344</v>
      </c>
      <c r="S6" s="62" t="s">
        <v>111</v>
      </c>
      <c r="T6" s="62" t="s">
        <v>486</v>
      </c>
      <c r="U6" s="62" t="s">
        <v>344</v>
      </c>
      <c r="V6" s="62" t="s">
        <v>117</v>
      </c>
      <c r="W6" s="225" t="s">
        <v>344</v>
      </c>
      <c r="X6" s="225" t="s">
        <v>344</v>
      </c>
      <c r="Y6" s="225" t="s">
        <v>487</v>
      </c>
      <c r="Z6" s="226" t="s">
        <v>345</v>
      </c>
      <c r="AA6" s="58" t="s">
        <v>108</v>
      </c>
      <c r="AB6" s="225" t="s">
        <v>352</v>
      </c>
      <c r="AC6" s="227" t="s">
        <v>109</v>
      </c>
      <c r="AD6" s="228">
        <v>0</v>
      </c>
      <c r="AE6" s="229">
        <v>1</v>
      </c>
      <c r="AF6" s="225">
        <v>1</v>
      </c>
      <c r="AG6" s="225" t="s">
        <v>1</v>
      </c>
      <c r="AH6" s="225">
        <v>0</v>
      </c>
      <c r="AI6" s="225">
        <v>0.5</v>
      </c>
      <c r="AJ6" s="225">
        <v>1</v>
      </c>
      <c r="AK6" s="230">
        <v>2.5</v>
      </c>
      <c r="AL6" s="225"/>
    </row>
    <row r="7" spans="1:38" hidden="1" x14ac:dyDescent="0.35">
      <c r="A7" s="219" t="s">
        <v>353</v>
      </c>
      <c r="B7" s="220" t="s">
        <v>114</v>
      </c>
      <c r="C7" s="221" t="s">
        <v>5</v>
      </c>
      <c r="D7" s="222" t="s">
        <v>32</v>
      </c>
      <c r="E7" s="223" t="s">
        <v>354</v>
      </c>
      <c r="F7" s="224" t="s">
        <v>111</v>
      </c>
      <c r="G7" s="224" t="s">
        <v>111</v>
      </c>
      <c r="H7" s="224" t="s">
        <v>111</v>
      </c>
      <c r="I7" s="224" t="s">
        <v>117</v>
      </c>
      <c r="J7" s="224" t="s">
        <v>111</v>
      </c>
      <c r="K7" s="224" t="s">
        <v>111</v>
      </c>
      <c r="L7" s="62" t="s">
        <v>111</v>
      </c>
      <c r="M7" s="62" t="s">
        <v>486</v>
      </c>
      <c r="N7" s="62" t="s">
        <v>111</v>
      </c>
      <c r="O7" s="62" t="s">
        <v>486</v>
      </c>
      <c r="P7" s="62" t="s">
        <v>111</v>
      </c>
      <c r="Q7" s="62" t="s">
        <v>486</v>
      </c>
      <c r="R7" s="62" t="s">
        <v>344</v>
      </c>
      <c r="S7" s="62" t="s">
        <v>111</v>
      </c>
      <c r="T7" s="62" t="s">
        <v>486</v>
      </c>
      <c r="U7" s="62" t="s">
        <v>344</v>
      </c>
      <c r="V7" s="62" t="s">
        <v>117</v>
      </c>
      <c r="W7" s="225" t="s">
        <v>344</v>
      </c>
      <c r="X7" s="225" t="s">
        <v>344</v>
      </c>
      <c r="Y7" s="225" t="s">
        <v>487</v>
      </c>
      <c r="Z7" s="226" t="s">
        <v>345</v>
      </c>
      <c r="AA7" s="58" t="s">
        <v>115</v>
      </c>
      <c r="AB7" s="225" t="s">
        <v>355</v>
      </c>
      <c r="AC7" s="227" t="s">
        <v>116</v>
      </c>
      <c r="AD7" s="228">
        <v>0</v>
      </c>
      <c r="AE7" s="229">
        <v>8</v>
      </c>
      <c r="AF7" s="225">
        <v>3</v>
      </c>
      <c r="AG7" s="225" t="s">
        <v>1</v>
      </c>
      <c r="AH7" s="225">
        <v>0</v>
      </c>
      <c r="AI7" s="225">
        <v>1</v>
      </c>
      <c r="AJ7" s="225">
        <v>2</v>
      </c>
      <c r="AK7" s="230">
        <v>6</v>
      </c>
      <c r="AL7" s="225"/>
    </row>
    <row r="8" spans="1:38" hidden="1" x14ac:dyDescent="0.35">
      <c r="A8" s="219" t="s">
        <v>356</v>
      </c>
      <c r="B8" s="220" t="s">
        <v>118</v>
      </c>
      <c r="C8" s="221" t="s">
        <v>5</v>
      </c>
      <c r="D8" s="231" t="s">
        <v>9</v>
      </c>
      <c r="E8" s="232" t="s">
        <v>357</v>
      </c>
      <c r="F8" s="224" t="s">
        <v>111</v>
      </c>
      <c r="G8" s="224" t="s">
        <v>111</v>
      </c>
      <c r="H8" s="224" t="s">
        <v>111</v>
      </c>
      <c r="I8" s="224" t="s">
        <v>117</v>
      </c>
      <c r="J8" s="224" t="s">
        <v>117</v>
      </c>
      <c r="K8" s="224" t="s">
        <v>111</v>
      </c>
      <c r="L8" s="62" t="s">
        <v>111</v>
      </c>
      <c r="M8" s="62" t="s">
        <v>486</v>
      </c>
      <c r="N8" s="62" t="s">
        <v>111</v>
      </c>
      <c r="O8" s="62" t="s">
        <v>486</v>
      </c>
      <c r="P8" s="62" t="s">
        <v>111</v>
      </c>
      <c r="Q8" s="62" t="s">
        <v>486</v>
      </c>
      <c r="R8" s="62" t="s">
        <v>344</v>
      </c>
      <c r="S8" s="62" t="s">
        <v>117</v>
      </c>
      <c r="T8" s="62" t="s">
        <v>486</v>
      </c>
      <c r="U8" s="62" t="s">
        <v>344</v>
      </c>
      <c r="V8" s="62" t="s">
        <v>117</v>
      </c>
      <c r="W8" s="225" t="s">
        <v>344</v>
      </c>
      <c r="X8" s="228" t="s">
        <v>344</v>
      </c>
      <c r="Y8" s="225" t="s">
        <v>487</v>
      </c>
      <c r="Z8" s="226" t="s">
        <v>345</v>
      </c>
      <c r="AA8" s="58" t="s">
        <v>108</v>
      </c>
      <c r="AB8" s="225" t="s">
        <v>349</v>
      </c>
      <c r="AC8" s="227" t="s">
        <v>109</v>
      </c>
      <c r="AD8" s="228">
        <v>0</v>
      </c>
      <c r="AE8" s="229">
        <v>1</v>
      </c>
      <c r="AF8" s="225">
        <v>1</v>
      </c>
      <c r="AG8" s="228" t="s">
        <v>1</v>
      </c>
      <c r="AH8" s="225">
        <v>0</v>
      </c>
      <c r="AI8" s="225">
        <v>0.5</v>
      </c>
      <c r="AJ8" s="225">
        <v>1</v>
      </c>
      <c r="AK8" s="230">
        <v>2.5</v>
      </c>
      <c r="AL8" s="225" t="s">
        <v>358</v>
      </c>
    </row>
    <row r="9" spans="1:38" hidden="1" x14ac:dyDescent="0.35">
      <c r="A9" s="219" t="s">
        <v>359</v>
      </c>
      <c r="B9" s="220" t="s">
        <v>119</v>
      </c>
      <c r="C9" s="221" t="s">
        <v>5</v>
      </c>
      <c r="D9" s="222" t="s">
        <v>10</v>
      </c>
      <c r="E9" s="223" t="s">
        <v>360</v>
      </c>
      <c r="F9" s="224" t="s">
        <v>111</v>
      </c>
      <c r="G9" s="224" t="s">
        <v>111</v>
      </c>
      <c r="H9" s="224" t="s">
        <v>111</v>
      </c>
      <c r="I9" s="224" t="s">
        <v>117</v>
      </c>
      <c r="J9" s="224" t="s">
        <v>117</v>
      </c>
      <c r="K9" s="224" t="s">
        <v>111</v>
      </c>
      <c r="L9" s="62" t="s">
        <v>111</v>
      </c>
      <c r="M9" s="62" t="s">
        <v>486</v>
      </c>
      <c r="N9" s="62" t="s">
        <v>111</v>
      </c>
      <c r="O9" s="62" t="s">
        <v>486</v>
      </c>
      <c r="P9" s="62" t="s">
        <v>111</v>
      </c>
      <c r="Q9" s="62" t="s">
        <v>486</v>
      </c>
      <c r="R9" s="62" t="s">
        <v>344</v>
      </c>
      <c r="S9" s="62" t="s">
        <v>117</v>
      </c>
      <c r="T9" s="62" t="s">
        <v>486</v>
      </c>
      <c r="U9" s="62" t="s">
        <v>344</v>
      </c>
      <c r="V9" s="62" t="s">
        <v>117</v>
      </c>
      <c r="W9" s="225" t="s">
        <v>344</v>
      </c>
      <c r="X9" s="225" t="s">
        <v>344</v>
      </c>
      <c r="Y9" s="225" t="s">
        <v>487</v>
      </c>
      <c r="Z9" s="226" t="s">
        <v>345</v>
      </c>
      <c r="AA9" s="58" t="s">
        <v>108</v>
      </c>
      <c r="AB9" s="225" t="s">
        <v>349</v>
      </c>
      <c r="AC9" s="227" t="s">
        <v>109</v>
      </c>
      <c r="AD9" s="228">
        <v>0</v>
      </c>
      <c r="AE9" s="229">
        <v>1</v>
      </c>
      <c r="AF9" s="225">
        <v>1</v>
      </c>
      <c r="AG9" s="228" t="s">
        <v>1</v>
      </c>
      <c r="AH9" s="225">
        <v>0</v>
      </c>
      <c r="AI9" s="225">
        <v>0.5</v>
      </c>
      <c r="AJ9" s="225">
        <v>1</v>
      </c>
      <c r="AK9" s="230">
        <v>2.5</v>
      </c>
      <c r="AL9" s="225" t="s">
        <v>361</v>
      </c>
    </row>
    <row r="10" spans="1:38" hidden="1" x14ac:dyDescent="0.35">
      <c r="A10" s="219" t="s">
        <v>362</v>
      </c>
      <c r="B10" s="220" t="s">
        <v>120</v>
      </c>
      <c r="C10" s="221" t="s">
        <v>5</v>
      </c>
      <c r="D10" s="222" t="s">
        <v>11</v>
      </c>
      <c r="E10" s="223" t="s">
        <v>363</v>
      </c>
      <c r="F10" s="224" t="s">
        <v>111</v>
      </c>
      <c r="G10" s="224" t="s">
        <v>111</v>
      </c>
      <c r="H10" s="224" t="s">
        <v>111</v>
      </c>
      <c r="I10" s="224" t="s">
        <v>117</v>
      </c>
      <c r="J10" s="224" t="s">
        <v>117</v>
      </c>
      <c r="K10" s="224" t="s">
        <v>111</v>
      </c>
      <c r="L10" s="62" t="s">
        <v>111</v>
      </c>
      <c r="M10" s="62" t="s">
        <v>486</v>
      </c>
      <c r="N10" s="62" t="s">
        <v>111</v>
      </c>
      <c r="O10" s="62" t="s">
        <v>486</v>
      </c>
      <c r="P10" s="62" t="s">
        <v>111</v>
      </c>
      <c r="Q10" s="62" t="s">
        <v>486</v>
      </c>
      <c r="R10" s="62" t="s">
        <v>344</v>
      </c>
      <c r="S10" s="62" t="s">
        <v>117</v>
      </c>
      <c r="T10" s="62" t="s">
        <v>486</v>
      </c>
      <c r="U10" s="62" t="s">
        <v>344</v>
      </c>
      <c r="V10" s="62" t="s">
        <v>117</v>
      </c>
      <c r="W10" s="225" t="s">
        <v>344</v>
      </c>
      <c r="X10" s="225" t="s">
        <v>344</v>
      </c>
      <c r="Y10" s="225" t="s">
        <v>487</v>
      </c>
      <c r="Z10" s="226" t="s">
        <v>345</v>
      </c>
      <c r="AA10" s="58" t="s">
        <v>108</v>
      </c>
      <c r="AB10" s="225" t="s">
        <v>349</v>
      </c>
      <c r="AC10" s="227" t="s">
        <v>109</v>
      </c>
      <c r="AD10" s="228">
        <v>0</v>
      </c>
      <c r="AE10" s="229">
        <v>1</v>
      </c>
      <c r="AF10" s="225">
        <v>1</v>
      </c>
      <c r="AG10" s="228" t="s">
        <v>1</v>
      </c>
      <c r="AH10" s="225">
        <v>0</v>
      </c>
      <c r="AI10" s="225">
        <v>0.5</v>
      </c>
      <c r="AJ10" s="225">
        <v>1</v>
      </c>
      <c r="AK10" s="230">
        <v>2.5</v>
      </c>
      <c r="AL10" s="225" t="s">
        <v>361</v>
      </c>
    </row>
    <row r="11" spans="1:38" hidden="1" x14ac:dyDescent="0.35">
      <c r="A11" s="219" t="s">
        <v>364</v>
      </c>
      <c r="B11" s="220" t="s">
        <v>121</v>
      </c>
      <c r="C11" s="221" t="s">
        <v>5</v>
      </c>
      <c r="D11" s="231" t="s">
        <v>12</v>
      </c>
      <c r="E11" s="232" t="s">
        <v>365</v>
      </c>
      <c r="F11" s="224" t="s">
        <v>111</v>
      </c>
      <c r="G11" s="224" t="s">
        <v>111</v>
      </c>
      <c r="H11" s="224" t="s">
        <v>111</v>
      </c>
      <c r="I11" s="224" t="s">
        <v>117</v>
      </c>
      <c r="J11" s="224" t="s">
        <v>117</v>
      </c>
      <c r="K11" s="224" t="s">
        <v>111</v>
      </c>
      <c r="L11" s="62" t="s">
        <v>111</v>
      </c>
      <c r="M11" s="62" t="s">
        <v>486</v>
      </c>
      <c r="N11" s="62" t="s">
        <v>111</v>
      </c>
      <c r="O11" s="62" t="s">
        <v>486</v>
      </c>
      <c r="P11" s="62" t="s">
        <v>111</v>
      </c>
      <c r="Q11" s="62" t="s">
        <v>486</v>
      </c>
      <c r="R11" s="62" t="s">
        <v>344</v>
      </c>
      <c r="S11" s="62" t="s">
        <v>117</v>
      </c>
      <c r="T11" s="62" t="s">
        <v>486</v>
      </c>
      <c r="U11" s="62" t="s">
        <v>344</v>
      </c>
      <c r="V11" s="62" t="s">
        <v>117</v>
      </c>
      <c r="W11" s="225" t="s">
        <v>344</v>
      </c>
      <c r="X11" s="225" t="s">
        <v>344</v>
      </c>
      <c r="Y11" s="225" t="s">
        <v>487</v>
      </c>
      <c r="Z11" s="226" t="s">
        <v>345</v>
      </c>
      <c r="AA11" s="58" t="s">
        <v>108</v>
      </c>
      <c r="AB11" s="225" t="s">
        <v>349</v>
      </c>
      <c r="AC11" s="227" t="s">
        <v>109</v>
      </c>
      <c r="AD11" s="228">
        <v>0</v>
      </c>
      <c r="AE11" s="229">
        <v>1</v>
      </c>
      <c r="AF11" s="225">
        <v>1</v>
      </c>
      <c r="AG11" s="228" t="s">
        <v>1</v>
      </c>
      <c r="AH11" s="225">
        <v>0</v>
      </c>
      <c r="AI11" s="225">
        <v>0.5</v>
      </c>
      <c r="AJ11" s="225">
        <v>1</v>
      </c>
      <c r="AK11" s="230">
        <v>2.5</v>
      </c>
      <c r="AL11" s="225"/>
    </row>
    <row r="12" spans="1:38" hidden="1" x14ac:dyDescent="0.35">
      <c r="A12" s="219" t="s">
        <v>366</v>
      </c>
      <c r="B12" s="220" t="s">
        <v>122</v>
      </c>
      <c r="C12" s="221" t="s">
        <v>5</v>
      </c>
      <c r="D12" s="222" t="s">
        <v>13</v>
      </c>
      <c r="E12" s="223" t="s">
        <v>367</v>
      </c>
      <c r="F12" s="224" t="s">
        <v>111</v>
      </c>
      <c r="G12" s="224" t="s">
        <v>111</v>
      </c>
      <c r="H12" s="224" t="s">
        <v>111</v>
      </c>
      <c r="I12" s="224" t="s">
        <v>117</v>
      </c>
      <c r="J12" s="224" t="s">
        <v>111</v>
      </c>
      <c r="K12" s="224" t="s">
        <v>111</v>
      </c>
      <c r="L12" s="62" t="s">
        <v>111</v>
      </c>
      <c r="M12" s="62" t="s">
        <v>486</v>
      </c>
      <c r="N12" s="62" t="s">
        <v>111</v>
      </c>
      <c r="O12" s="62" t="s">
        <v>486</v>
      </c>
      <c r="P12" s="62" t="s">
        <v>111</v>
      </c>
      <c r="Q12" s="62" t="s">
        <v>486</v>
      </c>
      <c r="R12" s="62" t="s">
        <v>344</v>
      </c>
      <c r="S12" s="62" t="s">
        <v>111</v>
      </c>
      <c r="T12" s="62" t="s">
        <v>486</v>
      </c>
      <c r="U12" s="62" t="s">
        <v>344</v>
      </c>
      <c r="V12" s="62" t="s">
        <v>117</v>
      </c>
      <c r="W12" s="225" t="s">
        <v>344</v>
      </c>
      <c r="X12" s="225" t="s">
        <v>344</v>
      </c>
      <c r="Y12" s="225" t="s">
        <v>487</v>
      </c>
      <c r="Z12" s="226" t="s">
        <v>345</v>
      </c>
      <c r="AA12" s="58" t="s">
        <v>108</v>
      </c>
      <c r="AB12" s="225" t="s">
        <v>368</v>
      </c>
      <c r="AC12" s="227" t="s">
        <v>109</v>
      </c>
      <c r="AD12" s="228">
        <v>0</v>
      </c>
      <c r="AE12" s="229">
        <v>1</v>
      </c>
      <c r="AF12" s="225">
        <v>1</v>
      </c>
      <c r="AG12" s="225" t="s">
        <v>1</v>
      </c>
      <c r="AH12" s="225">
        <v>0</v>
      </c>
      <c r="AI12" s="225">
        <v>0.5</v>
      </c>
      <c r="AJ12" s="225">
        <v>1</v>
      </c>
      <c r="AK12" s="230">
        <v>2.5</v>
      </c>
      <c r="AL12" s="225"/>
    </row>
    <row r="13" spans="1:38" hidden="1" x14ac:dyDescent="0.35">
      <c r="A13" s="219" t="s">
        <v>369</v>
      </c>
      <c r="B13" s="220" t="s">
        <v>123</v>
      </c>
      <c r="C13" s="221" t="s">
        <v>5</v>
      </c>
      <c r="D13" s="222" t="s">
        <v>14</v>
      </c>
      <c r="E13" s="223" t="s">
        <v>370</v>
      </c>
      <c r="F13" s="224" t="s">
        <v>111</v>
      </c>
      <c r="G13" s="224" t="s">
        <v>111</v>
      </c>
      <c r="H13" s="224" t="s">
        <v>111</v>
      </c>
      <c r="I13" s="224" t="s">
        <v>117</v>
      </c>
      <c r="J13" s="224" t="s">
        <v>117</v>
      </c>
      <c r="K13" s="224" t="s">
        <v>117</v>
      </c>
      <c r="L13" s="62" t="s">
        <v>111</v>
      </c>
      <c r="M13" s="62" t="s">
        <v>486</v>
      </c>
      <c r="N13" s="62" t="s">
        <v>111</v>
      </c>
      <c r="O13" s="62" t="s">
        <v>486</v>
      </c>
      <c r="P13" s="62" t="s">
        <v>111</v>
      </c>
      <c r="Q13" s="62" t="s">
        <v>486</v>
      </c>
      <c r="R13" s="62" t="s">
        <v>344</v>
      </c>
      <c r="S13" s="62" t="s">
        <v>117</v>
      </c>
      <c r="T13" s="62" t="s">
        <v>486</v>
      </c>
      <c r="U13" s="62" t="s">
        <v>344</v>
      </c>
      <c r="V13" s="62" t="s">
        <v>117</v>
      </c>
      <c r="W13" s="225" t="s">
        <v>344</v>
      </c>
      <c r="X13" s="225" t="s">
        <v>344</v>
      </c>
      <c r="Y13" s="225" t="s">
        <v>487</v>
      </c>
      <c r="Z13" s="226" t="s">
        <v>345</v>
      </c>
      <c r="AA13" s="58" t="s">
        <v>108</v>
      </c>
      <c r="AB13" s="225" t="s">
        <v>368</v>
      </c>
      <c r="AC13" s="227" t="s">
        <v>109</v>
      </c>
      <c r="AD13" s="228">
        <v>0</v>
      </c>
      <c r="AE13" s="229">
        <v>1</v>
      </c>
      <c r="AF13" s="225">
        <v>1</v>
      </c>
      <c r="AG13" s="225" t="s">
        <v>1</v>
      </c>
      <c r="AH13" s="225">
        <v>0</v>
      </c>
      <c r="AI13" s="225">
        <v>0.5</v>
      </c>
      <c r="AJ13" s="225">
        <v>1</v>
      </c>
      <c r="AK13" s="230">
        <v>2.5</v>
      </c>
      <c r="AL13" s="225"/>
    </row>
    <row r="14" spans="1:38" hidden="1" x14ac:dyDescent="0.35">
      <c r="A14" s="219" t="s">
        <v>371</v>
      </c>
      <c r="B14" s="220" t="s">
        <v>124</v>
      </c>
      <c r="C14" s="221" t="s">
        <v>5</v>
      </c>
      <c r="D14" s="231" t="s">
        <v>15</v>
      </c>
      <c r="E14" s="232" t="s">
        <v>372</v>
      </c>
      <c r="F14" s="224" t="s">
        <v>111</v>
      </c>
      <c r="G14" s="224" t="s">
        <v>111</v>
      </c>
      <c r="H14" s="224" t="s">
        <v>111</v>
      </c>
      <c r="I14" s="224" t="s">
        <v>117</v>
      </c>
      <c r="J14" s="224" t="s">
        <v>117</v>
      </c>
      <c r="K14" s="224" t="s">
        <v>111</v>
      </c>
      <c r="L14" s="62" t="s">
        <v>111</v>
      </c>
      <c r="M14" s="62" t="s">
        <v>486</v>
      </c>
      <c r="N14" s="62" t="s">
        <v>111</v>
      </c>
      <c r="O14" s="62" t="s">
        <v>486</v>
      </c>
      <c r="P14" s="62" t="s">
        <v>111</v>
      </c>
      <c r="Q14" s="62" t="s">
        <v>486</v>
      </c>
      <c r="R14" s="62" t="s">
        <v>344</v>
      </c>
      <c r="S14" s="62" t="s">
        <v>117</v>
      </c>
      <c r="T14" s="62" t="s">
        <v>486</v>
      </c>
      <c r="U14" s="62" t="s">
        <v>344</v>
      </c>
      <c r="V14" s="62" t="s">
        <v>117</v>
      </c>
      <c r="W14" s="225" t="s">
        <v>344</v>
      </c>
      <c r="X14" s="225" t="s">
        <v>344</v>
      </c>
      <c r="Y14" s="225" t="s">
        <v>487</v>
      </c>
      <c r="Z14" s="226" t="s">
        <v>345</v>
      </c>
      <c r="AA14" s="58" t="s">
        <v>108</v>
      </c>
      <c r="AB14" s="225" t="s">
        <v>349</v>
      </c>
      <c r="AC14" s="227" t="s">
        <v>109</v>
      </c>
      <c r="AD14" s="228">
        <v>0</v>
      </c>
      <c r="AE14" s="229">
        <v>1</v>
      </c>
      <c r="AF14" s="225">
        <v>1</v>
      </c>
      <c r="AG14" s="228" t="s">
        <v>1</v>
      </c>
      <c r="AH14" s="225">
        <v>0</v>
      </c>
      <c r="AI14" s="225">
        <v>0.5</v>
      </c>
      <c r="AJ14" s="225">
        <v>1</v>
      </c>
      <c r="AK14" s="230">
        <v>2.5</v>
      </c>
      <c r="AL14" s="225"/>
    </row>
    <row r="15" spans="1:38" hidden="1" x14ac:dyDescent="0.35">
      <c r="A15" s="219" t="s">
        <v>373</v>
      </c>
      <c r="B15" s="220" t="s">
        <v>125</v>
      </c>
      <c r="C15" s="221" t="s">
        <v>5</v>
      </c>
      <c r="D15" s="222" t="s">
        <v>33</v>
      </c>
      <c r="E15" s="223" t="s">
        <v>374</v>
      </c>
      <c r="F15" s="224" t="s">
        <v>111</v>
      </c>
      <c r="G15" s="233" t="s">
        <v>111</v>
      </c>
      <c r="H15" s="224" t="s">
        <v>117</v>
      </c>
      <c r="I15" s="224" t="s">
        <v>117</v>
      </c>
      <c r="J15" s="224" t="s">
        <v>117</v>
      </c>
      <c r="K15" s="224" t="s">
        <v>111</v>
      </c>
      <c r="L15" s="62" t="s">
        <v>111</v>
      </c>
      <c r="M15" s="62" t="s">
        <v>486</v>
      </c>
      <c r="N15" s="62" t="s">
        <v>117</v>
      </c>
      <c r="O15" s="62" t="s">
        <v>488</v>
      </c>
      <c r="P15" s="62" t="s">
        <v>117</v>
      </c>
      <c r="Q15" s="62" t="s">
        <v>486</v>
      </c>
      <c r="R15" s="62" t="s">
        <v>344</v>
      </c>
      <c r="S15" s="62" t="s">
        <v>117</v>
      </c>
      <c r="T15" s="62" t="s">
        <v>486</v>
      </c>
      <c r="U15" s="62" t="s">
        <v>344</v>
      </c>
      <c r="V15" s="62" t="s">
        <v>117</v>
      </c>
      <c r="W15" s="225" t="s">
        <v>344</v>
      </c>
      <c r="X15" s="225" t="s">
        <v>344</v>
      </c>
      <c r="Y15" s="225" t="s">
        <v>489</v>
      </c>
      <c r="Z15" s="226" t="s">
        <v>345</v>
      </c>
      <c r="AA15" s="58" t="s">
        <v>108</v>
      </c>
      <c r="AB15" s="225" t="s">
        <v>375</v>
      </c>
      <c r="AC15" s="227" t="s">
        <v>109</v>
      </c>
      <c r="AD15" s="229">
        <v>1</v>
      </c>
      <c r="AE15" s="229">
        <v>1</v>
      </c>
      <c r="AF15" s="225">
        <v>1</v>
      </c>
      <c r="AG15" s="225" t="s">
        <v>1</v>
      </c>
      <c r="AH15" s="225">
        <v>0</v>
      </c>
      <c r="AI15" s="225">
        <v>0.5</v>
      </c>
      <c r="AJ15" s="225">
        <v>1</v>
      </c>
      <c r="AK15" s="230">
        <v>2.5</v>
      </c>
      <c r="AL15" s="225"/>
    </row>
    <row r="16" spans="1:38" hidden="1" x14ac:dyDescent="0.35">
      <c r="A16" s="219" t="s">
        <v>376</v>
      </c>
      <c r="B16" s="220" t="s">
        <v>126</v>
      </c>
      <c r="C16" s="221" t="s">
        <v>5</v>
      </c>
      <c r="D16" s="222" t="s">
        <v>34</v>
      </c>
      <c r="E16" s="223" t="s">
        <v>377</v>
      </c>
      <c r="F16" s="224" t="s">
        <v>111</v>
      </c>
      <c r="G16" s="233" t="s">
        <v>111</v>
      </c>
      <c r="H16" s="224" t="s">
        <v>117</v>
      </c>
      <c r="I16" s="224" t="s">
        <v>117</v>
      </c>
      <c r="J16" s="224" t="s">
        <v>111</v>
      </c>
      <c r="K16" s="224" t="s">
        <v>111</v>
      </c>
      <c r="L16" s="62" t="s">
        <v>111</v>
      </c>
      <c r="M16" s="62" t="s">
        <v>486</v>
      </c>
      <c r="N16" s="62" t="s">
        <v>117</v>
      </c>
      <c r="O16" s="62" t="s">
        <v>488</v>
      </c>
      <c r="P16" s="62" t="s">
        <v>117</v>
      </c>
      <c r="Q16" s="62" t="s">
        <v>486</v>
      </c>
      <c r="R16" s="62" t="s">
        <v>344</v>
      </c>
      <c r="S16" s="62" t="s">
        <v>111</v>
      </c>
      <c r="T16" s="62" t="s">
        <v>486</v>
      </c>
      <c r="U16" s="62" t="s">
        <v>344</v>
      </c>
      <c r="V16" s="62" t="s">
        <v>117</v>
      </c>
      <c r="W16" s="225" t="s">
        <v>344</v>
      </c>
      <c r="X16" s="225" t="s">
        <v>344</v>
      </c>
      <c r="Y16" s="225" t="s">
        <v>490</v>
      </c>
      <c r="Z16" s="234" t="s">
        <v>378</v>
      </c>
      <c r="AA16" s="58" t="s">
        <v>108</v>
      </c>
      <c r="AB16" s="225" t="s">
        <v>368</v>
      </c>
      <c r="AC16" s="227" t="s">
        <v>109</v>
      </c>
      <c r="AD16" s="229">
        <v>1</v>
      </c>
      <c r="AE16" s="229">
        <v>1</v>
      </c>
      <c r="AF16" s="225">
        <v>1</v>
      </c>
      <c r="AG16" s="225" t="s">
        <v>1</v>
      </c>
      <c r="AH16" s="225">
        <v>0</v>
      </c>
      <c r="AI16" s="225">
        <v>0.5</v>
      </c>
      <c r="AJ16" s="225">
        <v>1</v>
      </c>
      <c r="AK16" s="230">
        <v>2.5</v>
      </c>
      <c r="AL16" s="225" t="s">
        <v>379</v>
      </c>
    </row>
    <row r="17" spans="1:38" hidden="1" x14ac:dyDescent="0.35">
      <c r="A17" s="219" t="s">
        <v>380</v>
      </c>
      <c r="B17" s="220" t="s">
        <v>127</v>
      </c>
      <c r="C17" s="221" t="s">
        <v>5</v>
      </c>
      <c r="D17" s="222" t="s">
        <v>16</v>
      </c>
      <c r="E17" s="223" t="s">
        <v>381</v>
      </c>
      <c r="F17" s="224" t="s">
        <v>111</v>
      </c>
      <c r="G17" s="224" t="s">
        <v>111</v>
      </c>
      <c r="H17" s="224" t="s">
        <v>117</v>
      </c>
      <c r="I17" s="224" t="s">
        <v>117</v>
      </c>
      <c r="J17" s="224" t="s">
        <v>111</v>
      </c>
      <c r="K17" s="224" t="s">
        <v>111</v>
      </c>
      <c r="L17" s="62" t="s">
        <v>111</v>
      </c>
      <c r="M17" s="62" t="s">
        <v>486</v>
      </c>
      <c r="N17" s="62" t="s">
        <v>111</v>
      </c>
      <c r="O17" s="62" t="s">
        <v>486</v>
      </c>
      <c r="P17" s="62" t="s">
        <v>117</v>
      </c>
      <c r="Q17" s="62" t="s">
        <v>486</v>
      </c>
      <c r="R17" s="62" t="s">
        <v>344</v>
      </c>
      <c r="S17" s="62" t="s">
        <v>111</v>
      </c>
      <c r="T17" s="62" t="s">
        <v>486</v>
      </c>
      <c r="U17" s="62" t="s">
        <v>344</v>
      </c>
      <c r="V17" s="62" t="s">
        <v>117</v>
      </c>
      <c r="W17" s="225" t="s">
        <v>344</v>
      </c>
      <c r="X17" s="225" t="s">
        <v>344</v>
      </c>
      <c r="Y17" s="225" t="s">
        <v>490</v>
      </c>
      <c r="Z17" s="234" t="s">
        <v>378</v>
      </c>
      <c r="AA17" s="58" t="s">
        <v>108</v>
      </c>
      <c r="AB17" s="225" t="s">
        <v>368</v>
      </c>
      <c r="AC17" s="227" t="s">
        <v>109</v>
      </c>
      <c r="AD17" s="228">
        <v>0</v>
      </c>
      <c r="AE17" s="229">
        <v>1</v>
      </c>
      <c r="AF17" s="225">
        <v>1</v>
      </c>
      <c r="AG17" s="225" t="s">
        <v>1</v>
      </c>
      <c r="AH17" s="225">
        <v>0</v>
      </c>
      <c r="AI17" s="225">
        <v>0.5</v>
      </c>
      <c r="AJ17" s="225">
        <v>1</v>
      </c>
      <c r="AK17" s="230">
        <v>2.5</v>
      </c>
      <c r="AL17" s="225"/>
    </row>
    <row r="18" spans="1:38" hidden="1" x14ac:dyDescent="0.35">
      <c r="A18" s="219" t="s">
        <v>382</v>
      </c>
      <c r="B18" s="220" t="s">
        <v>128</v>
      </c>
      <c r="C18" s="221" t="s">
        <v>5</v>
      </c>
      <c r="D18" s="222" t="s">
        <v>17</v>
      </c>
      <c r="E18" s="223" t="s">
        <v>383</v>
      </c>
      <c r="F18" s="224" t="s">
        <v>111</v>
      </c>
      <c r="G18" s="224" t="s">
        <v>111</v>
      </c>
      <c r="H18" s="224" t="s">
        <v>117</v>
      </c>
      <c r="I18" s="224" t="s">
        <v>117</v>
      </c>
      <c r="J18" s="224" t="s">
        <v>117</v>
      </c>
      <c r="K18" s="224" t="s">
        <v>117</v>
      </c>
      <c r="L18" s="62" t="s">
        <v>111</v>
      </c>
      <c r="M18" s="62" t="s">
        <v>486</v>
      </c>
      <c r="N18" s="62" t="s">
        <v>111</v>
      </c>
      <c r="O18" s="62" t="s">
        <v>486</v>
      </c>
      <c r="P18" s="62" t="s">
        <v>117</v>
      </c>
      <c r="Q18" s="62" t="s">
        <v>486</v>
      </c>
      <c r="R18" s="62" t="s">
        <v>344</v>
      </c>
      <c r="S18" s="62" t="s">
        <v>117</v>
      </c>
      <c r="T18" s="62" t="s">
        <v>486</v>
      </c>
      <c r="U18" s="62" t="s">
        <v>344</v>
      </c>
      <c r="V18" s="62" t="s">
        <v>117</v>
      </c>
      <c r="W18" s="225" t="s">
        <v>344</v>
      </c>
      <c r="X18" s="225" t="s">
        <v>344</v>
      </c>
      <c r="Y18" s="225" t="s">
        <v>489</v>
      </c>
      <c r="Z18" s="226" t="s">
        <v>345</v>
      </c>
      <c r="AA18" s="58" t="s">
        <v>108</v>
      </c>
      <c r="AB18" s="225" t="s">
        <v>368</v>
      </c>
      <c r="AC18" s="227" t="s">
        <v>109</v>
      </c>
      <c r="AD18" s="228">
        <v>0</v>
      </c>
      <c r="AE18" s="229">
        <v>1</v>
      </c>
      <c r="AF18" s="225">
        <v>1</v>
      </c>
      <c r="AG18" s="225" t="s">
        <v>1</v>
      </c>
      <c r="AH18" s="225">
        <v>0</v>
      </c>
      <c r="AI18" s="225">
        <v>0.5</v>
      </c>
      <c r="AJ18" s="225">
        <v>1</v>
      </c>
      <c r="AK18" s="230">
        <v>2.5</v>
      </c>
      <c r="AL18" s="225"/>
    </row>
    <row r="19" spans="1:38" hidden="1" x14ac:dyDescent="0.35">
      <c r="A19" s="219" t="s">
        <v>384</v>
      </c>
      <c r="B19" s="220" t="s">
        <v>129</v>
      </c>
      <c r="C19" s="221" t="s">
        <v>5</v>
      </c>
      <c r="D19" s="222" t="s">
        <v>18</v>
      </c>
      <c r="E19" s="223" t="s">
        <v>18</v>
      </c>
      <c r="F19" s="224" t="s">
        <v>111</v>
      </c>
      <c r="G19" s="224" t="s">
        <v>111</v>
      </c>
      <c r="H19" s="224" t="s">
        <v>117</v>
      </c>
      <c r="I19" s="224" t="s">
        <v>117</v>
      </c>
      <c r="J19" s="224" t="s">
        <v>117</v>
      </c>
      <c r="K19" s="224" t="s">
        <v>111</v>
      </c>
      <c r="L19" s="62" t="s">
        <v>111</v>
      </c>
      <c r="M19" s="62" t="s">
        <v>486</v>
      </c>
      <c r="N19" s="62" t="s">
        <v>111</v>
      </c>
      <c r="O19" s="62" t="s">
        <v>486</v>
      </c>
      <c r="P19" s="62" t="s">
        <v>117</v>
      </c>
      <c r="Q19" s="62" t="s">
        <v>486</v>
      </c>
      <c r="R19" s="62" t="s">
        <v>344</v>
      </c>
      <c r="S19" s="62" t="s">
        <v>117</v>
      </c>
      <c r="T19" s="62" t="s">
        <v>486</v>
      </c>
      <c r="U19" s="62" t="s">
        <v>344</v>
      </c>
      <c r="V19" s="62" t="s">
        <v>117</v>
      </c>
      <c r="W19" s="225" t="s">
        <v>344</v>
      </c>
      <c r="X19" s="225" t="s">
        <v>344</v>
      </c>
      <c r="Y19" s="225" t="s">
        <v>489</v>
      </c>
      <c r="Z19" s="226" t="s">
        <v>345</v>
      </c>
      <c r="AA19" s="58" t="s">
        <v>108</v>
      </c>
      <c r="AB19" s="225" t="s">
        <v>368</v>
      </c>
      <c r="AC19" s="227" t="s">
        <v>109</v>
      </c>
      <c r="AD19" s="228">
        <v>0</v>
      </c>
      <c r="AE19" s="229">
        <v>1</v>
      </c>
      <c r="AF19" s="225">
        <v>1</v>
      </c>
      <c r="AG19" s="225" t="s">
        <v>1</v>
      </c>
      <c r="AH19" s="225">
        <v>0</v>
      </c>
      <c r="AI19" s="225">
        <v>0.5</v>
      </c>
      <c r="AJ19" s="225">
        <v>1</v>
      </c>
      <c r="AK19" s="230">
        <v>2.5</v>
      </c>
      <c r="AL19" s="225" t="s">
        <v>379</v>
      </c>
    </row>
    <row r="20" spans="1:38" hidden="1" x14ac:dyDescent="0.35">
      <c r="A20" s="219" t="s">
        <v>385</v>
      </c>
      <c r="B20" s="220" t="s">
        <v>130</v>
      </c>
      <c r="C20" s="221" t="s">
        <v>5</v>
      </c>
      <c r="D20" s="222" t="s">
        <v>19</v>
      </c>
      <c r="E20" s="223" t="s">
        <v>386</v>
      </c>
      <c r="F20" s="224" t="s">
        <v>111</v>
      </c>
      <c r="G20" s="224" t="s">
        <v>111</v>
      </c>
      <c r="H20" s="224" t="s">
        <v>111</v>
      </c>
      <c r="I20" s="224" t="s">
        <v>117</v>
      </c>
      <c r="J20" s="224" t="s">
        <v>117</v>
      </c>
      <c r="K20" s="224" t="s">
        <v>111</v>
      </c>
      <c r="L20" s="62" t="s">
        <v>111</v>
      </c>
      <c r="M20" s="62" t="s">
        <v>486</v>
      </c>
      <c r="N20" s="62" t="s">
        <v>111</v>
      </c>
      <c r="O20" s="62" t="s">
        <v>486</v>
      </c>
      <c r="P20" s="62" t="s">
        <v>111</v>
      </c>
      <c r="Q20" s="62" t="s">
        <v>486</v>
      </c>
      <c r="R20" s="62" t="s">
        <v>344</v>
      </c>
      <c r="S20" s="62" t="s">
        <v>117</v>
      </c>
      <c r="T20" s="62" t="s">
        <v>486</v>
      </c>
      <c r="U20" s="62" t="s">
        <v>344</v>
      </c>
      <c r="V20" s="62" t="s">
        <v>117</v>
      </c>
      <c r="W20" s="225" t="s">
        <v>344</v>
      </c>
      <c r="X20" s="225" t="s">
        <v>344</v>
      </c>
      <c r="Y20" s="225" t="s">
        <v>487</v>
      </c>
      <c r="Z20" s="226" t="s">
        <v>345</v>
      </c>
      <c r="AA20" s="58" t="s">
        <v>108</v>
      </c>
      <c r="AB20" s="225" t="s">
        <v>368</v>
      </c>
      <c r="AC20" s="227" t="s">
        <v>109</v>
      </c>
      <c r="AD20" s="228">
        <v>0</v>
      </c>
      <c r="AE20" s="229">
        <v>1</v>
      </c>
      <c r="AF20" s="225">
        <v>1</v>
      </c>
      <c r="AG20" s="225" t="s">
        <v>1</v>
      </c>
      <c r="AH20" s="225">
        <v>0</v>
      </c>
      <c r="AI20" s="225">
        <v>0.5</v>
      </c>
      <c r="AJ20" s="225">
        <v>1</v>
      </c>
      <c r="AK20" s="230">
        <v>2.5</v>
      </c>
      <c r="AL20" s="225"/>
    </row>
    <row r="21" spans="1:38" hidden="1" x14ac:dyDescent="0.35">
      <c r="A21" s="219" t="s">
        <v>387</v>
      </c>
      <c r="B21" s="220" t="s">
        <v>131</v>
      </c>
      <c r="C21" s="221" t="s">
        <v>5</v>
      </c>
      <c r="D21" s="222" t="s">
        <v>20</v>
      </c>
      <c r="E21" s="232" t="s">
        <v>388</v>
      </c>
      <c r="F21" s="224" t="s">
        <v>111</v>
      </c>
      <c r="G21" s="224" t="s">
        <v>111</v>
      </c>
      <c r="H21" s="224" t="s">
        <v>117</v>
      </c>
      <c r="I21" s="224" t="s">
        <v>117</v>
      </c>
      <c r="J21" s="224" t="s">
        <v>117</v>
      </c>
      <c r="K21" s="224" t="s">
        <v>117</v>
      </c>
      <c r="L21" s="62" t="s">
        <v>111</v>
      </c>
      <c r="M21" s="62" t="s">
        <v>486</v>
      </c>
      <c r="N21" s="62" t="s">
        <v>111</v>
      </c>
      <c r="O21" s="62" t="s">
        <v>486</v>
      </c>
      <c r="P21" s="62" t="s">
        <v>117</v>
      </c>
      <c r="Q21" s="62" t="s">
        <v>486</v>
      </c>
      <c r="R21" s="62" t="s">
        <v>344</v>
      </c>
      <c r="S21" s="62" t="s">
        <v>117</v>
      </c>
      <c r="T21" s="62" t="s">
        <v>486</v>
      </c>
      <c r="U21" s="62" t="s">
        <v>344</v>
      </c>
      <c r="V21" s="62" t="s">
        <v>117</v>
      </c>
      <c r="W21" s="225" t="s">
        <v>344</v>
      </c>
      <c r="X21" s="225" t="s">
        <v>344</v>
      </c>
      <c r="Y21" s="225" t="s">
        <v>489</v>
      </c>
      <c r="Z21" s="226" t="s">
        <v>345</v>
      </c>
      <c r="AA21" s="58" t="s">
        <v>108</v>
      </c>
      <c r="AB21" s="225" t="s">
        <v>346</v>
      </c>
      <c r="AC21" s="227" t="s">
        <v>109</v>
      </c>
      <c r="AD21" s="228">
        <v>0</v>
      </c>
      <c r="AE21" s="229">
        <v>1</v>
      </c>
      <c r="AF21" s="225">
        <v>1</v>
      </c>
      <c r="AG21" s="225" t="s">
        <v>1</v>
      </c>
      <c r="AH21" s="225">
        <v>0</v>
      </c>
      <c r="AI21" s="225">
        <v>0.5</v>
      </c>
      <c r="AJ21" s="225">
        <v>1</v>
      </c>
      <c r="AK21" s="230">
        <v>2.5</v>
      </c>
      <c r="AL21" s="225"/>
    </row>
    <row r="22" spans="1:38" hidden="1" x14ac:dyDescent="0.35">
      <c r="A22" s="219" t="s">
        <v>389</v>
      </c>
      <c r="B22" s="220" t="s">
        <v>132</v>
      </c>
      <c r="C22" s="221" t="s">
        <v>5</v>
      </c>
      <c r="D22" s="222" t="s">
        <v>21</v>
      </c>
      <c r="E22" s="232" t="s">
        <v>390</v>
      </c>
      <c r="F22" s="224" t="s">
        <v>111</v>
      </c>
      <c r="G22" s="224" t="s">
        <v>111</v>
      </c>
      <c r="H22" s="224" t="s">
        <v>111</v>
      </c>
      <c r="I22" s="224" t="s">
        <v>117</v>
      </c>
      <c r="J22" s="224" t="s">
        <v>117</v>
      </c>
      <c r="K22" s="224" t="s">
        <v>117</v>
      </c>
      <c r="L22" s="62" t="s">
        <v>111</v>
      </c>
      <c r="M22" s="62" t="s">
        <v>486</v>
      </c>
      <c r="N22" s="62" t="s">
        <v>111</v>
      </c>
      <c r="O22" s="62" t="s">
        <v>486</v>
      </c>
      <c r="P22" s="62" t="s">
        <v>111</v>
      </c>
      <c r="Q22" s="62" t="s">
        <v>486</v>
      </c>
      <c r="R22" s="62" t="s">
        <v>344</v>
      </c>
      <c r="S22" s="62" t="s">
        <v>117</v>
      </c>
      <c r="T22" s="62" t="s">
        <v>486</v>
      </c>
      <c r="U22" s="62" t="s">
        <v>344</v>
      </c>
      <c r="V22" s="62" t="s">
        <v>117</v>
      </c>
      <c r="W22" s="225" t="s">
        <v>344</v>
      </c>
      <c r="X22" s="225" t="s">
        <v>344</v>
      </c>
      <c r="Y22" s="225" t="s">
        <v>487</v>
      </c>
      <c r="Z22" s="226" t="s">
        <v>345</v>
      </c>
      <c r="AA22" s="58" t="s">
        <v>108</v>
      </c>
      <c r="AB22" s="225" t="s">
        <v>355</v>
      </c>
      <c r="AC22" s="227" t="s">
        <v>109</v>
      </c>
      <c r="AD22" s="228">
        <v>0</v>
      </c>
      <c r="AE22" s="229">
        <v>1</v>
      </c>
      <c r="AF22" s="225">
        <v>1</v>
      </c>
      <c r="AG22" s="225" t="s">
        <v>1</v>
      </c>
      <c r="AH22" s="225">
        <v>0</v>
      </c>
      <c r="AI22" s="225">
        <v>0.5</v>
      </c>
      <c r="AJ22" s="225">
        <v>1</v>
      </c>
      <c r="AK22" s="230">
        <v>2.5</v>
      </c>
      <c r="AL22" s="225"/>
    </row>
    <row r="23" spans="1:38" hidden="1" x14ac:dyDescent="0.35">
      <c r="A23" s="219" t="s">
        <v>391</v>
      </c>
      <c r="B23" s="220" t="s">
        <v>133</v>
      </c>
      <c r="C23" s="221" t="s">
        <v>5</v>
      </c>
      <c r="D23" s="222" t="s">
        <v>35</v>
      </c>
      <c r="E23" s="223" t="s">
        <v>392</v>
      </c>
      <c r="F23" s="224" t="s">
        <v>117</v>
      </c>
      <c r="G23" s="224" t="s">
        <v>111</v>
      </c>
      <c r="H23" s="224" t="s">
        <v>117</v>
      </c>
      <c r="I23" s="224" t="s">
        <v>117</v>
      </c>
      <c r="J23" s="224" t="s">
        <v>117</v>
      </c>
      <c r="K23" s="224" t="s">
        <v>117</v>
      </c>
      <c r="L23" s="62" t="s">
        <v>117</v>
      </c>
      <c r="M23" s="62" t="s">
        <v>486</v>
      </c>
      <c r="N23" s="62" t="s">
        <v>111</v>
      </c>
      <c r="O23" s="62" t="s">
        <v>486</v>
      </c>
      <c r="P23" s="62" t="s">
        <v>117</v>
      </c>
      <c r="Q23" s="62" t="s">
        <v>486</v>
      </c>
      <c r="R23" s="62" t="s">
        <v>344</v>
      </c>
      <c r="S23" s="62" t="s">
        <v>117</v>
      </c>
      <c r="T23" s="62" t="s">
        <v>486</v>
      </c>
      <c r="U23" s="62" t="s">
        <v>344</v>
      </c>
      <c r="V23" s="62" t="s">
        <v>117</v>
      </c>
      <c r="W23" s="225" t="s">
        <v>344</v>
      </c>
      <c r="X23" s="225" t="s">
        <v>344</v>
      </c>
      <c r="Y23" s="225" t="s">
        <v>310</v>
      </c>
      <c r="Z23" s="226" t="s">
        <v>345</v>
      </c>
      <c r="AA23" s="58" t="s">
        <v>134</v>
      </c>
      <c r="AB23" s="225" t="s">
        <v>368</v>
      </c>
      <c r="AC23" s="227" t="s">
        <v>134</v>
      </c>
      <c r="AD23" s="228">
        <v>0</v>
      </c>
      <c r="AE23" s="229">
        <v>3</v>
      </c>
      <c r="AF23" s="225">
        <v>3</v>
      </c>
      <c r="AG23" s="225" t="s">
        <v>1</v>
      </c>
      <c r="AH23" s="225">
        <v>0</v>
      </c>
      <c r="AI23" s="225">
        <v>0.5</v>
      </c>
      <c r="AJ23" s="225">
        <v>1</v>
      </c>
      <c r="AK23" s="230">
        <v>4.5</v>
      </c>
      <c r="AL23" s="225"/>
    </row>
    <row r="24" spans="1:38" hidden="1" x14ac:dyDescent="0.35">
      <c r="A24" s="219" t="s">
        <v>393</v>
      </c>
      <c r="B24" s="220" t="s">
        <v>135</v>
      </c>
      <c r="C24" s="221" t="s">
        <v>5</v>
      </c>
      <c r="D24" s="222" t="s">
        <v>36</v>
      </c>
      <c r="E24" s="223" t="s">
        <v>394</v>
      </c>
      <c r="F24" s="224" t="s">
        <v>117</v>
      </c>
      <c r="G24" s="224" t="s">
        <v>111</v>
      </c>
      <c r="H24" s="233" t="s">
        <v>111</v>
      </c>
      <c r="I24" s="224" t="s">
        <v>117</v>
      </c>
      <c r="J24" s="224" t="s">
        <v>117</v>
      </c>
      <c r="K24" s="224" t="s">
        <v>117</v>
      </c>
      <c r="L24" s="62" t="s">
        <v>117</v>
      </c>
      <c r="M24" s="62" t="s">
        <v>486</v>
      </c>
      <c r="N24" s="62" t="s">
        <v>111</v>
      </c>
      <c r="O24" s="62" t="s">
        <v>486</v>
      </c>
      <c r="P24" s="62" t="s">
        <v>117</v>
      </c>
      <c r="Q24" s="62" t="s">
        <v>488</v>
      </c>
      <c r="R24" s="62" t="s">
        <v>344</v>
      </c>
      <c r="S24" s="62" t="s">
        <v>117</v>
      </c>
      <c r="T24" s="62" t="s">
        <v>486</v>
      </c>
      <c r="U24" s="62" t="s">
        <v>344</v>
      </c>
      <c r="V24" s="62" t="s">
        <v>117</v>
      </c>
      <c r="W24" s="225" t="s">
        <v>344</v>
      </c>
      <c r="X24" s="225" t="s">
        <v>344</v>
      </c>
      <c r="Y24" s="225" t="s">
        <v>491</v>
      </c>
      <c r="Z24" s="234" t="s">
        <v>378</v>
      </c>
      <c r="AA24" s="58" t="s">
        <v>134</v>
      </c>
      <c r="AB24" s="225" t="s">
        <v>395</v>
      </c>
      <c r="AC24" s="227" t="s">
        <v>116</v>
      </c>
      <c r="AD24" s="228">
        <v>0</v>
      </c>
      <c r="AE24" s="229">
        <v>8</v>
      </c>
      <c r="AF24" s="225">
        <v>3</v>
      </c>
      <c r="AG24" s="225" t="s">
        <v>116</v>
      </c>
      <c r="AH24" s="225">
        <v>1</v>
      </c>
      <c r="AI24" s="225">
        <v>1</v>
      </c>
      <c r="AJ24" s="225">
        <v>2</v>
      </c>
      <c r="AK24" s="230">
        <v>7</v>
      </c>
      <c r="AL24" s="225"/>
    </row>
    <row r="25" spans="1:38" hidden="1" x14ac:dyDescent="0.35">
      <c r="A25" s="219" t="s">
        <v>396</v>
      </c>
      <c r="B25" s="220" t="s">
        <v>137</v>
      </c>
      <c r="C25" s="221" t="s">
        <v>5</v>
      </c>
      <c r="D25" s="222" t="s">
        <v>37</v>
      </c>
      <c r="E25" s="223" t="s">
        <v>397</v>
      </c>
      <c r="F25" s="224" t="s">
        <v>117</v>
      </c>
      <c r="G25" s="224" t="s">
        <v>111</v>
      </c>
      <c r="H25" s="224" t="s">
        <v>111</v>
      </c>
      <c r="I25" s="224" t="s">
        <v>117</v>
      </c>
      <c r="J25" s="224" t="s">
        <v>117</v>
      </c>
      <c r="K25" s="224" t="s">
        <v>117</v>
      </c>
      <c r="L25" s="62" t="s">
        <v>117</v>
      </c>
      <c r="M25" s="62" t="s">
        <v>486</v>
      </c>
      <c r="N25" s="62" t="s">
        <v>111</v>
      </c>
      <c r="O25" s="62" t="s">
        <v>486</v>
      </c>
      <c r="P25" s="62" t="s">
        <v>111</v>
      </c>
      <c r="Q25" s="62" t="s">
        <v>486</v>
      </c>
      <c r="R25" s="62" t="s">
        <v>344</v>
      </c>
      <c r="S25" s="62" t="s">
        <v>117</v>
      </c>
      <c r="T25" s="62" t="s">
        <v>486</v>
      </c>
      <c r="U25" s="62" t="s">
        <v>344</v>
      </c>
      <c r="V25" s="62" t="s">
        <v>117</v>
      </c>
      <c r="W25" s="225" t="s">
        <v>344</v>
      </c>
      <c r="X25" s="225" t="s">
        <v>344</v>
      </c>
      <c r="Y25" s="225" t="s">
        <v>491</v>
      </c>
      <c r="Z25" s="226" t="s">
        <v>345</v>
      </c>
      <c r="AA25" s="58" t="s">
        <v>115</v>
      </c>
      <c r="AB25" s="225" t="s">
        <v>368</v>
      </c>
      <c r="AC25" s="227" t="s">
        <v>115</v>
      </c>
      <c r="AD25" s="228">
        <v>0</v>
      </c>
      <c r="AE25" s="229">
        <v>6</v>
      </c>
      <c r="AF25" s="225">
        <v>6</v>
      </c>
      <c r="AG25" s="225" t="s">
        <v>1</v>
      </c>
      <c r="AH25" s="225">
        <v>0</v>
      </c>
      <c r="AI25" s="225">
        <v>0.5</v>
      </c>
      <c r="AJ25" s="225">
        <v>1</v>
      </c>
      <c r="AK25" s="230">
        <v>7.5</v>
      </c>
      <c r="AL25" s="225"/>
    </row>
    <row r="26" spans="1:38" hidden="1" x14ac:dyDescent="0.35">
      <c r="A26" s="219" t="s">
        <v>398</v>
      </c>
      <c r="B26" s="220" t="s">
        <v>138</v>
      </c>
      <c r="C26" s="221" t="s">
        <v>5</v>
      </c>
      <c r="D26" s="222" t="s">
        <v>38</v>
      </c>
      <c r="E26" s="223" t="s">
        <v>399</v>
      </c>
      <c r="F26" s="224" t="s">
        <v>117</v>
      </c>
      <c r="G26" s="224" t="s">
        <v>111</v>
      </c>
      <c r="H26" s="224" t="s">
        <v>111</v>
      </c>
      <c r="I26" s="224" t="s">
        <v>117</v>
      </c>
      <c r="J26" s="224" t="s">
        <v>117</v>
      </c>
      <c r="K26" s="224" t="s">
        <v>117</v>
      </c>
      <c r="L26" s="62" t="s">
        <v>117</v>
      </c>
      <c r="M26" s="62" t="s">
        <v>486</v>
      </c>
      <c r="N26" s="62" t="s">
        <v>111</v>
      </c>
      <c r="O26" s="62" t="s">
        <v>486</v>
      </c>
      <c r="P26" s="62" t="s">
        <v>111</v>
      </c>
      <c r="Q26" s="62" t="s">
        <v>486</v>
      </c>
      <c r="R26" s="62" t="s">
        <v>344</v>
      </c>
      <c r="S26" s="62" t="s">
        <v>117</v>
      </c>
      <c r="T26" s="62" t="s">
        <v>486</v>
      </c>
      <c r="U26" s="62" t="s">
        <v>344</v>
      </c>
      <c r="V26" s="62" t="s">
        <v>117</v>
      </c>
      <c r="W26" s="225" t="s">
        <v>344</v>
      </c>
      <c r="X26" s="225" t="s">
        <v>344</v>
      </c>
      <c r="Y26" s="225" t="s">
        <v>491</v>
      </c>
      <c r="Z26" s="226" t="s">
        <v>345</v>
      </c>
      <c r="AA26" s="58" t="s">
        <v>115</v>
      </c>
      <c r="AB26" s="225" t="s">
        <v>368</v>
      </c>
      <c r="AC26" s="227" t="s">
        <v>115</v>
      </c>
      <c r="AD26" s="228">
        <v>0</v>
      </c>
      <c r="AE26" s="229">
        <v>6</v>
      </c>
      <c r="AF26" s="225">
        <v>6</v>
      </c>
      <c r="AG26" s="225" t="s">
        <v>1</v>
      </c>
      <c r="AH26" s="225">
        <v>0</v>
      </c>
      <c r="AI26" s="225">
        <v>0.5</v>
      </c>
      <c r="AJ26" s="225">
        <v>1</v>
      </c>
      <c r="AK26" s="230">
        <v>7.5</v>
      </c>
      <c r="AL26" s="225"/>
    </row>
    <row r="27" spans="1:38" hidden="1" x14ac:dyDescent="0.35">
      <c r="A27" s="219" t="s">
        <v>400</v>
      </c>
      <c r="B27" s="220" t="s">
        <v>139</v>
      </c>
      <c r="C27" s="221" t="s">
        <v>5</v>
      </c>
      <c r="D27" s="222" t="s">
        <v>39</v>
      </c>
      <c r="E27" s="223" t="s">
        <v>401</v>
      </c>
      <c r="F27" s="224" t="s">
        <v>117</v>
      </c>
      <c r="G27" s="224" t="s">
        <v>111</v>
      </c>
      <c r="H27" s="224" t="s">
        <v>117</v>
      </c>
      <c r="I27" s="224" t="s">
        <v>117</v>
      </c>
      <c r="J27" s="224" t="s">
        <v>117</v>
      </c>
      <c r="K27" s="224" t="s">
        <v>117</v>
      </c>
      <c r="L27" s="62" t="s">
        <v>117</v>
      </c>
      <c r="M27" s="62" t="s">
        <v>486</v>
      </c>
      <c r="N27" s="62" t="s">
        <v>111</v>
      </c>
      <c r="O27" s="62" t="s">
        <v>486</v>
      </c>
      <c r="P27" s="62" t="s">
        <v>117</v>
      </c>
      <c r="Q27" s="62" t="s">
        <v>486</v>
      </c>
      <c r="R27" s="62" t="s">
        <v>344</v>
      </c>
      <c r="S27" s="62" t="s">
        <v>117</v>
      </c>
      <c r="T27" s="62" t="s">
        <v>486</v>
      </c>
      <c r="U27" s="62" t="s">
        <v>344</v>
      </c>
      <c r="V27" s="62" t="s">
        <v>117</v>
      </c>
      <c r="W27" s="225" t="s">
        <v>344</v>
      </c>
      <c r="X27" s="225" t="s">
        <v>344</v>
      </c>
      <c r="Y27" s="225" t="s">
        <v>310</v>
      </c>
      <c r="Z27" s="226" t="s">
        <v>345</v>
      </c>
      <c r="AA27" s="58" t="s">
        <v>115</v>
      </c>
      <c r="AB27" s="225" t="s">
        <v>368</v>
      </c>
      <c r="AC27" s="227" t="s">
        <v>134</v>
      </c>
      <c r="AD27" s="228">
        <v>0</v>
      </c>
      <c r="AE27" s="229">
        <v>3</v>
      </c>
      <c r="AF27" s="225">
        <v>3</v>
      </c>
      <c r="AG27" s="225" t="s">
        <v>1</v>
      </c>
      <c r="AH27" s="225">
        <v>0</v>
      </c>
      <c r="AI27" s="225">
        <v>0.5</v>
      </c>
      <c r="AJ27" s="225">
        <v>1</v>
      </c>
      <c r="AK27" s="230">
        <v>4.5</v>
      </c>
      <c r="AL27" s="225"/>
    </row>
    <row r="28" spans="1:38" hidden="1" x14ac:dyDescent="0.35">
      <c r="A28" s="219" t="s">
        <v>402</v>
      </c>
      <c r="B28" s="220" t="s">
        <v>140</v>
      </c>
      <c r="C28" s="221" t="s">
        <v>5</v>
      </c>
      <c r="D28" s="222" t="s">
        <v>40</v>
      </c>
      <c r="E28" s="223" t="s">
        <v>403</v>
      </c>
      <c r="F28" s="224" t="s">
        <v>117</v>
      </c>
      <c r="G28" s="224" t="s">
        <v>111</v>
      </c>
      <c r="H28" s="224" t="s">
        <v>117</v>
      </c>
      <c r="I28" s="224" t="s">
        <v>117</v>
      </c>
      <c r="J28" s="224" t="s">
        <v>117</v>
      </c>
      <c r="K28" s="224" t="s">
        <v>117</v>
      </c>
      <c r="L28" s="62" t="s">
        <v>117</v>
      </c>
      <c r="M28" s="62" t="s">
        <v>486</v>
      </c>
      <c r="N28" s="62" t="s">
        <v>111</v>
      </c>
      <c r="O28" s="62" t="s">
        <v>486</v>
      </c>
      <c r="P28" s="62" t="s">
        <v>117</v>
      </c>
      <c r="Q28" s="62" t="s">
        <v>486</v>
      </c>
      <c r="R28" s="62" t="s">
        <v>344</v>
      </c>
      <c r="S28" s="62" t="s">
        <v>117</v>
      </c>
      <c r="T28" s="62" t="s">
        <v>486</v>
      </c>
      <c r="U28" s="62" t="s">
        <v>344</v>
      </c>
      <c r="V28" s="62" t="s">
        <v>117</v>
      </c>
      <c r="W28" s="225" t="s">
        <v>344</v>
      </c>
      <c r="X28" s="225" t="s">
        <v>344</v>
      </c>
      <c r="Y28" s="225" t="s">
        <v>310</v>
      </c>
      <c r="Z28" s="226" t="s">
        <v>345</v>
      </c>
      <c r="AA28" s="58" t="s">
        <v>134</v>
      </c>
      <c r="AB28" s="225" t="s">
        <v>368</v>
      </c>
      <c r="AC28" s="227" t="s">
        <v>134</v>
      </c>
      <c r="AD28" s="228">
        <v>0</v>
      </c>
      <c r="AE28" s="229">
        <v>3</v>
      </c>
      <c r="AF28" s="225">
        <v>3</v>
      </c>
      <c r="AG28" s="225" t="s">
        <v>1</v>
      </c>
      <c r="AH28" s="225">
        <v>0</v>
      </c>
      <c r="AI28" s="225">
        <v>0.5</v>
      </c>
      <c r="AJ28" s="225">
        <v>1</v>
      </c>
      <c r="AK28" s="230">
        <v>4.5</v>
      </c>
      <c r="AL28" s="225"/>
    </row>
    <row r="29" spans="1:38" hidden="1" x14ac:dyDescent="0.35">
      <c r="A29" s="219" t="s">
        <v>404</v>
      </c>
      <c r="B29" s="220" t="s">
        <v>141</v>
      </c>
      <c r="C29" s="221" t="s">
        <v>5</v>
      </c>
      <c r="D29" s="222" t="s">
        <v>41</v>
      </c>
      <c r="E29" s="223" t="s">
        <v>405</v>
      </c>
      <c r="F29" s="224" t="s">
        <v>117</v>
      </c>
      <c r="G29" s="224" t="s">
        <v>111</v>
      </c>
      <c r="H29" s="224" t="s">
        <v>117</v>
      </c>
      <c r="I29" s="224" t="s">
        <v>117</v>
      </c>
      <c r="J29" s="224" t="s">
        <v>117</v>
      </c>
      <c r="K29" s="224" t="s">
        <v>117</v>
      </c>
      <c r="L29" s="62" t="s">
        <v>117</v>
      </c>
      <c r="M29" s="62" t="s">
        <v>486</v>
      </c>
      <c r="N29" s="62" t="s">
        <v>111</v>
      </c>
      <c r="O29" s="62" t="s">
        <v>486</v>
      </c>
      <c r="P29" s="62" t="s">
        <v>117</v>
      </c>
      <c r="Q29" s="62" t="s">
        <v>486</v>
      </c>
      <c r="R29" s="62" t="s">
        <v>344</v>
      </c>
      <c r="S29" s="62" t="s">
        <v>117</v>
      </c>
      <c r="T29" s="62" t="s">
        <v>486</v>
      </c>
      <c r="U29" s="62" t="s">
        <v>344</v>
      </c>
      <c r="V29" s="62" t="s">
        <v>117</v>
      </c>
      <c r="W29" s="225" t="s">
        <v>344</v>
      </c>
      <c r="X29" s="225" t="s">
        <v>344</v>
      </c>
      <c r="Y29" s="225" t="s">
        <v>310</v>
      </c>
      <c r="Z29" s="226" t="s">
        <v>345</v>
      </c>
      <c r="AA29" s="58" t="s">
        <v>115</v>
      </c>
      <c r="AB29" s="225" t="s">
        <v>349</v>
      </c>
      <c r="AC29" s="227" t="s">
        <v>115</v>
      </c>
      <c r="AD29" s="228">
        <v>0</v>
      </c>
      <c r="AE29" s="229">
        <v>6</v>
      </c>
      <c r="AF29" s="225">
        <v>6</v>
      </c>
      <c r="AG29" s="225" t="s">
        <v>115</v>
      </c>
      <c r="AH29" s="225">
        <v>0.5</v>
      </c>
      <c r="AI29" s="225">
        <v>0.5</v>
      </c>
      <c r="AJ29" s="225">
        <v>1</v>
      </c>
      <c r="AK29" s="230">
        <v>8</v>
      </c>
      <c r="AL29" s="225"/>
    </row>
    <row r="30" spans="1:38" hidden="1" x14ac:dyDescent="0.35">
      <c r="A30" s="219" t="s">
        <v>406</v>
      </c>
      <c r="B30" s="220" t="s">
        <v>142</v>
      </c>
      <c r="C30" s="221" t="s">
        <v>5</v>
      </c>
      <c r="D30" s="231" t="s">
        <v>42</v>
      </c>
      <c r="E30" s="232" t="s">
        <v>407</v>
      </c>
      <c r="F30" s="224" t="s">
        <v>117</v>
      </c>
      <c r="G30" s="224" t="s">
        <v>111</v>
      </c>
      <c r="H30" s="224" t="s">
        <v>117</v>
      </c>
      <c r="I30" s="224" t="s">
        <v>117</v>
      </c>
      <c r="J30" s="224" t="s">
        <v>117</v>
      </c>
      <c r="K30" s="224" t="s">
        <v>117</v>
      </c>
      <c r="L30" s="62" t="s">
        <v>117</v>
      </c>
      <c r="M30" s="62" t="s">
        <v>486</v>
      </c>
      <c r="N30" s="62" t="s">
        <v>111</v>
      </c>
      <c r="O30" s="62" t="s">
        <v>486</v>
      </c>
      <c r="P30" s="62" t="s">
        <v>117</v>
      </c>
      <c r="Q30" s="62" t="s">
        <v>486</v>
      </c>
      <c r="R30" s="62" t="s">
        <v>344</v>
      </c>
      <c r="S30" s="62" t="s">
        <v>117</v>
      </c>
      <c r="T30" s="62" t="s">
        <v>486</v>
      </c>
      <c r="U30" s="62" t="s">
        <v>344</v>
      </c>
      <c r="V30" s="62" t="s">
        <v>117</v>
      </c>
      <c r="W30" s="225" t="s">
        <v>344</v>
      </c>
      <c r="X30" s="225" t="s">
        <v>344</v>
      </c>
      <c r="Y30" s="225" t="s">
        <v>310</v>
      </c>
      <c r="Z30" s="226" t="s">
        <v>345</v>
      </c>
      <c r="AA30" s="58" t="s">
        <v>134</v>
      </c>
      <c r="AB30" s="225" t="s">
        <v>349</v>
      </c>
      <c r="AC30" s="227" t="s">
        <v>115</v>
      </c>
      <c r="AD30" s="228">
        <v>0</v>
      </c>
      <c r="AE30" s="229">
        <v>6</v>
      </c>
      <c r="AF30" s="225">
        <v>6</v>
      </c>
      <c r="AG30" s="225" t="s">
        <v>115</v>
      </c>
      <c r="AH30" s="225">
        <v>0.5</v>
      </c>
      <c r="AI30" s="225">
        <v>0.5</v>
      </c>
      <c r="AJ30" s="225">
        <v>1</v>
      </c>
      <c r="AK30" s="230">
        <v>8</v>
      </c>
      <c r="AL30" s="225"/>
    </row>
    <row r="31" spans="1:38" hidden="1" x14ac:dyDescent="0.35">
      <c r="A31" s="219" t="s">
        <v>408</v>
      </c>
      <c r="B31" s="220" t="s">
        <v>143</v>
      </c>
      <c r="C31" s="221" t="s">
        <v>5</v>
      </c>
      <c r="D31" s="222" t="s">
        <v>43</v>
      </c>
      <c r="E31" s="223" t="s">
        <v>409</v>
      </c>
      <c r="F31" s="224" t="s">
        <v>117</v>
      </c>
      <c r="G31" s="224" t="s">
        <v>111</v>
      </c>
      <c r="H31" s="224" t="s">
        <v>117</v>
      </c>
      <c r="I31" s="224" t="s">
        <v>117</v>
      </c>
      <c r="J31" s="224" t="s">
        <v>117</v>
      </c>
      <c r="K31" s="224" t="s">
        <v>117</v>
      </c>
      <c r="L31" s="62" t="s">
        <v>117</v>
      </c>
      <c r="M31" s="62" t="s">
        <v>486</v>
      </c>
      <c r="N31" s="62" t="s">
        <v>111</v>
      </c>
      <c r="O31" s="62" t="s">
        <v>486</v>
      </c>
      <c r="P31" s="62" t="s">
        <v>117</v>
      </c>
      <c r="Q31" s="62" t="s">
        <v>486</v>
      </c>
      <c r="R31" s="62" t="s">
        <v>344</v>
      </c>
      <c r="S31" s="62" t="s">
        <v>117</v>
      </c>
      <c r="T31" s="62" t="s">
        <v>486</v>
      </c>
      <c r="U31" s="62" t="s">
        <v>344</v>
      </c>
      <c r="V31" s="62" t="s">
        <v>117</v>
      </c>
      <c r="W31" s="225" t="s">
        <v>344</v>
      </c>
      <c r="X31" s="225" t="s">
        <v>344</v>
      </c>
      <c r="Y31" s="225" t="s">
        <v>310</v>
      </c>
      <c r="Z31" s="226" t="s">
        <v>345</v>
      </c>
      <c r="AA31" s="58" t="s">
        <v>115</v>
      </c>
      <c r="AB31" s="225" t="s">
        <v>368</v>
      </c>
      <c r="AC31" s="227" t="s">
        <v>134</v>
      </c>
      <c r="AD31" s="228">
        <v>0</v>
      </c>
      <c r="AE31" s="229">
        <v>3</v>
      </c>
      <c r="AF31" s="225">
        <v>3</v>
      </c>
      <c r="AG31" s="225" t="s">
        <v>1</v>
      </c>
      <c r="AH31" s="225">
        <v>0</v>
      </c>
      <c r="AI31" s="225">
        <v>0.5</v>
      </c>
      <c r="AJ31" s="225">
        <v>1</v>
      </c>
      <c r="AK31" s="230">
        <v>4.5</v>
      </c>
      <c r="AL31" s="225"/>
    </row>
    <row r="32" spans="1:38" hidden="1" x14ac:dyDescent="0.35">
      <c r="A32" s="219" t="s">
        <v>410</v>
      </c>
      <c r="B32" s="220" t="s">
        <v>144</v>
      </c>
      <c r="C32" s="221" t="s">
        <v>5</v>
      </c>
      <c r="D32" s="222" t="s">
        <v>44</v>
      </c>
      <c r="E32" s="223" t="s">
        <v>411</v>
      </c>
      <c r="F32" s="224" t="s">
        <v>117</v>
      </c>
      <c r="G32" s="224" t="s">
        <v>111</v>
      </c>
      <c r="H32" s="224" t="s">
        <v>117</v>
      </c>
      <c r="I32" s="224" t="s">
        <v>117</v>
      </c>
      <c r="J32" s="224" t="s">
        <v>117</v>
      </c>
      <c r="K32" s="224" t="s">
        <v>117</v>
      </c>
      <c r="L32" s="62" t="s">
        <v>117</v>
      </c>
      <c r="M32" s="62" t="s">
        <v>486</v>
      </c>
      <c r="N32" s="62" t="s">
        <v>111</v>
      </c>
      <c r="O32" s="62" t="s">
        <v>486</v>
      </c>
      <c r="P32" s="62" t="s">
        <v>117</v>
      </c>
      <c r="Q32" s="62" t="s">
        <v>486</v>
      </c>
      <c r="R32" s="62" t="s">
        <v>344</v>
      </c>
      <c r="S32" s="62" t="s">
        <v>117</v>
      </c>
      <c r="T32" s="62" t="s">
        <v>486</v>
      </c>
      <c r="U32" s="62" t="s">
        <v>344</v>
      </c>
      <c r="V32" s="62" t="s">
        <v>117</v>
      </c>
      <c r="W32" s="225" t="s">
        <v>344</v>
      </c>
      <c r="X32" s="225" t="s">
        <v>344</v>
      </c>
      <c r="Y32" s="225" t="s">
        <v>310</v>
      </c>
      <c r="Z32" s="226" t="s">
        <v>345</v>
      </c>
      <c r="AA32" s="58" t="s">
        <v>115</v>
      </c>
      <c r="AB32" s="225" t="s">
        <v>368</v>
      </c>
      <c r="AC32" s="227" t="s">
        <v>134</v>
      </c>
      <c r="AD32" s="228">
        <v>0</v>
      </c>
      <c r="AE32" s="229">
        <v>3</v>
      </c>
      <c r="AF32" s="225">
        <v>3</v>
      </c>
      <c r="AG32" s="225" t="s">
        <v>1</v>
      </c>
      <c r="AH32" s="225">
        <v>0</v>
      </c>
      <c r="AI32" s="225">
        <v>0.5</v>
      </c>
      <c r="AJ32" s="225">
        <v>1</v>
      </c>
      <c r="AK32" s="230">
        <v>4.5</v>
      </c>
      <c r="AL32" s="225"/>
    </row>
    <row r="33" spans="1:38" hidden="1" x14ac:dyDescent="0.35">
      <c r="A33" s="219" t="s">
        <v>412</v>
      </c>
      <c r="B33" s="220" t="s">
        <v>145</v>
      </c>
      <c r="C33" s="221" t="s">
        <v>5</v>
      </c>
      <c r="D33" s="222" t="s">
        <v>22</v>
      </c>
      <c r="E33" s="223" t="s">
        <v>413</v>
      </c>
      <c r="F33" s="224" t="s">
        <v>117</v>
      </c>
      <c r="G33" s="224" t="s">
        <v>111</v>
      </c>
      <c r="H33" s="224" t="s">
        <v>117</v>
      </c>
      <c r="I33" s="224" t="s">
        <v>117</v>
      </c>
      <c r="J33" s="224" t="s">
        <v>117</v>
      </c>
      <c r="K33" s="224" t="s">
        <v>117</v>
      </c>
      <c r="L33" s="62" t="s">
        <v>117</v>
      </c>
      <c r="M33" s="62" t="s">
        <v>486</v>
      </c>
      <c r="N33" s="62" t="s">
        <v>111</v>
      </c>
      <c r="O33" s="62" t="s">
        <v>486</v>
      </c>
      <c r="P33" s="62" t="s">
        <v>117</v>
      </c>
      <c r="Q33" s="62" t="s">
        <v>486</v>
      </c>
      <c r="R33" s="62" t="s">
        <v>344</v>
      </c>
      <c r="S33" s="62" t="s">
        <v>117</v>
      </c>
      <c r="T33" s="62" t="s">
        <v>486</v>
      </c>
      <c r="U33" s="62" t="s">
        <v>344</v>
      </c>
      <c r="V33" s="62" t="s">
        <v>117</v>
      </c>
      <c r="W33" s="225" t="s">
        <v>344</v>
      </c>
      <c r="X33" s="225" t="s">
        <v>344</v>
      </c>
      <c r="Y33" s="225" t="s">
        <v>310</v>
      </c>
      <c r="Z33" s="226" t="s">
        <v>345</v>
      </c>
      <c r="AA33" s="58" t="s">
        <v>108</v>
      </c>
      <c r="AB33" s="225" t="s">
        <v>395</v>
      </c>
      <c r="AC33" s="227" t="s">
        <v>109</v>
      </c>
      <c r="AD33" s="228">
        <v>0</v>
      </c>
      <c r="AE33" s="229">
        <v>1</v>
      </c>
      <c r="AF33" s="225">
        <v>1</v>
      </c>
      <c r="AG33" s="225" t="s">
        <v>109</v>
      </c>
      <c r="AH33" s="225">
        <v>0.5</v>
      </c>
      <c r="AI33" s="225">
        <v>0.5</v>
      </c>
      <c r="AJ33" s="225">
        <v>1</v>
      </c>
      <c r="AK33" s="230">
        <v>3</v>
      </c>
      <c r="AL33" s="225"/>
    </row>
    <row r="34" spans="1:38" s="236" customFormat="1" hidden="1" x14ac:dyDescent="0.35">
      <c r="A34" s="219" t="s">
        <v>414</v>
      </c>
      <c r="B34" s="220" t="s">
        <v>146</v>
      </c>
      <c r="C34" s="221" t="s">
        <v>5</v>
      </c>
      <c r="D34" s="222" t="s">
        <v>23</v>
      </c>
      <c r="E34" s="223" t="s">
        <v>415</v>
      </c>
      <c r="F34" s="224" t="s">
        <v>117</v>
      </c>
      <c r="G34" s="224" t="s">
        <v>111</v>
      </c>
      <c r="H34" s="224" t="s">
        <v>117</v>
      </c>
      <c r="I34" s="224" t="s">
        <v>117</v>
      </c>
      <c r="J34" s="224" t="s">
        <v>117</v>
      </c>
      <c r="K34" s="224" t="s">
        <v>117</v>
      </c>
      <c r="L34" s="62" t="s">
        <v>117</v>
      </c>
      <c r="M34" s="62" t="s">
        <v>486</v>
      </c>
      <c r="N34" s="62" t="s">
        <v>111</v>
      </c>
      <c r="O34" s="62" t="s">
        <v>486</v>
      </c>
      <c r="P34" s="62" t="s">
        <v>117</v>
      </c>
      <c r="Q34" s="62" t="s">
        <v>486</v>
      </c>
      <c r="R34" s="62" t="s">
        <v>344</v>
      </c>
      <c r="S34" s="62" t="s">
        <v>117</v>
      </c>
      <c r="T34" s="62" t="s">
        <v>486</v>
      </c>
      <c r="U34" s="62" t="s">
        <v>344</v>
      </c>
      <c r="V34" s="62" t="s">
        <v>117</v>
      </c>
      <c r="W34" s="225" t="s">
        <v>344</v>
      </c>
      <c r="X34" s="225" t="s">
        <v>344</v>
      </c>
      <c r="Y34" s="225" t="s">
        <v>310</v>
      </c>
      <c r="Z34" s="226" t="s">
        <v>345</v>
      </c>
      <c r="AA34" s="58" t="s">
        <v>108</v>
      </c>
      <c r="AB34" s="225" t="s">
        <v>349</v>
      </c>
      <c r="AC34" s="227" t="s">
        <v>109</v>
      </c>
      <c r="AD34" s="228">
        <v>0</v>
      </c>
      <c r="AE34" s="229">
        <v>1</v>
      </c>
      <c r="AF34" s="225">
        <v>1</v>
      </c>
      <c r="AG34" s="225" t="s">
        <v>109</v>
      </c>
      <c r="AH34" s="225">
        <v>0.5</v>
      </c>
      <c r="AI34" s="225">
        <v>0.5</v>
      </c>
      <c r="AJ34" s="225">
        <v>1</v>
      </c>
      <c r="AK34" s="230">
        <v>3</v>
      </c>
      <c r="AL34" s="235"/>
    </row>
    <row r="35" spans="1:38" hidden="1" x14ac:dyDescent="0.35">
      <c r="A35" s="219" t="s">
        <v>416</v>
      </c>
      <c r="B35" s="220" t="s">
        <v>147</v>
      </c>
      <c r="C35" s="221" t="s">
        <v>5</v>
      </c>
      <c r="D35" s="222" t="s">
        <v>24</v>
      </c>
      <c r="E35" s="223" t="s">
        <v>417</v>
      </c>
      <c r="F35" s="224" t="s">
        <v>117</v>
      </c>
      <c r="G35" s="224" t="s">
        <v>111</v>
      </c>
      <c r="H35" s="224" t="s">
        <v>117</v>
      </c>
      <c r="I35" s="224" t="s">
        <v>117</v>
      </c>
      <c r="J35" s="224" t="s">
        <v>117</v>
      </c>
      <c r="K35" s="224" t="s">
        <v>117</v>
      </c>
      <c r="L35" s="62" t="s">
        <v>117</v>
      </c>
      <c r="M35" s="62" t="s">
        <v>486</v>
      </c>
      <c r="N35" s="62" t="s">
        <v>111</v>
      </c>
      <c r="O35" s="62" t="s">
        <v>486</v>
      </c>
      <c r="P35" s="62" t="s">
        <v>117</v>
      </c>
      <c r="Q35" s="62" t="s">
        <v>486</v>
      </c>
      <c r="R35" s="62" t="s">
        <v>344</v>
      </c>
      <c r="S35" s="62" t="s">
        <v>117</v>
      </c>
      <c r="T35" s="62" t="s">
        <v>486</v>
      </c>
      <c r="U35" s="62" t="s">
        <v>344</v>
      </c>
      <c r="V35" s="62" t="s">
        <v>117</v>
      </c>
      <c r="W35" s="225" t="s">
        <v>344</v>
      </c>
      <c r="X35" s="225" t="s">
        <v>344</v>
      </c>
      <c r="Y35" s="225" t="s">
        <v>310</v>
      </c>
      <c r="Z35" s="226" t="s">
        <v>345</v>
      </c>
      <c r="AA35" s="58" t="s">
        <v>108</v>
      </c>
      <c r="AB35" s="225" t="s">
        <v>346</v>
      </c>
      <c r="AC35" s="227" t="s">
        <v>109</v>
      </c>
      <c r="AD35" s="228">
        <v>0</v>
      </c>
      <c r="AE35" s="229">
        <v>1</v>
      </c>
      <c r="AF35" s="225">
        <v>1</v>
      </c>
      <c r="AG35" s="225" t="s">
        <v>1</v>
      </c>
      <c r="AH35" s="225">
        <v>0</v>
      </c>
      <c r="AI35" s="225">
        <v>0.5</v>
      </c>
      <c r="AJ35" s="225">
        <v>1</v>
      </c>
      <c r="AK35" s="230">
        <v>2.5</v>
      </c>
      <c r="AL35" s="225"/>
    </row>
    <row r="36" spans="1:38" hidden="1" x14ac:dyDescent="0.35">
      <c r="A36" s="219" t="s">
        <v>418</v>
      </c>
      <c r="B36" s="220" t="s">
        <v>148</v>
      </c>
      <c r="C36" s="221" t="s">
        <v>5</v>
      </c>
      <c r="D36" s="222" t="s">
        <v>25</v>
      </c>
      <c r="E36" s="223" t="s">
        <v>419</v>
      </c>
      <c r="F36" s="224" t="s">
        <v>117</v>
      </c>
      <c r="G36" s="224" t="s">
        <v>111</v>
      </c>
      <c r="H36" s="224" t="s">
        <v>117</v>
      </c>
      <c r="I36" s="224" t="s">
        <v>117</v>
      </c>
      <c r="J36" s="224" t="s">
        <v>117</v>
      </c>
      <c r="K36" s="224" t="s">
        <v>117</v>
      </c>
      <c r="L36" s="62" t="s">
        <v>117</v>
      </c>
      <c r="M36" s="62" t="s">
        <v>486</v>
      </c>
      <c r="N36" s="62" t="s">
        <v>111</v>
      </c>
      <c r="O36" s="62" t="s">
        <v>486</v>
      </c>
      <c r="P36" s="62" t="s">
        <v>117</v>
      </c>
      <c r="Q36" s="62" t="s">
        <v>486</v>
      </c>
      <c r="R36" s="62" t="s">
        <v>344</v>
      </c>
      <c r="S36" s="62" t="s">
        <v>117</v>
      </c>
      <c r="T36" s="62" t="s">
        <v>486</v>
      </c>
      <c r="U36" s="62" t="s">
        <v>344</v>
      </c>
      <c r="V36" s="62" t="s">
        <v>117</v>
      </c>
      <c r="W36" s="225" t="s">
        <v>344</v>
      </c>
      <c r="X36" s="225" t="s">
        <v>344</v>
      </c>
      <c r="Y36" s="225" t="s">
        <v>310</v>
      </c>
      <c r="Z36" s="226" t="s">
        <v>345</v>
      </c>
      <c r="AA36" s="58" t="s">
        <v>108</v>
      </c>
      <c r="AB36" s="225" t="s">
        <v>349</v>
      </c>
      <c r="AC36" s="227" t="s">
        <v>109</v>
      </c>
      <c r="AD36" s="228">
        <v>0</v>
      </c>
      <c r="AE36" s="229">
        <v>1</v>
      </c>
      <c r="AF36" s="225">
        <v>1</v>
      </c>
      <c r="AG36" s="225" t="s">
        <v>109</v>
      </c>
      <c r="AH36" s="225">
        <v>0.5</v>
      </c>
      <c r="AI36" s="225">
        <v>0.5</v>
      </c>
      <c r="AJ36" s="225">
        <v>1</v>
      </c>
      <c r="AK36" s="230">
        <v>3</v>
      </c>
      <c r="AL36" s="225"/>
    </row>
    <row r="37" spans="1:38" hidden="1" x14ac:dyDescent="0.35">
      <c r="A37" s="219" t="s">
        <v>420</v>
      </c>
      <c r="B37" s="220" t="s">
        <v>149</v>
      </c>
      <c r="C37" s="221" t="s">
        <v>5</v>
      </c>
      <c r="D37" s="222" t="s">
        <v>45</v>
      </c>
      <c r="E37" s="223" t="s">
        <v>421</v>
      </c>
      <c r="F37" s="224" t="s">
        <v>117</v>
      </c>
      <c r="G37" s="224" t="s">
        <v>111</v>
      </c>
      <c r="H37" s="224" t="s">
        <v>117</v>
      </c>
      <c r="I37" s="224" t="s">
        <v>117</v>
      </c>
      <c r="J37" s="224" t="s">
        <v>117</v>
      </c>
      <c r="K37" s="224" t="s">
        <v>117</v>
      </c>
      <c r="L37" s="62" t="s">
        <v>117</v>
      </c>
      <c r="M37" s="62" t="s">
        <v>486</v>
      </c>
      <c r="N37" s="62" t="s">
        <v>111</v>
      </c>
      <c r="O37" s="62" t="s">
        <v>486</v>
      </c>
      <c r="P37" s="62" t="s">
        <v>117</v>
      </c>
      <c r="Q37" s="62" t="s">
        <v>486</v>
      </c>
      <c r="R37" s="62" t="s">
        <v>344</v>
      </c>
      <c r="S37" s="62" t="s">
        <v>117</v>
      </c>
      <c r="T37" s="62" t="s">
        <v>486</v>
      </c>
      <c r="U37" s="62" t="s">
        <v>344</v>
      </c>
      <c r="V37" s="62" t="s">
        <v>117</v>
      </c>
      <c r="W37" s="225" t="s">
        <v>344</v>
      </c>
      <c r="X37" s="225" t="s">
        <v>344</v>
      </c>
      <c r="Y37" s="225" t="s">
        <v>310</v>
      </c>
      <c r="Z37" s="226" t="s">
        <v>345</v>
      </c>
      <c r="AA37" s="58" t="s">
        <v>134</v>
      </c>
      <c r="AB37" s="225" t="s">
        <v>368</v>
      </c>
      <c r="AC37" s="227" t="s">
        <v>134</v>
      </c>
      <c r="AD37" s="228">
        <v>0</v>
      </c>
      <c r="AE37" s="229">
        <v>3</v>
      </c>
      <c r="AF37" s="225">
        <v>3</v>
      </c>
      <c r="AG37" s="225" t="s">
        <v>1</v>
      </c>
      <c r="AH37" s="225">
        <v>0</v>
      </c>
      <c r="AI37" s="225">
        <v>0.5</v>
      </c>
      <c r="AJ37" s="225">
        <v>1</v>
      </c>
      <c r="AK37" s="230">
        <v>4.5</v>
      </c>
      <c r="AL37" s="225"/>
    </row>
    <row r="38" spans="1:38" hidden="1" x14ac:dyDescent="0.35">
      <c r="A38" s="219" t="s">
        <v>422</v>
      </c>
      <c r="B38" s="220" t="s">
        <v>150</v>
      </c>
      <c r="C38" s="221" t="s">
        <v>5</v>
      </c>
      <c r="D38" s="222" t="s">
        <v>26</v>
      </c>
      <c r="E38" s="223" t="s">
        <v>423</v>
      </c>
      <c r="F38" s="224" t="s">
        <v>117</v>
      </c>
      <c r="G38" s="224" t="s">
        <v>111</v>
      </c>
      <c r="H38" s="224" t="s">
        <v>117</v>
      </c>
      <c r="I38" s="224" t="s">
        <v>117</v>
      </c>
      <c r="J38" s="224" t="s">
        <v>117</v>
      </c>
      <c r="K38" s="224" t="s">
        <v>117</v>
      </c>
      <c r="L38" s="62" t="s">
        <v>117</v>
      </c>
      <c r="M38" s="62" t="s">
        <v>486</v>
      </c>
      <c r="N38" s="62" t="s">
        <v>111</v>
      </c>
      <c r="O38" s="62" t="s">
        <v>486</v>
      </c>
      <c r="P38" s="62" t="s">
        <v>117</v>
      </c>
      <c r="Q38" s="62" t="s">
        <v>486</v>
      </c>
      <c r="R38" s="62" t="s">
        <v>344</v>
      </c>
      <c r="S38" s="62" t="s">
        <v>117</v>
      </c>
      <c r="T38" s="62" t="s">
        <v>486</v>
      </c>
      <c r="U38" s="62" t="s">
        <v>344</v>
      </c>
      <c r="V38" s="62" t="s">
        <v>117</v>
      </c>
      <c r="W38" s="225" t="s">
        <v>344</v>
      </c>
      <c r="X38" s="225" t="s">
        <v>344</v>
      </c>
      <c r="Y38" s="225" t="s">
        <v>310</v>
      </c>
      <c r="Z38" s="226" t="s">
        <v>345</v>
      </c>
      <c r="AA38" s="58" t="s">
        <v>108</v>
      </c>
      <c r="AB38" s="225" t="s">
        <v>368</v>
      </c>
      <c r="AC38" s="227" t="s">
        <v>109</v>
      </c>
      <c r="AD38" s="228">
        <v>0</v>
      </c>
      <c r="AE38" s="229">
        <v>1</v>
      </c>
      <c r="AF38" s="225">
        <v>1</v>
      </c>
      <c r="AG38" s="225" t="s">
        <v>1</v>
      </c>
      <c r="AH38" s="225">
        <v>0</v>
      </c>
      <c r="AI38" s="225">
        <v>0.5</v>
      </c>
      <c r="AJ38" s="225">
        <v>1</v>
      </c>
      <c r="AK38" s="230">
        <v>2.5</v>
      </c>
      <c r="AL38" s="225"/>
    </row>
    <row r="39" spans="1:38" hidden="1" x14ac:dyDescent="0.35">
      <c r="A39" s="219" t="s">
        <v>424</v>
      </c>
      <c r="B39" s="220" t="s">
        <v>151</v>
      </c>
      <c r="C39" s="221" t="s">
        <v>5</v>
      </c>
      <c r="D39" s="222" t="s">
        <v>46</v>
      </c>
      <c r="E39" s="223" t="s">
        <v>425</v>
      </c>
      <c r="F39" s="224" t="s">
        <v>117</v>
      </c>
      <c r="G39" s="224" t="s">
        <v>111</v>
      </c>
      <c r="H39" s="224" t="s">
        <v>111</v>
      </c>
      <c r="I39" s="224" t="s">
        <v>117</v>
      </c>
      <c r="J39" s="224" t="s">
        <v>117</v>
      </c>
      <c r="K39" s="224" t="s">
        <v>117</v>
      </c>
      <c r="L39" s="62" t="s">
        <v>117</v>
      </c>
      <c r="M39" s="62" t="s">
        <v>486</v>
      </c>
      <c r="N39" s="62" t="s">
        <v>111</v>
      </c>
      <c r="O39" s="62" t="s">
        <v>486</v>
      </c>
      <c r="P39" s="62" t="s">
        <v>111</v>
      </c>
      <c r="Q39" s="62" t="s">
        <v>486</v>
      </c>
      <c r="R39" s="62" t="s">
        <v>344</v>
      </c>
      <c r="S39" s="62" t="s">
        <v>117</v>
      </c>
      <c r="T39" s="62" t="s">
        <v>486</v>
      </c>
      <c r="U39" s="62" t="s">
        <v>344</v>
      </c>
      <c r="V39" s="62" t="s">
        <v>117</v>
      </c>
      <c r="W39" s="225" t="s">
        <v>344</v>
      </c>
      <c r="X39" s="225" t="s">
        <v>344</v>
      </c>
      <c r="Y39" s="225" t="s">
        <v>491</v>
      </c>
      <c r="Z39" s="226" t="s">
        <v>345</v>
      </c>
      <c r="AA39" s="58" t="s">
        <v>115</v>
      </c>
      <c r="AB39" s="225" t="s">
        <v>368</v>
      </c>
      <c r="AC39" s="227" t="s">
        <v>115</v>
      </c>
      <c r="AD39" s="228">
        <v>0</v>
      </c>
      <c r="AE39" s="229">
        <v>6</v>
      </c>
      <c r="AF39" s="225">
        <v>6</v>
      </c>
      <c r="AG39" s="225" t="s">
        <v>1</v>
      </c>
      <c r="AH39" s="225">
        <v>0</v>
      </c>
      <c r="AI39" s="225">
        <v>0.5</v>
      </c>
      <c r="AJ39" s="225">
        <v>1</v>
      </c>
      <c r="AK39" s="230">
        <v>7.5</v>
      </c>
      <c r="AL39" s="225"/>
    </row>
    <row r="40" spans="1:38" hidden="1" x14ac:dyDescent="0.35">
      <c r="A40" s="219" t="s">
        <v>426</v>
      </c>
      <c r="B40" s="220" t="s">
        <v>152</v>
      </c>
      <c r="C40" s="221" t="s">
        <v>5</v>
      </c>
      <c r="D40" s="222" t="s">
        <v>47</v>
      </c>
      <c r="E40" s="223" t="s">
        <v>427</v>
      </c>
      <c r="F40" s="224" t="s">
        <v>117</v>
      </c>
      <c r="G40" s="224" t="s">
        <v>111</v>
      </c>
      <c r="H40" s="224" t="s">
        <v>117</v>
      </c>
      <c r="I40" s="224" t="s">
        <v>117</v>
      </c>
      <c r="J40" s="224" t="s">
        <v>117</v>
      </c>
      <c r="K40" s="224" t="s">
        <v>117</v>
      </c>
      <c r="L40" s="62" t="s">
        <v>117</v>
      </c>
      <c r="M40" s="62" t="s">
        <v>486</v>
      </c>
      <c r="N40" s="62" t="s">
        <v>111</v>
      </c>
      <c r="O40" s="62" t="s">
        <v>486</v>
      </c>
      <c r="P40" s="62" t="s">
        <v>117</v>
      </c>
      <c r="Q40" s="62" t="s">
        <v>486</v>
      </c>
      <c r="R40" s="62" t="s">
        <v>344</v>
      </c>
      <c r="S40" s="62" t="s">
        <v>117</v>
      </c>
      <c r="T40" s="62" t="s">
        <v>486</v>
      </c>
      <c r="U40" s="62" t="s">
        <v>344</v>
      </c>
      <c r="V40" s="62" t="s">
        <v>117</v>
      </c>
      <c r="W40" s="225" t="s">
        <v>344</v>
      </c>
      <c r="X40" s="225" t="s">
        <v>344</v>
      </c>
      <c r="Y40" s="225" t="s">
        <v>310</v>
      </c>
      <c r="Z40" s="226" t="s">
        <v>345</v>
      </c>
      <c r="AA40" s="58" t="s">
        <v>115</v>
      </c>
      <c r="AB40" s="225" t="s">
        <v>368</v>
      </c>
      <c r="AC40" s="227" t="s">
        <v>134</v>
      </c>
      <c r="AD40" s="228">
        <v>0</v>
      </c>
      <c r="AE40" s="229">
        <v>3</v>
      </c>
      <c r="AF40" s="225">
        <v>3</v>
      </c>
      <c r="AG40" s="225" t="s">
        <v>1</v>
      </c>
      <c r="AH40" s="225">
        <v>0</v>
      </c>
      <c r="AI40" s="225">
        <v>0.5</v>
      </c>
      <c r="AJ40" s="225">
        <v>1</v>
      </c>
      <c r="AK40" s="230">
        <v>4.5</v>
      </c>
      <c r="AL40" s="225"/>
    </row>
    <row r="41" spans="1:38" hidden="1" x14ac:dyDescent="0.35">
      <c r="A41" s="219" t="s">
        <v>428</v>
      </c>
      <c r="B41" s="220" t="s">
        <v>153</v>
      </c>
      <c r="C41" s="221" t="s">
        <v>5</v>
      </c>
      <c r="D41" s="222" t="s">
        <v>28</v>
      </c>
      <c r="E41" s="223" t="s">
        <v>429</v>
      </c>
      <c r="F41" s="224" t="s">
        <v>117</v>
      </c>
      <c r="G41" s="224" t="s">
        <v>111</v>
      </c>
      <c r="H41" s="224" t="s">
        <v>117</v>
      </c>
      <c r="I41" s="224" t="s">
        <v>117</v>
      </c>
      <c r="J41" s="224" t="s">
        <v>117</v>
      </c>
      <c r="K41" s="224" t="s">
        <v>117</v>
      </c>
      <c r="L41" s="62" t="s">
        <v>117</v>
      </c>
      <c r="M41" s="62" t="s">
        <v>486</v>
      </c>
      <c r="N41" s="62" t="s">
        <v>111</v>
      </c>
      <c r="O41" s="62" t="s">
        <v>486</v>
      </c>
      <c r="P41" s="62" t="s">
        <v>117</v>
      </c>
      <c r="Q41" s="62" t="s">
        <v>486</v>
      </c>
      <c r="R41" s="62" t="s">
        <v>344</v>
      </c>
      <c r="S41" s="62" t="s">
        <v>117</v>
      </c>
      <c r="T41" s="62" t="s">
        <v>486</v>
      </c>
      <c r="U41" s="62" t="s">
        <v>344</v>
      </c>
      <c r="V41" s="62" t="s">
        <v>117</v>
      </c>
      <c r="W41" s="225" t="s">
        <v>344</v>
      </c>
      <c r="X41" s="225" t="s">
        <v>344</v>
      </c>
      <c r="Y41" s="225" t="s">
        <v>310</v>
      </c>
      <c r="Z41" s="226" t="s">
        <v>345</v>
      </c>
      <c r="AA41" s="58" t="s">
        <v>108</v>
      </c>
      <c r="AB41" s="225" t="s">
        <v>368</v>
      </c>
      <c r="AC41" s="227" t="s">
        <v>109</v>
      </c>
      <c r="AD41" s="228">
        <v>0</v>
      </c>
      <c r="AE41" s="229">
        <v>1</v>
      </c>
      <c r="AF41" s="225">
        <v>1</v>
      </c>
      <c r="AG41" s="225" t="s">
        <v>1</v>
      </c>
      <c r="AH41" s="225">
        <v>0</v>
      </c>
      <c r="AI41" s="225">
        <v>0.5</v>
      </c>
      <c r="AJ41" s="225">
        <v>1</v>
      </c>
      <c r="AK41" s="230">
        <v>2.5</v>
      </c>
      <c r="AL41" s="225"/>
    </row>
    <row r="42" spans="1:38" hidden="1" x14ac:dyDescent="0.35">
      <c r="A42" s="219" t="s">
        <v>430</v>
      </c>
      <c r="B42" s="220" t="s">
        <v>154</v>
      </c>
      <c r="C42" s="221" t="s">
        <v>5</v>
      </c>
      <c r="D42" s="222" t="s">
        <v>48</v>
      </c>
      <c r="E42" s="223" t="s">
        <v>431</v>
      </c>
      <c r="F42" s="224" t="s">
        <v>117</v>
      </c>
      <c r="G42" s="224" t="s">
        <v>111</v>
      </c>
      <c r="H42" s="224" t="s">
        <v>117</v>
      </c>
      <c r="I42" s="224" t="s">
        <v>117</v>
      </c>
      <c r="J42" s="224" t="s">
        <v>117</v>
      </c>
      <c r="K42" s="224" t="s">
        <v>117</v>
      </c>
      <c r="L42" s="62" t="s">
        <v>117</v>
      </c>
      <c r="M42" s="62" t="s">
        <v>486</v>
      </c>
      <c r="N42" s="62" t="s">
        <v>111</v>
      </c>
      <c r="O42" s="62" t="s">
        <v>486</v>
      </c>
      <c r="P42" s="62" t="s">
        <v>117</v>
      </c>
      <c r="Q42" s="62" t="s">
        <v>486</v>
      </c>
      <c r="R42" s="62" t="s">
        <v>344</v>
      </c>
      <c r="S42" s="62" t="s">
        <v>117</v>
      </c>
      <c r="T42" s="62" t="s">
        <v>486</v>
      </c>
      <c r="U42" s="62" t="s">
        <v>344</v>
      </c>
      <c r="V42" s="62" t="s">
        <v>117</v>
      </c>
      <c r="W42" s="225" t="s">
        <v>344</v>
      </c>
      <c r="X42" s="225" t="s">
        <v>344</v>
      </c>
      <c r="Y42" s="225" t="s">
        <v>310</v>
      </c>
      <c r="Z42" s="226" t="s">
        <v>345</v>
      </c>
      <c r="AA42" s="58" t="s">
        <v>115</v>
      </c>
      <c r="AB42" s="225" t="s">
        <v>368</v>
      </c>
      <c r="AC42" s="227" t="s">
        <v>134</v>
      </c>
      <c r="AD42" s="228">
        <v>0</v>
      </c>
      <c r="AE42" s="229">
        <v>3</v>
      </c>
      <c r="AF42" s="225">
        <v>3</v>
      </c>
      <c r="AG42" s="225" t="s">
        <v>1</v>
      </c>
      <c r="AH42" s="225">
        <v>0</v>
      </c>
      <c r="AI42" s="225">
        <v>0.5</v>
      </c>
      <c r="AJ42" s="225">
        <v>1</v>
      </c>
      <c r="AK42" s="230">
        <v>4.5</v>
      </c>
      <c r="AL42" s="225"/>
    </row>
    <row r="43" spans="1:38" hidden="1" x14ac:dyDescent="0.35">
      <c r="A43" s="219" t="s">
        <v>432</v>
      </c>
      <c r="B43" s="220" t="s">
        <v>155</v>
      </c>
      <c r="C43" s="221" t="s">
        <v>5</v>
      </c>
      <c r="D43" s="222" t="s">
        <v>49</v>
      </c>
      <c r="E43" s="223" t="s">
        <v>433</v>
      </c>
      <c r="F43" s="224" t="s">
        <v>117</v>
      </c>
      <c r="G43" s="224" t="s">
        <v>111</v>
      </c>
      <c r="H43" s="224" t="s">
        <v>117</v>
      </c>
      <c r="I43" s="224" t="s">
        <v>117</v>
      </c>
      <c r="J43" s="224" t="s">
        <v>117</v>
      </c>
      <c r="K43" s="224" t="s">
        <v>117</v>
      </c>
      <c r="L43" s="62" t="s">
        <v>117</v>
      </c>
      <c r="M43" s="62" t="s">
        <v>486</v>
      </c>
      <c r="N43" s="62" t="s">
        <v>111</v>
      </c>
      <c r="O43" s="62" t="s">
        <v>486</v>
      </c>
      <c r="P43" s="62" t="s">
        <v>117</v>
      </c>
      <c r="Q43" s="62" t="s">
        <v>486</v>
      </c>
      <c r="R43" s="62" t="s">
        <v>344</v>
      </c>
      <c r="S43" s="62" t="s">
        <v>117</v>
      </c>
      <c r="T43" s="62" t="s">
        <v>486</v>
      </c>
      <c r="U43" s="62" t="s">
        <v>344</v>
      </c>
      <c r="V43" s="62" t="s">
        <v>117</v>
      </c>
      <c r="W43" s="225" t="s">
        <v>344</v>
      </c>
      <c r="X43" s="225" t="s">
        <v>344</v>
      </c>
      <c r="Y43" s="225" t="s">
        <v>310</v>
      </c>
      <c r="Z43" s="226" t="s">
        <v>345</v>
      </c>
      <c r="AA43" s="58" t="s">
        <v>134</v>
      </c>
      <c r="AB43" s="225" t="s">
        <v>368</v>
      </c>
      <c r="AC43" s="227" t="s">
        <v>134</v>
      </c>
      <c r="AD43" s="228">
        <v>0</v>
      </c>
      <c r="AE43" s="229">
        <v>3</v>
      </c>
      <c r="AF43" s="225">
        <v>3</v>
      </c>
      <c r="AG43" s="225" t="s">
        <v>1</v>
      </c>
      <c r="AH43" s="225">
        <v>0</v>
      </c>
      <c r="AI43" s="225">
        <v>0.5</v>
      </c>
      <c r="AJ43" s="225">
        <v>1</v>
      </c>
      <c r="AK43" s="230">
        <v>4.5</v>
      </c>
      <c r="AL43" s="225"/>
    </row>
    <row r="44" spans="1:38" hidden="1" x14ac:dyDescent="0.35">
      <c r="A44" s="219" t="s">
        <v>434</v>
      </c>
      <c r="B44" s="220" t="s">
        <v>156</v>
      </c>
      <c r="C44" s="221" t="s">
        <v>5</v>
      </c>
      <c r="D44" s="222" t="s">
        <v>50</v>
      </c>
      <c r="E44" s="223" t="s">
        <v>435</v>
      </c>
      <c r="F44" s="224" t="s">
        <v>117</v>
      </c>
      <c r="G44" s="224" t="s">
        <v>111</v>
      </c>
      <c r="H44" s="224" t="s">
        <v>117</v>
      </c>
      <c r="I44" s="224" t="s">
        <v>117</v>
      </c>
      <c r="J44" s="224" t="s">
        <v>117</v>
      </c>
      <c r="K44" s="224" t="s">
        <v>117</v>
      </c>
      <c r="L44" s="62" t="s">
        <v>117</v>
      </c>
      <c r="M44" s="62" t="s">
        <v>486</v>
      </c>
      <c r="N44" s="62" t="s">
        <v>111</v>
      </c>
      <c r="O44" s="62" t="s">
        <v>486</v>
      </c>
      <c r="P44" s="62" t="s">
        <v>117</v>
      </c>
      <c r="Q44" s="62" t="s">
        <v>486</v>
      </c>
      <c r="R44" s="62" t="s">
        <v>344</v>
      </c>
      <c r="S44" s="62" t="s">
        <v>117</v>
      </c>
      <c r="T44" s="62" t="s">
        <v>486</v>
      </c>
      <c r="U44" s="62" t="s">
        <v>344</v>
      </c>
      <c r="V44" s="62" t="s">
        <v>117</v>
      </c>
      <c r="W44" s="225" t="s">
        <v>344</v>
      </c>
      <c r="X44" s="225" t="s">
        <v>344</v>
      </c>
      <c r="Y44" s="225" t="s">
        <v>310</v>
      </c>
      <c r="Z44" s="226" t="s">
        <v>345</v>
      </c>
      <c r="AA44" s="58" t="s">
        <v>108</v>
      </c>
      <c r="AB44" s="225" t="s">
        <v>368</v>
      </c>
      <c r="AC44" s="227" t="s">
        <v>134</v>
      </c>
      <c r="AD44" s="228">
        <v>0</v>
      </c>
      <c r="AE44" s="229">
        <v>3</v>
      </c>
      <c r="AF44" s="225">
        <v>3</v>
      </c>
      <c r="AG44" s="225" t="s">
        <v>1</v>
      </c>
      <c r="AH44" s="225">
        <v>0</v>
      </c>
      <c r="AI44" s="225">
        <v>0.5</v>
      </c>
      <c r="AJ44" s="225">
        <v>1</v>
      </c>
      <c r="AK44" s="230">
        <v>4.5</v>
      </c>
      <c r="AL44" s="225"/>
    </row>
    <row r="45" spans="1:38" hidden="1" x14ac:dyDescent="0.35">
      <c r="A45" s="219" t="s">
        <v>436</v>
      </c>
      <c r="B45" s="220" t="s">
        <v>157</v>
      </c>
      <c r="C45" s="221" t="s">
        <v>5</v>
      </c>
      <c r="D45" s="222" t="s">
        <v>51</v>
      </c>
      <c r="E45" s="223" t="s">
        <v>437</v>
      </c>
      <c r="F45" s="224" t="s">
        <v>117</v>
      </c>
      <c r="G45" s="224" t="s">
        <v>111</v>
      </c>
      <c r="H45" s="224" t="s">
        <v>117</v>
      </c>
      <c r="I45" s="224" t="s">
        <v>117</v>
      </c>
      <c r="J45" s="224" t="s">
        <v>117</v>
      </c>
      <c r="K45" s="224" t="s">
        <v>117</v>
      </c>
      <c r="L45" s="62" t="s">
        <v>117</v>
      </c>
      <c r="M45" s="62" t="s">
        <v>486</v>
      </c>
      <c r="N45" s="62" t="s">
        <v>111</v>
      </c>
      <c r="O45" s="62" t="s">
        <v>486</v>
      </c>
      <c r="P45" s="62" t="s">
        <v>117</v>
      </c>
      <c r="Q45" s="62" t="s">
        <v>486</v>
      </c>
      <c r="R45" s="62" t="s">
        <v>344</v>
      </c>
      <c r="S45" s="62" t="s">
        <v>117</v>
      </c>
      <c r="T45" s="62" t="s">
        <v>486</v>
      </c>
      <c r="U45" s="62" t="s">
        <v>344</v>
      </c>
      <c r="V45" s="62" t="s">
        <v>117</v>
      </c>
      <c r="W45" s="225" t="s">
        <v>344</v>
      </c>
      <c r="X45" s="225" t="s">
        <v>344</v>
      </c>
      <c r="Y45" s="225" t="s">
        <v>310</v>
      </c>
      <c r="Z45" s="226" t="s">
        <v>345</v>
      </c>
      <c r="AA45" s="58" t="s">
        <v>108</v>
      </c>
      <c r="AB45" s="225" t="s">
        <v>368</v>
      </c>
      <c r="AC45" s="227" t="s">
        <v>134</v>
      </c>
      <c r="AD45" s="228">
        <v>0</v>
      </c>
      <c r="AE45" s="229">
        <v>3</v>
      </c>
      <c r="AF45" s="225">
        <v>3</v>
      </c>
      <c r="AG45" s="225" t="s">
        <v>1</v>
      </c>
      <c r="AH45" s="225">
        <v>0</v>
      </c>
      <c r="AI45" s="225">
        <v>0.5</v>
      </c>
      <c r="AJ45" s="225">
        <v>1</v>
      </c>
      <c r="AK45" s="230">
        <v>4.5</v>
      </c>
      <c r="AL45" s="225"/>
    </row>
    <row r="46" spans="1:38" hidden="1" x14ac:dyDescent="0.35">
      <c r="A46" s="219" t="s">
        <v>438</v>
      </c>
      <c r="B46" s="220" t="s">
        <v>158</v>
      </c>
      <c r="C46" s="221" t="s">
        <v>5</v>
      </c>
      <c r="D46" s="222" t="s">
        <v>52</v>
      </c>
      <c r="E46" s="223" t="s">
        <v>439</v>
      </c>
      <c r="F46" s="224" t="s">
        <v>117</v>
      </c>
      <c r="G46" s="224" t="s">
        <v>111</v>
      </c>
      <c r="H46" s="224" t="s">
        <v>117</v>
      </c>
      <c r="I46" s="224" t="s">
        <v>117</v>
      </c>
      <c r="J46" s="224" t="s">
        <v>117</v>
      </c>
      <c r="K46" s="224" t="s">
        <v>117</v>
      </c>
      <c r="L46" s="62" t="s">
        <v>117</v>
      </c>
      <c r="M46" s="62" t="s">
        <v>486</v>
      </c>
      <c r="N46" s="62" t="s">
        <v>111</v>
      </c>
      <c r="O46" s="62" t="s">
        <v>486</v>
      </c>
      <c r="P46" s="62" t="s">
        <v>117</v>
      </c>
      <c r="Q46" s="62" t="s">
        <v>486</v>
      </c>
      <c r="R46" s="62" t="s">
        <v>344</v>
      </c>
      <c r="S46" s="62" t="s">
        <v>117</v>
      </c>
      <c r="T46" s="62" t="s">
        <v>486</v>
      </c>
      <c r="U46" s="62" t="s">
        <v>344</v>
      </c>
      <c r="V46" s="62" t="s">
        <v>117</v>
      </c>
      <c r="W46" s="225" t="s">
        <v>344</v>
      </c>
      <c r="X46" s="225" t="s">
        <v>344</v>
      </c>
      <c r="Y46" s="225" t="s">
        <v>310</v>
      </c>
      <c r="Z46" s="226" t="s">
        <v>345</v>
      </c>
      <c r="AA46" s="58" t="s">
        <v>108</v>
      </c>
      <c r="AB46" s="225" t="s">
        <v>368</v>
      </c>
      <c r="AC46" s="227" t="s">
        <v>134</v>
      </c>
      <c r="AD46" s="228">
        <v>0</v>
      </c>
      <c r="AE46" s="229">
        <v>3</v>
      </c>
      <c r="AF46" s="225">
        <v>3</v>
      </c>
      <c r="AG46" s="225" t="s">
        <v>1</v>
      </c>
      <c r="AH46" s="225">
        <v>0</v>
      </c>
      <c r="AI46" s="225">
        <v>0.5</v>
      </c>
      <c r="AJ46" s="225">
        <v>1</v>
      </c>
      <c r="AK46" s="230">
        <v>4.5</v>
      </c>
      <c r="AL46" s="225"/>
    </row>
    <row r="47" spans="1:38" hidden="1" x14ac:dyDescent="0.35">
      <c r="A47" s="219" t="s">
        <v>440</v>
      </c>
      <c r="B47" s="220" t="s">
        <v>159</v>
      </c>
      <c r="C47" s="221" t="s">
        <v>5</v>
      </c>
      <c r="D47" s="222" t="s">
        <v>53</v>
      </c>
      <c r="E47" s="223" t="s">
        <v>441</v>
      </c>
      <c r="F47" s="224" t="s">
        <v>117</v>
      </c>
      <c r="G47" s="224" t="s">
        <v>111</v>
      </c>
      <c r="H47" s="224" t="s">
        <v>117</v>
      </c>
      <c r="I47" s="224" t="s">
        <v>117</v>
      </c>
      <c r="J47" s="224" t="s">
        <v>117</v>
      </c>
      <c r="K47" s="224" t="s">
        <v>117</v>
      </c>
      <c r="L47" s="62" t="s">
        <v>117</v>
      </c>
      <c r="M47" s="62" t="s">
        <v>486</v>
      </c>
      <c r="N47" s="62" t="s">
        <v>111</v>
      </c>
      <c r="O47" s="62" t="s">
        <v>486</v>
      </c>
      <c r="P47" s="62" t="s">
        <v>117</v>
      </c>
      <c r="Q47" s="62" t="s">
        <v>486</v>
      </c>
      <c r="R47" s="62" t="s">
        <v>344</v>
      </c>
      <c r="S47" s="62" t="s">
        <v>117</v>
      </c>
      <c r="T47" s="62" t="s">
        <v>486</v>
      </c>
      <c r="U47" s="62" t="s">
        <v>344</v>
      </c>
      <c r="V47" s="62" t="s">
        <v>117</v>
      </c>
      <c r="W47" s="225" t="s">
        <v>344</v>
      </c>
      <c r="X47" s="225" t="s">
        <v>344</v>
      </c>
      <c r="Y47" s="225" t="s">
        <v>310</v>
      </c>
      <c r="Z47" s="226" t="s">
        <v>345</v>
      </c>
      <c r="AA47" s="58" t="s">
        <v>108</v>
      </c>
      <c r="AB47" s="225" t="s">
        <v>368</v>
      </c>
      <c r="AC47" s="227" t="s">
        <v>134</v>
      </c>
      <c r="AD47" s="228">
        <v>0</v>
      </c>
      <c r="AE47" s="229">
        <v>3</v>
      </c>
      <c r="AF47" s="225">
        <v>3</v>
      </c>
      <c r="AG47" s="225" t="s">
        <v>1</v>
      </c>
      <c r="AH47" s="225">
        <v>0</v>
      </c>
      <c r="AI47" s="225">
        <v>0.5</v>
      </c>
      <c r="AJ47" s="225">
        <v>1</v>
      </c>
      <c r="AK47" s="230">
        <v>4.5</v>
      </c>
      <c r="AL47" s="225"/>
    </row>
    <row r="48" spans="1:38" hidden="1" x14ac:dyDescent="0.35">
      <c r="A48" s="219" t="s">
        <v>442</v>
      </c>
      <c r="B48" s="220" t="s">
        <v>160</v>
      </c>
      <c r="C48" s="221" t="s">
        <v>5</v>
      </c>
      <c r="D48" s="222" t="s">
        <v>54</v>
      </c>
      <c r="E48" s="223" t="s">
        <v>443</v>
      </c>
      <c r="F48" s="224" t="s">
        <v>117</v>
      </c>
      <c r="G48" s="224" t="s">
        <v>111</v>
      </c>
      <c r="H48" s="224" t="s">
        <v>117</v>
      </c>
      <c r="I48" s="224" t="s">
        <v>117</v>
      </c>
      <c r="J48" s="224" t="s">
        <v>117</v>
      </c>
      <c r="K48" s="224" t="s">
        <v>117</v>
      </c>
      <c r="L48" s="62" t="s">
        <v>117</v>
      </c>
      <c r="M48" s="62" t="s">
        <v>486</v>
      </c>
      <c r="N48" s="62" t="s">
        <v>111</v>
      </c>
      <c r="O48" s="62" t="s">
        <v>486</v>
      </c>
      <c r="P48" s="62" t="s">
        <v>117</v>
      </c>
      <c r="Q48" s="62" t="s">
        <v>486</v>
      </c>
      <c r="R48" s="62" t="s">
        <v>344</v>
      </c>
      <c r="S48" s="62" t="s">
        <v>117</v>
      </c>
      <c r="T48" s="62" t="s">
        <v>486</v>
      </c>
      <c r="U48" s="62" t="s">
        <v>344</v>
      </c>
      <c r="V48" s="62" t="s">
        <v>117</v>
      </c>
      <c r="W48" s="225" t="s">
        <v>344</v>
      </c>
      <c r="X48" s="225" t="s">
        <v>344</v>
      </c>
      <c r="Y48" s="225" t="s">
        <v>310</v>
      </c>
      <c r="Z48" s="226" t="s">
        <v>345</v>
      </c>
      <c r="AA48" s="58" t="s">
        <v>108</v>
      </c>
      <c r="AB48" s="225" t="s">
        <v>368</v>
      </c>
      <c r="AC48" s="227" t="s">
        <v>134</v>
      </c>
      <c r="AD48" s="228">
        <v>0</v>
      </c>
      <c r="AE48" s="229">
        <v>3</v>
      </c>
      <c r="AF48" s="225">
        <v>3</v>
      </c>
      <c r="AG48" s="225" t="s">
        <v>1</v>
      </c>
      <c r="AH48" s="225">
        <v>0</v>
      </c>
      <c r="AI48" s="225">
        <v>0.5</v>
      </c>
      <c r="AJ48" s="225">
        <v>1</v>
      </c>
      <c r="AK48" s="230">
        <v>4.5</v>
      </c>
      <c r="AL48" s="225"/>
    </row>
    <row r="49" spans="1:38" hidden="1" x14ac:dyDescent="0.35">
      <c r="A49" s="219" t="s">
        <v>444</v>
      </c>
      <c r="B49" s="220" t="s">
        <v>161</v>
      </c>
      <c r="C49" s="221" t="s">
        <v>5</v>
      </c>
      <c r="D49" s="222" t="s">
        <v>55</v>
      </c>
      <c r="E49" s="223" t="s">
        <v>445</v>
      </c>
      <c r="F49" s="224" t="s">
        <v>117</v>
      </c>
      <c r="G49" s="224" t="s">
        <v>111</v>
      </c>
      <c r="H49" s="224" t="s">
        <v>117</v>
      </c>
      <c r="I49" s="224" t="s">
        <v>117</v>
      </c>
      <c r="J49" s="224" t="s">
        <v>117</v>
      </c>
      <c r="K49" s="224" t="s">
        <v>117</v>
      </c>
      <c r="L49" s="62" t="s">
        <v>117</v>
      </c>
      <c r="M49" s="62" t="s">
        <v>486</v>
      </c>
      <c r="N49" s="62" t="s">
        <v>111</v>
      </c>
      <c r="O49" s="62" t="s">
        <v>486</v>
      </c>
      <c r="P49" s="62" t="s">
        <v>117</v>
      </c>
      <c r="Q49" s="62" t="s">
        <v>486</v>
      </c>
      <c r="R49" s="62" t="s">
        <v>344</v>
      </c>
      <c r="S49" s="62" t="s">
        <v>117</v>
      </c>
      <c r="T49" s="62" t="s">
        <v>486</v>
      </c>
      <c r="U49" s="62" t="s">
        <v>344</v>
      </c>
      <c r="V49" s="62" t="s">
        <v>117</v>
      </c>
      <c r="W49" s="225" t="s">
        <v>344</v>
      </c>
      <c r="X49" s="225" t="s">
        <v>344</v>
      </c>
      <c r="Y49" s="225" t="s">
        <v>310</v>
      </c>
      <c r="Z49" s="226" t="s">
        <v>345</v>
      </c>
      <c r="AA49" s="58" t="s">
        <v>108</v>
      </c>
      <c r="AB49" s="225" t="s">
        <v>349</v>
      </c>
      <c r="AC49" s="227" t="s">
        <v>134</v>
      </c>
      <c r="AD49" s="228">
        <v>0</v>
      </c>
      <c r="AE49" s="229">
        <v>3</v>
      </c>
      <c r="AF49" s="225">
        <v>3</v>
      </c>
      <c r="AG49" s="225" t="s">
        <v>134</v>
      </c>
      <c r="AH49" s="225">
        <v>0.5</v>
      </c>
      <c r="AI49" s="225">
        <v>0.5</v>
      </c>
      <c r="AJ49" s="225">
        <v>1</v>
      </c>
      <c r="AK49" s="230">
        <v>5</v>
      </c>
      <c r="AL49" s="225"/>
    </row>
    <row r="50" spans="1:38" hidden="1" x14ac:dyDescent="0.35">
      <c r="A50" s="219" t="s">
        <v>446</v>
      </c>
      <c r="B50" s="220" t="s">
        <v>162</v>
      </c>
      <c r="C50" s="221" t="s">
        <v>5</v>
      </c>
      <c r="D50" s="222" t="s">
        <v>56</v>
      </c>
      <c r="E50" s="237" t="s">
        <v>447</v>
      </c>
      <c r="F50" s="224" t="s">
        <v>117</v>
      </c>
      <c r="G50" s="224" t="s">
        <v>111</v>
      </c>
      <c r="H50" s="224" t="s">
        <v>117</v>
      </c>
      <c r="I50" s="224" t="s">
        <v>117</v>
      </c>
      <c r="J50" s="224" t="s">
        <v>117</v>
      </c>
      <c r="K50" s="224" t="s">
        <v>117</v>
      </c>
      <c r="L50" s="62" t="s">
        <v>117</v>
      </c>
      <c r="M50" s="62" t="s">
        <v>486</v>
      </c>
      <c r="N50" s="62" t="s">
        <v>111</v>
      </c>
      <c r="O50" s="62" t="s">
        <v>486</v>
      </c>
      <c r="P50" s="62" t="s">
        <v>117</v>
      </c>
      <c r="Q50" s="62" t="s">
        <v>486</v>
      </c>
      <c r="R50" s="62" t="s">
        <v>344</v>
      </c>
      <c r="S50" s="62" t="s">
        <v>117</v>
      </c>
      <c r="T50" s="62" t="s">
        <v>486</v>
      </c>
      <c r="U50" s="62" t="s">
        <v>344</v>
      </c>
      <c r="V50" s="62" t="s">
        <v>117</v>
      </c>
      <c r="W50" s="225" t="s">
        <v>344</v>
      </c>
      <c r="X50" s="225" t="s">
        <v>344</v>
      </c>
      <c r="Y50" s="225" t="s">
        <v>310</v>
      </c>
      <c r="Z50" s="226" t="s">
        <v>345</v>
      </c>
      <c r="AA50" s="58" t="s">
        <v>108</v>
      </c>
      <c r="AB50" s="225" t="s">
        <v>368</v>
      </c>
      <c r="AC50" s="227" t="s">
        <v>134</v>
      </c>
      <c r="AD50" s="228">
        <v>0</v>
      </c>
      <c r="AE50" s="229">
        <v>3</v>
      </c>
      <c r="AF50" s="225">
        <v>3</v>
      </c>
      <c r="AG50" s="225" t="s">
        <v>1</v>
      </c>
      <c r="AH50" s="225">
        <v>0</v>
      </c>
      <c r="AI50" s="225">
        <v>0.5</v>
      </c>
      <c r="AJ50" s="225">
        <v>1</v>
      </c>
      <c r="AK50" s="230">
        <v>4.5</v>
      </c>
      <c r="AL50" s="225"/>
    </row>
    <row r="51" spans="1:38" hidden="1" x14ac:dyDescent="0.35">
      <c r="A51" s="219" t="s">
        <v>448</v>
      </c>
      <c r="B51" s="220" t="s">
        <v>163</v>
      </c>
      <c r="C51" s="221" t="s">
        <v>5</v>
      </c>
      <c r="D51" s="222" t="s">
        <v>57</v>
      </c>
      <c r="E51" s="237" t="s">
        <v>449</v>
      </c>
      <c r="F51" s="224" t="s">
        <v>117</v>
      </c>
      <c r="G51" s="224" t="s">
        <v>111</v>
      </c>
      <c r="H51" s="224" t="s">
        <v>117</v>
      </c>
      <c r="I51" s="224" t="s">
        <v>117</v>
      </c>
      <c r="J51" s="224" t="s">
        <v>117</v>
      </c>
      <c r="K51" s="224" t="s">
        <v>117</v>
      </c>
      <c r="L51" s="62" t="s">
        <v>117</v>
      </c>
      <c r="M51" s="62" t="s">
        <v>486</v>
      </c>
      <c r="N51" s="62" t="s">
        <v>111</v>
      </c>
      <c r="O51" s="62" t="s">
        <v>486</v>
      </c>
      <c r="P51" s="62" t="s">
        <v>117</v>
      </c>
      <c r="Q51" s="62" t="s">
        <v>486</v>
      </c>
      <c r="R51" s="62" t="s">
        <v>344</v>
      </c>
      <c r="S51" s="62" t="s">
        <v>117</v>
      </c>
      <c r="T51" s="62" t="s">
        <v>486</v>
      </c>
      <c r="U51" s="62" t="s">
        <v>344</v>
      </c>
      <c r="V51" s="62" t="s">
        <v>117</v>
      </c>
      <c r="W51" s="225" t="s">
        <v>344</v>
      </c>
      <c r="X51" s="225" t="s">
        <v>344</v>
      </c>
      <c r="Y51" s="225" t="s">
        <v>310</v>
      </c>
      <c r="Z51" s="226" t="s">
        <v>345</v>
      </c>
      <c r="AA51" s="58" t="s">
        <v>108</v>
      </c>
      <c r="AB51" s="225" t="s">
        <v>368</v>
      </c>
      <c r="AC51" s="227" t="s">
        <v>134</v>
      </c>
      <c r="AD51" s="228">
        <v>0</v>
      </c>
      <c r="AE51" s="229">
        <v>3</v>
      </c>
      <c r="AF51" s="225">
        <v>3</v>
      </c>
      <c r="AG51" s="225" t="s">
        <v>1</v>
      </c>
      <c r="AH51" s="225">
        <v>0</v>
      </c>
      <c r="AI51" s="225">
        <v>0.5</v>
      </c>
      <c r="AJ51" s="225">
        <v>1</v>
      </c>
      <c r="AK51" s="230">
        <v>4.5</v>
      </c>
      <c r="AL51" s="225"/>
    </row>
    <row r="52" spans="1:38" x14ac:dyDescent="0.35">
      <c r="A52" s="219" t="s">
        <v>450</v>
      </c>
      <c r="B52" s="220" t="s">
        <v>164</v>
      </c>
      <c r="C52" s="221" t="s">
        <v>5</v>
      </c>
      <c r="D52" s="222" t="s">
        <v>58</v>
      </c>
      <c r="E52" s="237" t="s">
        <v>451</v>
      </c>
      <c r="F52" s="224" t="s">
        <v>117</v>
      </c>
      <c r="G52" s="224" t="s">
        <v>111</v>
      </c>
      <c r="H52" s="224" t="s">
        <v>117</v>
      </c>
      <c r="I52" s="224" t="s">
        <v>117</v>
      </c>
      <c r="J52" s="224" t="s">
        <v>117</v>
      </c>
      <c r="K52" s="224" t="s">
        <v>117</v>
      </c>
      <c r="L52" s="62" t="s">
        <v>117</v>
      </c>
      <c r="M52" s="62" t="s">
        <v>486</v>
      </c>
      <c r="N52" s="62" t="s">
        <v>111</v>
      </c>
      <c r="O52" s="62" t="s">
        <v>486</v>
      </c>
      <c r="P52" s="62" t="s">
        <v>117</v>
      </c>
      <c r="Q52" s="62" t="s">
        <v>486</v>
      </c>
      <c r="R52" s="62" t="s">
        <v>344</v>
      </c>
      <c r="S52" s="62" t="s">
        <v>117</v>
      </c>
      <c r="T52" s="62" t="s">
        <v>486</v>
      </c>
      <c r="U52" s="62" t="s">
        <v>344</v>
      </c>
      <c r="V52" s="62" t="s">
        <v>117</v>
      </c>
      <c r="W52" s="225" t="s">
        <v>344</v>
      </c>
      <c r="X52" s="225" t="s">
        <v>344</v>
      </c>
      <c r="Y52" s="225" t="s">
        <v>310</v>
      </c>
      <c r="Z52" s="226" t="s">
        <v>345</v>
      </c>
      <c r="AA52" s="58" t="s">
        <v>115</v>
      </c>
      <c r="AB52" s="225" t="s">
        <v>349</v>
      </c>
      <c r="AC52" s="227" t="s">
        <v>134</v>
      </c>
      <c r="AD52" s="228">
        <v>0</v>
      </c>
      <c r="AE52" s="229">
        <v>3</v>
      </c>
      <c r="AF52" s="225">
        <v>3</v>
      </c>
      <c r="AG52" s="225" t="s">
        <v>134</v>
      </c>
      <c r="AH52" s="225">
        <v>0.5</v>
      </c>
      <c r="AI52" s="225">
        <v>0.5</v>
      </c>
      <c r="AJ52" s="225">
        <v>1</v>
      </c>
      <c r="AK52" s="230">
        <v>5</v>
      </c>
      <c r="AL52" s="225"/>
    </row>
    <row r="53" spans="1:38" hidden="1" x14ac:dyDescent="0.35">
      <c r="A53" s="219" t="s">
        <v>452</v>
      </c>
      <c r="B53" s="220" t="s">
        <v>165</v>
      </c>
      <c r="C53" s="221" t="s">
        <v>5</v>
      </c>
      <c r="D53" s="222" t="s">
        <v>27</v>
      </c>
      <c r="E53" s="237" t="s">
        <v>453</v>
      </c>
      <c r="F53" s="224" t="s">
        <v>111</v>
      </c>
      <c r="G53" s="224" t="s">
        <v>111</v>
      </c>
      <c r="H53" s="224" t="s">
        <v>111</v>
      </c>
      <c r="I53" s="224" t="s">
        <v>117</v>
      </c>
      <c r="J53" s="224" t="s">
        <v>111</v>
      </c>
      <c r="K53" s="224" t="s">
        <v>111</v>
      </c>
      <c r="L53" s="62" t="s">
        <v>111</v>
      </c>
      <c r="M53" s="62" t="s">
        <v>486</v>
      </c>
      <c r="N53" s="62" t="s">
        <v>111</v>
      </c>
      <c r="O53" s="62" t="s">
        <v>486</v>
      </c>
      <c r="P53" s="62" t="s">
        <v>111</v>
      </c>
      <c r="Q53" s="62" t="s">
        <v>486</v>
      </c>
      <c r="R53" s="62" t="s">
        <v>344</v>
      </c>
      <c r="S53" s="62" t="s">
        <v>111</v>
      </c>
      <c r="T53" s="62" t="s">
        <v>486</v>
      </c>
      <c r="U53" s="62" t="s">
        <v>344</v>
      </c>
      <c r="V53" s="62" t="s">
        <v>117</v>
      </c>
      <c r="W53" s="225" t="s">
        <v>344</v>
      </c>
      <c r="X53" s="225" t="s">
        <v>344</v>
      </c>
      <c r="Y53" s="225" t="s">
        <v>487</v>
      </c>
      <c r="Z53" s="226" t="s">
        <v>345</v>
      </c>
      <c r="AA53" s="58" t="s">
        <v>108</v>
      </c>
      <c r="AB53" s="225" t="s">
        <v>454</v>
      </c>
      <c r="AC53" s="227" t="s">
        <v>109</v>
      </c>
      <c r="AD53" s="228">
        <v>0</v>
      </c>
      <c r="AE53" s="229">
        <v>1</v>
      </c>
      <c r="AF53" s="225">
        <v>1</v>
      </c>
      <c r="AG53" s="225" t="s">
        <v>1</v>
      </c>
      <c r="AH53" s="225">
        <v>0</v>
      </c>
      <c r="AI53" s="225">
        <v>0.5</v>
      </c>
      <c r="AJ53" s="225">
        <v>1</v>
      </c>
      <c r="AK53" s="230">
        <v>2.5</v>
      </c>
      <c r="AL53" s="225" t="s">
        <v>455</v>
      </c>
    </row>
    <row r="54" spans="1:38" hidden="1" x14ac:dyDescent="0.35">
      <c r="A54" s="219" t="s">
        <v>456</v>
      </c>
      <c r="B54" s="220" t="s">
        <v>166</v>
      </c>
      <c r="C54" s="221" t="s">
        <v>5</v>
      </c>
      <c r="D54" s="238" t="s">
        <v>59</v>
      </c>
      <c r="E54" s="237" t="s">
        <v>457</v>
      </c>
      <c r="F54" s="224" t="s">
        <v>111</v>
      </c>
      <c r="G54" s="233" t="s">
        <v>111</v>
      </c>
      <c r="H54" s="233" t="s">
        <v>111</v>
      </c>
      <c r="I54" s="224" t="s">
        <v>117</v>
      </c>
      <c r="J54" s="224" t="s">
        <v>117</v>
      </c>
      <c r="K54" s="224" t="s">
        <v>111</v>
      </c>
      <c r="L54" s="62" t="s">
        <v>492</v>
      </c>
      <c r="M54" s="62" t="s">
        <v>378</v>
      </c>
      <c r="N54" s="62" t="s">
        <v>492</v>
      </c>
      <c r="O54" s="62" t="s">
        <v>378</v>
      </c>
      <c r="P54" s="62" t="s">
        <v>492</v>
      </c>
      <c r="Q54" s="62" t="s">
        <v>378</v>
      </c>
      <c r="R54" s="62" t="s">
        <v>344</v>
      </c>
      <c r="S54" s="62" t="s">
        <v>492</v>
      </c>
      <c r="T54" s="62" t="s">
        <v>378</v>
      </c>
      <c r="U54" s="62" t="s">
        <v>344</v>
      </c>
      <c r="V54" s="62" t="s">
        <v>117</v>
      </c>
      <c r="W54" s="225" t="s">
        <v>344</v>
      </c>
      <c r="X54" s="225" t="s">
        <v>344</v>
      </c>
      <c r="Y54" s="225" t="s">
        <v>487</v>
      </c>
      <c r="Z54" s="226" t="s">
        <v>378</v>
      </c>
      <c r="AA54" s="58" t="s">
        <v>134</v>
      </c>
      <c r="AB54" s="225" t="s">
        <v>349</v>
      </c>
      <c r="AC54" s="227" t="s">
        <v>109</v>
      </c>
      <c r="AD54" s="229">
        <v>1</v>
      </c>
      <c r="AE54" s="229">
        <v>1</v>
      </c>
      <c r="AF54" s="225">
        <v>1</v>
      </c>
      <c r="AG54" s="225" t="s">
        <v>109</v>
      </c>
      <c r="AH54" s="225">
        <v>0.5</v>
      </c>
      <c r="AI54" s="225">
        <v>0.5</v>
      </c>
      <c r="AJ54" s="225">
        <v>1</v>
      </c>
      <c r="AK54" s="230">
        <v>3</v>
      </c>
      <c r="AL54" s="225"/>
    </row>
    <row r="55" spans="1:38" hidden="1" x14ac:dyDescent="0.35">
      <c r="A55" s="219" t="s">
        <v>458</v>
      </c>
      <c r="B55" s="220" t="s">
        <v>167</v>
      </c>
      <c r="C55" s="221" t="s">
        <v>60</v>
      </c>
      <c r="D55" s="222" t="s">
        <v>6</v>
      </c>
      <c r="E55" s="223" t="s">
        <v>343</v>
      </c>
      <c r="F55" s="224" t="s">
        <v>111</v>
      </c>
      <c r="G55" s="224" t="s">
        <v>111</v>
      </c>
      <c r="H55" s="224" t="s">
        <v>111</v>
      </c>
      <c r="I55" s="224" t="s">
        <v>117</v>
      </c>
      <c r="J55" s="224" t="s">
        <v>117</v>
      </c>
      <c r="K55" s="224" t="s">
        <v>117</v>
      </c>
      <c r="L55" s="62" t="s">
        <v>111</v>
      </c>
      <c r="M55" s="62" t="s">
        <v>486</v>
      </c>
      <c r="N55" s="62" t="s">
        <v>117</v>
      </c>
      <c r="O55" s="62" t="s">
        <v>488</v>
      </c>
      <c r="P55" s="62" t="s">
        <v>111</v>
      </c>
      <c r="Q55" s="62" t="s">
        <v>486</v>
      </c>
      <c r="R55" s="62" t="s">
        <v>344</v>
      </c>
      <c r="S55" s="62" t="s">
        <v>117</v>
      </c>
      <c r="T55" s="62" t="s">
        <v>486</v>
      </c>
      <c r="U55" s="62" t="s">
        <v>344</v>
      </c>
      <c r="V55" s="62" t="s">
        <v>117</v>
      </c>
      <c r="W55" s="225" t="s">
        <v>344</v>
      </c>
      <c r="X55" s="225" t="s">
        <v>344</v>
      </c>
      <c r="Y55" s="225" t="s">
        <v>487</v>
      </c>
      <c r="Z55" s="226" t="s">
        <v>345</v>
      </c>
      <c r="AA55" s="58" t="s">
        <v>108</v>
      </c>
      <c r="AB55" s="225" t="s">
        <v>346</v>
      </c>
      <c r="AC55" s="227" t="s">
        <v>109</v>
      </c>
      <c r="AD55" s="229">
        <v>1</v>
      </c>
      <c r="AE55" s="229">
        <v>1</v>
      </c>
      <c r="AF55" s="225">
        <v>1</v>
      </c>
      <c r="AG55" s="225" t="s">
        <v>1</v>
      </c>
      <c r="AH55" s="225">
        <v>0</v>
      </c>
      <c r="AI55" s="225">
        <v>0.5</v>
      </c>
      <c r="AJ55" s="225">
        <v>1</v>
      </c>
      <c r="AK55" s="230">
        <v>2.5</v>
      </c>
      <c r="AL55" s="225"/>
    </row>
    <row r="56" spans="1:38" hidden="1" x14ac:dyDescent="0.35">
      <c r="A56" s="219" t="s">
        <v>459</v>
      </c>
      <c r="B56" s="220" t="s">
        <v>168</v>
      </c>
      <c r="C56" s="221" t="s">
        <v>60</v>
      </c>
      <c r="D56" s="222" t="s">
        <v>8</v>
      </c>
      <c r="E56" s="223" t="s">
        <v>351</v>
      </c>
      <c r="F56" s="224" t="s">
        <v>111</v>
      </c>
      <c r="G56" s="224" t="s">
        <v>111</v>
      </c>
      <c r="H56" s="224" t="s">
        <v>111</v>
      </c>
      <c r="I56" s="224" t="s">
        <v>117</v>
      </c>
      <c r="J56" s="224" t="s">
        <v>117</v>
      </c>
      <c r="K56" s="224" t="s">
        <v>117</v>
      </c>
      <c r="L56" s="62" t="s">
        <v>111</v>
      </c>
      <c r="M56" s="62" t="s">
        <v>486</v>
      </c>
      <c r="N56" s="62" t="s">
        <v>117</v>
      </c>
      <c r="O56" s="62" t="s">
        <v>488</v>
      </c>
      <c r="P56" s="62" t="s">
        <v>111</v>
      </c>
      <c r="Q56" s="62" t="s">
        <v>486</v>
      </c>
      <c r="R56" s="62" t="s">
        <v>344</v>
      </c>
      <c r="S56" s="62" t="s">
        <v>117</v>
      </c>
      <c r="T56" s="62" t="s">
        <v>486</v>
      </c>
      <c r="U56" s="62" t="s">
        <v>344</v>
      </c>
      <c r="V56" s="62" t="s">
        <v>117</v>
      </c>
      <c r="W56" s="225" t="s">
        <v>344</v>
      </c>
      <c r="X56" s="225" t="s">
        <v>344</v>
      </c>
      <c r="Y56" s="225" t="s">
        <v>487</v>
      </c>
      <c r="Z56" s="226" t="s">
        <v>345</v>
      </c>
      <c r="AA56" s="58" t="s">
        <v>108</v>
      </c>
      <c r="AB56" s="225" t="s">
        <v>352</v>
      </c>
      <c r="AC56" s="227" t="s">
        <v>109</v>
      </c>
      <c r="AD56" s="229">
        <v>1</v>
      </c>
      <c r="AE56" s="229">
        <v>1</v>
      </c>
      <c r="AF56" s="225">
        <v>1</v>
      </c>
      <c r="AG56" s="225" t="s">
        <v>1</v>
      </c>
      <c r="AH56" s="225">
        <v>0</v>
      </c>
      <c r="AI56" s="225">
        <v>0.5</v>
      </c>
      <c r="AJ56" s="225">
        <v>1</v>
      </c>
      <c r="AK56" s="230">
        <v>2.5</v>
      </c>
      <c r="AL56" s="225"/>
    </row>
    <row r="57" spans="1:38" hidden="1" x14ac:dyDescent="0.35">
      <c r="A57" s="219" t="s">
        <v>460</v>
      </c>
      <c r="B57" s="220" t="s">
        <v>169</v>
      </c>
      <c r="C57" s="221" t="s">
        <v>60</v>
      </c>
      <c r="D57" s="222" t="s">
        <v>32</v>
      </c>
      <c r="E57" s="223" t="s">
        <v>354</v>
      </c>
      <c r="F57" s="224" t="s">
        <v>111</v>
      </c>
      <c r="G57" s="224" t="s">
        <v>111</v>
      </c>
      <c r="H57" s="224" t="s">
        <v>111</v>
      </c>
      <c r="I57" s="224" t="s">
        <v>117</v>
      </c>
      <c r="J57" s="224" t="s">
        <v>117</v>
      </c>
      <c r="K57" s="224" t="s">
        <v>117</v>
      </c>
      <c r="L57" s="62" t="s">
        <v>111</v>
      </c>
      <c r="M57" s="62" t="s">
        <v>486</v>
      </c>
      <c r="N57" s="62" t="s">
        <v>117</v>
      </c>
      <c r="O57" s="62" t="s">
        <v>488</v>
      </c>
      <c r="P57" s="62" t="s">
        <v>111</v>
      </c>
      <c r="Q57" s="62" t="s">
        <v>486</v>
      </c>
      <c r="R57" s="62" t="s">
        <v>344</v>
      </c>
      <c r="S57" s="62" t="s">
        <v>117</v>
      </c>
      <c r="T57" s="62" t="s">
        <v>486</v>
      </c>
      <c r="U57" s="62" t="s">
        <v>344</v>
      </c>
      <c r="V57" s="62" t="s">
        <v>117</v>
      </c>
      <c r="W57" s="225" t="s">
        <v>344</v>
      </c>
      <c r="X57" s="225" t="s">
        <v>344</v>
      </c>
      <c r="Y57" s="225" t="s">
        <v>487</v>
      </c>
      <c r="Z57" s="226" t="s">
        <v>345</v>
      </c>
      <c r="AA57" s="58" t="s">
        <v>108</v>
      </c>
      <c r="AB57" s="225" t="s">
        <v>355</v>
      </c>
      <c r="AC57" s="227" t="s">
        <v>109</v>
      </c>
      <c r="AD57" s="229">
        <v>1</v>
      </c>
      <c r="AE57" s="229">
        <v>1</v>
      </c>
      <c r="AF57" s="225">
        <v>1</v>
      </c>
      <c r="AG57" s="225" t="s">
        <v>1</v>
      </c>
      <c r="AH57" s="225">
        <v>0</v>
      </c>
      <c r="AI57" s="225">
        <v>0.5</v>
      </c>
      <c r="AJ57" s="225">
        <v>1</v>
      </c>
      <c r="AK57" s="230">
        <v>2.5</v>
      </c>
      <c r="AL57" s="225"/>
    </row>
    <row r="58" spans="1:38" hidden="1" x14ac:dyDescent="0.35">
      <c r="A58" s="219" t="s">
        <v>461</v>
      </c>
      <c r="B58" s="220" t="s">
        <v>170</v>
      </c>
      <c r="C58" s="221" t="s">
        <v>60</v>
      </c>
      <c r="D58" s="222" t="s">
        <v>61</v>
      </c>
      <c r="E58" s="223" t="s">
        <v>462</v>
      </c>
      <c r="F58" s="224" t="s">
        <v>111</v>
      </c>
      <c r="G58" s="224" t="s">
        <v>111</v>
      </c>
      <c r="H58" s="224" t="s">
        <v>111</v>
      </c>
      <c r="I58" s="224" t="s">
        <v>117</v>
      </c>
      <c r="J58" s="224" t="s">
        <v>117</v>
      </c>
      <c r="K58" s="224" t="s">
        <v>117</v>
      </c>
      <c r="L58" s="62" t="s">
        <v>111</v>
      </c>
      <c r="M58" s="62" t="s">
        <v>486</v>
      </c>
      <c r="N58" s="62" t="s">
        <v>117</v>
      </c>
      <c r="O58" s="62" t="s">
        <v>488</v>
      </c>
      <c r="P58" s="62" t="s">
        <v>111</v>
      </c>
      <c r="Q58" s="62" t="s">
        <v>486</v>
      </c>
      <c r="R58" s="62" t="s">
        <v>344</v>
      </c>
      <c r="S58" s="62" t="s">
        <v>117</v>
      </c>
      <c r="T58" s="62" t="s">
        <v>486</v>
      </c>
      <c r="U58" s="62" t="s">
        <v>344</v>
      </c>
      <c r="V58" s="62" t="s">
        <v>117</v>
      </c>
      <c r="W58" s="225" t="s">
        <v>344</v>
      </c>
      <c r="X58" s="225" t="s">
        <v>344</v>
      </c>
      <c r="Y58" s="225" t="s">
        <v>487</v>
      </c>
      <c r="Z58" s="226" t="s">
        <v>345</v>
      </c>
      <c r="AA58" s="58" t="s">
        <v>108</v>
      </c>
      <c r="AB58" s="225" t="s">
        <v>355</v>
      </c>
      <c r="AC58" s="227" t="s">
        <v>109</v>
      </c>
      <c r="AD58" s="229">
        <v>1</v>
      </c>
      <c r="AE58" s="229">
        <v>1</v>
      </c>
      <c r="AF58" s="225">
        <v>1</v>
      </c>
      <c r="AG58" s="225" t="s">
        <v>1</v>
      </c>
      <c r="AH58" s="225">
        <v>0</v>
      </c>
      <c r="AI58" s="225">
        <v>0.5</v>
      </c>
      <c r="AJ58" s="225">
        <v>1</v>
      </c>
      <c r="AK58" s="230">
        <v>2.5</v>
      </c>
      <c r="AL58" s="225"/>
    </row>
    <row r="59" spans="1:38" hidden="1" x14ac:dyDescent="0.35">
      <c r="A59" s="219" t="s">
        <v>463</v>
      </c>
      <c r="B59" s="220" t="s">
        <v>171</v>
      </c>
      <c r="C59" s="221" t="s">
        <v>60</v>
      </c>
      <c r="D59" s="222" t="s">
        <v>62</v>
      </c>
      <c r="E59" s="223" t="s">
        <v>464</v>
      </c>
      <c r="F59" s="224" t="s">
        <v>117</v>
      </c>
      <c r="G59" s="233" t="s">
        <v>111</v>
      </c>
      <c r="H59" s="224" t="s">
        <v>111</v>
      </c>
      <c r="I59" s="224" t="s">
        <v>117</v>
      </c>
      <c r="J59" s="224" t="s">
        <v>117</v>
      </c>
      <c r="K59" s="224" t="s">
        <v>117</v>
      </c>
      <c r="L59" s="62" t="s">
        <v>492</v>
      </c>
      <c r="M59" s="62" t="s">
        <v>378</v>
      </c>
      <c r="N59" s="62" t="s">
        <v>492</v>
      </c>
      <c r="O59" s="62" t="s">
        <v>378</v>
      </c>
      <c r="P59" s="62" t="s">
        <v>492</v>
      </c>
      <c r="Q59" s="62" t="s">
        <v>378</v>
      </c>
      <c r="R59" s="62" t="s">
        <v>344</v>
      </c>
      <c r="S59" s="62" t="s">
        <v>492</v>
      </c>
      <c r="T59" s="62" t="s">
        <v>378</v>
      </c>
      <c r="U59" s="62" t="s">
        <v>344</v>
      </c>
      <c r="V59" s="62" t="s">
        <v>117</v>
      </c>
      <c r="W59" s="225" t="s">
        <v>344</v>
      </c>
      <c r="X59" s="225" t="s">
        <v>344</v>
      </c>
      <c r="Y59" s="225" t="s">
        <v>491</v>
      </c>
      <c r="Z59" s="226" t="s">
        <v>378</v>
      </c>
      <c r="AA59" s="58" t="s">
        <v>115</v>
      </c>
      <c r="AB59" s="225" t="s">
        <v>349</v>
      </c>
      <c r="AC59" s="227" t="s">
        <v>109</v>
      </c>
      <c r="AD59" s="228">
        <v>0</v>
      </c>
      <c r="AE59" s="229">
        <v>1</v>
      </c>
      <c r="AF59" s="225">
        <v>1</v>
      </c>
      <c r="AG59" s="225" t="s">
        <v>109</v>
      </c>
      <c r="AH59" s="225">
        <v>0.5</v>
      </c>
      <c r="AI59" s="225">
        <v>0.5</v>
      </c>
      <c r="AJ59" s="225">
        <v>1</v>
      </c>
      <c r="AK59" s="230">
        <v>3</v>
      </c>
      <c r="AL59" s="225"/>
    </row>
    <row r="60" spans="1:38" hidden="1" x14ac:dyDescent="0.35">
      <c r="A60" s="219" t="s">
        <v>465</v>
      </c>
      <c r="B60" s="220" t="s">
        <v>172</v>
      </c>
      <c r="C60" s="221" t="s">
        <v>63</v>
      </c>
      <c r="D60" s="222" t="s">
        <v>6</v>
      </c>
      <c r="E60" s="223" t="s">
        <v>343</v>
      </c>
      <c r="F60" s="224" t="s">
        <v>111</v>
      </c>
      <c r="G60" s="224" t="s">
        <v>111</v>
      </c>
      <c r="H60" s="224" t="s">
        <v>111</v>
      </c>
      <c r="I60" s="224" t="s">
        <v>117</v>
      </c>
      <c r="J60" s="224" t="s">
        <v>111</v>
      </c>
      <c r="K60" s="224" t="s">
        <v>117</v>
      </c>
      <c r="L60" s="62" t="s">
        <v>111</v>
      </c>
      <c r="M60" s="62" t="s">
        <v>486</v>
      </c>
      <c r="N60" s="62" t="s">
        <v>117</v>
      </c>
      <c r="O60" s="62" t="s">
        <v>488</v>
      </c>
      <c r="P60" s="62" t="s">
        <v>111</v>
      </c>
      <c r="Q60" s="62" t="s">
        <v>486</v>
      </c>
      <c r="R60" s="62" t="s">
        <v>344</v>
      </c>
      <c r="S60" s="62" t="s">
        <v>111</v>
      </c>
      <c r="T60" s="62" t="s">
        <v>486</v>
      </c>
      <c r="U60" s="62" t="s">
        <v>344</v>
      </c>
      <c r="V60" s="62" t="s">
        <v>117</v>
      </c>
      <c r="W60" s="225" t="s">
        <v>344</v>
      </c>
      <c r="X60" s="225" t="s">
        <v>344</v>
      </c>
      <c r="Y60" s="225" t="s">
        <v>487</v>
      </c>
      <c r="Z60" s="226" t="s">
        <v>345</v>
      </c>
      <c r="AA60" s="58" t="s">
        <v>108</v>
      </c>
      <c r="AB60" s="225" t="s">
        <v>346</v>
      </c>
      <c r="AC60" s="227" t="s">
        <v>109</v>
      </c>
      <c r="AD60" s="229">
        <v>1</v>
      </c>
      <c r="AE60" s="229">
        <v>1</v>
      </c>
      <c r="AF60" s="225">
        <v>1</v>
      </c>
      <c r="AG60" s="225" t="s">
        <v>1</v>
      </c>
      <c r="AH60" s="225">
        <v>0</v>
      </c>
      <c r="AI60" s="225">
        <v>0.5</v>
      </c>
      <c r="AJ60" s="225">
        <v>1</v>
      </c>
      <c r="AK60" s="230">
        <v>2.5</v>
      </c>
      <c r="AL60" s="225"/>
    </row>
    <row r="61" spans="1:38" hidden="1" x14ac:dyDescent="0.35">
      <c r="A61" s="219" t="s">
        <v>466</v>
      </c>
      <c r="B61" s="220" t="s">
        <v>173</v>
      </c>
      <c r="C61" s="221" t="s">
        <v>63</v>
      </c>
      <c r="D61" s="222" t="s">
        <v>8</v>
      </c>
      <c r="E61" s="223" t="s">
        <v>351</v>
      </c>
      <c r="F61" s="224" t="s">
        <v>111</v>
      </c>
      <c r="G61" s="224" t="s">
        <v>111</v>
      </c>
      <c r="H61" s="224" t="s">
        <v>111</v>
      </c>
      <c r="I61" s="224" t="s">
        <v>117</v>
      </c>
      <c r="J61" s="224" t="s">
        <v>111</v>
      </c>
      <c r="K61" s="224" t="s">
        <v>117</v>
      </c>
      <c r="L61" s="62" t="s">
        <v>111</v>
      </c>
      <c r="M61" s="62" t="s">
        <v>486</v>
      </c>
      <c r="N61" s="62" t="s">
        <v>117</v>
      </c>
      <c r="O61" s="62" t="s">
        <v>488</v>
      </c>
      <c r="P61" s="62" t="s">
        <v>111</v>
      </c>
      <c r="Q61" s="62" t="s">
        <v>486</v>
      </c>
      <c r="R61" s="62" t="s">
        <v>344</v>
      </c>
      <c r="S61" s="62" t="s">
        <v>111</v>
      </c>
      <c r="T61" s="62" t="s">
        <v>486</v>
      </c>
      <c r="U61" s="62" t="s">
        <v>344</v>
      </c>
      <c r="V61" s="62" t="s">
        <v>117</v>
      </c>
      <c r="W61" s="225" t="s">
        <v>344</v>
      </c>
      <c r="X61" s="225" t="s">
        <v>344</v>
      </c>
      <c r="Y61" s="225" t="s">
        <v>487</v>
      </c>
      <c r="Z61" s="226" t="s">
        <v>345</v>
      </c>
      <c r="AA61" s="58" t="s">
        <v>108</v>
      </c>
      <c r="AB61" s="225" t="s">
        <v>352</v>
      </c>
      <c r="AC61" s="227" t="s">
        <v>109</v>
      </c>
      <c r="AD61" s="229">
        <v>1</v>
      </c>
      <c r="AE61" s="229">
        <v>1</v>
      </c>
      <c r="AF61" s="225">
        <v>1</v>
      </c>
      <c r="AG61" s="225" t="s">
        <v>1</v>
      </c>
      <c r="AH61" s="225">
        <v>0</v>
      </c>
      <c r="AI61" s="225">
        <v>0.5</v>
      </c>
      <c r="AJ61" s="225">
        <v>1</v>
      </c>
      <c r="AK61" s="230">
        <v>2.5</v>
      </c>
      <c r="AL61" s="225"/>
    </row>
    <row r="62" spans="1:38" hidden="1" x14ac:dyDescent="0.35">
      <c r="A62" s="219" t="s">
        <v>467</v>
      </c>
      <c r="B62" s="220" t="s">
        <v>174</v>
      </c>
      <c r="C62" s="221" t="s">
        <v>63</v>
      </c>
      <c r="D62" s="222" t="s">
        <v>61</v>
      </c>
      <c r="E62" s="223" t="s">
        <v>462</v>
      </c>
      <c r="F62" s="224" t="s">
        <v>111</v>
      </c>
      <c r="G62" s="224" t="s">
        <v>111</v>
      </c>
      <c r="H62" s="224" t="s">
        <v>111</v>
      </c>
      <c r="I62" s="224" t="s">
        <v>117</v>
      </c>
      <c r="J62" s="224" t="s">
        <v>111</v>
      </c>
      <c r="K62" s="224" t="s">
        <v>117</v>
      </c>
      <c r="L62" s="62" t="s">
        <v>111</v>
      </c>
      <c r="M62" s="62" t="s">
        <v>486</v>
      </c>
      <c r="N62" s="62" t="s">
        <v>117</v>
      </c>
      <c r="O62" s="62" t="s">
        <v>488</v>
      </c>
      <c r="P62" s="62" t="s">
        <v>111</v>
      </c>
      <c r="Q62" s="62" t="s">
        <v>486</v>
      </c>
      <c r="R62" s="62" t="s">
        <v>344</v>
      </c>
      <c r="S62" s="62" t="s">
        <v>111</v>
      </c>
      <c r="T62" s="62" t="s">
        <v>486</v>
      </c>
      <c r="U62" s="62" t="s">
        <v>344</v>
      </c>
      <c r="V62" s="62" t="s">
        <v>117</v>
      </c>
      <c r="W62" s="225" t="s">
        <v>344</v>
      </c>
      <c r="X62" s="225" t="s">
        <v>344</v>
      </c>
      <c r="Y62" s="225" t="s">
        <v>487</v>
      </c>
      <c r="Z62" s="226" t="s">
        <v>345</v>
      </c>
      <c r="AA62" s="58" t="s">
        <v>108</v>
      </c>
      <c r="AB62" s="225" t="s">
        <v>355</v>
      </c>
      <c r="AC62" s="227" t="s">
        <v>109</v>
      </c>
      <c r="AD62" s="229">
        <v>1</v>
      </c>
      <c r="AE62" s="229">
        <v>1</v>
      </c>
      <c r="AF62" s="225">
        <v>1</v>
      </c>
      <c r="AG62" s="225" t="s">
        <v>1</v>
      </c>
      <c r="AH62" s="225">
        <v>0</v>
      </c>
      <c r="AI62" s="225">
        <v>0.5</v>
      </c>
      <c r="AJ62" s="225">
        <v>1</v>
      </c>
      <c r="AK62" s="230">
        <v>2.5</v>
      </c>
      <c r="AL62" s="225"/>
    </row>
    <row r="63" spans="1:38" hidden="1" x14ac:dyDescent="0.35">
      <c r="A63" s="219" t="s">
        <v>468</v>
      </c>
      <c r="B63" s="220" t="s">
        <v>175</v>
      </c>
      <c r="C63" s="221" t="s">
        <v>63</v>
      </c>
      <c r="D63" s="231" t="s">
        <v>64</v>
      </c>
      <c r="E63" s="232" t="s">
        <v>469</v>
      </c>
      <c r="F63" s="224" t="s">
        <v>111</v>
      </c>
      <c r="G63" s="233" t="s">
        <v>111</v>
      </c>
      <c r="H63" s="224" t="s">
        <v>111</v>
      </c>
      <c r="I63" s="224" t="s">
        <v>117</v>
      </c>
      <c r="J63" s="224" t="s">
        <v>111</v>
      </c>
      <c r="K63" s="224" t="s">
        <v>117</v>
      </c>
      <c r="L63" s="62" t="s">
        <v>111</v>
      </c>
      <c r="M63" s="62" t="s">
        <v>486</v>
      </c>
      <c r="N63" s="62" t="s">
        <v>117</v>
      </c>
      <c r="O63" s="62" t="s">
        <v>488</v>
      </c>
      <c r="P63" s="62" t="s">
        <v>111</v>
      </c>
      <c r="Q63" s="62" t="s">
        <v>486</v>
      </c>
      <c r="R63" s="62" t="s">
        <v>344</v>
      </c>
      <c r="S63" s="62" t="s">
        <v>111</v>
      </c>
      <c r="T63" s="62" t="s">
        <v>486</v>
      </c>
      <c r="U63" s="62" t="s">
        <v>344</v>
      </c>
      <c r="V63" s="62" t="s">
        <v>117</v>
      </c>
      <c r="W63" s="225" t="s">
        <v>344</v>
      </c>
      <c r="X63" s="225" t="s">
        <v>344</v>
      </c>
      <c r="Y63" s="225" t="s">
        <v>487</v>
      </c>
      <c r="Z63" s="226" t="s">
        <v>345</v>
      </c>
      <c r="AA63" s="58" t="s">
        <v>108</v>
      </c>
      <c r="AB63" s="225" t="s">
        <v>349</v>
      </c>
      <c r="AC63" s="227" t="s">
        <v>109</v>
      </c>
      <c r="AD63" s="229">
        <v>1</v>
      </c>
      <c r="AE63" s="229">
        <v>1</v>
      </c>
      <c r="AF63" s="225">
        <v>1</v>
      </c>
      <c r="AG63" s="225" t="s">
        <v>109</v>
      </c>
      <c r="AH63" s="225">
        <v>0.5</v>
      </c>
      <c r="AI63" s="225">
        <v>0.5</v>
      </c>
      <c r="AJ63" s="225">
        <v>1</v>
      </c>
      <c r="AK63" s="230">
        <v>3</v>
      </c>
      <c r="AL63" s="225"/>
    </row>
    <row r="64" spans="1:38" hidden="1" x14ac:dyDescent="0.35">
      <c r="A64" s="219" t="s">
        <v>470</v>
      </c>
      <c r="B64" s="220" t="s">
        <v>176</v>
      </c>
      <c r="C64" s="221" t="s">
        <v>63</v>
      </c>
      <c r="D64" s="222" t="s">
        <v>65</v>
      </c>
      <c r="E64" s="223" t="s">
        <v>471</v>
      </c>
      <c r="F64" s="224" t="s">
        <v>111</v>
      </c>
      <c r="G64" s="233" t="s">
        <v>111</v>
      </c>
      <c r="H64" s="224" t="s">
        <v>111</v>
      </c>
      <c r="I64" s="224" t="s">
        <v>117</v>
      </c>
      <c r="J64" s="224" t="s">
        <v>117</v>
      </c>
      <c r="K64" s="224" t="s">
        <v>117</v>
      </c>
      <c r="L64" s="62" t="s">
        <v>111</v>
      </c>
      <c r="M64" s="62" t="s">
        <v>486</v>
      </c>
      <c r="N64" s="62" t="s">
        <v>117</v>
      </c>
      <c r="O64" s="62" t="s">
        <v>488</v>
      </c>
      <c r="P64" s="62" t="s">
        <v>111</v>
      </c>
      <c r="Q64" s="62" t="s">
        <v>486</v>
      </c>
      <c r="R64" s="62" t="s">
        <v>344</v>
      </c>
      <c r="S64" s="62" t="s">
        <v>117</v>
      </c>
      <c r="T64" s="62" t="s">
        <v>486</v>
      </c>
      <c r="U64" s="62" t="s">
        <v>344</v>
      </c>
      <c r="V64" s="62" t="s">
        <v>117</v>
      </c>
      <c r="W64" s="225" t="s">
        <v>344</v>
      </c>
      <c r="X64" s="225" t="s">
        <v>344</v>
      </c>
      <c r="Y64" s="225" t="s">
        <v>487</v>
      </c>
      <c r="Z64" s="226" t="s">
        <v>345</v>
      </c>
      <c r="AA64" s="58" t="s">
        <v>108</v>
      </c>
      <c r="AB64" s="225" t="s">
        <v>368</v>
      </c>
      <c r="AC64" s="227" t="s">
        <v>109</v>
      </c>
      <c r="AD64" s="229">
        <v>1</v>
      </c>
      <c r="AE64" s="229">
        <v>1</v>
      </c>
      <c r="AF64" s="225">
        <v>1</v>
      </c>
      <c r="AG64" s="225" t="s">
        <v>1</v>
      </c>
      <c r="AH64" s="225">
        <v>0</v>
      </c>
      <c r="AI64" s="225">
        <v>0.5</v>
      </c>
      <c r="AJ64" s="225">
        <v>1</v>
      </c>
      <c r="AK64" s="230">
        <v>2.5</v>
      </c>
      <c r="AL64" s="225"/>
    </row>
    <row r="65" spans="1:38" hidden="1" x14ac:dyDescent="0.35">
      <c r="A65" s="219" t="s">
        <v>472</v>
      </c>
      <c r="B65" s="220" t="s">
        <v>177</v>
      </c>
      <c r="C65" s="221" t="s">
        <v>63</v>
      </c>
      <c r="D65" s="239" t="s">
        <v>66</v>
      </c>
      <c r="E65" s="240" t="s">
        <v>473</v>
      </c>
      <c r="F65" s="241" t="s">
        <v>117</v>
      </c>
      <c r="G65" s="241" t="s">
        <v>111</v>
      </c>
      <c r="H65" s="241" t="s">
        <v>117</v>
      </c>
      <c r="I65" s="224" t="s">
        <v>117</v>
      </c>
      <c r="J65" s="241" t="s">
        <v>117</v>
      </c>
      <c r="K65" s="224" t="s">
        <v>117</v>
      </c>
      <c r="L65" s="62" t="s">
        <v>492</v>
      </c>
      <c r="M65" s="62" t="s">
        <v>378</v>
      </c>
      <c r="N65" s="62" t="s">
        <v>492</v>
      </c>
      <c r="O65" s="62" t="s">
        <v>378</v>
      </c>
      <c r="P65" s="62" t="s">
        <v>492</v>
      </c>
      <c r="Q65" s="62" t="s">
        <v>378</v>
      </c>
      <c r="R65" s="62" t="s">
        <v>344</v>
      </c>
      <c r="S65" s="62" t="s">
        <v>492</v>
      </c>
      <c r="T65" s="62" t="s">
        <v>378</v>
      </c>
      <c r="U65" s="62" t="s">
        <v>344</v>
      </c>
      <c r="V65" s="62" t="s">
        <v>117</v>
      </c>
      <c r="W65" s="225" t="s">
        <v>344</v>
      </c>
      <c r="X65" s="225" t="s">
        <v>344</v>
      </c>
      <c r="Y65" s="225" t="s">
        <v>310</v>
      </c>
      <c r="Z65" s="226" t="s">
        <v>378</v>
      </c>
      <c r="AA65" s="58" t="s">
        <v>115</v>
      </c>
      <c r="AB65" s="225" t="s">
        <v>395</v>
      </c>
      <c r="AC65" s="227" t="s">
        <v>108</v>
      </c>
      <c r="AD65" s="229">
        <v>2</v>
      </c>
      <c r="AE65" s="229">
        <v>1.5</v>
      </c>
      <c r="AF65" s="225">
        <v>1.5</v>
      </c>
      <c r="AG65" s="225" t="s">
        <v>108</v>
      </c>
      <c r="AH65" s="225">
        <v>0.5</v>
      </c>
      <c r="AI65" s="225">
        <v>0.5</v>
      </c>
      <c r="AJ65" s="225">
        <v>1</v>
      </c>
      <c r="AK65" s="230">
        <v>3.5</v>
      </c>
      <c r="AL65" s="225"/>
    </row>
    <row r="66" spans="1:38" hidden="1" x14ac:dyDescent="0.35">
      <c r="A66" s="219" t="s">
        <v>474</v>
      </c>
      <c r="B66" s="220" t="s">
        <v>178</v>
      </c>
      <c r="C66" s="221" t="s">
        <v>67</v>
      </c>
      <c r="D66" s="239" t="s">
        <v>6</v>
      </c>
      <c r="E66" s="223" t="s">
        <v>343</v>
      </c>
      <c r="F66" s="241" t="s">
        <v>117</v>
      </c>
      <c r="G66" s="241" t="s">
        <v>111</v>
      </c>
      <c r="H66" s="241" t="s">
        <v>111</v>
      </c>
      <c r="I66" s="224" t="s">
        <v>117</v>
      </c>
      <c r="J66" s="224" t="s">
        <v>117</v>
      </c>
      <c r="K66" s="224" t="s">
        <v>117</v>
      </c>
      <c r="L66" s="62" t="s">
        <v>492</v>
      </c>
      <c r="M66" s="62" t="s">
        <v>378</v>
      </c>
      <c r="N66" s="62" t="s">
        <v>492</v>
      </c>
      <c r="O66" s="62" t="s">
        <v>378</v>
      </c>
      <c r="P66" s="62" t="s">
        <v>492</v>
      </c>
      <c r="Q66" s="62" t="s">
        <v>378</v>
      </c>
      <c r="R66" s="62" t="s">
        <v>344</v>
      </c>
      <c r="S66" s="62" t="s">
        <v>492</v>
      </c>
      <c r="T66" s="62" t="s">
        <v>378</v>
      </c>
      <c r="U66" s="62" t="s">
        <v>344</v>
      </c>
      <c r="V66" s="62" t="s">
        <v>117</v>
      </c>
      <c r="W66" s="225" t="s">
        <v>344</v>
      </c>
      <c r="X66" s="225" t="s">
        <v>344</v>
      </c>
      <c r="Y66" s="225" t="s">
        <v>491</v>
      </c>
      <c r="Z66" s="226" t="s">
        <v>475</v>
      </c>
      <c r="AA66" s="58" t="s">
        <v>134</v>
      </c>
      <c r="AB66" s="225" t="s">
        <v>346</v>
      </c>
      <c r="AC66" s="227" t="s">
        <v>109</v>
      </c>
      <c r="AD66" s="228">
        <v>0</v>
      </c>
      <c r="AE66" s="229">
        <v>1</v>
      </c>
      <c r="AF66" s="225">
        <v>1</v>
      </c>
      <c r="AG66" s="225" t="s">
        <v>1</v>
      </c>
      <c r="AH66" s="225">
        <v>0</v>
      </c>
      <c r="AI66" s="225">
        <v>0.5</v>
      </c>
      <c r="AJ66" s="225">
        <v>1</v>
      </c>
      <c r="AK66" s="230">
        <v>2.5</v>
      </c>
      <c r="AL66" s="225"/>
    </row>
    <row r="67" spans="1:38" hidden="1" x14ac:dyDescent="0.35">
      <c r="A67" s="219" t="s">
        <v>476</v>
      </c>
      <c r="B67" s="220" t="s">
        <v>179</v>
      </c>
      <c r="C67" s="221" t="s">
        <v>67</v>
      </c>
      <c r="D67" s="239" t="s">
        <v>8</v>
      </c>
      <c r="E67" s="223" t="s">
        <v>351</v>
      </c>
      <c r="F67" s="224" t="s">
        <v>117</v>
      </c>
      <c r="G67" s="224" t="s">
        <v>111</v>
      </c>
      <c r="H67" s="224" t="s">
        <v>111</v>
      </c>
      <c r="I67" s="224" t="s">
        <v>117</v>
      </c>
      <c r="J67" s="224" t="s">
        <v>117</v>
      </c>
      <c r="K67" s="224" t="s">
        <v>117</v>
      </c>
      <c r="L67" s="62" t="s">
        <v>492</v>
      </c>
      <c r="M67" s="62" t="s">
        <v>378</v>
      </c>
      <c r="N67" s="62" t="s">
        <v>492</v>
      </c>
      <c r="O67" s="62" t="s">
        <v>378</v>
      </c>
      <c r="P67" s="62" t="s">
        <v>492</v>
      </c>
      <c r="Q67" s="62" t="s">
        <v>378</v>
      </c>
      <c r="R67" s="62" t="s">
        <v>344</v>
      </c>
      <c r="S67" s="62" t="s">
        <v>492</v>
      </c>
      <c r="T67" s="62" t="s">
        <v>378</v>
      </c>
      <c r="U67" s="62" t="s">
        <v>344</v>
      </c>
      <c r="V67" s="62" t="s">
        <v>117</v>
      </c>
      <c r="W67" s="225" t="s">
        <v>344</v>
      </c>
      <c r="X67" s="225" t="s">
        <v>344</v>
      </c>
      <c r="Y67" s="225" t="s">
        <v>491</v>
      </c>
      <c r="Z67" s="226" t="s">
        <v>475</v>
      </c>
      <c r="AA67" s="58" t="s">
        <v>108</v>
      </c>
      <c r="AB67" s="225" t="s">
        <v>352</v>
      </c>
      <c r="AC67" s="227" t="s">
        <v>109</v>
      </c>
      <c r="AD67" s="228">
        <v>0</v>
      </c>
      <c r="AE67" s="229">
        <v>1</v>
      </c>
      <c r="AF67" s="225">
        <v>1</v>
      </c>
      <c r="AG67" s="225" t="s">
        <v>1</v>
      </c>
      <c r="AH67" s="225">
        <v>0</v>
      </c>
      <c r="AI67" s="225">
        <v>0.5</v>
      </c>
      <c r="AJ67" s="225">
        <v>1</v>
      </c>
      <c r="AK67" s="230">
        <v>2.5</v>
      </c>
      <c r="AL67" s="225"/>
    </row>
    <row r="68" spans="1:38" hidden="1" x14ac:dyDescent="0.35">
      <c r="A68" s="219" t="s">
        <v>477</v>
      </c>
      <c r="B68" s="220" t="s">
        <v>180</v>
      </c>
      <c r="C68" s="221" t="s">
        <v>67</v>
      </c>
      <c r="D68" s="239" t="s">
        <v>32</v>
      </c>
      <c r="E68" s="223" t="s">
        <v>354</v>
      </c>
      <c r="F68" s="224" t="s">
        <v>117</v>
      </c>
      <c r="G68" s="224" t="s">
        <v>111</v>
      </c>
      <c r="H68" s="224" t="s">
        <v>111</v>
      </c>
      <c r="I68" s="224" t="s">
        <v>117</v>
      </c>
      <c r="J68" s="224" t="s">
        <v>117</v>
      </c>
      <c r="K68" s="224" t="s">
        <v>117</v>
      </c>
      <c r="L68" s="62" t="s">
        <v>492</v>
      </c>
      <c r="M68" s="62" t="s">
        <v>378</v>
      </c>
      <c r="N68" s="62" t="s">
        <v>492</v>
      </c>
      <c r="O68" s="62" t="s">
        <v>378</v>
      </c>
      <c r="P68" s="62" t="s">
        <v>492</v>
      </c>
      <c r="Q68" s="62" t="s">
        <v>378</v>
      </c>
      <c r="R68" s="62" t="s">
        <v>344</v>
      </c>
      <c r="S68" s="62" t="s">
        <v>492</v>
      </c>
      <c r="T68" s="62" t="s">
        <v>378</v>
      </c>
      <c r="U68" s="62" t="s">
        <v>344</v>
      </c>
      <c r="V68" s="62" t="s">
        <v>117</v>
      </c>
      <c r="W68" s="225" t="s">
        <v>344</v>
      </c>
      <c r="X68" s="225" t="s">
        <v>344</v>
      </c>
      <c r="Y68" s="225" t="s">
        <v>491</v>
      </c>
      <c r="Z68" s="226" t="s">
        <v>475</v>
      </c>
      <c r="AA68" s="58" t="s">
        <v>134</v>
      </c>
      <c r="AB68" s="225" t="s">
        <v>355</v>
      </c>
      <c r="AC68" s="227" t="s">
        <v>109</v>
      </c>
      <c r="AD68" s="228">
        <v>0</v>
      </c>
      <c r="AE68" s="229">
        <v>1</v>
      </c>
      <c r="AF68" s="225">
        <v>1</v>
      </c>
      <c r="AG68" s="225" t="s">
        <v>1</v>
      </c>
      <c r="AH68" s="225">
        <v>0</v>
      </c>
      <c r="AI68" s="225">
        <v>0.5</v>
      </c>
      <c r="AJ68" s="225">
        <v>1</v>
      </c>
      <c r="AK68" s="230">
        <v>2.5</v>
      </c>
      <c r="AL68" s="225"/>
    </row>
    <row r="69" spans="1:38" hidden="1" x14ac:dyDescent="0.35">
      <c r="A69" s="219" t="s">
        <v>478</v>
      </c>
      <c r="B69" s="220" t="s">
        <v>181</v>
      </c>
      <c r="C69" s="221" t="s">
        <v>67</v>
      </c>
      <c r="D69" s="239" t="s">
        <v>68</v>
      </c>
      <c r="E69" s="223" t="s">
        <v>479</v>
      </c>
      <c r="F69" s="224" t="s">
        <v>117</v>
      </c>
      <c r="G69" s="224" t="s">
        <v>111</v>
      </c>
      <c r="H69" s="224" t="s">
        <v>111</v>
      </c>
      <c r="I69" s="224" t="s">
        <v>117</v>
      </c>
      <c r="J69" s="224" t="s">
        <v>117</v>
      </c>
      <c r="K69" s="224" t="s">
        <v>117</v>
      </c>
      <c r="L69" s="62" t="s">
        <v>492</v>
      </c>
      <c r="M69" s="62" t="s">
        <v>378</v>
      </c>
      <c r="N69" s="62" t="s">
        <v>492</v>
      </c>
      <c r="O69" s="62" t="s">
        <v>378</v>
      </c>
      <c r="P69" s="62" t="s">
        <v>492</v>
      </c>
      <c r="Q69" s="62" t="s">
        <v>378</v>
      </c>
      <c r="R69" s="62" t="s">
        <v>344</v>
      </c>
      <c r="S69" s="62" t="s">
        <v>492</v>
      </c>
      <c r="T69" s="62" t="s">
        <v>378</v>
      </c>
      <c r="U69" s="62" t="s">
        <v>344</v>
      </c>
      <c r="V69" s="62" t="s">
        <v>117</v>
      </c>
      <c r="W69" s="225" t="s">
        <v>344</v>
      </c>
      <c r="X69" s="225" t="s">
        <v>344</v>
      </c>
      <c r="Y69" s="225" t="s">
        <v>491</v>
      </c>
      <c r="Z69" s="226" t="s">
        <v>480</v>
      </c>
      <c r="AA69" s="58" t="s">
        <v>115</v>
      </c>
      <c r="AB69" s="225" t="s">
        <v>349</v>
      </c>
      <c r="AC69" s="227" t="s">
        <v>108</v>
      </c>
      <c r="AD69" s="228">
        <v>0</v>
      </c>
      <c r="AE69" s="229">
        <v>1.5</v>
      </c>
      <c r="AF69" s="225">
        <v>1.5</v>
      </c>
      <c r="AG69" s="225" t="s">
        <v>108</v>
      </c>
      <c r="AH69" s="225">
        <v>0.5</v>
      </c>
      <c r="AI69" s="225">
        <v>0.5</v>
      </c>
      <c r="AJ69" s="225">
        <v>1</v>
      </c>
      <c r="AK69" s="230">
        <v>3.5</v>
      </c>
      <c r="AL69" s="225"/>
    </row>
    <row r="70" spans="1:38" hidden="1" x14ac:dyDescent="0.35">
      <c r="A70" s="219" t="s">
        <v>481</v>
      </c>
      <c r="B70" s="220" t="s">
        <v>182</v>
      </c>
      <c r="C70" s="221" t="s">
        <v>67</v>
      </c>
      <c r="D70" s="239" t="s">
        <v>69</v>
      </c>
      <c r="E70" s="225" t="s">
        <v>482</v>
      </c>
      <c r="F70" s="241" t="s">
        <v>111</v>
      </c>
      <c r="G70" s="224" t="s">
        <v>111</v>
      </c>
      <c r="H70" s="224" t="s">
        <v>111</v>
      </c>
      <c r="I70" s="224" t="s">
        <v>117</v>
      </c>
      <c r="J70" s="224" t="s">
        <v>117</v>
      </c>
      <c r="K70" s="224" t="s">
        <v>117</v>
      </c>
      <c r="L70" s="62" t="s">
        <v>492</v>
      </c>
      <c r="M70" s="62" t="s">
        <v>378</v>
      </c>
      <c r="N70" s="62" t="s">
        <v>492</v>
      </c>
      <c r="O70" s="62" t="s">
        <v>378</v>
      </c>
      <c r="P70" s="62" t="s">
        <v>492</v>
      </c>
      <c r="Q70" s="62" t="s">
        <v>378</v>
      </c>
      <c r="R70" s="62" t="s">
        <v>344</v>
      </c>
      <c r="S70" s="62" t="s">
        <v>492</v>
      </c>
      <c r="T70" s="62" t="s">
        <v>378</v>
      </c>
      <c r="U70" s="62" t="s">
        <v>344</v>
      </c>
      <c r="V70" s="62" t="s">
        <v>117</v>
      </c>
      <c r="W70" s="225" t="s">
        <v>344</v>
      </c>
      <c r="X70" s="225" t="s">
        <v>344</v>
      </c>
      <c r="Y70" s="225" t="s">
        <v>487</v>
      </c>
      <c r="Z70" s="226" t="s">
        <v>475</v>
      </c>
      <c r="AA70" s="58" t="s">
        <v>108</v>
      </c>
      <c r="AB70" s="225" t="s">
        <v>375</v>
      </c>
      <c r="AC70" s="227" t="s">
        <v>109</v>
      </c>
      <c r="AD70" s="229">
        <v>1</v>
      </c>
      <c r="AE70" s="229">
        <v>1</v>
      </c>
      <c r="AF70" s="225">
        <v>1</v>
      </c>
      <c r="AG70" s="225" t="s">
        <v>1</v>
      </c>
      <c r="AH70" s="225">
        <v>0</v>
      </c>
      <c r="AI70" s="225">
        <v>0.5</v>
      </c>
      <c r="AJ70" s="225">
        <v>1</v>
      </c>
      <c r="AK70" s="230">
        <v>2.5</v>
      </c>
      <c r="AL70" s="225" t="s">
        <v>483</v>
      </c>
    </row>
    <row r="71" spans="1:38" hidden="1" x14ac:dyDescent="0.35">
      <c r="A71" s="219" t="s">
        <v>484</v>
      </c>
      <c r="B71" s="220" t="s">
        <v>183</v>
      </c>
      <c r="C71" s="221" t="s">
        <v>67</v>
      </c>
      <c r="D71" s="239" t="s">
        <v>70</v>
      </c>
      <c r="E71" s="223" t="s">
        <v>485</v>
      </c>
      <c r="F71" s="224" t="s">
        <v>117</v>
      </c>
      <c r="G71" s="224" t="s">
        <v>111</v>
      </c>
      <c r="H71" s="224" t="s">
        <v>111</v>
      </c>
      <c r="I71" s="224" t="s">
        <v>117</v>
      </c>
      <c r="J71" s="224" t="s">
        <v>117</v>
      </c>
      <c r="K71" s="224" t="s">
        <v>117</v>
      </c>
      <c r="L71" s="62" t="s">
        <v>492</v>
      </c>
      <c r="M71" s="62" t="s">
        <v>378</v>
      </c>
      <c r="N71" s="62" t="s">
        <v>492</v>
      </c>
      <c r="O71" s="62" t="s">
        <v>378</v>
      </c>
      <c r="P71" s="62" t="s">
        <v>492</v>
      </c>
      <c r="Q71" s="62" t="s">
        <v>378</v>
      </c>
      <c r="R71" s="62" t="s">
        <v>344</v>
      </c>
      <c r="S71" s="62" t="s">
        <v>492</v>
      </c>
      <c r="T71" s="62" t="s">
        <v>378</v>
      </c>
      <c r="U71" s="62" t="s">
        <v>344</v>
      </c>
      <c r="V71" s="62" t="s">
        <v>117</v>
      </c>
      <c r="W71" s="225" t="s">
        <v>344</v>
      </c>
      <c r="X71" s="225" t="s">
        <v>344</v>
      </c>
      <c r="Y71" s="225" t="s">
        <v>491</v>
      </c>
      <c r="Z71" s="226" t="s">
        <v>480</v>
      </c>
      <c r="AA71" s="58" t="s">
        <v>115</v>
      </c>
      <c r="AB71" s="225" t="s">
        <v>349</v>
      </c>
      <c r="AC71" s="227" t="s">
        <v>108</v>
      </c>
      <c r="AD71" s="228">
        <v>0</v>
      </c>
      <c r="AE71" s="229">
        <v>1.5</v>
      </c>
      <c r="AF71" s="225">
        <v>1.5</v>
      </c>
      <c r="AG71" s="225" t="s">
        <v>108</v>
      </c>
      <c r="AH71" s="225">
        <v>0.5</v>
      </c>
      <c r="AI71" s="225">
        <v>0.5</v>
      </c>
      <c r="AJ71" s="225">
        <v>1</v>
      </c>
      <c r="AK71" s="230">
        <v>3.5</v>
      </c>
      <c r="AL71" s="225"/>
    </row>
    <row r="73" spans="1:38" x14ac:dyDescent="0.35">
      <c r="A73" s="193"/>
      <c r="B73" s="193"/>
      <c r="D73" s="193"/>
    </row>
    <row r="74" spans="1:38" ht="14.9" customHeight="1" x14ac:dyDescent="0.35">
      <c r="A74" s="193"/>
      <c r="B74" s="193"/>
      <c r="D74" s="193"/>
    </row>
    <row r="75" spans="1:38" ht="14.9" customHeight="1" x14ac:dyDescent="0.35">
      <c r="A75" s="193"/>
      <c r="B75" s="193"/>
      <c r="D75" s="193"/>
    </row>
    <row r="76" spans="1:38" ht="14.9" customHeight="1" x14ac:dyDescent="0.35">
      <c r="A76" s="193"/>
      <c r="B76" s="193"/>
      <c r="D76" s="193"/>
    </row>
    <row r="77" spans="1:38" ht="14.9" customHeight="1" x14ac:dyDescent="0.35">
      <c r="A77" s="193"/>
      <c r="B77" s="193"/>
      <c r="D77" s="193"/>
    </row>
    <row r="78" spans="1:38" ht="14.9" customHeight="1" x14ac:dyDescent="0.35">
      <c r="A78" s="193"/>
      <c r="B78" s="193"/>
      <c r="D78" s="193"/>
    </row>
    <row r="79" spans="1:38" ht="14.9" customHeight="1" x14ac:dyDescent="0.35">
      <c r="A79" s="193"/>
      <c r="B79" s="193"/>
      <c r="D79" s="193"/>
    </row>
    <row r="80" spans="1:38" ht="14.9" customHeight="1" x14ac:dyDescent="0.35">
      <c r="A80" s="193"/>
      <c r="B80" s="193"/>
      <c r="D80" s="193"/>
    </row>
    <row r="81" spans="1:4" ht="14.9" customHeight="1" x14ac:dyDescent="0.35">
      <c r="A81" s="193"/>
      <c r="B81" s="193"/>
      <c r="D81" s="193"/>
    </row>
  </sheetData>
  <autoFilter ref="A3:AL71" xr:uid="{6ED7D689-3D69-44D0-BD4E-BC45B16CE2D2}">
    <filterColumn colId="1">
      <filters>
        <filter val="INSTRUMENT_CNCLLD_INSTRMNT_STTS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D76D-6916-4838-A6B0-0DC63D544009}">
  <dimension ref="B1:T72"/>
  <sheetViews>
    <sheetView showGridLines="0" topLeftCell="F1" zoomScale="80" zoomScaleNormal="80" workbookViewId="0">
      <selection activeCell="E10" sqref="E10"/>
    </sheetView>
  </sheetViews>
  <sheetFormatPr defaultRowHeight="14.5" x14ac:dyDescent="0.35"/>
  <cols>
    <col min="1" max="1" width="3.90625" customWidth="1"/>
    <col min="2" max="2" width="13.6328125" customWidth="1"/>
    <col min="3" max="3" width="22.36328125" bestFit="1" customWidth="1"/>
    <col min="4" max="4" width="46.54296875" bestFit="1" customWidth="1"/>
    <col min="5" max="5" width="12.7265625" bestFit="1" customWidth="1"/>
    <col min="6" max="6" width="12.7265625" customWidth="1"/>
    <col min="7" max="7" width="18.1796875" customWidth="1"/>
    <col min="8" max="8" width="15.36328125" customWidth="1"/>
    <col min="9" max="9" width="10.90625" customWidth="1"/>
    <col min="10" max="10" width="16.90625" customWidth="1"/>
    <col min="11" max="11" width="18.453125" customWidth="1"/>
    <col min="12" max="12" width="16.81640625" customWidth="1"/>
    <col min="13" max="13" width="19.1796875" customWidth="1"/>
    <col min="14" max="14" width="25.08984375" customWidth="1"/>
    <col min="15" max="15" width="13.54296875" customWidth="1"/>
    <col min="16" max="16" width="12.54296875" bestFit="1" customWidth="1"/>
    <col min="17" max="17" width="11.6328125" bestFit="1" customWidth="1"/>
    <col min="18" max="19" width="13.6328125" bestFit="1" customWidth="1"/>
    <col min="20" max="20" width="14.36328125" style="48" bestFit="1" customWidth="1"/>
  </cols>
  <sheetData>
    <row r="1" spans="2:20" x14ac:dyDescent="0.35">
      <c r="T1"/>
    </row>
    <row r="2" spans="2:20" x14ac:dyDescent="0.35">
      <c r="T2"/>
    </row>
    <row r="3" spans="2:20" s="48" customFormat="1" x14ac:dyDescent="0.35">
      <c r="F3" s="49">
        <v>527.00000000000011</v>
      </c>
      <c r="H3" s="49">
        <v>15</v>
      </c>
      <c r="I3" s="49">
        <v>178.5</v>
      </c>
      <c r="J3" s="49"/>
      <c r="K3" s="49"/>
      <c r="L3" s="49"/>
      <c r="M3" s="49"/>
      <c r="N3" s="49"/>
      <c r="O3" s="49">
        <v>285.5</v>
      </c>
      <c r="P3" s="49"/>
      <c r="Q3" s="49">
        <v>527.00000000000011</v>
      </c>
      <c r="R3" s="49">
        <v>364.00000000000006</v>
      </c>
      <c r="S3" s="49">
        <v>163</v>
      </c>
    </row>
    <row r="4" spans="2:20" s="48" customFormat="1" ht="29" x14ac:dyDescent="0.35">
      <c r="B4" s="50" t="s">
        <v>90</v>
      </c>
      <c r="C4" s="51" t="s">
        <v>91</v>
      </c>
      <c r="D4" s="51" t="s">
        <v>92</v>
      </c>
      <c r="E4" s="52" t="s">
        <v>93</v>
      </c>
      <c r="F4" s="52" t="s">
        <v>93</v>
      </c>
      <c r="G4" s="47" t="s">
        <v>89</v>
      </c>
      <c r="H4" s="47" t="s">
        <v>94</v>
      </c>
      <c r="I4" s="47" t="s">
        <v>95</v>
      </c>
      <c r="J4" s="47" t="s">
        <v>96</v>
      </c>
      <c r="K4" s="47" t="s">
        <v>97</v>
      </c>
      <c r="L4" s="47" t="s">
        <v>98</v>
      </c>
      <c r="M4" s="47" t="s">
        <v>99</v>
      </c>
      <c r="N4" s="47" t="s">
        <v>100</v>
      </c>
      <c r="O4" s="47" t="s">
        <v>101</v>
      </c>
      <c r="P4" s="53" t="s">
        <v>102</v>
      </c>
      <c r="Q4" s="49" t="s">
        <v>103</v>
      </c>
      <c r="R4" s="49" t="s">
        <v>104</v>
      </c>
      <c r="S4" s="49" t="s">
        <v>105</v>
      </c>
      <c r="T4" s="54" t="s">
        <v>106</v>
      </c>
    </row>
    <row r="5" spans="2:20" x14ac:dyDescent="0.35">
      <c r="B5" s="55" t="s">
        <v>107</v>
      </c>
      <c r="C5" s="56" t="s">
        <v>5</v>
      </c>
      <c r="D5" s="57" t="s">
        <v>6</v>
      </c>
      <c r="E5" s="58" t="s">
        <v>108</v>
      </c>
      <c r="F5" s="58">
        <v>2</v>
      </c>
      <c r="G5" s="59" t="s">
        <v>109</v>
      </c>
      <c r="H5" s="60">
        <v>0</v>
      </c>
      <c r="I5" s="61">
        <v>1</v>
      </c>
      <c r="J5" s="62">
        <v>1</v>
      </c>
      <c r="K5" s="62" t="s">
        <v>1</v>
      </c>
      <c r="L5" s="62">
        <v>0</v>
      </c>
      <c r="M5" s="62">
        <v>0.5</v>
      </c>
      <c r="N5" s="62">
        <v>1</v>
      </c>
      <c r="O5" s="61">
        <v>2.5</v>
      </c>
      <c r="P5" s="63" t="s">
        <v>110</v>
      </c>
      <c r="Q5">
        <v>2</v>
      </c>
      <c r="R5">
        <v>2</v>
      </c>
      <c r="S5">
        <v>0</v>
      </c>
      <c r="T5" s="59" t="s">
        <v>111</v>
      </c>
    </row>
    <row r="6" spans="2:20" x14ac:dyDescent="0.35">
      <c r="B6" s="55" t="s">
        <v>112</v>
      </c>
      <c r="C6" s="56" t="s">
        <v>5</v>
      </c>
      <c r="D6" s="57" t="s">
        <v>7</v>
      </c>
      <c r="E6" s="58" t="s">
        <v>108</v>
      </c>
      <c r="F6" s="58">
        <v>2</v>
      </c>
      <c r="G6" s="59" t="s">
        <v>109</v>
      </c>
      <c r="H6" s="60">
        <v>0</v>
      </c>
      <c r="I6" s="61">
        <v>1</v>
      </c>
      <c r="J6" s="62">
        <v>1</v>
      </c>
      <c r="K6" s="60" t="s">
        <v>1</v>
      </c>
      <c r="L6" s="62">
        <v>0</v>
      </c>
      <c r="M6" s="62">
        <v>0.5</v>
      </c>
      <c r="N6" s="62">
        <v>1</v>
      </c>
      <c r="O6" s="61">
        <v>2.5</v>
      </c>
      <c r="P6" s="63" t="s">
        <v>110</v>
      </c>
      <c r="Q6">
        <v>2</v>
      </c>
      <c r="R6">
        <v>2</v>
      </c>
      <c r="S6">
        <v>0</v>
      </c>
      <c r="T6" s="59" t="s">
        <v>111</v>
      </c>
    </row>
    <row r="7" spans="2:20" x14ac:dyDescent="0.35">
      <c r="B7" s="55" t="s">
        <v>113</v>
      </c>
      <c r="C7" s="56" t="s">
        <v>5</v>
      </c>
      <c r="D7" s="57" t="s">
        <v>8</v>
      </c>
      <c r="E7" s="58" t="s">
        <v>108</v>
      </c>
      <c r="F7" s="58">
        <v>2</v>
      </c>
      <c r="G7" s="59" t="s">
        <v>109</v>
      </c>
      <c r="H7" s="60">
        <v>0</v>
      </c>
      <c r="I7" s="61">
        <v>1</v>
      </c>
      <c r="J7" s="62">
        <v>1</v>
      </c>
      <c r="K7" s="62" t="s">
        <v>1</v>
      </c>
      <c r="L7" s="62">
        <v>0</v>
      </c>
      <c r="M7" s="62">
        <v>0.5</v>
      </c>
      <c r="N7" s="62">
        <v>1</v>
      </c>
      <c r="O7" s="61">
        <v>2.5</v>
      </c>
      <c r="P7" s="63" t="s">
        <v>110</v>
      </c>
      <c r="Q7">
        <v>2</v>
      </c>
      <c r="R7">
        <v>2</v>
      </c>
      <c r="S7">
        <v>0</v>
      </c>
      <c r="T7" s="59" t="s">
        <v>111</v>
      </c>
    </row>
    <row r="8" spans="2:20" x14ac:dyDescent="0.35">
      <c r="B8" s="55" t="s">
        <v>114</v>
      </c>
      <c r="C8" s="56" t="s">
        <v>5</v>
      </c>
      <c r="D8" s="57" t="s">
        <v>32</v>
      </c>
      <c r="E8" s="58" t="s">
        <v>115</v>
      </c>
      <c r="F8" s="58">
        <v>25.200000000000003</v>
      </c>
      <c r="G8" s="59" t="s">
        <v>116</v>
      </c>
      <c r="H8" s="60">
        <v>0</v>
      </c>
      <c r="I8" s="64">
        <v>12</v>
      </c>
      <c r="J8" s="62">
        <v>3</v>
      </c>
      <c r="K8" s="62" t="s">
        <v>1</v>
      </c>
      <c r="L8" s="62">
        <v>0</v>
      </c>
      <c r="M8" s="62">
        <v>1</v>
      </c>
      <c r="N8" s="62">
        <v>2</v>
      </c>
      <c r="O8" s="64">
        <v>10</v>
      </c>
      <c r="P8" s="63" t="s">
        <v>110</v>
      </c>
      <c r="Q8">
        <v>25.200000000000003</v>
      </c>
      <c r="R8">
        <v>25.200000000000003</v>
      </c>
      <c r="S8">
        <v>0</v>
      </c>
      <c r="T8" s="59" t="s">
        <v>117</v>
      </c>
    </row>
    <row r="9" spans="2:20" x14ac:dyDescent="0.35">
      <c r="B9" s="55" t="s">
        <v>118</v>
      </c>
      <c r="C9" s="56" t="s">
        <v>5</v>
      </c>
      <c r="D9" s="65" t="s">
        <v>9</v>
      </c>
      <c r="E9" s="58" t="s">
        <v>108</v>
      </c>
      <c r="F9" s="58">
        <v>2</v>
      </c>
      <c r="G9" s="59" t="s">
        <v>109</v>
      </c>
      <c r="H9" s="60">
        <v>0</v>
      </c>
      <c r="I9" s="61">
        <v>1</v>
      </c>
      <c r="J9" s="62">
        <v>1</v>
      </c>
      <c r="K9" s="60" t="s">
        <v>1</v>
      </c>
      <c r="L9" s="62">
        <v>0</v>
      </c>
      <c r="M9" s="62">
        <v>0.5</v>
      </c>
      <c r="N9" s="62">
        <v>1</v>
      </c>
      <c r="O9" s="61">
        <v>2.5</v>
      </c>
      <c r="P9" s="63" t="s">
        <v>110</v>
      </c>
      <c r="Q9">
        <v>2</v>
      </c>
      <c r="R9">
        <v>2</v>
      </c>
      <c r="S9">
        <v>0</v>
      </c>
      <c r="T9" s="59" t="s">
        <v>111</v>
      </c>
    </row>
    <row r="10" spans="2:20" x14ac:dyDescent="0.35">
      <c r="B10" s="55" t="s">
        <v>119</v>
      </c>
      <c r="C10" s="56" t="s">
        <v>5</v>
      </c>
      <c r="D10" s="57" t="s">
        <v>10</v>
      </c>
      <c r="E10" s="58" t="s">
        <v>108</v>
      </c>
      <c r="F10" s="58">
        <v>2</v>
      </c>
      <c r="G10" s="59" t="s">
        <v>109</v>
      </c>
      <c r="H10" s="60">
        <v>0</v>
      </c>
      <c r="I10" s="61">
        <v>1</v>
      </c>
      <c r="J10" s="62">
        <v>1</v>
      </c>
      <c r="K10" s="60" t="s">
        <v>1</v>
      </c>
      <c r="L10" s="62">
        <v>0</v>
      </c>
      <c r="M10" s="62">
        <v>0.5</v>
      </c>
      <c r="N10" s="62">
        <v>1</v>
      </c>
      <c r="O10" s="61">
        <v>2.5</v>
      </c>
      <c r="P10" s="63" t="s">
        <v>110</v>
      </c>
      <c r="Q10">
        <v>2</v>
      </c>
      <c r="R10">
        <v>2</v>
      </c>
      <c r="S10">
        <v>0</v>
      </c>
      <c r="T10" s="59" t="s">
        <v>111</v>
      </c>
    </row>
    <row r="11" spans="2:20" x14ac:dyDescent="0.35">
      <c r="B11" s="55" t="s">
        <v>120</v>
      </c>
      <c r="C11" s="56" t="s">
        <v>5</v>
      </c>
      <c r="D11" s="57" t="s">
        <v>11</v>
      </c>
      <c r="E11" s="58" t="s">
        <v>108</v>
      </c>
      <c r="F11" s="58">
        <v>2</v>
      </c>
      <c r="G11" s="59" t="s">
        <v>109</v>
      </c>
      <c r="H11" s="60">
        <v>0</v>
      </c>
      <c r="I11" s="61">
        <v>1</v>
      </c>
      <c r="J11" s="62">
        <v>1</v>
      </c>
      <c r="K11" s="60" t="s">
        <v>1</v>
      </c>
      <c r="L11" s="62">
        <v>0</v>
      </c>
      <c r="M11" s="62">
        <v>0.5</v>
      </c>
      <c r="N11" s="62">
        <v>1</v>
      </c>
      <c r="O11" s="61">
        <v>2.5</v>
      </c>
      <c r="P11" s="63" t="s">
        <v>110</v>
      </c>
      <c r="Q11">
        <v>2</v>
      </c>
      <c r="R11">
        <v>2</v>
      </c>
      <c r="S11">
        <v>0</v>
      </c>
      <c r="T11" s="59" t="s">
        <v>111</v>
      </c>
    </row>
    <row r="12" spans="2:20" x14ac:dyDescent="0.35">
      <c r="B12" s="55" t="s">
        <v>121</v>
      </c>
      <c r="C12" s="56" t="s">
        <v>5</v>
      </c>
      <c r="D12" s="65" t="s">
        <v>12</v>
      </c>
      <c r="E12" s="58" t="s">
        <v>108</v>
      </c>
      <c r="F12" s="58">
        <v>2</v>
      </c>
      <c r="G12" s="59" t="s">
        <v>109</v>
      </c>
      <c r="H12" s="60">
        <v>0</v>
      </c>
      <c r="I12" s="61">
        <v>1</v>
      </c>
      <c r="J12" s="62">
        <v>1</v>
      </c>
      <c r="K12" s="60" t="s">
        <v>1</v>
      </c>
      <c r="L12" s="62">
        <v>0</v>
      </c>
      <c r="M12" s="62">
        <v>0.5</v>
      </c>
      <c r="N12" s="62">
        <v>1</v>
      </c>
      <c r="O12" s="61">
        <v>2.5</v>
      </c>
      <c r="P12" s="63" t="s">
        <v>110</v>
      </c>
      <c r="Q12">
        <v>2</v>
      </c>
      <c r="R12">
        <v>2</v>
      </c>
      <c r="S12">
        <v>0</v>
      </c>
      <c r="T12" s="59" t="s">
        <v>111</v>
      </c>
    </row>
    <row r="13" spans="2:20" x14ac:dyDescent="0.35">
      <c r="B13" s="55" t="s">
        <v>122</v>
      </c>
      <c r="C13" s="56" t="s">
        <v>5</v>
      </c>
      <c r="D13" s="57" t="s">
        <v>13</v>
      </c>
      <c r="E13" s="58" t="s">
        <v>108</v>
      </c>
      <c r="F13" s="58">
        <v>2</v>
      </c>
      <c r="G13" s="59" t="s">
        <v>109</v>
      </c>
      <c r="H13" s="60">
        <v>0</v>
      </c>
      <c r="I13" s="61">
        <v>1</v>
      </c>
      <c r="J13" s="62">
        <v>1</v>
      </c>
      <c r="K13" s="62" t="s">
        <v>1</v>
      </c>
      <c r="L13" s="62">
        <v>0</v>
      </c>
      <c r="M13" s="62">
        <v>0.5</v>
      </c>
      <c r="N13" s="62">
        <v>1</v>
      </c>
      <c r="O13" s="61">
        <v>2.5</v>
      </c>
      <c r="P13" s="63" t="s">
        <v>110</v>
      </c>
      <c r="Q13">
        <v>2</v>
      </c>
      <c r="R13">
        <v>2</v>
      </c>
      <c r="S13">
        <v>0</v>
      </c>
      <c r="T13" s="59" t="s">
        <v>111</v>
      </c>
    </row>
    <row r="14" spans="2:20" x14ac:dyDescent="0.35">
      <c r="B14" s="55" t="s">
        <v>123</v>
      </c>
      <c r="C14" s="56" t="s">
        <v>5</v>
      </c>
      <c r="D14" s="57" t="s">
        <v>14</v>
      </c>
      <c r="E14" s="58" t="s">
        <v>108</v>
      </c>
      <c r="F14" s="58">
        <v>2</v>
      </c>
      <c r="G14" s="59" t="s">
        <v>109</v>
      </c>
      <c r="H14" s="60">
        <v>0</v>
      </c>
      <c r="I14" s="61">
        <v>1</v>
      </c>
      <c r="J14" s="62">
        <v>1</v>
      </c>
      <c r="K14" s="62" t="s">
        <v>1</v>
      </c>
      <c r="L14" s="62">
        <v>0</v>
      </c>
      <c r="M14" s="62">
        <v>0.5</v>
      </c>
      <c r="N14" s="62">
        <v>1</v>
      </c>
      <c r="O14" s="61">
        <v>2.5</v>
      </c>
      <c r="P14" s="63" t="s">
        <v>110</v>
      </c>
      <c r="Q14">
        <v>2</v>
      </c>
      <c r="R14">
        <v>2</v>
      </c>
      <c r="S14">
        <v>0</v>
      </c>
      <c r="T14" s="59" t="s">
        <v>111</v>
      </c>
    </row>
    <row r="15" spans="2:20" x14ac:dyDescent="0.35">
      <c r="B15" s="55" t="s">
        <v>124</v>
      </c>
      <c r="C15" s="56" t="s">
        <v>5</v>
      </c>
      <c r="D15" s="65" t="s">
        <v>15</v>
      </c>
      <c r="E15" s="58" t="s">
        <v>108</v>
      </c>
      <c r="F15" s="58">
        <v>2</v>
      </c>
      <c r="G15" s="59" t="s">
        <v>109</v>
      </c>
      <c r="H15" s="60">
        <v>0</v>
      </c>
      <c r="I15" s="61">
        <v>1</v>
      </c>
      <c r="J15" s="62">
        <v>1</v>
      </c>
      <c r="K15" s="60" t="s">
        <v>1</v>
      </c>
      <c r="L15" s="62">
        <v>0</v>
      </c>
      <c r="M15" s="62">
        <v>0.5</v>
      </c>
      <c r="N15" s="62">
        <v>1</v>
      </c>
      <c r="O15" s="61">
        <v>2.5</v>
      </c>
      <c r="P15" s="63" t="s">
        <v>110</v>
      </c>
      <c r="Q15">
        <v>2</v>
      </c>
      <c r="R15">
        <v>2</v>
      </c>
      <c r="S15">
        <v>0</v>
      </c>
      <c r="T15" s="59" t="s">
        <v>111</v>
      </c>
    </row>
    <row r="16" spans="2:20" x14ac:dyDescent="0.35">
      <c r="B16" s="55" t="s">
        <v>125</v>
      </c>
      <c r="C16" s="56" t="s">
        <v>5</v>
      </c>
      <c r="D16" s="57" t="s">
        <v>33</v>
      </c>
      <c r="E16" s="58" t="s">
        <v>108</v>
      </c>
      <c r="F16" s="58">
        <v>2</v>
      </c>
      <c r="G16" s="59" t="s">
        <v>109</v>
      </c>
      <c r="H16" s="61">
        <v>1</v>
      </c>
      <c r="I16" s="61">
        <v>1</v>
      </c>
      <c r="J16" s="62">
        <v>1</v>
      </c>
      <c r="K16" s="62" t="s">
        <v>1</v>
      </c>
      <c r="L16" s="62">
        <v>0</v>
      </c>
      <c r="M16" s="62">
        <v>0.5</v>
      </c>
      <c r="N16" s="62">
        <v>1</v>
      </c>
      <c r="O16" s="61">
        <v>2.5</v>
      </c>
      <c r="P16" s="63" t="s">
        <v>110</v>
      </c>
      <c r="Q16">
        <v>2</v>
      </c>
      <c r="R16">
        <v>2</v>
      </c>
      <c r="S16">
        <v>0</v>
      </c>
      <c r="T16" s="59" t="s">
        <v>117</v>
      </c>
    </row>
    <row r="17" spans="2:20" x14ac:dyDescent="0.35">
      <c r="B17" s="55" t="s">
        <v>126</v>
      </c>
      <c r="C17" s="56" t="s">
        <v>5</v>
      </c>
      <c r="D17" s="57" t="s">
        <v>34</v>
      </c>
      <c r="E17" s="58" t="s">
        <v>108</v>
      </c>
      <c r="F17" s="58">
        <v>2</v>
      </c>
      <c r="G17" s="59" t="s">
        <v>109</v>
      </c>
      <c r="H17" s="61">
        <v>1</v>
      </c>
      <c r="I17" s="61">
        <v>1</v>
      </c>
      <c r="J17" s="62">
        <v>1</v>
      </c>
      <c r="K17" s="62" t="s">
        <v>1</v>
      </c>
      <c r="L17" s="62">
        <v>0</v>
      </c>
      <c r="M17" s="62">
        <v>0.5</v>
      </c>
      <c r="N17" s="62">
        <v>1</v>
      </c>
      <c r="O17" s="61">
        <v>2.5</v>
      </c>
      <c r="P17" s="63" t="s">
        <v>110</v>
      </c>
      <c r="Q17">
        <v>2</v>
      </c>
      <c r="R17">
        <v>2</v>
      </c>
      <c r="S17">
        <v>0</v>
      </c>
      <c r="T17" s="59" t="s">
        <v>117</v>
      </c>
    </row>
    <row r="18" spans="2:20" x14ac:dyDescent="0.35">
      <c r="B18" s="55" t="s">
        <v>127</v>
      </c>
      <c r="C18" s="56" t="s">
        <v>5</v>
      </c>
      <c r="D18" s="57" t="s">
        <v>16</v>
      </c>
      <c r="E18" s="58" t="s">
        <v>108</v>
      </c>
      <c r="F18" s="58">
        <v>2</v>
      </c>
      <c r="G18" s="59" t="s">
        <v>109</v>
      </c>
      <c r="H18" s="60">
        <v>0</v>
      </c>
      <c r="I18" s="61">
        <v>1</v>
      </c>
      <c r="J18" s="62">
        <v>1</v>
      </c>
      <c r="K18" s="62" t="s">
        <v>1</v>
      </c>
      <c r="L18" s="62">
        <v>0</v>
      </c>
      <c r="M18" s="62">
        <v>0.5</v>
      </c>
      <c r="N18" s="62">
        <v>1</v>
      </c>
      <c r="O18" s="61">
        <v>2.5</v>
      </c>
      <c r="P18" s="63" t="s">
        <v>110</v>
      </c>
      <c r="Q18">
        <v>2</v>
      </c>
      <c r="R18">
        <v>2</v>
      </c>
      <c r="S18">
        <v>0</v>
      </c>
      <c r="T18" s="59" t="s">
        <v>111</v>
      </c>
    </row>
    <row r="19" spans="2:20" x14ac:dyDescent="0.35">
      <c r="B19" s="55" t="s">
        <v>128</v>
      </c>
      <c r="C19" s="56" t="s">
        <v>5</v>
      </c>
      <c r="D19" s="57" t="s">
        <v>17</v>
      </c>
      <c r="E19" s="58" t="s">
        <v>108</v>
      </c>
      <c r="F19" s="58">
        <v>2</v>
      </c>
      <c r="G19" s="59" t="s">
        <v>109</v>
      </c>
      <c r="H19" s="60">
        <v>0</v>
      </c>
      <c r="I19" s="61">
        <v>1</v>
      </c>
      <c r="J19" s="62">
        <v>1</v>
      </c>
      <c r="K19" s="62" t="s">
        <v>1</v>
      </c>
      <c r="L19" s="62">
        <v>0</v>
      </c>
      <c r="M19" s="62">
        <v>0.5</v>
      </c>
      <c r="N19" s="62">
        <v>1</v>
      </c>
      <c r="O19" s="61">
        <v>2.5</v>
      </c>
      <c r="P19" s="63" t="s">
        <v>110</v>
      </c>
      <c r="Q19">
        <v>2</v>
      </c>
      <c r="R19">
        <v>2</v>
      </c>
      <c r="S19">
        <v>0</v>
      </c>
      <c r="T19" s="59" t="s">
        <v>111</v>
      </c>
    </row>
    <row r="20" spans="2:20" x14ac:dyDescent="0.35">
      <c r="B20" s="55" t="s">
        <v>129</v>
      </c>
      <c r="C20" s="56" t="s">
        <v>5</v>
      </c>
      <c r="D20" s="57" t="s">
        <v>18</v>
      </c>
      <c r="E20" s="58" t="s">
        <v>108</v>
      </c>
      <c r="F20" s="58">
        <v>2</v>
      </c>
      <c r="G20" s="59" t="s">
        <v>109</v>
      </c>
      <c r="H20" s="60">
        <v>0</v>
      </c>
      <c r="I20" s="61">
        <v>1</v>
      </c>
      <c r="J20" s="62">
        <v>1</v>
      </c>
      <c r="K20" s="62" t="s">
        <v>1</v>
      </c>
      <c r="L20" s="62">
        <v>0</v>
      </c>
      <c r="M20" s="62">
        <v>0.5</v>
      </c>
      <c r="N20" s="62">
        <v>1</v>
      </c>
      <c r="O20" s="61">
        <v>2.5</v>
      </c>
      <c r="P20" s="63" t="s">
        <v>110</v>
      </c>
      <c r="Q20">
        <v>2</v>
      </c>
      <c r="R20">
        <v>2</v>
      </c>
      <c r="S20">
        <v>0</v>
      </c>
      <c r="T20" s="59" t="s">
        <v>111</v>
      </c>
    </row>
    <row r="21" spans="2:20" x14ac:dyDescent="0.35">
      <c r="B21" s="55" t="s">
        <v>130</v>
      </c>
      <c r="C21" s="56" t="s">
        <v>5</v>
      </c>
      <c r="D21" s="57" t="s">
        <v>19</v>
      </c>
      <c r="E21" s="58" t="s">
        <v>108</v>
      </c>
      <c r="F21" s="58">
        <v>2</v>
      </c>
      <c r="G21" s="59" t="s">
        <v>109</v>
      </c>
      <c r="H21" s="60">
        <v>0</v>
      </c>
      <c r="I21" s="61">
        <v>1</v>
      </c>
      <c r="J21" s="62">
        <v>1</v>
      </c>
      <c r="K21" s="62" t="s">
        <v>1</v>
      </c>
      <c r="L21" s="62">
        <v>0</v>
      </c>
      <c r="M21" s="62">
        <v>0.5</v>
      </c>
      <c r="N21" s="62">
        <v>1</v>
      </c>
      <c r="O21" s="61">
        <v>2.5</v>
      </c>
      <c r="P21" s="63" t="s">
        <v>110</v>
      </c>
      <c r="Q21">
        <v>2</v>
      </c>
      <c r="R21">
        <v>2</v>
      </c>
      <c r="S21">
        <v>0</v>
      </c>
      <c r="T21" s="59" t="s">
        <v>111</v>
      </c>
    </row>
    <row r="22" spans="2:20" x14ac:dyDescent="0.35">
      <c r="B22" s="55" t="s">
        <v>131</v>
      </c>
      <c r="C22" s="56" t="s">
        <v>5</v>
      </c>
      <c r="D22" s="57" t="s">
        <v>20</v>
      </c>
      <c r="E22" s="58" t="s">
        <v>108</v>
      </c>
      <c r="F22" s="58">
        <v>2</v>
      </c>
      <c r="G22" s="59" t="s">
        <v>109</v>
      </c>
      <c r="H22" s="60">
        <v>0</v>
      </c>
      <c r="I22" s="61">
        <v>1</v>
      </c>
      <c r="J22" s="62">
        <v>1</v>
      </c>
      <c r="K22" s="62" t="s">
        <v>1</v>
      </c>
      <c r="L22" s="62">
        <v>0</v>
      </c>
      <c r="M22" s="62">
        <v>0.5</v>
      </c>
      <c r="N22" s="62">
        <v>1</v>
      </c>
      <c r="O22" s="61">
        <v>2.5</v>
      </c>
      <c r="P22" s="63" t="s">
        <v>110</v>
      </c>
      <c r="Q22">
        <v>2</v>
      </c>
      <c r="R22">
        <v>2</v>
      </c>
      <c r="S22">
        <v>0</v>
      </c>
      <c r="T22" s="59" t="s">
        <v>111</v>
      </c>
    </row>
    <row r="23" spans="2:20" x14ac:dyDescent="0.35">
      <c r="B23" s="55" t="s">
        <v>132</v>
      </c>
      <c r="C23" s="56" t="s">
        <v>5</v>
      </c>
      <c r="D23" s="57" t="s">
        <v>21</v>
      </c>
      <c r="E23" s="58" t="s">
        <v>108</v>
      </c>
      <c r="F23" s="58">
        <v>2</v>
      </c>
      <c r="G23" s="59" t="s">
        <v>109</v>
      </c>
      <c r="H23" s="60">
        <v>0</v>
      </c>
      <c r="I23" s="61">
        <v>1</v>
      </c>
      <c r="J23" s="62">
        <v>1</v>
      </c>
      <c r="K23" s="62" t="s">
        <v>1</v>
      </c>
      <c r="L23" s="62">
        <v>0</v>
      </c>
      <c r="M23" s="62">
        <v>0.5</v>
      </c>
      <c r="N23" s="62">
        <v>1</v>
      </c>
      <c r="O23" s="61">
        <v>2.5</v>
      </c>
      <c r="P23" s="63" t="s">
        <v>110</v>
      </c>
      <c r="Q23">
        <v>2</v>
      </c>
      <c r="R23">
        <v>2</v>
      </c>
      <c r="S23">
        <v>0</v>
      </c>
      <c r="T23" s="59" t="s">
        <v>111</v>
      </c>
    </row>
    <row r="24" spans="2:20" x14ac:dyDescent="0.35">
      <c r="B24" s="55" t="s">
        <v>133</v>
      </c>
      <c r="C24" s="56" t="s">
        <v>5</v>
      </c>
      <c r="D24" s="57" t="s">
        <v>35</v>
      </c>
      <c r="E24" s="58" t="s">
        <v>134</v>
      </c>
      <c r="F24" s="58">
        <v>9.1</v>
      </c>
      <c r="G24" s="59" t="s">
        <v>134</v>
      </c>
      <c r="H24" s="60">
        <v>0</v>
      </c>
      <c r="I24" s="61">
        <v>3</v>
      </c>
      <c r="J24" s="62">
        <v>3</v>
      </c>
      <c r="K24" s="62" t="s">
        <v>1</v>
      </c>
      <c r="L24" s="62">
        <v>0</v>
      </c>
      <c r="M24" s="62">
        <v>0.5</v>
      </c>
      <c r="N24" s="62">
        <v>1</v>
      </c>
      <c r="O24" s="61">
        <v>4.5</v>
      </c>
      <c r="P24" s="63" t="s">
        <v>110</v>
      </c>
      <c r="Q24">
        <v>9.1</v>
      </c>
      <c r="R24">
        <v>9.1</v>
      </c>
      <c r="S24">
        <v>0</v>
      </c>
      <c r="T24" s="59" t="s">
        <v>117</v>
      </c>
    </row>
    <row r="25" spans="2:20" x14ac:dyDescent="0.35">
      <c r="B25" s="55" t="s">
        <v>135</v>
      </c>
      <c r="C25" s="56" t="s">
        <v>5</v>
      </c>
      <c r="D25" s="57" t="s">
        <v>36</v>
      </c>
      <c r="E25" s="58" t="s">
        <v>134</v>
      </c>
      <c r="F25" s="58">
        <v>10.1</v>
      </c>
      <c r="G25" s="59" t="s">
        <v>116</v>
      </c>
      <c r="H25" s="60">
        <v>0</v>
      </c>
      <c r="I25" s="61">
        <v>8</v>
      </c>
      <c r="J25" s="62">
        <v>3</v>
      </c>
      <c r="K25" s="62" t="s">
        <v>116</v>
      </c>
      <c r="L25" s="62">
        <v>1</v>
      </c>
      <c r="M25" s="62">
        <v>1</v>
      </c>
      <c r="N25" s="62">
        <v>2</v>
      </c>
      <c r="O25" s="61">
        <v>7</v>
      </c>
      <c r="P25" s="63" t="s">
        <v>136</v>
      </c>
      <c r="Q25">
        <v>10.1</v>
      </c>
      <c r="R25">
        <v>0</v>
      </c>
      <c r="S25">
        <v>10.1</v>
      </c>
      <c r="T25" s="59" t="s">
        <v>117</v>
      </c>
    </row>
    <row r="26" spans="2:20" x14ac:dyDescent="0.35">
      <c r="B26" s="55" t="s">
        <v>137</v>
      </c>
      <c r="C26" s="56" t="s">
        <v>5</v>
      </c>
      <c r="D26" s="57" t="s">
        <v>37</v>
      </c>
      <c r="E26" s="58" t="s">
        <v>115</v>
      </c>
      <c r="F26" s="58">
        <v>18.100000000000001</v>
      </c>
      <c r="G26" s="59" t="s">
        <v>115</v>
      </c>
      <c r="H26" s="60">
        <v>0</v>
      </c>
      <c r="I26" s="64">
        <v>8</v>
      </c>
      <c r="J26" s="62">
        <v>6</v>
      </c>
      <c r="K26" s="62" t="s">
        <v>1</v>
      </c>
      <c r="L26" s="62">
        <v>0</v>
      </c>
      <c r="M26" s="62">
        <v>0.5</v>
      </c>
      <c r="N26" s="62">
        <v>1</v>
      </c>
      <c r="O26" s="64">
        <v>10</v>
      </c>
      <c r="P26" s="63" t="s">
        <v>136</v>
      </c>
      <c r="Q26">
        <v>18.100000000000001</v>
      </c>
      <c r="R26">
        <v>0</v>
      </c>
      <c r="S26">
        <v>18.100000000000001</v>
      </c>
      <c r="T26" s="59" t="s">
        <v>117</v>
      </c>
    </row>
    <row r="27" spans="2:20" x14ac:dyDescent="0.35">
      <c r="B27" s="55" t="s">
        <v>138</v>
      </c>
      <c r="C27" s="56" t="s">
        <v>5</v>
      </c>
      <c r="D27" s="57" t="s">
        <v>38</v>
      </c>
      <c r="E27" s="58" t="s">
        <v>115</v>
      </c>
      <c r="F27" s="58">
        <v>18.100000000000001</v>
      </c>
      <c r="G27" s="59" t="s">
        <v>115</v>
      </c>
      <c r="H27" s="60">
        <v>0</v>
      </c>
      <c r="I27" s="64">
        <v>8</v>
      </c>
      <c r="J27" s="62">
        <v>6</v>
      </c>
      <c r="K27" s="62" t="s">
        <v>1</v>
      </c>
      <c r="L27" s="62">
        <v>0</v>
      </c>
      <c r="M27" s="62">
        <v>0.5</v>
      </c>
      <c r="N27" s="62">
        <v>1</v>
      </c>
      <c r="O27" s="64">
        <v>10</v>
      </c>
      <c r="P27" s="63" t="s">
        <v>136</v>
      </c>
      <c r="Q27">
        <v>18.100000000000001</v>
      </c>
      <c r="R27">
        <v>0</v>
      </c>
      <c r="S27">
        <v>18.100000000000001</v>
      </c>
      <c r="T27" s="59" t="s">
        <v>117</v>
      </c>
    </row>
    <row r="28" spans="2:20" x14ac:dyDescent="0.35">
      <c r="B28" s="55" t="s">
        <v>139</v>
      </c>
      <c r="C28" s="56" t="s">
        <v>5</v>
      </c>
      <c r="D28" s="57" t="s">
        <v>39</v>
      </c>
      <c r="E28" s="58" t="s">
        <v>115</v>
      </c>
      <c r="F28" s="58">
        <v>18.100000000000001</v>
      </c>
      <c r="G28" s="59" t="s">
        <v>134</v>
      </c>
      <c r="H28" s="60">
        <v>0</v>
      </c>
      <c r="I28" s="61">
        <v>3</v>
      </c>
      <c r="J28" s="62">
        <v>3</v>
      </c>
      <c r="K28" s="62" t="s">
        <v>1</v>
      </c>
      <c r="L28" s="62">
        <v>0</v>
      </c>
      <c r="M28" s="62">
        <v>0.5</v>
      </c>
      <c r="N28" s="62">
        <v>1</v>
      </c>
      <c r="O28" s="61">
        <v>4.5</v>
      </c>
      <c r="P28" s="63" t="s">
        <v>110</v>
      </c>
      <c r="Q28">
        <v>18.100000000000001</v>
      </c>
      <c r="R28">
        <v>18.100000000000001</v>
      </c>
      <c r="S28">
        <v>0</v>
      </c>
      <c r="T28" s="59" t="s">
        <v>117</v>
      </c>
    </row>
    <row r="29" spans="2:20" x14ac:dyDescent="0.35">
      <c r="B29" s="55" t="s">
        <v>140</v>
      </c>
      <c r="C29" s="56" t="s">
        <v>5</v>
      </c>
      <c r="D29" s="57" t="s">
        <v>40</v>
      </c>
      <c r="E29" s="58" t="s">
        <v>134</v>
      </c>
      <c r="F29" s="58">
        <v>9.1</v>
      </c>
      <c r="G29" s="59" t="s">
        <v>134</v>
      </c>
      <c r="H29" s="60">
        <v>0</v>
      </c>
      <c r="I29" s="61">
        <v>3</v>
      </c>
      <c r="J29" s="62">
        <v>3</v>
      </c>
      <c r="K29" s="62" t="s">
        <v>1</v>
      </c>
      <c r="L29" s="62">
        <v>0</v>
      </c>
      <c r="M29" s="62">
        <v>0.5</v>
      </c>
      <c r="N29" s="62">
        <v>1</v>
      </c>
      <c r="O29" s="61">
        <v>4.5</v>
      </c>
      <c r="P29" s="63" t="s">
        <v>110</v>
      </c>
      <c r="Q29">
        <v>9.1</v>
      </c>
      <c r="R29">
        <v>9.1</v>
      </c>
      <c r="S29">
        <v>0</v>
      </c>
      <c r="T29" s="59" t="s">
        <v>117</v>
      </c>
    </row>
    <row r="30" spans="2:20" x14ac:dyDescent="0.35">
      <c r="B30" s="55" t="s">
        <v>141</v>
      </c>
      <c r="C30" s="56" t="s">
        <v>5</v>
      </c>
      <c r="D30" s="57" t="s">
        <v>41</v>
      </c>
      <c r="E30" s="58" t="s">
        <v>115</v>
      </c>
      <c r="F30" s="58">
        <v>18.100000000000001</v>
      </c>
      <c r="G30" s="64" t="s">
        <v>116</v>
      </c>
      <c r="H30" s="60">
        <v>0</v>
      </c>
      <c r="I30" s="64">
        <v>15</v>
      </c>
      <c r="J30" s="62">
        <v>6</v>
      </c>
      <c r="K30" s="62" t="s">
        <v>115</v>
      </c>
      <c r="L30" s="62">
        <v>0.5</v>
      </c>
      <c r="M30" s="62">
        <v>0.5</v>
      </c>
      <c r="N30" s="62">
        <v>1</v>
      </c>
      <c r="O30" s="64">
        <v>20</v>
      </c>
      <c r="P30" s="63" t="s">
        <v>110</v>
      </c>
      <c r="Q30">
        <v>18.100000000000001</v>
      </c>
      <c r="R30">
        <v>18.100000000000001</v>
      </c>
      <c r="S30">
        <v>0</v>
      </c>
      <c r="T30" s="59" t="s">
        <v>117</v>
      </c>
    </row>
    <row r="31" spans="2:20" x14ac:dyDescent="0.35">
      <c r="B31" s="55" t="s">
        <v>142</v>
      </c>
      <c r="C31" s="56" t="s">
        <v>5</v>
      </c>
      <c r="D31" s="65" t="s">
        <v>42</v>
      </c>
      <c r="E31" s="58" t="s">
        <v>134</v>
      </c>
      <c r="F31" s="58">
        <v>10.1</v>
      </c>
      <c r="G31" s="59" t="s">
        <v>115</v>
      </c>
      <c r="H31" s="60">
        <v>0</v>
      </c>
      <c r="I31" s="64">
        <v>8</v>
      </c>
      <c r="J31" s="62">
        <v>6</v>
      </c>
      <c r="K31" s="62" t="s">
        <v>115</v>
      </c>
      <c r="L31" s="62">
        <v>0.5</v>
      </c>
      <c r="M31" s="62">
        <v>0.5</v>
      </c>
      <c r="N31" s="62">
        <v>1</v>
      </c>
      <c r="O31" s="64">
        <v>10</v>
      </c>
      <c r="P31" s="63" t="s">
        <v>110</v>
      </c>
      <c r="Q31">
        <v>10.1</v>
      </c>
      <c r="R31">
        <v>10.1</v>
      </c>
      <c r="S31">
        <v>0</v>
      </c>
      <c r="T31" s="59" t="s">
        <v>117</v>
      </c>
    </row>
    <row r="32" spans="2:20" x14ac:dyDescent="0.35">
      <c r="B32" s="55" t="s">
        <v>143</v>
      </c>
      <c r="C32" s="56" t="s">
        <v>5</v>
      </c>
      <c r="D32" s="57" t="s">
        <v>43</v>
      </c>
      <c r="E32" s="58" t="s">
        <v>115</v>
      </c>
      <c r="F32" s="58">
        <v>18.100000000000001</v>
      </c>
      <c r="G32" s="59" t="s">
        <v>134</v>
      </c>
      <c r="H32" s="60">
        <v>0</v>
      </c>
      <c r="I32" s="61">
        <v>3</v>
      </c>
      <c r="J32" s="62">
        <v>3</v>
      </c>
      <c r="K32" s="62" t="s">
        <v>1</v>
      </c>
      <c r="L32" s="62">
        <v>0</v>
      </c>
      <c r="M32" s="62">
        <v>0.5</v>
      </c>
      <c r="N32" s="62">
        <v>1</v>
      </c>
      <c r="O32" s="61">
        <v>4.5</v>
      </c>
      <c r="P32" s="63" t="s">
        <v>110</v>
      </c>
      <c r="Q32">
        <v>18.100000000000001</v>
      </c>
      <c r="R32">
        <v>18.100000000000001</v>
      </c>
      <c r="S32">
        <v>0</v>
      </c>
      <c r="T32" s="59" t="s">
        <v>117</v>
      </c>
    </row>
    <row r="33" spans="2:20" x14ac:dyDescent="0.35">
      <c r="B33" s="55" t="s">
        <v>144</v>
      </c>
      <c r="C33" s="56" t="s">
        <v>5</v>
      </c>
      <c r="D33" s="57" t="s">
        <v>44</v>
      </c>
      <c r="E33" s="58" t="s">
        <v>115</v>
      </c>
      <c r="F33" s="58">
        <v>18.100000000000001</v>
      </c>
      <c r="G33" s="59" t="s">
        <v>134</v>
      </c>
      <c r="H33" s="60">
        <v>0</v>
      </c>
      <c r="I33" s="61">
        <v>3</v>
      </c>
      <c r="J33" s="62">
        <v>3</v>
      </c>
      <c r="K33" s="62" t="s">
        <v>1</v>
      </c>
      <c r="L33" s="62">
        <v>0</v>
      </c>
      <c r="M33" s="62">
        <v>0.5</v>
      </c>
      <c r="N33" s="62">
        <v>1</v>
      </c>
      <c r="O33" s="61">
        <v>4.5</v>
      </c>
      <c r="P33" s="63" t="s">
        <v>110</v>
      </c>
      <c r="Q33">
        <v>18.100000000000001</v>
      </c>
      <c r="R33">
        <v>18.100000000000001</v>
      </c>
      <c r="S33">
        <v>0</v>
      </c>
      <c r="T33" s="59" t="s">
        <v>117</v>
      </c>
    </row>
    <row r="34" spans="2:20" x14ac:dyDescent="0.35">
      <c r="B34" s="55" t="s">
        <v>145</v>
      </c>
      <c r="C34" s="56" t="s">
        <v>5</v>
      </c>
      <c r="D34" s="57" t="s">
        <v>22</v>
      </c>
      <c r="E34" s="58" t="s">
        <v>108</v>
      </c>
      <c r="F34" s="58">
        <v>2</v>
      </c>
      <c r="G34" s="59" t="s">
        <v>109</v>
      </c>
      <c r="H34" s="60">
        <v>0</v>
      </c>
      <c r="I34" s="61">
        <v>1</v>
      </c>
      <c r="J34" s="62">
        <v>1</v>
      </c>
      <c r="K34" s="62" t="s">
        <v>109</v>
      </c>
      <c r="L34" s="62">
        <v>0.5</v>
      </c>
      <c r="M34" s="62">
        <v>0.5</v>
      </c>
      <c r="N34" s="62">
        <v>1</v>
      </c>
      <c r="O34" s="61">
        <v>3</v>
      </c>
      <c r="P34" s="63" t="s">
        <v>110</v>
      </c>
      <c r="Q34">
        <v>2</v>
      </c>
      <c r="R34">
        <v>2</v>
      </c>
      <c r="S34">
        <v>0</v>
      </c>
      <c r="T34" s="59" t="s">
        <v>111</v>
      </c>
    </row>
    <row r="35" spans="2:20" x14ac:dyDescent="0.35">
      <c r="B35" s="55" t="s">
        <v>146</v>
      </c>
      <c r="C35" s="56" t="s">
        <v>5</v>
      </c>
      <c r="D35" s="57" t="s">
        <v>23</v>
      </c>
      <c r="E35" s="58" t="s">
        <v>108</v>
      </c>
      <c r="F35" s="58">
        <v>2</v>
      </c>
      <c r="G35" s="59" t="s">
        <v>109</v>
      </c>
      <c r="H35" s="60">
        <v>0</v>
      </c>
      <c r="I35" s="61">
        <v>1</v>
      </c>
      <c r="J35" s="62">
        <v>1</v>
      </c>
      <c r="K35" s="62" t="s">
        <v>109</v>
      </c>
      <c r="L35" s="62">
        <v>0.5</v>
      </c>
      <c r="M35" s="62">
        <v>0.5</v>
      </c>
      <c r="N35" s="62">
        <v>1</v>
      </c>
      <c r="O35" s="61">
        <v>3</v>
      </c>
      <c r="P35" s="63" t="s">
        <v>110</v>
      </c>
      <c r="Q35">
        <v>2</v>
      </c>
      <c r="R35">
        <v>2</v>
      </c>
      <c r="S35">
        <v>0</v>
      </c>
      <c r="T35" s="59" t="s">
        <v>111</v>
      </c>
    </row>
    <row r="36" spans="2:20" x14ac:dyDescent="0.35">
      <c r="B36" s="55" t="s">
        <v>147</v>
      </c>
      <c r="C36" s="56" t="s">
        <v>5</v>
      </c>
      <c r="D36" s="57" t="s">
        <v>24</v>
      </c>
      <c r="E36" s="58" t="s">
        <v>108</v>
      </c>
      <c r="F36" s="58">
        <v>2</v>
      </c>
      <c r="G36" s="59" t="s">
        <v>109</v>
      </c>
      <c r="H36" s="60">
        <v>0</v>
      </c>
      <c r="I36" s="61">
        <v>1</v>
      </c>
      <c r="J36" s="62">
        <v>1</v>
      </c>
      <c r="K36" s="62" t="s">
        <v>1</v>
      </c>
      <c r="L36" s="62">
        <v>0</v>
      </c>
      <c r="M36" s="62">
        <v>0.5</v>
      </c>
      <c r="N36" s="62">
        <v>1</v>
      </c>
      <c r="O36" s="61">
        <v>2.5</v>
      </c>
      <c r="P36" s="63" t="s">
        <v>110</v>
      </c>
      <c r="Q36">
        <v>2</v>
      </c>
      <c r="R36">
        <v>2</v>
      </c>
      <c r="S36">
        <v>0</v>
      </c>
      <c r="T36" s="59" t="s">
        <v>111</v>
      </c>
    </row>
    <row r="37" spans="2:20" x14ac:dyDescent="0.35">
      <c r="B37" s="55" t="s">
        <v>148</v>
      </c>
      <c r="C37" s="56" t="s">
        <v>5</v>
      </c>
      <c r="D37" s="57" t="s">
        <v>25</v>
      </c>
      <c r="E37" s="58" t="s">
        <v>108</v>
      </c>
      <c r="F37" s="58">
        <v>2</v>
      </c>
      <c r="G37" s="59" t="s">
        <v>109</v>
      </c>
      <c r="H37" s="60">
        <v>0</v>
      </c>
      <c r="I37" s="61">
        <v>1</v>
      </c>
      <c r="J37" s="62">
        <v>1</v>
      </c>
      <c r="K37" s="62" t="s">
        <v>109</v>
      </c>
      <c r="L37" s="62">
        <v>0.5</v>
      </c>
      <c r="M37" s="62">
        <v>0.5</v>
      </c>
      <c r="N37" s="62">
        <v>1</v>
      </c>
      <c r="O37" s="61">
        <v>3</v>
      </c>
      <c r="P37" s="63" t="s">
        <v>110</v>
      </c>
      <c r="Q37">
        <v>2</v>
      </c>
      <c r="R37">
        <v>2</v>
      </c>
      <c r="S37">
        <v>0</v>
      </c>
      <c r="T37" s="59" t="s">
        <v>111</v>
      </c>
    </row>
    <row r="38" spans="2:20" x14ac:dyDescent="0.35">
      <c r="B38" s="55" t="s">
        <v>149</v>
      </c>
      <c r="C38" s="56" t="s">
        <v>5</v>
      </c>
      <c r="D38" s="57" t="s">
        <v>45</v>
      </c>
      <c r="E38" s="58" t="s">
        <v>134</v>
      </c>
      <c r="F38" s="58">
        <v>9.1</v>
      </c>
      <c r="G38" s="59" t="s">
        <v>134</v>
      </c>
      <c r="H38" s="60">
        <v>0</v>
      </c>
      <c r="I38" s="61">
        <v>3</v>
      </c>
      <c r="J38" s="62">
        <v>3</v>
      </c>
      <c r="K38" s="62" t="s">
        <v>1</v>
      </c>
      <c r="L38" s="62">
        <v>0</v>
      </c>
      <c r="M38" s="62">
        <v>0.5</v>
      </c>
      <c r="N38" s="62">
        <v>1</v>
      </c>
      <c r="O38" s="61">
        <v>4.5</v>
      </c>
      <c r="P38" s="63" t="s">
        <v>110</v>
      </c>
      <c r="Q38">
        <v>9.1</v>
      </c>
      <c r="R38">
        <v>9.1</v>
      </c>
      <c r="S38">
        <v>0</v>
      </c>
      <c r="T38" s="59" t="s">
        <v>117</v>
      </c>
    </row>
    <row r="39" spans="2:20" x14ac:dyDescent="0.35">
      <c r="B39" s="55" t="s">
        <v>150</v>
      </c>
      <c r="C39" s="56" t="s">
        <v>5</v>
      </c>
      <c r="D39" s="57" t="s">
        <v>26</v>
      </c>
      <c r="E39" s="58" t="s">
        <v>108</v>
      </c>
      <c r="F39" s="58">
        <v>2</v>
      </c>
      <c r="G39" s="59" t="s">
        <v>109</v>
      </c>
      <c r="H39" s="60">
        <v>0</v>
      </c>
      <c r="I39" s="61">
        <v>1</v>
      </c>
      <c r="J39" s="62">
        <v>1</v>
      </c>
      <c r="K39" s="62" t="s">
        <v>1</v>
      </c>
      <c r="L39" s="62">
        <v>0</v>
      </c>
      <c r="M39" s="62">
        <v>0.5</v>
      </c>
      <c r="N39" s="62">
        <v>1</v>
      </c>
      <c r="O39" s="61">
        <v>2.5</v>
      </c>
      <c r="P39" s="63" t="s">
        <v>110</v>
      </c>
      <c r="Q39">
        <v>2</v>
      </c>
      <c r="R39">
        <v>2</v>
      </c>
      <c r="S39">
        <v>0</v>
      </c>
      <c r="T39" s="59" t="s">
        <v>111</v>
      </c>
    </row>
    <row r="40" spans="2:20" x14ac:dyDescent="0.35">
      <c r="B40" s="55" t="s">
        <v>151</v>
      </c>
      <c r="C40" s="56" t="s">
        <v>5</v>
      </c>
      <c r="D40" s="57" t="s">
        <v>46</v>
      </c>
      <c r="E40" s="58" t="s">
        <v>115</v>
      </c>
      <c r="F40" s="58">
        <v>18.100000000000001</v>
      </c>
      <c r="G40" s="59" t="s">
        <v>115</v>
      </c>
      <c r="H40" s="60">
        <v>0</v>
      </c>
      <c r="I40" s="64">
        <v>8</v>
      </c>
      <c r="J40" s="62">
        <v>6</v>
      </c>
      <c r="K40" s="62" t="s">
        <v>1</v>
      </c>
      <c r="L40" s="62">
        <v>0</v>
      </c>
      <c r="M40" s="62">
        <v>0.5</v>
      </c>
      <c r="N40" s="62">
        <v>1</v>
      </c>
      <c r="O40" s="64">
        <v>10</v>
      </c>
      <c r="P40" s="63" t="s">
        <v>136</v>
      </c>
      <c r="Q40">
        <v>18.100000000000001</v>
      </c>
      <c r="R40">
        <v>0</v>
      </c>
      <c r="S40">
        <v>18.100000000000001</v>
      </c>
      <c r="T40" s="59" t="s">
        <v>117</v>
      </c>
    </row>
    <row r="41" spans="2:20" x14ac:dyDescent="0.35">
      <c r="B41" s="55" t="s">
        <v>152</v>
      </c>
      <c r="C41" s="56" t="s">
        <v>5</v>
      </c>
      <c r="D41" s="57" t="s">
        <v>47</v>
      </c>
      <c r="E41" s="58" t="s">
        <v>115</v>
      </c>
      <c r="F41" s="58">
        <v>18.100000000000001</v>
      </c>
      <c r="G41" s="59" t="s">
        <v>134</v>
      </c>
      <c r="H41" s="60">
        <v>0</v>
      </c>
      <c r="I41" s="61">
        <v>3</v>
      </c>
      <c r="J41" s="62">
        <v>3</v>
      </c>
      <c r="K41" s="62" t="s">
        <v>1</v>
      </c>
      <c r="L41" s="62">
        <v>0</v>
      </c>
      <c r="M41" s="62">
        <v>0.5</v>
      </c>
      <c r="N41" s="62">
        <v>1</v>
      </c>
      <c r="O41" s="61">
        <v>4.5</v>
      </c>
      <c r="P41" s="63" t="s">
        <v>110</v>
      </c>
      <c r="Q41">
        <v>18.100000000000001</v>
      </c>
      <c r="R41">
        <v>18.100000000000001</v>
      </c>
      <c r="S41">
        <v>0</v>
      </c>
      <c r="T41" s="59" t="s">
        <v>117</v>
      </c>
    </row>
    <row r="42" spans="2:20" x14ac:dyDescent="0.35">
      <c r="B42" s="55" t="s">
        <v>153</v>
      </c>
      <c r="C42" s="56" t="s">
        <v>5</v>
      </c>
      <c r="D42" s="57" t="s">
        <v>28</v>
      </c>
      <c r="E42" s="58" t="s">
        <v>108</v>
      </c>
      <c r="F42" s="58">
        <v>2</v>
      </c>
      <c r="G42" s="59" t="s">
        <v>109</v>
      </c>
      <c r="H42" s="60">
        <v>0</v>
      </c>
      <c r="I42" s="61">
        <v>1</v>
      </c>
      <c r="J42" s="62">
        <v>1</v>
      </c>
      <c r="K42" s="62" t="s">
        <v>1</v>
      </c>
      <c r="L42" s="62">
        <v>0</v>
      </c>
      <c r="M42" s="62">
        <v>0.5</v>
      </c>
      <c r="N42" s="62">
        <v>1</v>
      </c>
      <c r="O42" s="61">
        <v>2.5</v>
      </c>
      <c r="P42" s="63" t="s">
        <v>110</v>
      </c>
      <c r="Q42">
        <v>2</v>
      </c>
      <c r="R42">
        <v>2</v>
      </c>
      <c r="S42">
        <v>0</v>
      </c>
      <c r="T42" s="59" t="s">
        <v>111</v>
      </c>
    </row>
    <row r="43" spans="2:20" x14ac:dyDescent="0.35">
      <c r="B43" s="55" t="s">
        <v>154</v>
      </c>
      <c r="C43" s="56" t="s">
        <v>5</v>
      </c>
      <c r="D43" s="57" t="s">
        <v>48</v>
      </c>
      <c r="E43" s="58" t="s">
        <v>115</v>
      </c>
      <c r="F43" s="58">
        <v>18.100000000000001</v>
      </c>
      <c r="G43" s="59" t="s">
        <v>134</v>
      </c>
      <c r="H43" s="60">
        <v>0</v>
      </c>
      <c r="I43" s="61">
        <v>3</v>
      </c>
      <c r="J43" s="62">
        <v>3</v>
      </c>
      <c r="K43" s="62" t="s">
        <v>1</v>
      </c>
      <c r="L43" s="62">
        <v>0</v>
      </c>
      <c r="M43" s="62">
        <v>0.5</v>
      </c>
      <c r="N43" s="62">
        <v>1</v>
      </c>
      <c r="O43" s="61">
        <v>4.5</v>
      </c>
      <c r="P43" s="63" t="s">
        <v>110</v>
      </c>
      <c r="Q43">
        <v>18.100000000000001</v>
      </c>
      <c r="R43">
        <v>18.100000000000001</v>
      </c>
      <c r="S43">
        <v>0</v>
      </c>
      <c r="T43" s="59" t="s">
        <v>117</v>
      </c>
    </row>
    <row r="44" spans="2:20" x14ac:dyDescent="0.35">
      <c r="B44" s="55" t="s">
        <v>155</v>
      </c>
      <c r="C44" s="56" t="s">
        <v>5</v>
      </c>
      <c r="D44" s="57" t="s">
        <v>49</v>
      </c>
      <c r="E44" s="58" t="s">
        <v>134</v>
      </c>
      <c r="F44" s="58">
        <v>9.1</v>
      </c>
      <c r="G44" s="59" t="s">
        <v>134</v>
      </c>
      <c r="H44" s="60">
        <v>0</v>
      </c>
      <c r="I44" s="61">
        <v>3</v>
      </c>
      <c r="J44" s="62">
        <v>3</v>
      </c>
      <c r="K44" s="62" t="s">
        <v>1</v>
      </c>
      <c r="L44" s="62">
        <v>0</v>
      </c>
      <c r="M44" s="62">
        <v>0.5</v>
      </c>
      <c r="N44" s="62">
        <v>1</v>
      </c>
      <c r="O44" s="61">
        <v>4.5</v>
      </c>
      <c r="P44" s="63" t="s">
        <v>110</v>
      </c>
      <c r="Q44">
        <v>9.1</v>
      </c>
      <c r="R44">
        <v>9.1</v>
      </c>
      <c r="S44">
        <v>0</v>
      </c>
      <c r="T44" s="59" t="s">
        <v>117</v>
      </c>
    </row>
    <row r="45" spans="2:20" x14ac:dyDescent="0.35">
      <c r="B45" s="55" t="s">
        <v>156</v>
      </c>
      <c r="C45" s="56" t="s">
        <v>5</v>
      </c>
      <c r="D45" s="57" t="s">
        <v>50</v>
      </c>
      <c r="E45" s="58" t="s">
        <v>108</v>
      </c>
      <c r="F45" s="58">
        <v>2</v>
      </c>
      <c r="G45" s="59" t="s">
        <v>134</v>
      </c>
      <c r="H45" s="60">
        <v>0</v>
      </c>
      <c r="I45" s="61">
        <v>3</v>
      </c>
      <c r="J45" s="62">
        <v>3</v>
      </c>
      <c r="K45" s="62" t="s">
        <v>1</v>
      </c>
      <c r="L45" s="62">
        <v>0</v>
      </c>
      <c r="M45" s="62">
        <v>0.5</v>
      </c>
      <c r="N45" s="62">
        <v>1</v>
      </c>
      <c r="O45" s="61">
        <v>4.5</v>
      </c>
      <c r="P45" s="63" t="s">
        <v>110</v>
      </c>
      <c r="Q45">
        <v>2</v>
      </c>
      <c r="R45">
        <v>2</v>
      </c>
      <c r="S45">
        <v>0</v>
      </c>
      <c r="T45" s="59" t="s">
        <v>117</v>
      </c>
    </row>
    <row r="46" spans="2:20" x14ac:dyDescent="0.35">
      <c r="B46" s="55" t="s">
        <v>157</v>
      </c>
      <c r="C46" s="56" t="s">
        <v>5</v>
      </c>
      <c r="D46" s="57" t="s">
        <v>51</v>
      </c>
      <c r="E46" s="58" t="s">
        <v>108</v>
      </c>
      <c r="F46" s="58">
        <v>2</v>
      </c>
      <c r="G46" s="59" t="s">
        <v>134</v>
      </c>
      <c r="H46" s="60">
        <v>0</v>
      </c>
      <c r="I46" s="61">
        <v>3</v>
      </c>
      <c r="J46" s="62">
        <v>3</v>
      </c>
      <c r="K46" s="62" t="s">
        <v>1</v>
      </c>
      <c r="L46" s="62">
        <v>0</v>
      </c>
      <c r="M46" s="62">
        <v>0.5</v>
      </c>
      <c r="N46" s="62">
        <v>1</v>
      </c>
      <c r="O46" s="61">
        <v>4.5</v>
      </c>
      <c r="P46" s="63" t="s">
        <v>110</v>
      </c>
      <c r="Q46">
        <v>2</v>
      </c>
      <c r="R46">
        <v>2</v>
      </c>
      <c r="S46">
        <v>0</v>
      </c>
      <c r="T46" s="59" t="s">
        <v>117</v>
      </c>
    </row>
    <row r="47" spans="2:20" x14ac:dyDescent="0.35">
      <c r="B47" s="55" t="s">
        <v>158</v>
      </c>
      <c r="C47" s="56" t="s">
        <v>5</v>
      </c>
      <c r="D47" s="57" t="s">
        <v>52</v>
      </c>
      <c r="E47" s="58" t="s">
        <v>108</v>
      </c>
      <c r="F47" s="58">
        <v>2</v>
      </c>
      <c r="G47" s="59" t="s">
        <v>134</v>
      </c>
      <c r="H47" s="60">
        <v>0</v>
      </c>
      <c r="I47" s="61">
        <v>3</v>
      </c>
      <c r="J47" s="62">
        <v>3</v>
      </c>
      <c r="K47" s="62" t="s">
        <v>1</v>
      </c>
      <c r="L47" s="62">
        <v>0</v>
      </c>
      <c r="M47" s="62">
        <v>0.5</v>
      </c>
      <c r="N47" s="62">
        <v>1</v>
      </c>
      <c r="O47" s="61">
        <v>4.5</v>
      </c>
      <c r="P47" s="63" t="s">
        <v>110</v>
      </c>
      <c r="Q47">
        <v>2</v>
      </c>
      <c r="R47">
        <v>2</v>
      </c>
      <c r="S47">
        <v>0</v>
      </c>
      <c r="T47" s="59" t="s">
        <v>117</v>
      </c>
    </row>
    <row r="48" spans="2:20" x14ac:dyDescent="0.35">
      <c r="B48" s="55" t="s">
        <v>159</v>
      </c>
      <c r="C48" s="56" t="s">
        <v>5</v>
      </c>
      <c r="D48" s="57" t="s">
        <v>53</v>
      </c>
      <c r="E48" s="58" t="s">
        <v>108</v>
      </c>
      <c r="F48" s="58">
        <v>2</v>
      </c>
      <c r="G48" s="59" t="s">
        <v>134</v>
      </c>
      <c r="H48" s="60">
        <v>0</v>
      </c>
      <c r="I48" s="61">
        <v>3</v>
      </c>
      <c r="J48" s="62">
        <v>3</v>
      </c>
      <c r="K48" s="62" t="s">
        <v>1</v>
      </c>
      <c r="L48" s="62">
        <v>0</v>
      </c>
      <c r="M48" s="62">
        <v>0.5</v>
      </c>
      <c r="N48" s="62">
        <v>1</v>
      </c>
      <c r="O48" s="61">
        <v>4.5</v>
      </c>
      <c r="P48" s="63" t="s">
        <v>110</v>
      </c>
      <c r="Q48">
        <v>2</v>
      </c>
      <c r="R48">
        <v>2</v>
      </c>
      <c r="S48">
        <v>0</v>
      </c>
      <c r="T48" s="59" t="s">
        <v>117</v>
      </c>
    </row>
    <row r="49" spans="2:20" x14ac:dyDescent="0.35">
      <c r="B49" s="55" t="s">
        <v>160</v>
      </c>
      <c r="C49" s="56" t="s">
        <v>5</v>
      </c>
      <c r="D49" s="57" t="s">
        <v>54</v>
      </c>
      <c r="E49" s="58" t="s">
        <v>108</v>
      </c>
      <c r="F49" s="58">
        <v>2</v>
      </c>
      <c r="G49" s="59" t="s">
        <v>134</v>
      </c>
      <c r="H49" s="60">
        <v>0</v>
      </c>
      <c r="I49" s="61">
        <v>3</v>
      </c>
      <c r="J49" s="62">
        <v>3</v>
      </c>
      <c r="K49" s="62" t="s">
        <v>1</v>
      </c>
      <c r="L49" s="62">
        <v>0</v>
      </c>
      <c r="M49" s="62">
        <v>0.5</v>
      </c>
      <c r="N49" s="62">
        <v>1</v>
      </c>
      <c r="O49" s="61">
        <v>4.5</v>
      </c>
      <c r="P49" s="63" t="s">
        <v>110</v>
      </c>
      <c r="Q49">
        <v>2</v>
      </c>
      <c r="R49">
        <v>2</v>
      </c>
      <c r="S49">
        <v>0</v>
      </c>
      <c r="T49" s="59" t="s">
        <v>117</v>
      </c>
    </row>
    <row r="50" spans="2:20" x14ac:dyDescent="0.35">
      <c r="B50" s="55" t="s">
        <v>161</v>
      </c>
      <c r="C50" s="56" t="s">
        <v>5</v>
      </c>
      <c r="D50" s="57" t="s">
        <v>55</v>
      </c>
      <c r="E50" s="58" t="s">
        <v>108</v>
      </c>
      <c r="F50" s="58">
        <v>2</v>
      </c>
      <c r="G50" s="59" t="s">
        <v>134</v>
      </c>
      <c r="H50" s="60">
        <v>0</v>
      </c>
      <c r="I50" s="61">
        <v>3</v>
      </c>
      <c r="J50" s="62">
        <v>3</v>
      </c>
      <c r="K50" s="62" t="s">
        <v>134</v>
      </c>
      <c r="L50" s="62">
        <v>0.5</v>
      </c>
      <c r="M50" s="62">
        <v>0.5</v>
      </c>
      <c r="N50" s="62">
        <v>1</v>
      </c>
      <c r="O50" s="61">
        <v>5</v>
      </c>
      <c r="P50" s="63" t="s">
        <v>110</v>
      </c>
      <c r="Q50">
        <v>2</v>
      </c>
      <c r="R50">
        <v>2</v>
      </c>
      <c r="S50">
        <v>0</v>
      </c>
      <c r="T50" s="59" t="s">
        <v>117</v>
      </c>
    </row>
    <row r="51" spans="2:20" x14ac:dyDescent="0.35">
      <c r="B51" s="55" t="s">
        <v>162</v>
      </c>
      <c r="C51" s="56" t="s">
        <v>5</v>
      </c>
      <c r="D51" s="57" t="s">
        <v>56</v>
      </c>
      <c r="E51" s="58" t="s">
        <v>108</v>
      </c>
      <c r="F51" s="58">
        <v>2</v>
      </c>
      <c r="G51" s="59" t="s">
        <v>134</v>
      </c>
      <c r="H51" s="60">
        <v>0</v>
      </c>
      <c r="I51" s="61">
        <v>3</v>
      </c>
      <c r="J51" s="62">
        <v>3</v>
      </c>
      <c r="K51" s="62" t="s">
        <v>1</v>
      </c>
      <c r="L51" s="62">
        <v>0</v>
      </c>
      <c r="M51" s="62">
        <v>0.5</v>
      </c>
      <c r="N51" s="62">
        <v>1</v>
      </c>
      <c r="O51" s="61">
        <v>4.5</v>
      </c>
      <c r="P51" s="63" t="s">
        <v>110</v>
      </c>
      <c r="Q51">
        <v>2</v>
      </c>
      <c r="R51">
        <v>2</v>
      </c>
      <c r="S51">
        <v>0</v>
      </c>
      <c r="T51" s="59" t="s">
        <v>117</v>
      </c>
    </row>
    <row r="52" spans="2:20" x14ac:dyDescent="0.35">
      <c r="B52" s="55" t="s">
        <v>163</v>
      </c>
      <c r="C52" s="56" t="s">
        <v>5</v>
      </c>
      <c r="D52" s="57" t="s">
        <v>57</v>
      </c>
      <c r="E52" s="58" t="s">
        <v>108</v>
      </c>
      <c r="F52" s="58">
        <v>2</v>
      </c>
      <c r="G52" s="59" t="s">
        <v>134</v>
      </c>
      <c r="H52" s="60">
        <v>0</v>
      </c>
      <c r="I52" s="61">
        <v>3</v>
      </c>
      <c r="J52" s="62">
        <v>3</v>
      </c>
      <c r="K52" s="62" t="s">
        <v>1</v>
      </c>
      <c r="L52" s="62">
        <v>0</v>
      </c>
      <c r="M52" s="62">
        <v>0.5</v>
      </c>
      <c r="N52" s="62">
        <v>1</v>
      </c>
      <c r="O52" s="61">
        <v>4.5</v>
      </c>
      <c r="P52" s="63" t="s">
        <v>110</v>
      </c>
      <c r="Q52">
        <v>2</v>
      </c>
      <c r="R52">
        <v>2</v>
      </c>
      <c r="S52">
        <v>0</v>
      </c>
      <c r="T52" s="59" t="s">
        <v>117</v>
      </c>
    </row>
    <row r="53" spans="2:20" x14ac:dyDescent="0.35">
      <c r="B53" s="55" t="s">
        <v>164</v>
      </c>
      <c r="C53" s="56" t="s">
        <v>5</v>
      </c>
      <c r="D53" s="57" t="s">
        <v>58</v>
      </c>
      <c r="E53" s="58" t="s">
        <v>115</v>
      </c>
      <c r="F53" s="58">
        <v>18.100000000000001</v>
      </c>
      <c r="G53" s="59" t="s">
        <v>134</v>
      </c>
      <c r="H53" s="60">
        <v>0</v>
      </c>
      <c r="I53" s="61">
        <v>3</v>
      </c>
      <c r="J53" s="62">
        <v>3</v>
      </c>
      <c r="K53" s="62" t="s">
        <v>134</v>
      </c>
      <c r="L53" s="62">
        <v>0.5</v>
      </c>
      <c r="M53" s="62">
        <v>0.5</v>
      </c>
      <c r="N53" s="62">
        <v>1</v>
      </c>
      <c r="O53" s="61">
        <v>5</v>
      </c>
      <c r="P53" s="63" t="s">
        <v>110</v>
      </c>
      <c r="Q53">
        <v>18.100000000000001</v>
      </c>
      <c r="R53">
        <v>18.100000000000001</v>
      </c>
      <c r="S53">
        <v>0</v>
      </c>
      <c r="T53" s="59" t="s">
        <v>117</v>
      </c>
    </row>
    <row r="54" spans="2:20" x14ac:dyDescent="0.35">
      <c r="B54" s="55" t="s">
        <v>165</v>
      </c>
      <c r="C54" s="56" t="s">
        <v>5</v>
      </c>
      <c r="D54" s="57" t="s">
        <v>27</v>
      </c>
      <c r="E54" s="58" t="s">
        <v>108</v>
      </c>
      <c r="F54" s="58">
        <v>2</v>
      </c>
      <c r="G54" s="59" t="s">
        <v>109</v>
      </c>
      <c r="H54" s="60">
        <v>0</v>
      </c>
      <c r="I54" s="61">
        <v>1</v>
      </c>
      <c r="J54" s="62">
        <v>1</v>
      </c>
      <c r="K54" s="62" t="s">
        <v>1</v>
      </c>
      <c r="L54" s="62">
        <v>0</v>
      </c>
      <c r="M54" s="62">
        <v>0.5</v>
      </c>
      <c r="N54" s="62">
        <v>1</v>
      </c>
      <c r="O54" s="61">
        <v>2.5</v>
      </c>
      <c r="P54" s="63" t="s">
        <v>110</v>
      </c>
      <c r="Q54">
        <v>2</v>
      </c>
      <c r="R54">
        <v>2</v>
      </c>
      <c r="S54">
        <v>0</v>
      </c>
      <c r="T54" s="59" t="s">
        <v>111</v>
      </c>
    </row>
    <row r="55" spans="2:20" x14ac:dyDescent="0.35">
      <c r="B55" s="55" t="s">
        <v>166</v>
      </c>
      <c r="C55" s="56" t="s">
        <v>5</v>
      </c>
      <c r="D55" s="66" t="s">
        <v>59</v>
      </c>
      <c r="E55" s="58" t="s">
        <v>134</v>
      </c>
      <c r="F55" s="58">
        <v>11.1</v>
      </c>
      <c r="G55" s="59" t="s">
        <v>109</v>
      </c>
      <c r="H55" s="61">
        <v>1</v>
      </c>
      <c r="I55" s="61">
        <v>1</v>
      </c>
      <c r="J55" s="62">
        <v>1</v>
      </c>
      <c r="K55" s="62" t="s">
        <v>109</v>
      </c>
      <c r="L55" s="62">
        <v>0.5</v>
      </c>
      <c r="M55" s="62">
        <v>0.5</v>
      </c>
      <c r="N55" s="62">
        <v>1</v>
      </c>
      <c r="O55" s="61">
        <v>3</v>
      </c>
      <c r="P55" s="63" t="s">
        <v>110</v>
      </c>
      <c r="Q55">
        <v>11.1</v>
      </c>
      <c r="R55">
        <v>11.1</v>
      </c>
      <c r="S55">
        <v>0</v>
      </c>
      <c r="T55" s="59" t="s">
        <v>117</v>
      </c>
    </row>
    <row r="56" spans="2:20" x14ac:dyDescent="0.35">
      <c r="B56" s="55" t="s">
        <v>167</v>
      </c>
      <c r="C56" s="56" t="s">
        <v>60</v>
      </c>
      <c r="D56" s="57" t="s">
        <v>6</v>
      </c>
      <c r="E56" s="58" t="s">
        <v>108</v>
      </c>
      <c r="F56" s="58">
        <v>12.1</v>
      </c>
      <c r="G56" s="59" t="s">
        <v>109</v>
      </c>
      <c r="H56" s="61">
        <v>1</v>
      </c>
      <c r="I56" s="61">
        <v>1</v>
      </c>
      <c r="J56" s="62">
        <v>1</v>
      </c>
      <c r="K56" s="62" t="s">
        <v>1</v>
      </c>
      <c r="L56" s="62">
        <v>0</v>
      </c>
      <c r="M56" s="62">
        <v>0.5</v>
      </c>
      <c r="N56" s="62">
        <v>1</v>
      </c>
      <c r="O56" s="61">
        <v>2.5</v>
      </c>
      <c r="P56" s="63" t="s">
        <v>110</v>
      </c>
      <c r="Q56">
        <v>12.1</v>
      </c>
      <c r="R56">
        <v>12.1</v>
      </c>
      <c r="S56">
        <v>0</v>
      </c>
      <c r="T56" s="59" t="s">
        <v>117</v>
      </c>
    </row>
    <row r="57" spans="2:20" x14ac:dyDescent="0.35">
      <c r="B57" s="55" t="s">
        <v>168</v>
      </c>
      <c r="C57" s="56" t="s">
        <v>60</v>
      </c>
      <c r="D57" s="57" t="s">
        <v>8</v>
      </c>
      <c r="E57" s="58" t="s">
        <v>108</v>
      </c>
      <c r="F57" s="58">
        <v>7</v>
      </c>
      <c r="G57" s="59" t="s">
        <v>109</v>
      </c>
      <c r="H57" s="61">
        <v>1</v>
      </c>
      <c r="I57" s="61">
        <v>1</v>
      </c>
      <c r="J57" s="62">
        <v>1</v>
      </c>
      <c r="K57" s="62" t="s">
        <v>1</v>
      </c>
      <c r="L57" s="62">
        <v>0</v>
      </c>
      <c r="M57" s="62">
        <v>0.5</v>
      </c>
      <c r="N57" s="62">
        <v>1</v>
      </c>
      <c r="O57" s="61">
        <v>2.5</v>
      </c>
      <c r="P57" s="63" t="s">
        <v>110</v>
      </c>
      <c r="Q57">
        <v>7</v>
      </c>
      <c r="R57">
        <v>7</v>
      </c>
      <c r="S57">
        <v>0</v>
      </c>
      <c r="T57" s="59" t="s">
        <v>117</v>
      </c>
    </row>
    <row r="58" spans="2:20" x14ac:dyDescent="0.35">
      <c r="B58" s="55" t="s">
        <v>169</v>
      </c>
      <c r="C58" s="56" t="s">
        <v>60</v>
      </c>
      <c r="D58" s="57" t="s">
        <v>32</v>
      </c>
      <c r="E58" s="58" t="s">
        <v>108</v>
      </c>
      <c r="F58" s="58">
        <v>25.200000000000003</v>
      </c>
      <c r="G58" s="59" t="s">
        <v>109</v>
      </c>
      <c r="H58" s="61">
        <v>1</v>
      </c>
      <c r="I58" s="61">
        <v>1</v>
      </c>
      <c r="J58" s="62">
        <v>1</v>
      </c>
      <c r="K58" s="62" t="s">
        <v>1</v>
      </c>
      <c r="L58" s="62">
        <v>0</v>
      </c>
      <c r="M58" s="62">
        <v>0.5</v>
      </c>
      <c r="N58" s="62">
        <v>1</v>
      </c>
      <c r="O58" s="61">
        <v>2.5</v>
      </c>
      <c r="P58" s="63" t="s">
        <v>110</v>
      </c>
      <c r="Q58">
        <v>25.200000000000003</v>
      </c>
      <c r="R58">
        <v>25.200000000000003</v>
      </c>
      <c r="S58">
        <v>0</v>
      </c>
      <c r="T58" s="59" t="s">
        <v>117</v>
      </c>
    </row>
    <row r="59" spans="2:20" x14ac:dyDescent="0.35">
      <c r="B59" s="55" t="s">
        <v>170</v>
      </c>
      <c r="C59" s="56" t="s">
        <v>60</v>
      </c>
      <c r="D59" s="57" t="s">
        <v>61</v>
      </c>
      <c r="E59" s="58" t="s">
        <v>108</v>
      </c>
      <c r="F59" s="58">
        <v>2</v>
      </c>
      <c r="G59" s="59" t="s">
        <v>109</v>
      </c>
      <c r="H59" s="61">
        <v>1</v>
      </c>
      <c r="I59" s="61">
        <v>1</v>
      </c>
      <c r="J59" s="62">
        <v>1</v>
      </c>
      <c r="K59" s="62" t="s">
        <v>1</v>
      </c>
      <c r="L59" s="62">
        <v>0</v>
      </c>
      <c r="M59" s="62">
        <v>0.5</v>
      </c>
      <c r="N59" s="62">
        <v>1</v>
      </c>
      <c r="O59" s="61">
        <v>2.5</v>
      </c>
      <c r="P59" s="63" t="s">
        <v>110</v>
      </c>
      <c r="Q59">
        <v>2</v>
      </c>
      <c r="R59">
        <v>2</v>
      </c>
      <c r="S59">
        <v>0</v>
      </c>
      <c r="T59" s="59" t="s">
        <v>117</v>
      </c>
    </row>
    <row r="60" spans="2:20" x14ac:dyDescent="0.35">
      <c r="B60" s="55" t="s">
        <v>171</v>
      </c>
      <c r="C60" s="56" t="s">
        <v>60</v>
      </c>
      <c r="D60" s="57" t="s">
        <v>62</v>
      </c>
      <c r="E60" s="58" t="s">
        <v>115</v>
      </c>
      <c r="F60" s="58">
        <v>18.100000000000001</v>
      </c>
      <c r="G60" s="59" t="s">
        <v>109</v>
      </c>
      <c r="H60" s="60">
        <v>0</v>
      </c>
      <c r="I60" s="61">
        <v>1</v>
      </c>
      <c r="J60" s="62">
        <v>1</v>
      </c>
      <c r="K60" s="62" t="s">
        <v>109</v>
      </c>
      <c r="L60" s="62">
        <v>0.5</v>
      </c>
      <c r="M60" s="62">
        <v>0.5</v>
      </c>
      <c r="N60" s="62">
        <v>1</v>
      </c>
      <c r="O60" s="61">
        <v>3</v>
      </c>
      <c r="P60" s="63" t="s">
        <v>136</v>
      </c>
      <c r="Q60">
        <v>18.100000000000001</v>
      </c>
      <c r="R60">
        <v>0</v>
      </c>
      <c r="S60">
        <v>18.100000000000001</v>
      </c>
      <c r="T60" s="59" t="s">
        <v>117</v>
      </c>
    </row>
    <row r="61" spans="2:20" x14ac:dyDescent="0.35">
      <c r="B61" s="55" t="s">
        <v>172</v>
      </c>
      <c r="C61" s="56" t="s">
        <v>63</v>
      </c>
      <c r="D61" s="57" t="s">
        <v>6</v>
      </c>
      <c r="E61" s="58" t="s">
        <v>108</v>
      </c>
      <c r="F61" s="58">
        <v>12.1</v>
      </c>
      <c r="G61" s="59" t="s">
        <v>109</v>
      </c>
      <c r="H61" s="61">
        <v>1</v>
      </c>
      <c r="I61" s="61">
        <v>1</v>
      </c>
      <c r="J61" s="62">
        <v>1</v>
      </c>
      <c r="K61" s="62" t="s">
        <v>1</v>
      </c>
      <c r="L61" s="62">
        <v>0</v>
      </c>
      <c r="M61" s="62">
        <v>0.5</v>
      </c>
      <c r="N61" s="62">
        <v>1</v>
      </c>
      <c r="O61" s="61">
        <v>2.5</v>
      </c>
      <c r="P61" s="63" t="s">
        <v>110</v>
      </c>
      <c r="Q61">
        <v>12.1</v>
      </c>
      <c r="R61">
        <v>12.1</v>
      </c>
      <c r="S61">
        <v>0</v>
      </c>
      <c r="T61" s="59" t="s">
        <v>117</v>
      </c>
    </row>
    <row r="62" spans="2:20" x14ac:dyDescent="0.35">
      <c r="B62" s="55" t="s">
        <v>173</v>
      </c>
      <c r="C62" s="56" t="s">
        <v>63</v>
      </c>
      <c r="D62" s="57" t="s">
        <v>8</v>
      </c>
      <c r="E62" s="58" t="s">
        <v>108</v>
      </c>
      <c r="F62" s="58">
        <v>7</v>
      </c>
      <c r="G62" s="59" t="s">
        <v>109</v>
      </c>
      <c r="H62" s="61">
        <v>1</v>
      </c>
      <c r="I62" s="61">
        <v>1</v>
      </c>
      <c r="J62" s="62">
        <v>1</v>
      </c>
      <c r="K62" s="62" t="s">
        <v>1</v>
      </c>
      <c r="L62" s="62">
        <v>0</v>
      </c>
      <c r="M62" s="62">
        <v>0.5</v>
      </c>
      <c r="N62" s="62">
        <v>1</v>
      </c>
      <c r="O62" s="61">
        <v>2.5</v>
      </c>
      <c r="P62" s="63" t="s">
        <v>110</v>
      </c>
      <c r="Q62">
        <v>7</v>
      </c>
      <c r="R62">
        <v>7</v>
      </c>
      <c r="S62">
        <v>0</v>
      </c>
      <c r="T62" s="59" t="s">
        <v>117</v>
      </c>
    </row>
    <row r="63" spans="2:20" x14ac:dyDescent="0.35">
      <c r="B63" s="55" t="s">
        <v>174</v>
      </c>
      <c r="C63" s="56" t="s">
        <v>63</v>
      </c>
      <c r="D63" s="57" t="s">
        <v>61</v>
      </c>
      <c r="E63" s="58" t="s">
        <v>108</v>
      </c>
      <c r="F63" s="58">
        <v>2</v>
      </c>
      <c r="G63" s="59" t="s">
        <v>109</v>
      </c>
      <c r="H63" s="61">
        <v>1</v>
      </c>
      <c r="I63" s="61">
        <v>1</v>
      </c>
      <c r="J63" s="62">
        <v>1</v>
      </c>
      <c r="K63" s="62" t="s">
        <v>1</v>
      </c>
      <c r="L63" s="62">
        <v>0</v>
      </c>
      <c r="M63" s="62">
        <v>0.5</v>
      </c>
      <c r="N63" s="62">
        <v>1</v>
      </c>
      <c r="O63" s="61">
        <v>2.5</v>
      </c>
      <c r="P63" s="63" t="s">
        <v>110</v>
      </c>
      <c r="Q63">
        <v>2</v>
      </c>
      <c r="R63">
        <v>2</v>
      </c>
      <c r="S63">
        <v>0</v>
      </c>
      <c r="T63" s="59" t="s">
        <v>117</v>
      </c>
    </row>
    <row r="64" spans="2:20" x14ac:dyDescent="0.35">
      <c r="B64" s="55" t="s">
        <v>175</v>
      </c>
      <c r="C64" s="56" t="s">
        <v>63</v>
      </c>
      <c r="D64" s="65" t="s">
        <v>64</v>
      </c>
      <c r="E64" s="58" t="s">
        <v>108</v>
      </c>
      <c r="F64" s="58">
        <v>1</v>
      </c>
      <c r="G64" s="59" t="s">
        <v>109</v>
      </c>
      <c r="H64" s="61">
        <v>1</v>
      </c>
      <c r="I64" s="61">
        <v>1</v>
      </c>
      <c r="J64" s="62">
        <v>1</v>
      </c>
      <c r="K64" s="62" t="s">
        <v>109</v>
      </c>
      <c r="L64" s="62">
        <v>0.5</v>
      </c>
      <c r="M64" s="62">
        <v>0.5</v>
      </c>
      <c r="N64" s="62">
        <v>1</v>
      </c>
      <c r="O64" s="61">
        <v>3</v>
      </c>
      <c r="P64" s="63" t="s">
        <v>110</v>
      </c>
      <c r="Q64">
        <v>1</v>
      </c>
      <c r="R64">
        <v>1</v>
      </c>
      <c r="S64">
        <v>0</v>
      </c>
      <c r="T64" s="59" t="s">
        <v>117</v>
      </c>
    </row>
    <row r="65" spans="2:20" x14ac:dyDescent="0.35">
      <c r="B65" s="55" t="s">
        <v>176</v>
      </c>
      <c r="C65" s="56" t="s">
        <v>63</v>
      </c>
      <c r="D65" s="57" t="s">
        <v>65</v>
      </c>
      <c r="E65" s="58" t="s">
        <v>108</v>
      </c>
      <c r="F65" s="58">
        <v>1</v>
      </c>
      <c r="G65" s="59" t="s">
        <v>109</v>
      </c>
      <c r="H65" s="61">
        <v>1</v>
      </c>
      <c r="I65" s="61">
        <v>1</v>
      </c>
      <c r="J65" s="62">
        <v>1</v>
      </c>
      <c r="K65" s="62" t="s">
        <v>1</v>
      </c>
      <c r="L65" s="62">
        <v>0</v>
      </c>
      <c r="M65" s="62">
        <v>0.5</v>
      </c>
      <c r="N65" s="62">
        <v>1</v>
      </c>
      <c r="O65" s="61">
        <v>2.5</v>
      </c>
      <c r="P65" s="63" t="s">
        <v>110</v>
      </c>
      <c r="Q65">
        <v>1</v>
      </c>
      <c r="R65">
        <v>1</v>
      </c>
      <c r="S65">
        <v>0</v>
      </c>
      <c r="T65" s="59" t="s">
        <v>117</v>
      </c>
    </row>
    <row r="66" spans="2:20" x14ac:dyDescent="0.35">
      <c r="B66" s="55" t="s">
        <v>177</v>
      </c>
      <c r="C66" s="56" t="s">
        <v>63</v>
      </c>
      <c r="D66" s="67" t="s">
        <v>66</v>
      </c>
      <c r="E66" s="58" t="s">
        <v>115</v>
      </c>
      <c r="F66" s="58">
        <v>18.100000000000001</v>
      </c>
      <c r="G66" s="59" t="s">
        <v>108</v>
      </c>
      <c r="H66" s="61">
        <v>2</v>
      </c>
      <c r="I66" s="61">
        <v>1.5</v>
      </c>
      <c r="J66" s="62">
        <v>1.5</v>
      </c>
      <c r="K66" s="62" t="s">
        <v>108</v>
      </c>
      <c r="L66" s="62">
        <v>0.5</v>
      </c>
      <c r="M66" s="62">
        <v>0.5</v>
      </c>
      <c r="N66" s="62">
        <v>1</v>
      </c>
      <c r="O66" s="61">
        <v>3.5</v>
      </c>
      <c r="P66" s="63" t="s">
        <v>110</v>
      </c>
      <c r="Q66">
        <v>18.100000000000001</v>
      </c>
      <c r="R66">
        <v>18.100000000000001</v>
      </c>
      <c r="S66">
        <v>0</v>
      </c>
      <c r="T66" s="59" t="s">
        <v>117</v>
      </c>
    </row>
    <row r="67" spans="2:20" x14ac:dyDescent="0.35">
      <c r="B67" s="55" t="s">
        <v>178</v>
      </c>
      <c r="C67" s="56" t="s">
        <v>67</v>
      </c>
      <c r="D67" s="67" t="s">
        <v>6</v>
      </c>
      <c r="E67" s="58" t="s">
        <v>134</v>
      </c>
      <c r="F67" s="58">
        <v>12.1</v>
      </c>
      <c r="G67" s="59" t="s">
        <v>109</v>
      </c>
      <c r="H67" s="60">
        <v>0</v>
      </c>
      <c r="I67" s="61">
        <v>1</v>
      </c>
      <c r="J67" s="62">
        <v>1</v>
      </c>
      <c r="K67" s="62" t="s">
        <v>1</v>
      </c>
      <c r="L67" s="62">
        <v>0</v>
      </c>
      <c r="M67" s="62">
        <v>0.5</v>
      </c>
      <c r="N67" s="62">
        <v>1</v>
      </c>
      <c r="O67" s="61">
        <v>2.5</v>
      </c>
      <c r="P67" s="63" t="s">
        <v>136</v>
      </c>
      <c r="Q67">
        <v>12.1</v>
      </c>
      <c r="R67">
        <v>0</v>
      </c>
      <c r="S67">
        <v>12.1</v>
      </c>
      <c r="T67" s="59" t="s">
        <v>117</v>
      </c>
    </row>
    <row r="68" spans="2:20" x14ac:dyDescent="0.35">
      <c r="B68" s="55" t="s">
        <v>179</v>
      </c>
      <c r="C68" s="56" t="s">
        <v>67</v>
      </c>
      <c r="D68" s="67" t="s">
        <v>8</v>
      </c>
      <c r="E68" s="58" t="s">
        <v>108</v>
      </c>
      <c r="F68" s="58">
        <v>7</v>
      </c>
      <c r="G68" s="59" t="s">
        <v>109</v>
      </c>
      <c r="H68" s="60">
        <v>0</v>
      </c>
      <c r="I68" s="61">
        <v>1</v>
      </c>
      <c r="J68" s="62">
        <v>1</v>
      </c>
      <c r="K68" s="62" t="s">
        <v>1</v>
      </c>
      <c r="L68" s="62">
        <v>0</v>
      </c>
      <c r="M68" s="62">
        <v>0.5</v>
      </c>
      <c r="N68" s="62">
        <v>1</v>
      </c>
      <c r="O68" s="61">
        <v>2.5</v>
      </c>
      <c r="P68" s="63" t="s">
        <v>136</v>
      </c>
      <c r="Q68">
        <v>7</v>
      </c>
      <c r="R68">
        <v>0</v>
      </c>
      <c r="S68">
        <v>7</v>
      </c>
      <c r="T68" s="59" t="s">
        <v>117</v>
      </c>
    </row>
    <row r="69" spans="2:20" x14ac:dyDescent="0.35">
      <c r="B69" s="55" t="s">
        <v>180</v>
      </c>
      <c r="C69" s="56" t="s">
        <v>67</v>
      </c>
      <c r="D69" s="67" t="s">
        <v>32</v>
      </c>
      <c r="E69" s="58" t="s">
        <v>134</v>
      </c>
      <c r="F69" s="58">
        <v>25.200000000000003</v>
      </c>
      <c r="G69" s="59" t="s">
        <v>109</v>
      </c>
      <c r="H69" s="60">
        <v>0</v>
      </c>
      <c r="I69" s="61">
        <v>1</v>
      </c>
      <c r="J69" s="62">
        <v>1</v>
      </c>
      <c r="K69" s="62" t="s">
        <v>1</v>
      </c>
      <c r="L69" s="62">
        <v>0</v>
      </c>
      <c r="M69" s="62">
        <v>0.5</v>
      </c>
      <c r="N69" s="62">
        <v>1</v>
      </c>
      <c r="O69" s="61">
        <v>2.5</v>
      </c>
      <c r="P69" s="63" t="s">
        <v>136</v>
      </c>
      <c r="Q69">
        <v>25.200000000000003</v>
      </c>
      <c r="R69">
        <v>0</v>
      </c>
      <c r="S69">
        <v>25.200000000000003</v>
      </c>
      <c r="T69" s="59" t="s">
        <v>117</v>
      </c>
    </row>
    <row r="70" spans="2:20" x14ac:dyDescent="0.35">
      <c r="B70" s="55" t="s">
        <v>181</v>
      </c>
      <c r="C70" s="56" t="s">
        <v>67</v>
      </c>
      <c r="D70" s="67" t="s">
        <v>68</v>
      </c>
      <c r="E70" s="58" t="s">
        <v>115</v>
      </c>
      <c r="F70" s="58">
        <v>18.100000000000001</v>
      </c>
      <c r="G70" s="64" t="s">
        <v>115</v>
      </c>
      <c r="H70" s="60">
        <v>0</v>
      </c>
      <c r="I70" s="64">
        <v>8</v>
      </c>
      <c r="J70" s="62">
        <v>1.5</v>
      </c>
      <c r="K70" s="62" t="s">
        <v>108</v>
      </c>
      <c r="L70" s="62">
        <v>0.5</v>
      </c>
      <c r="M70" s="62">
        <v>0.5</v>
      </c>
      <c r="N70" s="62">
        <v>1</v>
      </c>
      <c r="O70" s="64">
        <v>10</v>
      </c>
      <c r="P70" s="63" t="s">
        <v>136</v>
      </c>
      <c r="Q70">
        <v>18.100000000000001</v>
      </c>
      <c r="R70">
        <v>0</v>
      </c>
      <c r="S70">
        <v>18.100000000000001</v>
      </c>
      <c r="T70" s="59" t="s">
        <v>117</v>
      </c>
    </row>
    <row r="71" spans="2:20" x14ac:dyDescent="0.35">
      <c r="B71" s="55" t="s">
        <v>182</v>
      </c>
      <c r="C71" s="56" t="s">
        <v>67</v>
      </c>
      <c r="D71" s="67" t="s">
        <v>69</v>
      </c>
      <c r="E71" s="58" t="s">
        <v>108</v>
      </c>
      <c r="F71" s="58">
        <v>1</v>
      </c>
      <c r="G71" s="59" t="s">
        <v>109</v>
      </c>
      <c r="H71" s="61">
        <v>1</v>
      </c>
      <c r="I71" s="61">
        <v>1</v>
      </c>
      <c r="J71" s="62">
        <v>1</v>
      </c>
      <c r="K71" s="62" t="s">
        <v>1</v>
      </c>
      <c r="L71" s="62">
        <v>0</v>
      </c>
      <c r="M71" s="62">
        <v>0.5</v>
      </c>
      <c r="N71" s="62">
        <v>1</v>
      </c>
      <c r="O71" s="61">
        <v>2.5</v>
      </c>
      <c r="P71" s="63" t="s">
        <v>110</v>
      </c>
      <c r="Q71">
        <v>1</v>
      </c>
      <c r="R71">
        <v>1</v>
      </c>
      <c r="S71">
        <v>0</v>
      </c>
      <c r="T71" s="59" t="s">
        <v>117</v>
      </c>
    </row>
    <row r="72" spans="2:20" x14ac:dyDescent="0.35">
      <c r="B72" s="55" t="s">
        <v>183</v>
      </c>
      <c r="C72" s="56" t="s">
        <v>67</v>
      </c>
      <c r="D72" s="67" t="s">
        <v>70</v>
      </c>
      <c r="E72" s="58" t="s">
        <v>115</v>
      </c>
      <c r="F72" s="58">
        <v>18.100000000000001</v>
      </c>
      <c r="G72" s="64" t="s">
        <v>115</v>
      </c>
      <c r="H72" s="60">
        <v>0</v>
      </c>
      <c r="I72" s="64">
        <v>8</v>
      </c>
      <c r="J72" s="62">
        <v>1.5</v>
      </c>
      <c r="K72" s="62" t="s">
        <v>108</v>
      </c>
      <c r="L72" s="62">
        <v>0.5</v>
      </c>
      <c r="M72" s="62">
        <v>0.5</v>
      </c>
      <c r="N72" s="62">
        <v>1</v>
      </c>
      <c r="O72" s="64">
        <v>10</v>
      </c>
      <c r="P72" s="63" t="s">
        <v>136</v>
      </c>
      <c r="Q72">
        <v>18.100000000000001</v>
      </c>
      <c r="R72">
        <v>0</v>
      </c>
      <c r="S72">
        <v>18.100000000000001</v>
      </c>
      <c r="T72" s="5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2FBA-52F9-4200-9D42-0B4ABF65F259}">
  <dimension ref="A1:AL29"/>
  <sheetViews>
    <sheetView showGridLines="0" topLeftCell="A7" zoomScale="80" zoomScaleNormal="80" workbookViewId="0">
      <selection activeCell="T10" sqref="T10:U10"/>
    </sheetView>
  </sheetViews>
  <sheetFormatPr defaultColWidth="0" defaultRowHeight="14.5" x14ac:dyDescent="0.35"/>
  <cols>
    <col min="1" max="1" width="3.6328125" customWidth="1"/>
    <col min="2" max="2" width="16" customWidth="1"/>
    <col min="3" max="16" width="3.6328125" customWidth="1"/>
    <col min="17" max="17" width="6.1796875" customWidth="1"/>
    <col min="18" max="34" width="3.6328125" customWidth="1"/>
    <col min="35" max="35" width="8.7265625" hidden="1" customWidth="1"/>
    <col min="36" max="38" width="0" hidden="1" customWidth="1"/>
    <col min="39" max="16384" width="8.7265625" hidden="1"/>
  </cols>
  <sheetData>
    <row r="1" spans="1:38" ht="15" customHeight="1" x14ac:dyDescent="0.55000000000000004">
      <c r="D1" s="1"/>
      <c r="E1" s="1"/>
      <c r="F1" s="1"/>
      <c r="G1" s="1"/>
      <c r="H1" s="1"/>
      <c r="I1" s="2"/>
      <c r="J1" s="1"/>
      <c r="K1" s="1"/>
      <c r="L1" s="3"/>
      <c r="M1" s="1"/>
      <c r="N1" s="3"/>
      <c r="O1" s="3"/>
      <c r="P1" s="3"/>
      <c r="Q1" s="1"/>
      <c r="R1" s="1"/>
      <c r="S1" s="3"/>
      <c r="T1" s="1"/>
    </row>
    <row r="2" spans="1:38" ht="15.5" x14ac:dyDescent="0.45">
      <c r="D2" s="1"/>
      <c r="E2" s="1"/>
      <c r="F2" s="1"/>
      <c r="G2" s="1"/>
      <c r="H2" s="1"/>
      <c r="I2" s="4"/>
      <c r="J2" s="1"/>
      <c r="K2" s="1"/>
      <c r="L2" s="1"/>
      <c r="M2" s="1"/>
      <c r="N2" s="1"/>
      <c r="O2" s="1"/>
      <c r="P2" s="1"/>
      <c r="Q2" s="1"/>
      <c r="R2" s="1"/>
      <c r="S2" s="245"/>
      <c r="T2" s="245"/>
    </row>
    <row r="3" spans="1:38" ht="15.5" x14ac:dyDescent="0.45">
      <c r="D3" s="1"/>
      <c r="E3" s="1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  <c r="S3" s="245"/>
      <c r="T3" s="245"/>
    </row>
    <row r="4" spans="1:38" ht="3" customHeight="1" x14ac:dyDescent="0.45">
      <c r="A4" s="100"/>
      <c r="B4" s="100"/>
      <c r="C4" s="100"/>
      <c r="D4" s="173"/>
      <c r="E4" s="173"/>
      <c r="F4" s="173"/>
      <c r="G4" s="173"/>
      <c r="H4" s="173"/>
      <c r="I4" s="174"/>
      <c r="J4" s="173"/>
      <c r="K4" s="173"/>
      <c r="L4" s="173"/>
      <c r="M4" s="173"/>
      <c r="N4" s="173"/>
      <c r="O4" s="173"/>
      <c r="P4" s="173"/>
      <c r="Q4" s="173"/>
      <c r="R4" s="173"/>
      <c r="S4" s="246"/>
      <c r="T4" s="246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</row>
    <row r="5" spans="1:38" ht="15.5" x14ac:dyDescent="0.45">
      <c r="D5" s="1"/>
      <c r="E5" s="1"/>
      <c r="F5" s="1"/>
      <c r="G5" s="1"/>
      <c r="H5" s="1"/>
      <c r="I5" s="4"/>
      <c r="J5" s="1"/>
      <c r="K5" s="1"/>
      <c r="L5" s="1"/>
      <c r="M5" s="1"/>
      <c r="N5" s="1"/>
      <c r="O5" s="1"/>
      <c r="P5" s="1"/>
      <c r="Q5" s="1"/>
      <c r="R5" s="1"/>
      <c r="S5" s="245"/>
      <c r="T5" s="245"/>
    </row>
    <row r="6" spans="1:38" ht="18" x14ac:dyDescent="0.55000000000000004">
      <c r="C6" s="168" t="s">
        <v>293</v>
      </c>
      <c r="D6" s="1" t="s">
        <v>294</v>
      </c>
      <c r="F6" s="1"/>
      <c r="G6" s="1"/>
      <c r="H6" s="1"/>
      <c r="I6" s="2"/>
      <c r="J6" s="1"/>
      <c r="K6" s="1"/>
      <c r="L6" s="3" t="s">
        <v>295</v>
      </c>
      <c r="N6" s="3" t="s">
        <v>296</v>
      </c>
      <c r="O6" s="1"/>
      <c r="Q6" s="3" t="s">
        <v>297</v>
      </c>
      <c r="S6" s="1"/>
    </row>
    <row r="7" spans="1:38" ht="15.5" x14ac:dyDescent="0.45">
      <c r="C7" s="169" t="s">
        <v>298</v>
      </c>
      <c r="D7" s="1" t="s">
        <v>305</v>
      </c>
      <c r="F7" s="1"/>
      <c r="G7" s="1"/>
      <c r="H7" s="1"/>
      <c r="I7" s="4" t="s">
        <v>302</v>
      </c>
      <c r="J7" s="1"/>
      <c r="K7" s="1"/>
      <c r="L7" s="190" t="s">
        <v>306</v>
      </c>
      <c r="N7" s="190" t="s">
        <v>306</v>
      </c>
      <c r="O7" s="1"/>
      <c r="Q7" s="191">
        <v>45814</v>
      </c>
      <c r="S7" s="5"/>
    </row>
    <row r="8" spans="1:38" ht="15.5" x14ac:dyDescent="0.45">
      <c r="C8" s="170" t="s">
        <v>299</v>
      </c>
      <c r="D8" s="1" t="s">
        <v>297</v>
      </c>
      <c r="F8" s="1"/>
      <c r="G8" s="1"/>
      <c r="H8" s="1"/>
      <c r="I8" s="4" t="s">
        <v>303</v>
      </c>
      <c r="J8" s="1"/>
      <c r="K8" s="1"/>
      <c r="L8" s="190">
        <f>22+4</f>
        <v>26</v>
      </c>
      <c r="N8" s="190">
        <v>22</v>
      </c>
      <c r="O8" s="1"/>
      <c r="Q8" s="191">
        <v>45814</v>
      </c>
      <c r="S8" s="5"/>
    </row>
    <row r="9" spans="1:38" ht="15.5" x14ac:dyDescent="0.45">
      <c r="C9" s="171"/>
      <c r="D9" s="1" t="s">
        <v>300</v>
      </c>
      <c r="F9" s="1"/>
      <c r="G9" s="1"/>
      <c r="H9" s="1"/>
      <c r="I9" s="1"/>
      <c r="J9" s="4"/>
      <c r="K9" s="1"/>
      <c r="L9" s="1"/>
      <c r="M9" s="1"/>
      <c r="N9" s="1"/>
      <c r="O9" s="1"/>
      <c r="P9" s="1"/>
      <c r="Q9" s="1"/>
      <c r="R9" s="1"/>
      <c r="S9" s="1"/>
      <c r="T9" s="245"/>
      <c r="U9" s="245"/>
    </row>
    <row r="10" spans="1:38" ht="15.5" x14ac:dyDescent="0.45">
      <c r="C10" s="172"/>
      <c r="D10" s="1" t="s">
        <v>301</v>
      </c>
      <c r="F10" s="1"/>
      <c r="G10" s="1"/>
      <c r="H10" s="1"/>
      <c r="I10" s="1"/>
      <c r="J10" s="4"/>
      <c r="K10" s="1"/>
      <c r="L10" s="1"/>
      <c r="M10" s="1"/>
      <c r="N10" s="1"/>
      <c r="O10" s="1"/>
      <c r="P10" s="1"/>
      <c r="Q10" s="1"/>
      <c r="R10" s="1"/>
      <c r="S10" s="1"/>
      <c r="T10" s="245"/>
      <c r="U10" s="245"/>
    </row>
    <row r="11" spans="1:38" ht="15.5" x14ac:dyDescent="0.45">
      <c r="D11" s="1"/>
      <c r="E11" s="1"/>
      <c r="F11" s="1"/>
      <c r="G11" s="1"/>
      <c r="H11" s="1"/>
      <c r="I11" s="1"/>
      <c r="J11" s="4"/>
      <c r="K11" s="1"/>
      <c r="L11" s="1"/>
      <c r="M11" s="1"/>
      <c r="N11" s="1"/>
      <c r="O11" s="1"/>
      <c r="P11" s="1"/>
      <c r="Q11" s="1"/>
      <c r="R11" s="1"/>
      <c r="S11" s="1"/>
      <c r="T11" s="245"/>
      <c r="U11" s="245"/>
    </row>
    <row r="13" spans="1:38" ht="18" x14ac:dyDescent="0.55000000000000004">
      <c r="C13" s="183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5" t="s">
        <v>85</v>
      </c>
      <c r="R13" s="184"/>
      <c r="S13" s="184"/>
      <c r="T13" s="184"/>
      <c r="U13" s="184"/>
      <c r="V13" s="184"/>
      <c r="W13" s="184"/>
      <c r="X13" s="184"/>
      <c r="Y13" s="184"/>
      <c r="Z13" s="184"/>
      <c r="AA13" s="184"/>
      <c r="AB13" s="184"/>
      <c r="AC13" s="184"/>
      <c r="AD13" s="184"/>
      <c r="AE13" s="184"/>
      <c r="AF13" s="186"/>
    </row>
    <row r="14" spans="1:38" ht="16.5" x14ac:dyDescent="0.35">
      <c r="C14" s="187">
        <v>45659</v>
      </c>
      <c r="D14" s="187">
        <f>C14+1</f>
        <v>45660</v>
      </c>
      <c r="E14" s="187">
        <f t="shared" ref="E14:AF14" si="0">D14+1</f>
        <v>45661</v>
      </c>
      <c r="F14" s="187">
        <f t="shared" si="0"/>
        <v>45662</v>
      </c>
      <c r="G14" s="187">
        <f t="shared" si="0"/>
        <v>45663</v>
      </c>
      <c r="H14" s="187">
        <f t="shared" si="0"/>
        <v>45664</v>
      </c>
      <c r="I14" s="187">
        <f t="shared" si="0"/>
        <v>45665</v>
      </c>
      <c r="J14" s="187">
        <f t="shared" si="0"/>
        <v>45666</v>
      </c>
      <c r="K14" s="187">
        <f t="shared" si="0"/>
        <v>45667</v>
      </c>
      <c r="L14" s="187">
        <f t="shared" si="0"/>
        <v>45668</v>
      </c>
      <c r="M14" s="187">
        <f t="shared" si="0"/>
        <v>45669</v>
      </c>
      <c r="N14" s="187">
        <f t="shared" si="0"/>
        <v>45670</v>
      </c>
      <c r="O14" s="187">
        <f t="shared" si="0"/>
        <v>45671</v>
      </c>
      <c r="P14" s="187">
        <f t="shared" si="0"/>
        <v>45672</v>
      </c>
      <c r="Q14" s="187">
        <f t="shared" si="0"/>
        <v>45673</v>
      </c>
      <c r="R14" s="187">
        <f t="shared" si="0"/>
        <v>45674</v>
      </c>
      <c r="S14" s="187">
        <f t="shared" si="0"/>
        <v>45675</v>
      </c>
      <c r="T14" s="187">
        <f t="shared" si="0"/>
        <v>45676</v>
      </c>
      <c r="U14" s="187">
        <f t="shared" si="0"/>
        <v>45677</v>
      </c>
      <c r="V14" s="187">
        <f t="shared" si="0"/>
        <v>45678</v>
      </c>
      <c r="W14" s="187">
        <f t="shared" si="0"/>
        <v>45679</v>
      </c>
      <c r="X14" s="187">
        <f t="shared" si="0"/>
        <v>45680</v>
      </c>
      <c r="Y14" s="187">
        <f t="shared" si="0"/>
        <v>45681</v>
      </c>
      <c r="Z14" s="187">
        <f t="shared" si="0"/>
        <v>45682</v>
      </c>
      <c r="AA14" s="187">
        <f t="shared" si="0"/>
        <v>45683</v>
      </c>
      <c r="AB14" s="187">
        <f t="shared" si="0"/>
        <v>45684</v>
      </c>
      <c r="AC14" s="187">
        <f t="shared" si="0"/>
        <v>45685</v>
      </c>
      <c r="AD14" s="187">
        <f t="shared" si="0"/>
        <v>45686</v>
      </c>
      <c r="AE14" s="187">
        <f t="shared" si="0"/>
        <v>45687</v>
      </c>
      <c r="AF14" s="187">
        <f t="shared" si="0"/>
        <v>45688</v>
      </c>
      <c r="AG14" s="175"/>
      <c r="AH14" s="175"/>
      <c r="AI14" s="175"/>
      <c r="AJ14" s="175"/>
      <c r="AK14" s="175"/>
      <c r="AL14" s="175"/>
    </row>
    <row r="15" spans="1:38" ht="3" customHeight="1" x14ac:dyDescent="0.35"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</row>
    <row r="16" spans="1:38" x14ac:dyDescent="0.35">
      <c r="B16" s="120" t="s">
        <v>302</v>
      </c>
      <c r="C16" s="177"/>
      <c r="D16" s="177"/>
      <c r="E16" s="171"/>
      <c r="F16" s="171"/>
      <c r="G16" s="177"/>
      <c r="H16" s="177"/>
      <c r="I16" s="177"/>
      <c r="J16" s="177"/>
      <c r="K16" s="177"/>
      <c r="L16" s="171"/>
      <c r="M16" s="171"/>
      <c r="N16" s="177"/>
      <c r="O16" s="177"/>
      <c r="P16" s="177"/>
      <c r="Q16" s="177"/>
      <c r="R16" s="177"/>
      <c r="S16" s="171"/>
      <c r="T16" s="171"/>
      <c r="U16" s="177"/>
      <c r="V16" s="177"/>
      <c r="W16" s="177"/>
      <c r="X16" s="177"/>
      <c r="Y16" s="177"/>
      <c r="Z16" s="171"/>
      <c r="AA16" s="171"/>
      <c r="AB16" s="177"/>
      <c r="AC16" s="177"/>
      <c r="AD16" s="177"/>
      <c r="AE16" s="177"/>
      <c r="AF16" s="177"/>
    </row>
    <row r="17" spans="2:33" x14ac:dyDescent="0.35">
      <c r="B17" s="120" t="s">
        <v>303</v>
      </c>
      <c r="C17" s="177"/>
      <c r="D17" s="177"/>
      <c r="E17" s="171"/>
      <c r="F17" s="171"/>
      <c r="G17" s="177"/>
      <c r="H17" s="177"/>
      <c r="I17" s="177"/>
      <c r="J17" s="177"/>
      <c r="K17" s="177"/>
      <c r="L17" s="171"/>
      <c r="M17" s="171"/>
      <c r="N17" s="177"/>
      <c r="O17" s="177"/>
      <c r="P17" s="177"/>
      <c r="Q17" s="177"/>
      <c r="R17" s="177"/>
      <c r="S17" s="171"/>
      <c r="T17" s="171"/>
      <c r="U17" s="177"/>
      <c r="V17" s="177"/>
      <c r="W17" s="177"/>
      <c r="X17" s="177"/>
      <c r="Y17" s="177"/>
      <c r="Z17" s="171"/>
      <c r="AA17" s="171"/>
      <c r="AB17" s="177"/>
      <c r="AC17" s="177"/>
      <c r="AD17" s="177"/>
      <c r="AE17" s="177"/>
      <c r="AF17" s="177"/>
    </row>
    <row r="19" spans="2:33" x14ac:dyDescent="0.35">
      <c r="C19" s="179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1" t="s">
        <v>86</v>
      </c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2"/>
      <c r="AF19" s="175"/>
    </row>
    <row r="20" spans="2:33" ht="16.5" x14ac:dyDescent="0.35">
      <c r="C20" s="187">
        <v>45689</v>
      </c>
      <c r="D20" s="192">
        <f t="shared" ref="D20:AD20" si="1">C20+1</f>
        <v>45690</v>
      </c>
      <c r="E20" s="192">
        <f t="shared" si="1"/>
        <v>45691</v>
      </c>
      <c r="F20" s="192">
        <f t="shared" si="1"/>
        <v>45692</v>
      </c>
      <c r="G20" s="192">
        <f t="shared" si="1"/>
        <v>45693</v>
      </c>
      <c r="H20" s="192">
        <f t="shared" si="1"/>
        <v>45694</v>
      </c>
      <c r="I20" s="192">
        <f t="shared" si="1"/>
        <v>45695</v>
      </c>
      <c r="J20" s="192">
        <f t="shared" si="1"/>
        <v>45696</v>
      </c>
      <c r="K20" s="192">
        <f t="shared" si="1"/>
        <v>45697</v>
      </c>
      <c r="L20" s="192">
        <f t="shared" si="1"/>
        <v>45698</v>
      </c>
      <c r="M20" s="192">
        <f t="shared" si="1"/>
        <v>45699</v>
      </c>
      <c r="N20" s="192">
        <f t="shared" si="1"/>
        <v>45700</v>
      </c>
      <c r="O20" s="192">
        <f t="shared" si="1"/>
        <v>45701</v>
      </c>
      <c r="P20" s="192">
        <f t="shared" si="1"/>
        <v>45702</v>
      </c>
      <c r="Q20" s="192">
        <f t="shared" si="1"/>
        <v>45703</v>
      </c>
      <c r="R20" s="192">
        <f t="shared" si="1"/>
        <v>45704</v>
      </c>
      <c r="S20" s="192">
        <f t="shared" si="1"/>
        <v>45705</v>
      </c>
      <c r="T20" s="192">
        <f t="shared" si="1"/>
        <v>45706</v>
      </c>
      <c r="U20" s="192">
        <f t="shared" si="1"/>
        <v>45707</v>
      </c>
      <c r="V20" s="192">
        <f t="shared" si="1"/>
        <v>45708</v>
      </c>
      <c r="W20" s="192">
        <f t="shared" si="1"/>
        <v>45709</v>
      </c>
      <c r="X20" s="192">
        <f t="shared" si="1"/>
        <v>45710</v>
      </c>
      <c r="Y20" s="192">
        <f t="shared" si="1"/>
        <v>45711</v>
      </c>
      <c r="Z20" s="192">
        <f t="shared" si="1"/>
        <v>45712</v>
      </c>
      <c r="AA20" s="192">
        <f t="shared" si="1"/>
        <v>45713</v>
      </c>
      <c r="AB20" s="192">
        <f t="shared" si="1"/>
        <v>45714</v>
      </c>
      <c r="AC20" s="192">
        <f t="shared" si="1"/>
        <v>45715</v>
      </c>
      <c r="AD20" s="192">
        <f t="shared" si="1"/>
        <v>45716</v>
      </c>
      <c r="AE20" s="175"/>
    </row>
    <row r="21" spans="2:33" ht="3" customHeight="1" x14ac:dyDescent="0.35"/>
    <row r="22" spans="2:33" ht="15.5" x14ac:dyDescent="0.45">
      <c r="B22" s="120" t="s">
        <v>302</v>
      </c>
      <c r="C22" s="171"/>
      <c r="D22" s="171"/>
      <c r="E22" s="177"/>
      <c r="F22" s="177"/>
      <c r="G22" s="177"/>
      <c r="H22" s="177"/>
      <c r="I22" s="177"/>
      <c r="J22" s="171"/>
      <c r="K22" s="171"/>
      <c r="L22" s="177"/>
      <c r="M22" s="177"/>
      <c r="N22" s="177"/>
      <c r="O22" s="177"/>
      <c r="P22" s="177"/>
      <c r="Q22" s="171"/>
      <c r="R22" s="171"/>
      <c r="S22" s="177"/>
      <c r="T22" s="177"/>
      <c r="U22" s="177"/>
      <c r="V22" s="177"/>
      <c r="W22" s="177"/>
      <c r="X22" s="171"/>
      <c r="Y22" s="171"/>
      <c r="Z22" s="177"/>
      <c r="AA22" s="177"/>
      <c r="AB22" s="177"/>
      <c r="AC22" s="177"/>
      <c r="AD22" s="242" t="s">
        <v>293</v>
      </c>
    </row>
    <row r="23" spans="2:33" x14ac:dyDescent="0.35">
      <c r="B23" s="120" t="s">
        <v>303</v>
      </c>
      <c r="C23" s="171"/>
      <c r="D23" s="171"/>
      <c r="E23" s="177"/>
      <c r="F23" s="177"/>
      <c r="G23" s="177"/>
      <c r="H23" s="177"/>
      <c r="I23" s="177"/>
      <c r="J23" s="171"/>
      <c r="K23" s="171"/>
      <c r="L23" s="177"/>
      <c r="M23" s="177"/>
      <c r="N23" s="177"/>
      <c r="O23" s="177"/>
      <c r="P23" s="177"/>
      <c r="Q23" s="171"/>
      <c r="R23" s="171"/>
      <c r="S23" s="177"/>
      <c r="T23" s="177"/>
      <c r="U23" s="177"/>
      <c r="V23" s="177"/>
      <c r="W23" s="177"/>
      <c r="X23" s="171"/>
      <c r="Y23" s="171"/>
      <c r="Z23" s="177"/>
      <c r="AA23" s="177"/>
      <c r="AB23" s="177"/>
      <c r="AC23" s="177"/>
      <c r="AD23" s="177"/>
    </row>
    <row r="25" spans="2:33" x14ac:dyDescent="0.35"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8" t="s">
        <v>304</v>
      </c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</row>
    <row r="26" spans="2:33" ht="16.5" x14ac:dyDescent="0.35">
      <c r="C26" s="187">
        <v>45717</v>
      </c>
      <c r="D26" s="192">
        <f>+C26+1</f>
        <v>45718</v>
      </c>
      <c r="E26" s="192">
        <f t="shared" ref="E26:AG26" si="2">+D26+1</f>
        <v>45719</v>
      </c>
      <c r="F26" s="192">
        <f t="shared" si="2"/>
        <v>45720</v>
      </c>
      <c r="G26" s="192">
        <f t="shared" si="2"/>
        <v>45721</v>
      </c>
      <c r="H26" s="192">
        <f t="shared" si="2"/>
        <v>45722</v>
      </c>
      <c r="I26" s="192">
        <f t="shared" si="2"/>
        <v>45723</v>
      </c>
      <c r="J26" s="192">
        <f t="shared" si="2"/>
        <v>45724</v>
      </c>
      <c r="K26" s="192">
        <f t="shared" si="2"/>
        <v>45725</v>
      </c>
      <c r="L26" s="192">
        <f t="shared" si="2"/>
        <v>45726</v>
      </c>
      <c r="M26" s="192">
        <f t="shared" si="2"/>
        <v>45727</v>
      </c>
      <c r="N26" s="192">
        <f t="shared" si="2"/>
        <v>45728</v>
      </c>
      <c r="O26" s="192">
        <f t="shared" si="2"/>
        <v>45729</v>
      </c>
      <c r="P26" s="192">
        <f t="shared" si="2"/>
        <v>45730</v>
      </c>
      <c r="Q26" s="192">
        <f t="shared" si="2"/>
        <v>45731</v>
      </c>
      <c r="R26" s="192">
        <f t="shared" si="2"/>
        <v>45732</v>
      </c>
      <c r="S26" s="192">
        <f t="shared" si="2"/>
        <v>45733</v>
      </c>
      <c r="T26" s="192">
        <f t="shared" si="2"/>
        <v>45734</v>
      </c>
      <c r="U26" s="192">
        <f t="shared" si="2"/>
        <v>45735</v>
      </c>
      <c r="V26" s="192">
        <f t="shared" si="2"/>
        <v>45736</v>
      </c>
      <c r="W26" s="192">
        <f t="shared" si="2"/>
        <v>45737</v>
      </c>
      <c r="X26" s="192">
        <f t="shared" si="2"/>
        <v>45738</v>
      </c>
      <c r="Y26" s="192">
        <f t="shared" si="2"/>
        <v>45739</v>
      </c>
      <c r="Z26" s="192">
        <f t="shared" si="2"/>
        <v>45740</v>
      </c>
      <c r="AA26" s="192">
        <f t="shared" si="2"/>
        <v>45741</v>
      </c>
      <c r="AB26" s="192">
        <f>+AA26+1</f>
        <v>45742</v>
      </c>
      <c r="AC26" s="192">
        <f t="shared" si="2"/>
        <v>45743</v>
      </c>
      <c r="AD26" s="192">
        <f t="shared" si="2"/>
        <v>45744</v>
      </c>
      <c r="AE26" s="192">
        <f t="shared" si="2"/>
        <v>45745</v>
      </c>
      <c r="AF26" s="192">
        <f t="shared" si="2"/>
        <v>45746</v>
      </c>
      <c r="AG26" s="192">
        <f t="shared" si="2"/>
        <v>45747</v>
      </c>
    </row>
    <row r="27" spans="2:33" s="122" customFormat="1" ht="3" customHeight="1" x14ac:dyDescent="0.35">
      <c r="C27" s="188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</row>
    <row r="28" spans="2:33" ht="15.5" x14ac:dyDescent="0.45">
      <c r="B28" s="120" t="s">
        <v>302</v>
      </c>
      <c r="C28" s="171"/>
      <c r="D28" s="171"/>
      <c r="E28" s="169" t="s">
        <v>293</v>
      </c>
      <c r="F28" s="172"/>
      <c r="G28" s="169" t="s">
        <v>293</v>
      </c>
      <c r="H28" s="169" t="s">
        <v>293</v>
      </c>
      <c r="I28" s="169" t="s">
        <v>293</v>
      </c>
      <c r="J28" s="171"/>
      <c r="K28" s="171"/>
      <c r="L28" s="169" t="s">
        <v>293</v>
      </c>
      <c r="M28" s="169" t="s">
        <v>293</v>
      </c>
      <c r="N28" s="169" t="s">
        <v>293</v>
      </c>
      <c r="O28" s="169" t="s">
        <v>293</v>
      </c>
      <c r="P28" s="169" t="s">
        <v>293</v>
      </c>
      <c r="Q28" s="171"/>
      <c r="R28" s="171"/>
      <c r="S28" s="177"/>
      <c r="T28" s="177"/>
      <c r="U28" s="177"/>
      <c r="V28" s="177"/>
      <c r="W28" s="177"/>
      <c r="X28" s="171"/>
      <c r="Y28" s="171"/>
      <c r="Z28" s="177"/>
      <c r="AA28" s="177"/>
      <c r="AB28" s="177"/>
      <c r="AC28" s="177"/>
      <c r="AD28" s="177"/>
      <c r="AE28" s="171"/>
      <c r="AF28" s="171"/>
      <c r="AG28" s="177"/>
    </row>
    <row r="29" spans="2:33" x14ac:dyDescent="0.35">
      <c r="B29" s="120" t="s">
        <v>303</v>
      </c>
      <c r="C29" s="171"/>
      <c r="D29" s="171"/>
      <c r="E29" s="177"/>
      <c r="F29" s="172"/>
      <c r="G29" s="177"/>
      <c r="H29" s="177"/>
      <c r="I29" s="177"/>
      <c r="J29" s="171"/>
      <c r="K29" s="171"/>
      <c r="L29" s="177"/>
      <c r="M29" s="177"/>
      <c r="N29" s="177"/>
      <c r="O29" s="177"/>
      <c r="P29" s="177"/>
      <c r="Q29" s="171"/>
      <c r="R29" s="171"/>
      <c r="S29" s="177"/>
      <c r="T29" s="177"/>
      <c r="U29" s="177"/>
      <c r="V29" s="177"/>
      <c r="W29" s="177"/>
      <c r="X29" s="171"/>
      <c r="Y29" s="171"/>
      <c r="Z29" s="177"/>
      <c r="AA29" s="177"/>
      <c r="AB29" s="177"/>
      <c r="AC29" s="177"/>
      <c r="AD29" s="177"/>
      <c r="AE29" s="171"/>
      <c r="AF29" s="171"/>
      <c r="AG29" s="177"/>
    </row>
  </sheetData>
  <mergeCells count="7">
    <mergeCell ref="T9:U9"/>
    <mergeCell ref="T10:U10"/>
    <mergeCell ref="T11:U11"/>
    <mergeCell ref="S2:T2"/>
    <mergeCell ref="S3:T3"/>
    <mergeCell ref="S4:T4"/>
    <mergeCell ref="S5:T5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DEAE8B-AD08-4C3F-9717-A656CA29B9F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5A9502F-18F0-4AC5-98C2-8DBA8804C1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FC86D8-23C8-4936-88C5-F67A31A8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Plano_DE</vt:lpstr>
      <vt:lpstr>Macro_Plano_2025_v1</vt:lpstr>
      <vt:lpstr>Lista - Âmbito Projeto GD</vt:lpstr>
      <vt:lpstr>Aux</vt:lpstr>
      <vt:lpstr>Férias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2024-12-17T10:34:59Z</dcterms:created>
  <dcterms:modified xsi:type="dcterms:W3CDTF">2025-01-02T11:52:09Z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2024-12-17T17:59:12Z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d7e6320e-5801-4d5a-9279-4b6adc726758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