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73\Desktop\"/>
    </mc:Choice>
  </mc:AlternateContent>
  <xr:revisionPtr revIDLastSave="0" documentId="13_ncr:1_{E2DB6E20-D40F-461D-87D4-C921764FF46C}" xr6:coauthVersionLast="47" xr6:coauthVersionMax="47" xr10:uidLastSave="{00000000-0000-0000-0000-000000000000}"/>
  <bookViews>
    <workbookView xWindow="15" yWindow="-16320" windowWidth="29040" windowHeight="15720" activeTab="1" xr2:uid="{00000000-000D-0000-FFFF-FFFF00000000}"/>
  </bookViews>
  <sheets>
    <sheet name="Instruções" sheetId="30" r:id="rId1"/>
    <sheet name="Menu" sheetId="29" r:id="rId2"/>
    <sheet name="Input" sheetId="27" r:id="rId3"/>
    <sheet name="2.CC Trans-BB.RE collateral" sheetId="34" r:id="rId4"/>
  </sheets>
  <externalReferences>
    <externalReference r:id="rId5"/>
  </externalReferences>
  <definedNames>
    <definedName name="_xlnm._FilterDatabase" localSheetId="2" hidden="1">Input!#REF!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34" l="1"/>
  <c r="O14" i="34"/>
  <c r="P14" i="34"/>
  <c r="Q14" i="34"/>
  <c r="R14" i="34"/>
  <c r="S14" i="34"/>
  <c r="N15" i="34"/>
  <c r="O15" i="34"/>
  <c r="P15" i="34"/>
  <c r="Q15" i="34"/>
  <c r="R15" i="34"/>
  <c r="S15" i="34"/>
  <c r="N16" i="34"/>
  <c r="O16" i="34"/>
  <c r="P16" i="34"/>
  <c r="Q16" i="34"/>
  <c r="R16" i="34"/>
  <c r="S16" i="34"/>
  <c r="N17" i="34"/>
  <c r="O17" i="34"/>
  <c r="P17" i="34"/>
  <c r="Q17" i="34"/>
  <c r="R17" i="34"/>
  <c r="S17" i="34"/>
  <c r="N18" i="34"/>
  <c r="O18" i="34"/>
  <c r="P18" i="34"/>
  <c r="Q18" i="34"/>
  <c r="R18" i="34"/>
  <c r="S18" i="34"/>
  <c r="N19" i="34"/>
  <c r="O19" i="34"/>
  <c r="P19" i="34"/>
  <c r="Q19" i="34"/>
  <c r="R19" i="34"/>
  <c r="S19" i="34"/>
  <c r="N21" i="34"/>
  <c r="O21" i="34"/>
  <c r="P21" i="34"/>
  <c r="Q21" i="34"/>
  <c r="R21" i="34"/>
  <c r="S21" i="34"/>
  <c r="N22" i="34"/>
  <c r="O22" i="34"/>
  <c r="P22" i="34"/>
  <c r="Q22" i="34"/>
  <c r="R22" i="34"/>
  <c r="S22" i="34"/>
  <c r="N23" i="34"/>
  <c r="O23" i="34"/>
  <c r="P23" i="34"/>
  <c r="Q23" i="34"/>
  <c r="R23" i="34"/>
  <c r="S23" i="34"/>
  <c r="N24" i="34"/>
  <c r="O24" i="34"/>
  <c r="P24" i="34"/>
  <c r="Q24" i="34"/>
  <c r="R24" i="34"/>
  <c r="S24" i="34"/>
  <c r="N25" i="34"/>
  <c r="O25" i="34"/>
  <c r="P25" i="34"/>
  <c r="Q25" i="34"/>
  <c r="R25" i="34"/>
  <c r="S25" i="34"/>
  <c r="N26" i="34"/>
  <c r="O26" i="34"/>
  <c r="P26" i="34"/>
  <c r="Q26" i="34"/>
  <c r="R26" i="34"/>
  <c r="S26" i="34"/>
  <c r="N33" i="34"/>
  <c r="O33" i="34"/>
  <c r="P33" i="34"/>
  <c r="Q33" i="34"/>
  <c r="R33" i="34"/>
  <c r="S33" i="34"/>
  <c r="N34" i="34"/>
  <c r="O34" i="34"/>
  <c r="P34" i="34"/>
  <c r="Q34" i="34"/>
  <c r="R34" i="34"/>
  <c r="S34" i="34"/>
  <c r="N35" i="34"/>
  <c r="O35" i="34"/>
  <c r="P35" i="34"/>
  <c r="Q35" i="34"/>
  <c r="R35" i="34"/>
  <c r="S35" i="34"/>
  <c r="N36" i="34"/>
  <c r="O36" i="34"/>
  <c r="P36" i="34"/>
  <c r="Q36" i="34"/>
  <c r="R36" i="34"/>
  <c r="S36" i="34"/>
  <c r="N37" i="34"/>
  <c r="O37" i="34"/>
  <c r="P37" i="34"/>
  <c r="Q37" i="34"/>
  <c r="R37" i="34"/>
  <c r="S37" i="34"/>
  <c r="N38" i="34"/>
  <c r="O38" i="34"/>
  <c r="P38" i="34"/>
  <c r="Q38" i="34"/>
  <c r="R38" i="34"/>
  <c r="S38" i="34"/>
  <c r="N40" i="34"/>
  <c r="O40" i="34"/>
  <c r="P40" i="34"/>
  <c r="Q40" i="34"/>
  <c r="R40" i="34"/>
  <c r="S40" i="34"/>
  <c r="N41" i="34"/>
  <c r="O41" i="34"/>
  <c r="P41" i="34"/>
  <c r="Q41" i="34"/>
  <c r="R41" i="34"/>
  <c r="S41" i="34"/>
  <c r="N42" i="34"/>
  <c r="O42" i="34"/>
  <c r="P42" i="34"/>
  <c r="Q42" i="34"/>
  <c r="R42" i="34"/>
  <c r="S42" i="34"/>
  <c r="N43" i="34"/>
  <c r="O43" i="34"/>
  <c r="P43" i="34"/>
  <c r="Q43" i="34"/>
  <c r="R43" i="34"/>
  <c r="S43" i="34"/>
  <c r="N44" i="34"/>
  <c r="O44" i="34"/>
  <c r="P44" i="34"/>
  <c r="Q44" i="34"/>
  <c r="R44" i="34"/>
  <c r="S44" i="34"/>
  <c r="N45" i="34"/>
  <c r="O45" i="34"/>
  <c r="P45" i="34"/>
  <c r="Q45" i="34"/>
  <c r="R45" i="34"/>
  <c r="S45" i="34"/>
  <c r="M44" i="34"/>
  <c r="M43" i="34"/>
  <c r="M42" i="34"/>
  <c r="M41" i="34"/>
  <c r="M40" i="34"/>
  <c r="M37" i="34"/>
  <c r="M36" i="34"/>
  <c r="M35" i="34"/>
  <c r="M34" i="34"/>
  <c r="M33" i="34"/>
  <c r="M25" i="34"/>
  <c r="M24" i="34"/>
  <c r="M23" i="34"/>
  <c r="M22" i="34"/>
  <c r="M45" i="34"/>
  <c r="M38" i="34"/>
  <c r="M26" i="34"/>
  <c r="M19" i="34"/>
  <c r="M21" i="34"/>
  <c r="M18" i="34"/>
  <c r="M17" i="34"/>
  <c r="M16" i="34"/>
  <c r="M15" i="34"/>
  <c r="M14" i="34"/>
  <c r="N31" i="34" l="1"/>
  <c r="O31" i="34"/>
  <c r="P31" i="34"/>
  <c r="Q31" i="34"/>
  <c r="R31" i="34"/>
  <c r="S31" i="34"/>
  <c r="M31" i="34"/>
  <c r="K38" i="34" l="1"/>
  <c r="K37" i="34"/>
  <c r="K36" i="34"/>
  <c r="K35" i="34"/>
  <c r="K34" i="34"/>
  <c r="K33" i="34"/>
  <c r="K26" i="34"/>
  <c r="K25" i="34"/>
  <c r="K24" i="34"/>
  <c r="K23" i="34"/>
  <c r="K22" i="34"/>
  <c r="K21" i="34"/>
  <c r="K19" i="34"/>
  <c r="K18" i="34"/>
  <c r="K17" i="34"/>
  <c r="K16" i="34"/>
  <c r="K15" i="34"/>
  <c r="K14" i="34"/>
  <c r="K45" i="34"/>
  <c r="K44" i="34"/>
  <c r="K43" i="34"/>
  <c r="K42" i="34"/>
  <c r="K41" i="34"/>
  <c r="K40" i="34"/>
  <c r="K31" i="34"/>
  <c r="L31" i="34" s="1"/>
  <c r="K29" i="34"/>
  <c r="L29" i="34" s="1"/>
  <c r="K28" i="34"/>
  <c r="L28" i="34" s="1"/>
  <c r="K10" i="34"/>
  <c r="K12" i="34"/>
  <c r="L12" i="34" s="1"/>
  <c r="K11" i="34"/>
  <c r="L11" i="34" s="1"/>
  <c r="K9" i="34"/>
  <c r="U31" i="34"/>
  <c r="U12" i="34"/>
  <c r="M12" i="34" l="1"/>
  <c r="S12" i="34"/>
  <c r="R12" i="34"/>
  <c r="Q12" i="34"/>
  <c r="P12" i="34"/>
  <c r="O12" i="34"/>
  <c r="N12" i="34"/>
  <c r="T19" i="34" l="1"/>
  <c r="T18" i="34"/>
  <c r="T17" i="34"/>
  <c r="T16" i="34"/>
  <c r="T15" i="34"/>
  <c r="T14" i="34"/>
  <c r="T26" i="34"/>
  <c r="T25" i="34"/>
  <c r="T24" i="34"/>
  <c r="T23" i="34"/>
  <c r="T22" i="34"/>
  <c r="T21" i="34"/>
  <c r="T38" i="34"/>
  <c r="T37" i="34"/>
  <c r="T36" i="34"/>
  <c r="T35" i="34"/>
  <c r="T34" i="34"/>
  <c r="T33" i="34"/>
  <c r="T45" i="34"/>
  <c r="T44" i="34"/>
  <c r="T43" i="34"/>
  <c r="T42" i="34"/>
  <c r="T41" i="34"/>
  <c r="T40" i="34"/>
  <c r="U30" i="34"/>
  <c r="U29" i="34"/>
  <c r="U28" i="34"/>
  <c r="U27" i="34"/>
  <c r="U11" i="34"/>
  <c r="U10" i="34"/>
  <c r="U9" i="34"/>
  <c r="U8" i="34"/>
  <c r="S71" i="34" l="1"/>
  <c r="R71" i="34"/>
  <c r="Q71" i="34"/>
  <c r="P71" i="34"/>
  <c r="O71" i="34"/>
  <c r="N71" i="34"/>
  <c r="M71" i="34"/>
  <c r="S70" i="34"/>
  <c r="R70" i="34"/>
  <c r="Q70" i="34"/>
  <c r="P70" i="34"/>
  <c r="O70" i="34"/>
  <c r="N70" i="34"/>
  <c r="M70" i="34"/>
  <c r="J70" i="34"/>
  <c r="I70" i="34"/>
  <c r="H70" i="34"/>
  <c r="G70" i="34"/>
  <c r="F70" i="34"/>
  <c r="E70" i="34"/>
  <c r="S69" i="34"/>
  <c r="R69" i="34"/>
  <c r="Q69" i="34"/>
  <c r="P69" i="34"/>
  <c r="O69" i="34"/>
  <c r="N69" i="34"/>
  <c r="M69" i="34"/>
  <c r="J69" i="34"/>
  <c r="I69" i="34"/>
  <c r="H69" i="34"/>
  <c r="G69" i="34"/>
  <c r="F69" i="34"/>
  <c r="E69" i="34"/>
  <c r="S68" i="34"/>
  <c r="R68" i="34"/>
  <c r="Q68" i="34"/>
  <c r="P68" i="34"/>
  <c r="O68" i="34"/>
  <c r="N68" i="34"/>
  <c r="M68" i="34"/>
  <c r="J68" i="34"/>
  <c r="I68" i="34"/>
  <c r="H68" i="34"/>
  <c r="G68" i="34"/>
  <c r="F68" i="34"/>
  <c r="E68" i="34"/>
  <c r="S67" i="34"/>
  <c r="R67" i="34"/>
  <c r="Q67" i="34"/>
  <c r="P67" i="34"/>
  <c r="O67" i="34"/>
  <c r="N67" i="34"/>
  <c r="M67" i="34"/>
  <c r="J67" i="34"/>
  <c r="I67" i="34"/>
  <c r="H67" i="34"/>
  <c r="G67" i="34"/>
  <c r="F67" i="34"/>
  <c r="E67" i="34"/>
  <c r="S66" i="34"/>
  <c r="R66" i="34"/>
  <c r="Q66" i="34"/>
  <c r="P66" i="34"/>
  <c r="O66" i="34"/>
  <c r="N66" i="34"/>
  <c r="M66" i="34"/>
  <c r="J66" i="34"/>
  <c r="I66" i="34"/>
  <c r="H66" i="34"/>
  <c r="G66" i="34"/>
  <c r="F66" i="34"/>
  <c r="E66" i="34"/>
  <c r="S65" i="34"/>
  <c r="R65" i="34"/>
  <c r="Q65" i="34"/>
  <c r="P65" i="34"/>
  <c r="O65" i="34"/>
  <c r="N65" i="34"/>
  <c r="M65" i="34"/>
  <c r="J65" i="34"/>
  <c r="I65" i="34"/>
  <c r="H65" i="34"/>
  <c r="G65" i="34"/>
  <c r="F65" i="34"/>
  <c r="E65" i="34"/>
  <c r="S63" i="34"/>
  <c r="R63" i="34"/>
  <c r="Q63" i="34"/>
  <c r="P63" i="34"/>
  <c r="O63" i="34"/>
  <c r="N63" i="34"/>
  <c r="M63" i="34"/>
  <c r="J63" i="34"/>
  <c r="I63" i="34"/>
  <c r="H63" i="34"/>
  <c r="G63" i="34"/>
  <c r="F63" i="34"/>
  <c r="E63" i="34"/>
  <c r="S58" i="34"/>
  <c r="R58" i="34"/>
  <c r="Q58" i="34"/>
  <c r="P58" i="34"/>
  <c r="O58" i="34"/>
  <c r="N58" i="34"/>
  <c r="M58" i="34"/>
  <c r="S57" i="34"/>
  <c r="R57" i="34"/>
  <c r="Q57" i="34"/>
  <c r="P57" i="34"/>
  <c r="O57" i="34"/>
  <c r="N57" i="34"/>
  <c r="M57" i="34"/>
  <c r="J57" i="34"/>
  <c r="I57" i="34"/>
  <c r="H57" i="34"/>
  <c r="G57" i="34"/>
  <c r="F57" i="34"/>
  <c r="E57" i="34"/>
  <c r="S56" i="34"/>
  <c r="R56" i="34"/>
  <c r="Q56" i="34"/>
  <c r="P56" i="34"/>
  <c r="O56" i="34"/>
  <c r="N56" i="34"/>
  <c r="M56" i="34"/>
  <c r="J56" i="34"/>
  <c r="I56" i="34"/>
  <c r="H56" i="34"/>
  <c r="G56" i="34"/>
  <c r="F56" i="34"/>
  <c r="E56" i="34"/>
  <c r="S55" i="34"/>
  <c r="R55" i="34"/>
  <c r="Q55" i="34"/>
  <c r="P55" i="34"/>
  <c r="O55" i="34"/>
  <c r="N55" i="34"/>
  <c r="M55" i="34"/>
  <c r="J55" i="34"/>
  <c r="I55" i="34"/>
  <c r="H55" i="34"/>
  <c r="G55" i="34"/>
  <c r="F55" i="34"/>
  <c r="E55" i="34"/>
  <c r="S54" i="34"/>
  <c r="R54" i="34"/>
  <c r="Q54" i="34"/>
  <c r="P54" i="34"/>
  <c r="O54" i="34"/>
  <c r="N54" i="34"/>
  <c r="M54" i="34"/>
  <c r="J54" i="34"/>
  <c r="I54" i="34"/>
  <c r="H54" i="34"/>
  <c r="G54" i="34"/>
  <c r="F54" i="34"/>
  <c r="E54" i="34"/>
  <c r="S53" i="34"/>
  <c r="R53" i="34"/>
  <c r="Q53" i="34"/>
  <c r="P53" i="34"/>
  <c r="O53" i="34"/>
  <c r="N53" i="34"/>
  <c r="M53" i="34"/>
  <c r="J53" i="34"/>
  <c r="I53" i="34"/>
  <c r="H53" i="34"/>
  <c r="G53" i="34"/>
  <c r="F53" i="34"/>
  <c r="E53" i="34"/>
  <c r="S52" i="34"/>
  <c r="R52" i="34"/>
  <c r="Q52" i="34"/>
  <c r="P52" i="34"/>
  <c r="O52" i="34"/>
  <c r="N52" i="34"/>
  <c r="M52" i="34"/>
  <c r="J52" i="34"/>
  <c r="I52" i="34"/>
  <c r="H52" i="34"/>
  <c r="G52" i="34"/>
  <c r="F52" i="34"/>
  <c r="E52" i="34"/>
  <c r="S50" i="34"/>
  <c r="R50" i="34"/>
  <c r="Q50" i="34"/>
  <c r="P50" i="34"/>
  <c r="O50" i="34"/>
  <c r="N50" i="34"/>
  <c r="M50" i="34"/>
  <c r="J50" i="34"/>
  <c r="I50" i="34"/>
  <c r="H50" i="34"/>
  <c r="G50" i="34"/>
  <c r="F50" i="34"/>
  <c r="E50" i="34"/>
  <c r="J45" i="34"/>
  <c r="I45" i="34"/>
  <c r="H45" i="34"/>
  <c r="G45" i="34"/>
  <c r="F45" i="34"/>
  <c r="E45" i="34"/>
  <c r="D45" i="34"/>
  <c r="J44" i="34"/>
  <c r="I44" i="34"/>
  <c r="H44" i="34"/>
  <c r="G44" i="34"/>
  <c r="F44" i="34"/>
  <c r="E44" i="34"/>
  <c r="D44" i="34"/>
  <c r="J43" i="34"/>
  <c r="I43" i="34"/>
  <c r="H43" i="34"/>
  <c r="G43" i="34"/>
  <c r="F43" i="34"/>
  <c r="E43" i="34"/>
  <c r="D43" i="34"/>
  <c r="J42" i="34"/>
  <c r="I42" i="34"/>
  <c r="H42" i="34"/>
  <c r="G42" i="34"/>
  <c r="F42" i="34"/>
  <c r="E42" i="34"/>
  <c r="D42" i="34"/>
  <c r="J41" i="34"/>
  <c r="I41" i="34"/>
  <c r="H41" i="34"/>
  <c r="G41" i="34"/>
  <c r="F41" i="34"/>
  <c r="E41" i="34"/>
  <c r="D41" i="34"/>
  <c r="J40" i="34"/>
  <c r="I40" i="34"/>
  <c r="H40" i="34"/>
  <c r="G40" i="34"/>
  <c r="F40" i="34"/>
  <c r="E40" i="34"/>
  <c r="D40" i="34"/>
  <c r="J38" i="34"/>
  <c r="I38" i="34"/>
  <c r="H38" i="34"/>
  <c r="G38" i="34"/>
  <c r="F38" i="34"/>
  <c r="E38" i="34"/>
  <c r="D38" i="34"/>
  <c r="J37" i="34"/>
  <c r="I37" i="34"/>
  <c r="H37" i="34"/>
  <c r="G37" i="34"/>
  <c r="F37" i="34"/>
  <c r="E37" i="34"/>
  <c r="D37" i="34"/>
  <c r="J36" i="34"/>
  <c r="I36" i="34"/>
  <c r="H36" i="34"/>
  <c r="G36" i="34"/>
  <c r="F36" i="34"/>
  <c r="E36" i="34"/>
  <c r="D36" i="34"/>
  <c r="J35" i="34"/>
  <c r="I35" i="34"/>
  <c r="H35" i="34"/>
  <c r="G35" i="34"/>
  <c r="F35" i="34"/>
  <c r="E35" i="34"/>
  <c r="D35" i="34"/>
  <c r="J34" i="34"/>
  <c r="I34" i="34"/>
  <c r="H34" i="34"/>
  <c r="G34" i="34"/>
  <c r="F34" i="34"/>
  <c r="E34" i="34"/>
  <c r="D34" i="34"/>
  <c r="J33" i="34"/>
  <c r="I33" i="34"/>
  <c r="H33" i="34"/>
  <c r="G33" i="34"/>
  <c r="F33" i="34"/>
  <c r="E33" i="34"/>
  <c r="D33" i="34"/>
  <c r="K30" i="34"/>
  <c r="L30" i="34" s="1"/>
  <c r="J26" i="34"/>
  <c r="I26" i="34"/>
  <c r="H26" i="34"/>
  <c r="G26" i="34"/>
  <c r="F26" i="34"/>
  <c r="E26" i="34"/>
  <c r="D26" i="34"/>
  <c r="J25" i="34"/>
  <c r="I25" i="34"/>
  <c r="H25" i="34"/>
  <c r="G25" i="34"/>
  <c r="F25" i="34"/>
  <c r="E25" i="34"/>
  <c r="D25" i="34"/>
  <c r="J24" i="34"/>
  <c r="I24" i="34"/>
  <c r="H24" i="34"/>
  <c r="G24" i="34"/>
  <c r="F24" i="34"/>
  <c r="E24" i="34"/>
  <c r="D24" i="34"/>
  <c r="J23" i="34"/>
  <c r="I23" i="34"/>
  <c r="H23" i="34"/>
  <c r="G23" i="34"/>
  <c r="F23" i="34"/>
  <c r="E23" i="34"/>
  <c r="D23" i="34"/>
  <c r="J22" i="34"/>
  <c r="I22" i="34"/>
  <c r="H22" i="34"/>
  <c r="G22" i="34"/>
  <c r="F22" i="34"/>
  <c r="E22" i="34"/>
  <c r="D22" i="34"/>
  <c r="J21" i="34"/>
  <c r="I21" i="34"/>
  <c r="H21" i="34"/>
  <c r="G21" i="34"/>
  <c r="F21" i="34"/>
  <c r="E21" i="34"/>
  <c r="D21" i="34"/>
  <c r="J19" i="34"/>
  <c r="I19" i="34"/>
  <c r="H19" i="34"/>
  <c r="G19" i="34"/>
  <c r="F19" i="34"/>
  <c r="E19" i="34"/>
  <c r="D19" i="34"/>
  <c r="J18" i="34"/>
  <c r="I18" i="34"/>
  <c r="H18" i="34"/>
  <c r="G18" i="34"/>
  <c r="F18" i="34"/>
  <c r="E18" i="34"/>
  <c r="D18" i="34"/>
  <c r="J17" i="34"/>
  <c r="I17" i="34"/>
  <c r="H17" i="34"/>
  <c r="G17" i="34"/>
  <c r="F17" i="34"/>
  <c r="E17" i="34"/>
  <c r="D17" i="34"/>
  <c r="J16" i="34"/>
  <c r="I16" i="34"/>
  <c r="H16" i="34"/>
  <c r="G16" i="34"/>
  <c r="F16" i="34"/>
  <c r="E16" i="34"/>
  <c r="D16" i="34"/>
  <c r="J15" i="34"/>
  <c r="I15" i="34"/>
  <c r="H15" i="34"/>
  <c r="G15" i="34"/>
  <c r="F15" i="34"/>
  <c r="E15" i="34"/>
  <c r="D15" i="34"/>
  <c r="J14" i="34"/>
  <c r="I14" i="34"/>
  <c r="H14" i="34"/>
  <c r="G14" i="34"/>
  <c r="F14" i="34"/>
  <c r="E14" i="34"/>
  <c r="D14" i="34"/>
  <c r="L10" i="34"/>
  <c r="L9" i="34"/>
  <c r="K27" i="34" l="1"/>
  <c r="L27" i="34" s="1"/>
  <c r="K8" i="34"/>
  <c r="L8" i="34" s="1"/>
  <c r="F10" i="29" l="1"/>
</calcChain>
</file>

<file path=xl/sharedStrings.xml><?xml version="1.0" encoding="utf-8"?>
<sst xmlns="http://schemas.openxmlformats.org/spreadsheetml/2006/main" count="205" uniqueCount="110">
  <si>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</si>
  <si>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</si>
  <si>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</si>
  <si>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</si>
  <si>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</si>
  <si>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</si>
  <si>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</si>
  <si>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</si>
  <si>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</si>
  <si>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</si>
  <si>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</si>
  <si>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</si>
  <si>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</si>
  <si>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</si>
  <si>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</si>
  <si>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</si>
  <si>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</si>
  <si>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</si>
  <si>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</si>
  <si>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</si>
  <si>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</si>
  <si>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</si>
  <si>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</si>
  <si>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</si>
  <si>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</si>
  <si>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</si>
  <si>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</si>
  <si>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</si>
  <si>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</si>
  <si>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</si>
  <si>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</si>
  <si>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</si>
  <si>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</si>
  <si>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</si>
  <si>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</si>
  <si>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</si>
  <si>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</si>
  <si>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</si>
  <si>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Template 2: Banking book - Climate change transition risk: Loans collateralised by immovable property - Energy efficiency of the collateral</t>
  </si>
  <si>
    <t>Stock</t>
  </si>
  <si>
    <t>menor_200</t>
  </si>
  <si>
    <t>EU-area</t>
  </si>
  <si>
    <t>1-REAL</t>
  </si>
  <si>
    <t>menor_100</t>
  </si>
  <si>
    <t>menor_400</t>
  </si>
  <si>
    <t>Garantia Residencial</t>
  </si>
  <si>
    <t>menor_500</t>
  </si>
  <si>
    <t>Garantia Comercial</t>
  </si>
  <si>
    <t>menor_300</t>
  </si>
  <si>
    <t>SANTANDER</t>
  </si>
  <si>
    <t>Sem dados</t>
  </si>
  <si>
    <t>7-SIN DATO</t>
  </si>
  <si>
    <t>maior_500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</si>
  <si>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</si>
  <si>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</si>
  <si>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</si>
  <si>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</si>
  <si>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</si>
  <si>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</si>
  <si>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</si>
  <si>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</si>
  <si>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</si>
  <si>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</si>
  <si>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</si>
  <si>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</si>
  <si>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</si>
  <si>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</si>
  <si>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</si>
  <si>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</si>
  <si>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</si>
  <si>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</si>
  <si>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</si>
  <si>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</si>
  <si>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</si>
  <si>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</si>
  <si>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</si>
  <si>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</si>
  <si>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</si>
  <si>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</si>
  <si>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NULO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</si>
  <si>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"bu_esg_work.ag02_ste_cto_gra".</t>
    </r>
  </si>
  <si>
    <t>- As datas deverão respeitar o seguinte formato: YYYY/MM/DD.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</si>
  <si>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</t>
    </r>
    <r>
      <rPr>
        <i/>
        <sz val="9"/>
        <color theme="1"/>
        <rFont val="Calibri"/>
        <family val="2"/>
        <scheme val="minor"/>
      </rPr>
      <t xml:space="preserve">SREP </t>
    </r>
    <r>
      <rPr>
        <sz val="9"/>
        <color theme="1"/>
        <rFont val="Calibri"/>
        <family val="2"/>
        <scheme val="minor"/>
      </rPr>
      <t xml:space="preserve">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</si>
  <si>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q</t>
  </si>
  <si>
    <t>r</t>
  </si>
  <si>
    <t xml:space="preserve">Total gross carrying amount (EUR) - except averages </t>
  </si>
  <si>
    <t>Without EP score in kWh/m² of collateral</t>
  </si>
  <si>
    <t>Of which level of energy efficiency (EP score in kWh/m² of collateral) estimated [%]</t>
  </si>
  <si>
    <t>Of which level of energy efficiency (EPC label of collateral) estimated [%]</t>
  </si>
  <si>
    <t>Of which Level of energy efficiency (EP score in kWh/m² and EPC label of collateral) estimated</t>
  </si>
  <si>
    <t>Commercial immovable property</t>
  </si>
  <si>
    <t>Average loan-to-value of loans collateralised by commercial immovable property, weighted by gross carrying amount</t>
  </si>
  <si>
    <t>GCA of loans collateralised by commercial immovable property with 80% &lt; loan-to-value &lt; 100%, weighted by GCA</t>
  </si>
  <si>
    <t>GCA of loans collateralised by commercial immovable property with loan-to-value &gt;= 100%, weighted by GCA</t>
  </si>
  <si>
    <t>Average residual maturity in years of loans collateralised by commercial immovable property, weighted by gross carrying amount</t>
  </si>
  <si>
    <t>GCA of loans collateralised by commercial immovable property with Residual maturity &lt; 5 years, weighted by GCA</t>
  </si>
  <si>
    <t>Average interest rate of new business flow on commercial immovable property, weighted by gross carrying amount</t>
  </si>
  <si>
    <t>Residential immovable property</t>
  </si>
  <si>
    <t>Average loan-to-value of loans collateralised by residential immovable property, weighted by gross carrying amount</t>
  </si>
  <si>
    <t>GCA of loans collateralised by residential immovable property with 80% &lt; loan-to-value &lt; 100%, weighted by GCA</t>
  </si>
  <si>
    <t>GCA of loans collateralised by residential immovable property with loan-to-value &gt;= 100%, weighted by GCA</t>
  </si>
  <si>
    <t>Average residual maturity in years of loans collateralised by residential immovable property, weighted by gross carrying amount</t>
  </si>
  <si>
    <t>GCA of loans collateralised by residential immovable property with Residual maturity &lt; 5 years, weighted by GCA</t>
  </si>
  <si>
    <t>Average interest rate of new business flow on residential immovable property, weighted by gross carrying amount</t>
  </si>
  <si>
    <t>Migration of performance of loans collateralised by commercial immovable properties in EU + non-EU (reporting year t vs reporting year t-1, total gross carrying amount, reporting year values)</t>
  </si>
  <si>
    <t>Reporting year t</t>
  </si>
  <si>
    <t>New business flow</t>
  </si>
  <si>
    <t>Migration of performance of loans collateralised by residential immovable properties in EU + non-EU (reporting year t vs reporting year t-1, total gross carrying amount, reporting year values)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</si>
  <si>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STE 2 Granular_v2.0.sql" e </t>
    </r>
    <r>
      <rPr>
        <i/>
        <sz val="9"/>
        <color theme="1"/>
        <rFont val="Calibri"/>
        <family val="2"/>
        <scheme val="minor"/>
      </rPr>
      <t>"BS_Geracao Template STE 2 Agregado_v2.0.sql".</t>
    </r>
  </si>
  <si>
    <t>- A query está dependente da introdução da data de referência dos dados (campo 'ref_date'), data de inicio do ano de reporte (campo 'ref_date_ini') e data de referência do ano de reporte anterior (campo 'ref_date_ant'), pelo que antes da corrida da query deverão 
ser definidas as datas de referência nas caixas de conteúdo apresentadas abaixo: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</si>
</sst>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4" borderId="0" xfId="0" applyFill="1"/>
    <xf numFmtId="0" fontId="7" fillId="4" borderId="0" xfId="0" applyFont="1" applyFill="1"/>
    <xf numFmtId="0" fontId="7" fillId="4" borderId="11" xfId="0" applyFont="1" applyFill="1" applyBorder="1"/>
    <xf numFmtId="0" fontId="7" fillId="0" borderId="0" xfId="0" applyFont="1"/>
    <xf numFmtId="0" fontId="6" fillId="3" borderId="0" xfId="0" applyFont="1" applyFill="1"/>
    <xf numFmtId="0" fontId="17" fillId="0" borderId="0" xfId="0" applyFont="1"/>
    <xf numFmtId="0" fontId="16" fillId="0" borderId="0" xfId="0" applyFont="1"/>
    <xf numFmtId="0" fontId="5" fillId="0" borderId="0" xfId="0" applyFont="1" applyAlignment="1">
      <alignment vertical="center"/>
    </xf>
    <xf numFmtId="0" fontId="19" fillId="7" borderId="0" xfId="0" applyFont="1" applyFill="1" applyAlignment="1">
      <alignment horizontal="center" vertical="center" wrapText="1"/>
    </xf>
    <xf numFmtId="0" fontId="8" fillId="4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4" borderId="0" xfId="0" quotePrefix="1" applyFont="1" applyFill="1" applyAlignment="1">
      <alignment horizontal="left" indent="1"/>
    </xf>
    <xf numFmtId="0" fontId="22" fillId="6" borderId="22" xfId="0" applyFont="1" applyFill="1" applyBorder="1" applyAlignment="1">
      <alignment vertical="center"/>
    </xf>
    <xf numFmtId="0" fontId="6" fillId="6" borderId="22" xfId="0" applyFont="1" applyFill="1" applyBorder="1"/>
    <xf numFmtId="0" fontId="23" fillId="6" borderId="22" xfId="0" applyFont="1" applyFill="1" applyBorder="1"/>
    <xf numFmtId="0" fontId="12" fillId="4" borderId="0" xfId="0" applyFont="1" applyFill="1"/>
    <xf numFmtId="0" fontId="0" fillId="4" borderId="0" xfId="0" applyFill="1" applyProtection="1">
      <protection locked="0"/>
    </xf>
    <xf numFmtId="0" fontId="7" fillId="4" borderId="0" xfId="0" applyFont="1" applyFill="1" applyProtection="1">
      <protection locked="0"/>
    </xf>
    <xf numFmtId="0" fontId="7" fillId="4" borderId="11" xfId="0" applyFont="1" applyFill="1" applyBorder="1" applyProtection="1">
      <protection locked="0"/>
    </xf>
    <xf numFmtId="0" fontId="7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9" fillId="0" borderId="12" xfId="0" applyFont="1" applyBorder="1" applyProtection="1">
      <protection locked="0"/>
    </xf>
    <xf numFmtId="0" fontId="8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8" fillId="4" borderId="15" xfId="0" applyFont="1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11" fillId="4" borderId="0" xfId="0" applyFont="1" applyFill="1" applyAlignment="1" applyProtection="1">
      <alignment horizontal="left"/>
      <protection locked="0"/>
    </xf>
    <xf numFmtId="0" fontId="6" fillId="4" borderId="0" xfId="0" applyFont="1" applyFill="1" applyAlignment="1" applyProtection="1">
      <alignment horizontal="centerContinuous"/>
      <protection locked="0"/>
    </xf>
    <xf numFmtId="14" fontId="11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0" fillId="4" borderId="19" xfId="0" applyFill="1" applyBorder="1" applyProtection="1">
      <protection locked="0"/>
    </xf>
    <xf numFmtId="0" fontId="0" fillId="4" borderId="20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14" fillId="0" borderId="0" xfId="0" applyFont="1" applyAlignment="1" applyProtection="1">
      <alignment horizontal="centerContinuous"/>
      <protection locked="0"/>
    </xf>
    <xf numFmtId="0" fontId="0" fillId="4" borderId="18" xfId="0" applyFill="1" applyBorder="1"/>
    <xf numFmtId="0" fontId="1" fillId="2" borderId="0" xfId="0" applyFont="1" applyFill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left" vertical="center" wrapText="1"/>
    </xf>
    <xf numFmtId="0" fontId="3" fillId="2" borderId="8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25" fillId="2" borderId="8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left" indent="1"/>
    </xf>
    <xf numFmtId="0" fontId="1" fillId="2" borderId="3" xfId="0" applyFont="1" applyFill="1" applyBorder="1" applyAlignment="1">
      <alignment horizontal="left" indent="1"/>
    </xf>
    <xf numFmtId="0" fontId="1" fillId="0" borderId="23" xfId="0" applyFont="1" applyBorder="1" applyAlignment="1">
      <alignment horizontal="left" indent="1"/>
    </xf>
    <xf numFmtId="10" fontId="3" fillId="9" borderId="2" xfId="0" applyNumberFormat="1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indent="1"/>
    </xf>
    <xf numFmtId="0" fontId="25" fillId="0" borderId="8" xfId="0" applyFont="1" applyBorder="1" applyAlignment="1">
      <alignment vertical="center" wrapText="1"/>
    </xf>
    <xf numFmtId="0" fontId="1" fillId="0" borderId="2" xfId="0" applyFont="1" applyBorder="1" applyAlignment="1">
      <alignment horizontal="left" indent="1"/>
    </xf>
    <xf numFmtId="0" fontId="27" fillId="2" borderId="0" xfId="0" applyFont="1" applyFill="1"/>
    <xf numFmtId="0" fontId="1" fillId="0" borderId="8" xfId="0" applyFont="1" applyBorder="1" applyAlignment="1">
      <alignment horizontal="left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3" fillId="2" borderId="0" xfId="0" applyFont="1" applyFill="1" applyAlignment="1" applyProtection="1">
      <alignment horizontal="center" vertical="center" wrapText="1"/>
      <protection locked="0"/>
    </xf>
    <xf numFmtId="10" fontId="3" fillId="2" borderId="0" xfId="0" applyNumberFormat="1" applyFont="1" applyFill="1" applyAlignment="1" applyProtection="1">
      <alignment horizontal="center" vertical="center" wrapText="1"/>
      <protection locked="0"/>
    </xf>
    <xf numFmtId="0" fontId="28" fillId="2" borderId="0" xfId="0" applyFont="1" applyFill="1" applyAlignment="1" applyProtection="1">
      <alignment horizontal="center" vertical="center"/>
      <protection locked="0"/>
    </xf>
    <xf numFmtId="0" fontId="25" fillId="2" borderId="0" xfId="0" applyFont="1" applyFill="1" applyAlignment="1">
      <alignment horizontal="left"/>
    </xf>
    <xf numFmtId="3" fontId="28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 vertical="center" wrapText="1"/>
    </xf>
    <xf numFmtId="3" fontId="27" fillId="2" borderId="0" xfId="0" applyNumberFormat="1" applyFont="1" applyFill="1"/>
    <xf numFmtId="0" fontId="15" fillId="2" borderId="0" xfId="0" applyFont="1" applyFill="1"/>
    <xf numFmtId="0" fontId="15" fillId="2" borderId="0" xfId="0" applyFont="1" applyFill="1" applyAlignment="1">
      <alignment vertical="center"/>
    </xf>
    <xf numFmtId="3" fontId="3" fillId="0" borderId="8" xfId="0" applyNumberFormat="1" applyFont="1" applyBorder="1" applyAlignment="1">
      <alignment horizontal="center" vertical="center" wrapText="1"/>
    </xf>
    <xf numFmtId="9" fontId="3" fillId="0" borderId="8" xfId="0" applyNumberFormat="1" applyFont="1" applyBorder="1" applyAlignment="1">
      <alignment horizontal="center" vertical="center" wrapText="1"/>
    </xf>
    <xf numFmtId="3" fontId="3" fillId="0" borderId="3" xfId="0" applyNumberFormat="1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 vertical="center" wrapText="1"/>
    </xf>
    <xf numFmtId="10" fontId="3" fillId="0" borderId="2" xfId="0" applyNumberFormat="1" applyFont="1" applyBorder="1" applyAlignment="1">
      <alignment horizontal="center" vertical="center" wrapText="1"/>
    </xf>
    <xf numFmtId="3" fontId="3" fillId="0" borderId="2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3" fontId="3" fillId="9" borderId="2" xfId="0" applyNumberFormat="1" applyFont="1" applyFill="1" applyBorder="1" applyAlignment="1">
      <alignment horizontal="center" vertical="center"/>
    </xf>
    <xf numFmtId="0" fontId="15" fillId="8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indent="1"/>
    </xf>
    <xf numFmtId="0" fontId="15" fillId="6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indent="1"/>
    </xf>
    <xf numFmtId="0" fontId="3" fillId="2" borderId="25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4" fontId="26" fillId="2" borderId="9" xfId="0" applyNumberFormat="1" applyFont="1" applyFill="1" applyBorder="1" applyAlignment="1">
      <alignment horizontal="left" vertical="center"/>
    </xf>
    <xf numFmtId="4" fontId="26" fillId="2" borderId="10" xfId="0" applyNumberFormat="1" applyFont="1" applyFill="1" applyBorder="1" applyAlignment="1">
      <alignment horizontal="left" vertical="center"/>
    </xf>
    <xf numFmtId="4" fontId="26" fillId="2" borderId="7" xfId="0" applyNumberFormat="1" applyFont="1" applyFill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10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/>
    </xf>
    <xf numFmtId="0" fontId="26" fillId="2" borderId="9" xfId="0" applyFont="1" applyFill="1" applyBorder="1" applyAlignment="1">
      <alignment horizontal="left" vertical="center"/>
    </xf>
    <xf numFmtId="0" fontId="26" fillId="2" borderId="10" xfId="0" applyFont="1" applyFill="1" applyBorder="1" applyAlignment="1">
      <alignment horizontal="left" vertical="center"/>
    </xf>
    <xf numFmtId="0" fontId="26" fillId="2" borderId="7" xfId="0" applyFont="1" applyFill="1" applyBorder="1" applyAlignment="1">
      <alignment horizontal="left" vertical="center"/>
    </xf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751900" y="1803400"/>
          <a:ext cx="151876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00000000-0008-0000-0000-000010000000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00000000-0008-0000-0000-000011000000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00000000-0008-0000-0000-00001200000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00000000-0008-0000-0000-000013000000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00000000-0008-0000-0000-000014000000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00000000-0008-0000-0000-000015000000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00000000-0008-0000-0000-000016000000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00000000-0008-0000-0000-000017000000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00000000-0008-0000-0000-000018000000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00000000-0008-0000-0000-000019000000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00000000-0008-0000-0000-00001A000000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00000000-0008-0000-0000-00001B000000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00000000-0008-0000-0000-00000E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00000000-0008-0000-0000-00000F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843892" y="2578982"/>
          <a:ext cx="1516295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675724" y="1802816"/>
          <a:ext cx="153217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00000000-0008-0000-0000-00002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00000000-0008-0000-0000-00002C000000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00000000-0008-0000-0000-00002D000000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00000000-0008-0000-0000-00002E000000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00000000-0008-0000-0000-00002F000000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00000000-0008-0000-0000-000030000000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00000000-0008-0000-0000-000031000000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00000000-0008-0000-0000-000032000000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00000000-0008-0000-0000-000033000000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00000000-0008-0000-0000-000034000000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15144" y="1794504"/>
          <a:ext cx="578933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167640</xdr:colOff>
      <xdr:row>32</xdr:row>
      <xdr:rowOff>91440</xdr:rowOff>
    </xdr:from>
    <xdr:to>
      <xdr:col>16</xdr:col>
      <xdr:colOff>384614</xdr:colOff>
      <xdr:row>34</xdr:row>
      <xdr:rowOff>147900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8860" y="5471160"/>
          <a:ext cx="6800654" cy="3612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8046997</xdr:colOff>
      <xdr:row>47</xdr:row>
      <xdr:rowOff>79376</xdr:rowOff>
    </xdr:from>
    <xdr:to>
      <xdr:col>2</xdr:col>
      <xdr:colOff>8318094</xdr:colOff>
      <xdr:row>57</xdr:row>
      <xdr:rowOff>64722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8227973" y="998728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48</xdr:row>
      <xdr:rowOff>43961</xdr:rowOff>
    </xdr:from>
    <xdr:to>
      <xdr:col>10</xdr:col>
      <xdr:colOff>556848</xdr:colOff>
      <xdr:row>57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 rot="16200000">
          <a:off x="16540531" y="1011628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2</xdr:col>
      <xdr:colOff>8078746</xdr:colOff>
      <xdr:row>60</xdr:row>
      <xdr:rowOff>79376</xdr:rowOff>
    </xdr:from>
    <xdr:to>
      <xdr:col>2</xdr:col>
      <xdr:colOff>8349843</xdr:colOff>
      <xdr:row>70</xdr:row>
      <xdr:rowOff>64722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6200000">
          <a:off x="8259722" y="1214374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61</xdr:row>
      <xdr:rowOff>43961</xdr:rowOff>
    </xdr:from>
    <xdr:to>
      <xdr:col>10</xdr:col>
      <xdr:colOff>556848</xdr:colOff>
      <xdr:row>70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 rot="16200000">
          <a:off x="16540531" y="1227274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804781/Santander%20Office%20365/BS%20Implementa&#231;&#227;o%20Templates%20Locais%20-%20Implementa&#231;&#227;o%20Templates%20Locais/03.%20Templates/08.%20STE/02.%20STE2/04.%20Entreg&#225;veis/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V62"/>
  <sheetViews>
    <sheetView showGridLines="0" topLeftCell="B1" zoomScaleNormal="100" workbookViewId="0">
      <pane ySplit="4" topLeftCell="A25" activePane="bottomLeft" state="frozen"/>
      <selection pane="bottomLeft" activeCell="H30" sqref="H30:T31"/>
    </sheetView>
  </sheetViews>
  <sheetFormatPr defaultColWidth="0" defaultRowHeight="14.85" customHeight="1" zeroHeight="1" x14ac:dyDescent="0.25"/>
  <cols>
    <col min="1" max="2" width="3.5703125" customWidth="1"/>
    <col min="3" max="4" width="7.5703125" customWidth="1"/>
    <col min="5" max="5" width="0.42578125" customWidth="1"/>
    <col min="6" max="6" width="7.5703125" customWidth="1"/>
    <col min="7" max="7" width="0.42578125" customWidth="1"/>
    <col min="8" max="20" width="10.5703125" customWidth="1"/>
    <col min="21" max="21" width="8.5703125" customWidth="1"/>
    <col min="22" max="22" width="3.5703125" customWidth="1"/>
  </cols>
  <sheetData>
    <row r="1" spans="1:22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ht="1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ht="1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1"/>
    </row>
    <row r="5" spans="1:22" s="7" customFormat="1" ht="15.75" thickTop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2" ht="15" customHeight="1" x14ac:dyDescent="0.25">
      <c r="A6" s="4"/>
      <c r="B6" s="14" t="s">
        <v>78</v>
      </c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4"/>
    </row>
    <row r="7" spans="1:22" ht="8.1" customHeight="1" x14ac:dyDescent="0.25">
      <c r="A7" s="4"/>
      <c r="B7" s="8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spans="1:22" s="7" customFormat="1" ht="15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2" ht="15" x14ac:dyDescent="0.25"/>
    <row r="10" spans="1:22" ht="15" x14ac:dyDescent="0.25"/>
    <row r="11" spans="1:22" ht="15" x14ac:dyDescent="0.25"/>
    <row r="12" spans="1:22" ht="15" x14ac:dyDescent="0.25"/>
    <row r="13" spans="1:22" ht="15" x14ac:dyDescent="0.25"/>
    <row r="14" spans="1:22" ht="15" x14ac:dyDescent="0.25"/>
    <row r="15" spans="1:22" ht="15" x14ac:dyDescent="0.25"/>
    <row r="16" spans="1:22" ht="15" x14ac:dyDescent="0.25"/>
    <row r="17" spans="2:20" ht="15" x14ac:dyDescent="0.25"/>
    <row r="18" spans="2:20" ht="15" x14ac:dyDescent="0.25"/>
    <row r="19" spans="2:20" ht="15" x14ac:dyDescent="0.25"/>
    <row r="20" spans="2:20" ht="15" x14ac:dyDescent="0.25"/>
    <row r="21" spans="2:20" ht="15" x14ac:dyDescent="0.25"/>
    <row r="22" spans="2:20" ht="15" x14ac:dyDescent="0.25"/>
    <row r="23" spans="2:20" ht="15" x14ac:dyDescent="0.25"/>
    <row r="24" spans="2:20" ht="13.35" customHeight="1" x14ac:dyDescent="0.25">
      <c r="B24" s="91" t="s">
        <v>58</v>
      </c>
      <c r="C24" s="91"/>
      <c r="D24" s="91"/>
      <c r="E24" s="9"/>
      <c r="F24" s="92" t="s">
        <v>108</v>
      </c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10"/>
      <c r="R24" s="10"/>
      <c r="S24" s="10"/>
      <c r="T24" s="10"/>
    </row>
    <row r="25" spans="2:20" ht="13.35" customHeight="1" x14ac:dyDescent="0.25">
      <c r="B25" s="91"/>
      <c r="C25" s="91"/>
      <c r="D25" s="91"/>
      <c r="E25" s="9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10"/>
      <c r="R25" s="10"/>
      <c r="S25" s="10"/>
      <c r="T25" s="10"/>
    </row>
    <row r="26" spans="2:20" ht="8.1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2:20" ht="12" customHeight="1" x14ac:dyDescent="0.25">
      <c r="B27" s="11"/>
      <c r="C27" s="89" t="s">
        <v>59</v>
      </c>
      <c r="D27" s="89"/>
      <c r="E27" s="89"/>
      <c r="F27" s="89"/>
      <c r="G27" s="9"/>
      <c r="H27" s="90" t="s">
        <v>80</v>
      </c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</row>
    <row r="28" spans="2:20" ht="12" customHeight="1" x14ac:dyDescent="0.25">
      <c r="B28" s="11"/>
      <c r="C28" s="89"/>
      <c r="D28" s="89"/>
      <c r="E28" s="89"/>
      <c r="F28" s="89"/>
      <c r="G28" s="9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</row>
    <row r="29" spans="2:20" ht="3" customHeight="1" x14ac:dyDescent="0.25">
      <c r="B29" s="11"/>
      <c r="C29" s="12"/>
      <c r="D29" s="12"/>
      <c r="E29" s="12"/>
      <c r="F29" s="12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2:20" ht="12" customHeight="1" x14ac:dyDescent="0.25">
      <c r="B30" s="11"/>
      <c r="C30" s="89" t="s">
        <v>60</v>
      </c>
      <c r="D30" s="89"/>
      <c r="E30" s="89"/>
      <c r="F30" s="89"/>
      <c r="G30" s="9"/>
      <c r="H30" s="93" t="s">
        <v>109</v>
      </c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</row>
    <row r="31" spans="2:20" ht="12" customHeight="1" x14ac:dyDescent="0.25">
      <c r="B31" s="11"/>
      <c r="C31" s="89"/>
      <c r="D31" s="89"/>
      <c r="E31" s="89"/>
      <c r="F31" s="89"/>
      <c r="G31" s="9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</row>
    <row r="32" spans="2:20" ht="12" customHeight="1" x14ac:dyDescent="0.25">
      <c r="B32" s="11"/>
      <c r="C32" s="89"/>
      <c r="D32" s="89"/>
      <c r="E32" s="89"/>
      <c r="F32" s="89"/>
      <c r="G32" s="9"/>
      <c r="H32" s="13" t="s">
        <v>81</v>
      </c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2:20" ht="12" customHeight="1" x14ac:dyDescent="0.25">
      <c r="B33" s="11"/>
      <c r="C33" s="89"/>
      <c r="D33" s="89"/>
      <c r="E33" s="89"/>
      <c r="F33" s="89"/>
      <c r="G33" s="9"/>
      <c r="H33" s="13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2:20" ht="12" customHeight="1" x14ac:dyDescent="0.25">
      <c r="B34" s="11"/>
      <c r="C34" s="89"/>
      <c r="D34" s="89"/>
      <c r="E34" s="89"/>
      <c r="F34" s="89"/>
      <c r="G34" s="9"/>
      <c r="H34" s="13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2:20" ht="12" customHeight="1" x14ac:dyDescent="0.25">
      <c r="B35" s="11"/>
      <c r="C35" s="89"/>
      <c r="D35" s="89"/>
      <c r="E35" s="89"/>
      <c r="F35" s="89"/>
      <c r="G35" s="9"/>
      <c r="H35" s="13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2:20" ht="12" customHeight="1" x14ac:dyDescent="0.25">
      <c r="B36" s="11"/>
      <c r="C36" s="89"/>
      <c r="D36" s="89"/>
      <c r="E36" s="89"/>
      <c r="F36" s="89"/>
      <c r="G36" s="9"/>
      <c r="H36" s="13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2:20" ht="3" customHeight="1" x14ac:dyDescent="0.25"/>
    <row r="38" spans="2:20" ht="12" customHeight="1" x14ac:dyDescent="0.25">
      <c r="B38" s="11"/>
      <c r="C38" s="89" t="s">
        <v>61</v>
      </c>
      <c r="D38" s="89"/>
      <c r="E38" s="89"/>
      <c r="F38" s="89"/>
      <c r="G38" s="9"/>
      <c r="H38" s="13" t="s">
        <v>62</v>
      </c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2:20" ht="12" customHeight="1" x14ac:dyDescent="0.25">
      <c r="B39" s="11"/>
      <c r="C39" s="89"/>
      <c r="D39" s="89"/>
      <c r="E39" s="89"/>
      <c r="F39" s="89"/>
      <c r="G39" s="9"/>
      <c r="H39" s="13" t="s">
        <v>63</v>
      </c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2:20" ht="3" customHeight="1" x14ac:dyDescent="0.25"/>
    <row r="41" spans="2:20" ht="12" customHeight="1" x14ac:dyDescent="0.25">
      <c r="B41" s="11"/>
      <c r="C41" s="89" t="s">
        <v>64</v>
      </c>
      <c r="D41" s="89"/>
      <c r="E41" s="89"/>
      <c r="F41" s="89"/>
      <c r="G41" s="9"/>
      <c r="H41" s="13" t="s">
        <v>65</v>
      </c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2:20" ht="12" customHeight="1" x14ac:dyDescent="0.25">
      <c r="B42" s="11"/>
      <c r="C42" s="89"/>
      <c r="D42" s="89"/>
      <c r="E42" s="89"/>
      <c r="F42" s="89"/>
      <c r="G42" s="9"/>
      <c r="H42" s="13" t="s">
        <v>66</v>
      </c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2:20" ht="10.35" customHeight="1" x14ac:dyDescent="0.25"/>
    <row r="44" spans="2:20" ht="13.35" customHeight="1" x14ac:dyDescent="0.25">
      <c r="B44" s="91" t="s">
        <v>67</v>
      </c>
      <c r="C44" s="91"/>
      <c r="D44" s="91"/>
      <c r="E44" s="9"/>
      <c r="F44" s="92" t="s">
        <v>74</v>
      </c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10"/>
      <c r="R44" s="10"/>
      <c r="S44" s="10"/>
      <c r="T44" s="10"/>
    </row>
    <row r="45" spans="2:20" ht="13.35" customHeight="1" x14ac:dyDescent="0.25">
      <c r="B45" s="91"/>
      <c r="C45" s="91"/>
      <c r="D45" s="91"/>
      <c r="E45" s="9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10"/>
      <c r="R45" s="10"/>
      <c r="S45" s="10"/>
      <c r="T45" s="10"/>
    </row>
    <row r="46" spans="2:20" ht="8.1" customHeight="1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2:20" ht="12" customHeight="1" x14ac:dyDescent="0.25">
      <c r="B47" s="11"/>
      <c r="C47" s="89" t="s">
        <v>68</v>
      </c>
      <c r="D47" s="89"/>
      <c r="E47" s="89"/>
      <c r="F47" s="89"/>
      <c r="G47" s="9"/>
      <c r="H47" s="90" t="s">
        <v>69</v>
      </c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</row>
    <row r="48" spans="2:20" ht="12" customHeight="1" x14ac:dyDescent="0.25">
      <c r="B48" s="11"/>
      <c r="C48" s="89"/>
      <c r="D48" s="89"/>
      <c r="E48" s="89"/>
      <c r="F48" s="89"/>
      <c r="G48" s="9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</row>
    <row r="49" spans="2:20" ht="3" customHeight="1" x14ac:dyDescent="0.25"/>
    <row r="50" spans="2:20" ht="12" customHeight="1" x14ac:dyDescent="0.25">
      <c r="B50" s="11"/>
      <c r="C50" s="89" t="s">
        <v>70</v>
      </c>
      <c r="D50" s="89"/>
      <c r="E50" s="89"/>
      <c r="F50" s="89"/>
      <c r="G50" s="9"/>
      <c r="H50" s="90" t="s">
        <v>75</v>
      </c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</row>
    <row r="51" spans="2:20" ht="12" customHeight="1" x14ac:dyDescent="0.25">
      <c r="B51" s="11"/>
      <c r="C51" s="89"/>
      <c r="D51" s="89"/>
      <c r="E51" s="89"/>
      <c r="F51" s="89"/>
      <c r="G51" s="9"/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</row>
    <row r="52" spans="2:20" ht="3" customHeight="1" x14ac:dyDescent="0.25"/>
    <row r="53" spans="2:20" ht="12" customHeight="1" x14ac:dyDescent="0.25">
      <c r="B53" s="11"/>
      <c r="C53" s="89" t="s">
        <v>71</v>
      </c>
      <c r="D53" s="89"/>
      <c r="E53" s="89"/>
      <c r="F53" s="89"/>
      <c r="G53" s="9"/>
      <c r="H53" s="90" t="s">
        <v>76</v>
      </c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</row>
    <row r="54" spans="2:20" ht="12" customHeight="1" x14ac:dyDescent="0.25">
      <c r="B54" s="11"/>
      <c r="C54" s="89"/>
      <c r="D54" s="89"/>
      <c r="E54" s="89"/>
      <c r="F54" s="89"/>
      <c r="G54" s="9"/>
      <c r="H54" s="90"/>
      <c r="I54" s="90"/>
      <c r="J54" s="90"/>
      <c r="K54" s="90"/>
      <c r="L54" s="90"/>
      <c r="M54" s="90"/>
      <c r="N54" s="90"/>
      <c r="O54" s="90"/>
      <c r="P54" s="90"/>
      <c r="Q54" s="90"/>
      <c r="R54" s="90"/>
      <c r="S54" s="90"/>
      <c r="T54" s="90"/>
    </row>
    <row r="55" spans="2:20" ht="3" customHeight="1" x14ac:dyDescent="0.25"/>
    <row r="56" spans="2:20" ht="12" customHeight="1" x14ac:dyDescent="0.25">
      <c r="B56" s="11"/>
      <c r="C56" s="89" t="s">
        <v>72</v>
      </c>
      <c r="D56" s="89"/>
      <c r="E56" s="89"/>
      <c r="F56" s="89"/>
      <c r="G56" s="9"/>
      <c r="H56" s="90" t="s">
        <v>82</v>
      </c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</row>
    <row r="57" spans="2:20" ht="12" customHeight="1" x14ac:dyDescent="0.25">
      <c r="B57" s="11"/>
      <c r="C57" s="89"/>
      <c r="D57" s="89"/>
      <c r="E57" s="89"/>
      <c r="F57" s="89"/>
      <c r="G57" s="9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</row>
    <row r="58" spans="2:20" ht="10.35" customHeight="1" x14ac:dyDescent="0.25"/>
    <row r="59" spans="2:20" ht="13.35" customHeight="1" x14ac:dyDescent="0.25">
      <c r="B59" s="91" t="s">
        <v>73</v>
      </c>
      <c r="C59" s="91"/>
      <c r="D59" s="91"/>
      <c r="E59" s="9"/>
      <c r="F59" s="92" t="s">
        <v>77</v>
      </c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10"/>
      <c r="R59" s="10"/>
      <c r="S59" s="10"/>
      <c r="T59" s="10"/>
    </row>
    <row r="60" spans="2:20" ht="13.35" customHeight="1" x14ac:dyDescent="0.25">
      <c r="B60" s="91"/>
      <c r="C60" s="91"/>
      <c r="D60" s="91"/>
      <c r="E60" s="9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10"/>
      <c r="R60" s="10"/>
      <c r="S60" s="10"/>
      <c r="T60" s="10"/>
    </row>
    <row r="61" spans="2:20" ht="15" x14ac:dyDescent="0.25"/>
    <row r="62" spans="2:20" ht="15" hidden="1" x14ac:dyDescent="0.25"/>
  </sheetData>
  <mergeCells count="20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H30:T3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pane="bottomLeft" activeCell="F10" sqref="F10"/>
    </sheetView>
  </sheetViews>
  <sheetFormatPr defaultColWidth="0" defaultRowHeight="0" customHeight="1" zeroHeight="1" x14ac:dyDescent="0.25"/>
  <cols>
    <col min="1" max="2" width="3.5703125" style="25" customWidth="1"/>
    <col min="3" max="4" width="10.5703125" style="25" customWidth="1"/>
    <col min="5" max="5" width="5.5703125" style="25" customWidth="1"/>
    <col min="6" max="6" width="10.5703125" style="25" customWidth="1"/>
    <col min="7" max="7" width="8.5703125" style="25" customWidth="1"/>
    <col min="8" max="8" width="3.5703125" style="25" customWidth="1"/>
    <col min="9" max="13" width="10.5703125" style="25" hidden="1" customWidth="1"/>
    <col min="14" max="16384" width="8.5703125" style="25" hidden="1"/>
  </cols>
  <sheetData>
    <row r="1" spans="1:8" s="18" customFormat="1" ht="15" x14ac:dyDescent="0.25"/>
    <row r="2" spans="1:8" s="18" customFormat="1" ht="5.0999999999999996" customHeight="1" x14ac:dyDescent="0.25"/>
    <row r="3" spans="1:8" s="18" customFormat="1" ht="15" x14ac:dyDescent="0.25"/>
    <row r="4" spans="1:8" s="18" customFormat="1" ht="5.0999999999999996" customHeight="1" thickBot="1" x14ac:dyDescent="0.3">
      <c r="A4" s="19"/>
      <c r="B4" s="20"/>
      <c r="C4" s="20"/>
      <c r="D4" s="20"/>
      <c r="E4" s="20"/>
      <c r="F4" s="20"/>
      <c r="G4" s="20"/>
    </row>
    <row r="5" spans="1:8" s="18" customFormat="1" ht="8.1" customHeight="1" thickTop="1" x14ac:dyDescent="0.25">
      <c r="A5" s="21"/>
      <c r="B5" s="21"/>
      <c r="C5" s="21"/>
      <c r="D5" s="21"/>
      <c r="E5" s="21"/>
      <c r="F5" s="21"/>
      <c r="G5" s="21"/>
      <c r="H5" s="21"/>
    </row>
    <row r="6" spans="1:8" s="26" customFormat="1" ht="15" x14ac:dyDescent="0.25">
      <c r="A6" s="22"/>
      <c r="B6" s="23" t="s">
        <v>54</v>
      </c>
      <c r="C6" s="24"/>
      <c r="D6" s="24"/>
      <c r="E6" s="24"/>
      <c r="F6" s="24"/>
      <c r="G6" s="24"/>
      <c r="H6" s="25"/>
    </row>
    <row r="7" spans="1:8" s="26" customFormat="1" ht="4.3499999999999996" customHeight="1" x14ac:dyDescent="0.25">
      <c r="A7" s="22"/>
      <c r="B7" s="27"/>
      <c r="C7" s="22"/>
      <c r="D7" s="22"/>
      <c r="E7" s="22"/>
      <c r="F7" s="22"/>
      <c r="G7" s="22"/>
      <c r="H7" s="25"/>
    </row>
    <row r="8" spans="1:8" s="26" customFormat="1" ht="8.1" customHeight="1" x14ac:dyDescent="0.25">
      <c r="A8" s="22"/>
      <c r="B8" s="28"/>
      <c r="C8" s="29"/>
      <c r="D8" s="29"/>
      <c r="E8" s="29"/>
      <c r="F8" s="29"/>
      <c r="G8" s="30"/>
      <c r="H8" s="25"/>
    </row>
    <row r="9" spans="1:8" s="26" customFormat="1" ht="15" x14ac:dyDescent="0.25">
      <c r="A9" s="25"/>
      <c r="B9" s="31"/>
      <c r="C9" s="32" t="s">
        <v>55</v>
      </c>
      <c r="D9" s="32"/>
      <c r="E9" s="33"/>
      <c r="F9" s="34">
        <v>46022</v>
      </c>
      <c r="G9" s="35"/>
      <c r="H9" s="25"/>
    </row>
    <row r="10" spans="1:8" s="26" customFormat="1" ht="8.1" customHeight="1" x14ac:dyDescent="0.25">
      <c r="A10" s="25"/>
      <c r="B10" s="31"/>
      <c r="C10" s="36"/>
      <c r="D10" s="36"/>
      <c r="E10" s="1"/>
      <c r="F10" s="17" t="str">
        <f>YEAR(F9)&amp;"-"&amp;TEXT(MONTH(F9),"00")&amp;"-"&amp;TEXT(DAY(F9),"00")</f>
        <v>2025-12-31</v>
      </c>
      <c r="G10" s="41"/>
      <c r="H10" s="25"/>
    </row>
    <row r="11" spans="1:8" s="26" customFormat="1" ht="8.1" customHeight="1" x14ac:dyDescent="0.25">
      <c r="A11" s="25"/>
      <c r="B11" s="31"/>
      <c r="C11" s="18"/>
      <c r="D11" s="18"/>
      <c r="E11" s="18"/>
      <c r="F11" s="18"/>
      <c r="G11" s="35"/>
      <c r="H11" s="25"/>
    </row>
    <row r="12" spans="1:8" s="26" customFormat="1" ht="15" x14ac:dyDescent="0.25">
      <c r="A12" s="25"/>
      <c r="B12" s="31"/>
      <c r="C12" s="32" t="s">
        <v>56</v>
      </c>
      <c r="D12" s="32"/>
      <c r="E12" s="33"/>
      <c r="F12" s="33"/>
      <c r="G12" s="35"/>
      <c r="H12" s="25"/>
    </row>
    <row r="13" spans="1:8" s="26" customFormat="1" ht="8.1" customHeight="1" x14ac:dyDescent="0.25">
      <c r="A13" s="25"/>
      <c r="B13" s="31"/>
      <c r="C13" s="18"/>
      <c r="D13" s="18"/>
      <c r="E13" s="18"/>
      <c r="F13" s="18"/>
      <c r="G13" s="35"/>
      <c r="H13" s="25"/>
    </row>
    <row r="14" spans="1:8" s="26" customFormat="1" ht="8.1" customHeight="1" x14ac:dyDescent="0.25">
      <c r="A14" s="25"/>
      <c r="B14" s="31"/>
      <c r="C14" s="18"/>
      <c r="D14" s="18"/>
      <c r="E14" s="18"/>
      <c r="F14" s="18"/>
      <c r="G14" s="35"/>
      <c r="H14" s="25"/>
    </row>
    <row r="15" spans="1:8" s="26" customFormat="1" ht="15" x14ac:dyDescent="0.25">
      <c r="A15" s="25"/>
      <c r="B15" s="31"/>
      <c r="C15" s="32" t="s">
        <v>57</v>
      </c>
      <c r="D15" s="32"/>
      <c r="E15" s="33"/>
      <c r="F15" s="33"/>
      <c r="G15" s="35"/>
      <c r="H15" s="25"/>
    </row>
    <row r="16" spans="1:8" s="26" customFormat="1" ht="8.1" customHeight="1" x14ac:dyDescent="0.25">
      <c r="A16" s="25"/>
      <c r="B16" s="31"/>
      <c r="C16" s="18"/>
      <c r="D16" s="18"/>
      <c r="E16" s="18"/>
      <c r="F16" s="18"/>
      <c r="G16" s="35"/>
      <c r="H16" s="25"/>
    </row>
    <row r="17" spans="1:8" s="26" customFormat="1" ht="8.1" customHeight="1" x14ac:dyDescent="0.25">
      <c r="A17" s="25"/>
      <c r="B17" s="37"/>
      <c r="C17" s="38"/>
      <c r="D17" s="38"/>
      <c r="E17" s="38"/>
      <c r="F17" s="38"/>
      <c r="G17" s="39"/>
      <c r="H17" s="25"/>
    </row>
    <row r="18" spans="1:8" s="26" customFormat="1" ht="15" x14ac:dyDescent="0.25">
      <c r="A18" s="25"/>
      <c r="B18" s="25"/>
      <c r="C18" s="25"/>
      <c r="D18" s="25"/>
      <c r="E18" s="25"/>
      <c r="F18" s="25"/>
      <c r="G18" s="25"/>
      <c r="H18" s="25"/>
    </row>
    <row r="19" spans="1:8" ht="15" hidden="1" x14ac:dyDescent="0.25"/>
    <row r="20" spans="1:8" ht="15" hidden="1" x14ac:dyDescent="0.25"/>
    <row r="21" spans="1:8" ht="15" hidden="1" x14ac:dyDescent="0.25"/>
    <row r="22" spans="1:8" ht="15" hidden="1" x14ac:dyDescent="0.25">
      <c r="F22" s="40"/>
      <c r="G22" s="40"/>
    </row>
    <row r="23" spans="1:8" ht="15" hidden="1" x14ac:dyDescent="0.25"/>
    <row r="24" spans="1:8" ht="15" hidden="1" x14ac:dyDescent="0.25"/>
    <row r="25" spans="1:8" ht="15" hidden="1" x14ac:dyDescent="0.25"/>
    <row r="26" spans="1:8" ht="15" hidden="1" x14ac:dyDescent="0.25"/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"/>
  <sheetViews>
    <sheetView showGridLines="0" workbookViewId="0">
      <pane ySplit="1" topLeftCell="A2" activePane="bottomLeft" state="frozen"/>
      <selection pane="bottomLeft" activeCell="C1" sqref="C1:R7"/>
    </sheetView>
  </sheetViews>
  <sheetFormatPr defaultColWidth="0" defaultRowHeight="15" x14ac:dyDescent="0.25"/>
  <cols>
    <col min="1" max="2" width="3.5703125" customWidth="1"/>
    <col min="3" max="3" width="17.85546875" customWidth="1"/>
    <col min="4" max="4" width="9.85546875" customWidth="1"/>
    <col min="5" max="5" width="10.42578125" customWidth="1"/>
    <col min="6" max="10" width="14.5703125" customWidth="1"/>
    <col min="11" max="11" width="17" bestFit="1" customWidth="1"/>
    <col min="12" max="12" width="21.140625" bestFit="1" customWidth="1"/>
    <col min="13" max="16" width="14.5703125" customWidth="1"/>
    <col min="17" max="18" width="12.5703125" customWidth="1"/>
    <col min="19" max="20" width="3.5703125" customWidth="1"/>
    <col min="21" max="28" width="0" hidden="1" customWidth="1"/>
    <col min="29" max="16384" width="8.5703125" hidden="1"/>
  </cols>
  <sheetData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 tint="0.499984740745262"/>
    <pageSetUpPr autoPageBreaks="0"/>
  </sheetPr>
  <dimension ref="A1:Z85"/>
  <sheetViews>
    <sheetView zoomScale="85" zoomScaleNormal="80" workbookViewId="0"/>
  </sheetViews>
  <sheetFormatPr defaultColWidth="0" defaultRowHeight="14.45" customHeight="1" zeroHeight="1" x14ac:dyDescent="0.25"/>
  <cols>
    <col min="1" max="1" width="9.42578125" style="64" customWidth="1"/>
    <col min="2" max="2" width="3" style="64" bestFit="1" customWidth="1"/>
    <col min="3" max="3" width="126.140625" style="64" bestFit="1" customWidth="1"/>
    <col min="4" max="4" width="18.5703125" style="64" customWidth="1"/>
    <col min="5" max="5" width="15.85546875" style="64" bestFit="1" customWidth="1"/>
    <col min="6" max="6" width="14.85546875" style="64" bestFit="1" customWidth="1"/>
    <col min="7" max="10" width="14.5703125" style="64" bestFit="1" customWidth="1"/>
    <col min="11" max="11" width="15" style="64" bestFit="1" customWidth="1"/>
    <col min="12" max="12" width="23.42578125" style="64" customWidth="1"/>
    <col min="13" max="13" width="16" style="64" bestFit="1" customWidth="1"/>
    <col min="14" max="14" width="14.5703125" style="64" bestFit="1" customWidth="1"/>
    <col min="15" max="20" width="14.42578125" style="64" bestFit="1" customWidth="1"/>
    <col min="21" max="21" width="27.42578125" style="64" bestFit="1" customWidth="1"/>
    <col min="22" max="22" width="8.5703125" style="64" customWidth="1"/>
    <col min="23" max="16384" width="8.5703125" style="64" hidden="1"/>
  </cols>
  <sheetData>
    <row r="1" spans="1:26" s="42" customFormat="1" ht="15" x14ac:dyDescent="0.25">
      <c r="D1" s="5"/>
      <c r="E1" s="79"/>
      <c r="F1" s="78"/>
      <c r="G1" s="78"/>
      <c r="H1" s="78"/>
      <c r="I1" s="78"/>
      <c r="J1" s="78"/>
      <c r="K1" s="78"/>
      <c r="L1" s="78"/>
      <c r="M1" s="78" t="s">
        <v>42</v>
      </c>
      <c r="N1" s="78" t="s">
        <v>42</v>
      </c>
      <c r="O1" s="78" t="s">
        <v>42</v>
      </c>
      <c r="P1" s="78" t="s">
        <v>42</v>
      </c>
      <c r="Q1" s="78" t="s">
        <v>42</v>
      </c>
      <c r="R1" s="78" t="s">
        <v>42</v>
      </c>
      <c r="S1" s="78" t="s">
        <v>42</v>
      </c>
      <c r="T1" s="78" t="s">
        <v>50</v>
      </c>
      <c r="U1" s="78" t="s">
        <v>51</v>
      </c>
    </row>
    <row r="2" spans="1:26" s="42" customFormat="1" ht="15" x14ac:dyDescent="0.25">
      <c r="C2" s="44" t="s">
        <v>38</v>
      </c>
      <c r="D2" s="5" t="s">
        <v>41</v>
      </c>
      <c r="E2" s="79"/>
      <c r="F2" s="79"/>
      <c r="G2" s="79"/>
      <c r="H2" s="79"/>
      <c r="I2" s="79"/>
      <c r="J2" s="79"/>
      <c r="K2" s="79"/>
      <c r="L2" s="79"/>
      <c r="M2" s="5" t="s">
        <v>49</v>
      </c>
      <c r="N2" s="5" t="s">
        <v>49</v>
      </c>
      <c r="O2" s="5" t="s">
        <v>49</v>
      </c>
      <c r="P2" s="5" t="s">
        <v>49</v>
      </c>
      <c r="Q2" s="5" t="s">
        <v>49</v>
      </c>
      <c r="R2" s="5" t="s">
        <v>49</v>
      </c>
      <c r="S2" s="5" t="s">
        <v>49</v>
      </c>
      <c r="T2" s="78"/>
      <c r="U2" s="78"/>
      <c r="V2" s="43"/>
      <c r="W2" s="43"/>
      <c r="X2" s="43"/>
      <c r="Y2" s="43"/>
      <c r="Z2" s="43"/>
    </row>
    <row r="3" spans="1:26" s="42" customFormat="1" ht="15" x14ac:dyDescent="0.25">
      <c r="C3" s="44"/>
      <c r="D3" s="5" t="s">
        <v>53</v>
      </c>
      <c r="E3" s="5" t="s">
        <v>43</v>
      </c>
      <c r="F3" s="5" t="s">
        <v>40</v>
      </c>
      <c r="G3" s="5" t="s">
        <v>48</v>
      </c>
      <c r="H3" s="5" t="s">
        <v>44</v>
      </c>
      <c r="I3" s="5" t="s">
        <v>46</v>
      </c>
      <c r="J3" s="5" t="s">
        <v>52</v>
      </c>
      <c r="K3" s="79"/>
      <c r="L3" s="79"/>
      <c r="M3" s="5" t="s">
        <v>79</v>
      </c>
      <c r="N3" s="5" t="s">
        <v>79</v>
      </c>
      <c r="O3" s="5" t="s">
        <v>79</v>
      </c>
      <c r="P3" s="5" t="s">
        <v>79</v>
      </c>
      <c r="Q3" s="5" t="s">
        <v>79</v>
      </c>
      <c r="R3" s="5" t="s">
        <v>79</v>
      </c>
      <c r="S3" s="5" t="s">
        <v>79</v>
      </c>
      <c r="T3" s="79"/>
      <c r="U3" s="79"/>
      <c r="V3" s="43"/>
      <c r="W3" s="43"/>
      <c r="X3" s="43"/>
      <c r="Y3" s="43"/>
      <c r="Z3" s="43"/>
    </row>
    <row r="4" spans="1:26" s="42" customFormat="1" ht="12.75" x14ac:dyDescent="0.2">
      <c r="D4" s="45" t="s">
        <v>0</v>
      </c>
      <c r="E4" s="45" t="s">
        <v>1</v>
      </c>
      <c r="F4" s="45" t="s">
        <v>2</v>
      </c>
      <c r="G4" s="45" t="s">
        <v>3</v>
      </c>
      <c r="H4" s="45" t="s">
        <v>4</v>
      </c>
      <c r="I4" s="45" t="s">
        <v>5</v>
      </c>
      <c r="J4" s="45" t="s">
        <v>6</v>
      </c>
      <c r="K4" s="45" t="s">
        <v>7</v>
      </c>
      <c r="L4" s="45" t="s">
        <v>8</v>
      </c>
      <c r="M4" s="45" t="s">
        <v>9</v>
      </c>
      <c r="N4" s="45" t="s">
        <v>10</v>
      </c>
      <c r="O4" s="45" t="s">
        <v>11</v>
      </c>
      <c r="P4" s="45" t="s">
        <v>27</v>
      </c>
      <c r="Q4" s="45" t="s">
        <v>28</v>
      </c>
      <c r="R4" s="45" t="s">
        <v>29</v>
      </c>
      <c r="S4" s="45" t="s">
        <v>30</v>
      </c>
      <c r="T4" s="45" t="s">
        <v>83</v>
      </c>
      <c r="U4" s="45" t="s">
        <v>84</v>
      </c>
    </row>
    <row r="5" spans="1:26" s="42" customFormat="1" ht="24" customHeight="1" x14ac:dyDescent="0.2">
      <c r="C5" s="46" t="s">
        <v>12</v>
      </c>
      <c r="D5" s="96" t="s">
        <v>85</v>
      </c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8"/>
      <c r="V5" s="47"/>
    </row>
    <row r="6" spans="1:26" s="42" customFormat="1" ht="28.5" customHeight="1" x14ac:dyDescent="0.2">
      <c r="C6" s="48"/>
      <c r="D6" s="49"/>
      <c r="E6" s="99" t="s">
        <v>37</v>
      </c>
      <c r="F6" s="100"/>
      <c r="G6" s="100"/>
      <c r="H6" s="100"/>
      <c r="I6" s="100"/>
      <c r="J6" s="100"/>
      <c r="K6" s="96" t="s">
        <v>86</v>
      </c>
      <c r="L6" s="101"/>
      <c r="M6" s="99" t="s">
        <v>26</v>
      </c>
      <c r="N6" s="100"/>
      <c r="O6" s="100"/>
      <c r="P6" s="100"/>
      <c r="Q6" s="100"/>
      <c r="R6" s="100"/>
      <c r="S6" s="101"/>
      <c r="T6" s="96" t="s">
        <v>36</v>
      </c>
      <c r="U6" s="98"/>
      <c r="V6" s="47"/>
    </row>
    <row r="7" spans="1:26" s="42" customFormat="1" ht="60" customHeight="1" x14ac:dyDescent="0.2">
      <c r="C7" s="50"/>
      <c r="D7" s="51"/>
      <c r="E7" s="52" t="s">
        <v>13</v>
      </c>
      <c r="F7" s="52" t="s">
        <v>14</v>
      </c>
      <c r="G7" s="52" t="s">
        <v>15</v>
      </c>
      <c r="H7" s="52" t="s">
        <v>16</v>
      </c>
      <c r="I7" s="52" t="s">
        <v>17</v>
      </c>
      <c r="J7" s="52" t="s">
        <v>18</v>
      </c>
      <c r="K7" s="51"/>
      <c r="L7" s="53" t="s">
        <v>87</v>
      </c>
      <c r="M7" s="51" t="s">
        <v>19</v>
      </c>
      <c r="N7" s="51" t="s">
        <v>20</v>
      </c>
      <c r="O7" s="51" t="s">
        <v>21</v>
      </c>
      <c r="P7" s="51" t="s">
        <v>22</v>
      </c>
      <c r="Q7" s="51" t="s">
        <v>23</v>
      </c>
      <c r="R7" s="51" t="s">
        <v>24</v>
      </c>
      <c r="S7" s="51" t="s">
        <v>25</v>
      </c>
      <c r="T7" s="54"/>
      <c r="U7" s="55" t="s">
        <v>88</v>
      </c>
      <c r="V7" s="47"/>
    </row>
    <row r="8" spans="1:26" s="42" customFormat="1" ht="12.75" x14ac:dyDescent="0.2">
      <c r="A8" s="78"/>
      <c r="B8" s="45">
        <v>1</v>
      </c>
      <c r="C8" s="56" t="s">
        <v>34</v>
      </c>
      <c r="D8" s="88"/>
      <c r="E8" s="88"/>
      <c r="F8" s="88"/>
      <c r="G8" s="88"/>
      <c r="H8" s="88"/>
      <c r="I8" s="88"/>
      <c r="J8" s="88"/>
      <c r="K8" s="80">
        <f>+SUM(K9:K11)</f>
        <v>0</v>
      </c>
      <c r="L8" s="81" t="e">
        <f>(SUM(SUMIFS(Input!$G:$G,Input!$C:$C,{"Garantia Comercial";"Garantia Residencial";"Stock"},Input!$R:$R,"&lt;&gt;"&amp;$S$1,Input!$R:$R,"&lt;&gt;"&amp;"",Input!$R:$R,"&lt;&gt;"&amp;$U$1,Input!$R:$R,"&lt;&gt;"&amp;$S$3,Input!$F:$F,'2.CC Trans-BB.RE collateral'!$D$2)))/$K8</f>
        <v>#DIV/0!</v>
      </c>
      <c r="M8" s="88"/>
      <c r="N8" s="88"/>
      <c r="O8" s="88"/>
      <c r="P8" s="88"/>
      <c r="Q8" s="88"/>
      <c r="R8" s="88"/>
      <c r="S8" s="88"/>
      <c r="T8" s="88"/>
      <c r="U8" s="81" t="e">
        <f>SUM(SUMIFS(Input!$G:$G,Input!$C:$C,{"Garantia Comercial";"Garantia Residencial";"Stock"},Input!$H:$H,"&lt;&gt;"&amp;$S$1,Input!$H:$H,"&lt;&gt;"&amp;$S$2,Input!$H:$H,"&lt;&gt;"&amp;"",Input!$H:$H,"&lt;&gt;"&amp;$U$1,Input!$H:$H,"&lt;&gt;"&amp;$S$3,Input!$F:$F,'2.CC Trans-BB.RE collateral'!$D$2))/(SUM(SUMIFS(Input!$G:$G,Input!$C:$C,{"Garantia Comercial";"Garantia Residencial";"Stock"},Input!$H:$H,"&lt;&gt;"&amp;$S$1,Input!$H:$H,"&lt;&gt;"&amp;$S$2,Input!$F:$F,'2.CC Trans-BB.RE collateral'!$D$2)))</f>
        <v>#DIV/0!</v>
      </c>
      <c r="V8" s="47"/>
    </row>
    <row r="9" spans="1:26" s="42" customFormat="1" ht="12.75" x14ac:dyDescent="0.2">
      <c r="A9" s="78" t="s">
        <v>47</v>
      </c>
      <c r="B9" s="45">
        <v>2</v>
      </c>
      <c r="C9" s="57" t="s">
        <v>31</v>
      </c>
      <c r="D9" s="88"/>
      <c r="E9" s="88"/>
      <c r="F9" s="88"/>
      <c r="G9" s="88"/>
      <c r="H9" s="88"/>
      <c r="I9" s="88"/>
      <c r="J9" s="88"/>
      <c r="K9" s="80">
        <f>ROUND(SUMIFS(Input!$G:$G,Input!$C:$C,'2.CC Trans-BB.RE collateral'!$A$9,Input!$F:$F,'2.CC Trans-BB.RE collateral'!$D$2,Input!$R:$R,"&lt;&gt;"&amp;$S$1),0)</f>
        <v>0</v>
      </c>
      <c r="L9" s="81" t="e">
        <f>(SUMIFS(Input!$G:$G,Input!$C:$C,$A$9,Input!$R:$R,"&lt;&gt;"&amp;$S$1,Input!$R:$R,"&lt;&gt;"&amp;"",Input!$R:$R,"&lt;&gt;"&amp;$U$1,Input!$R:$R,"&lt;&gt;"&amp;$S$3,Input!$F:$F,'2.CC Trans-BB.RE collateral'!$D$2))/$K9</f>
        <v>#DIV/0!</v>
      </c>
      <c r="M9" s="88"/>
      <c r="N9" s="88"/>
      <c r="O9" s="88"/>
      <c r="P9" s="88"/>
      <c r="Q9" s="88"/>
      <c r="R9" s="88"/>
      <c r="S9" s="88"/>
      <c r="T9" s="88"/>
      <c r="U9" s="81" t="e">
        <f>(SUMIFS(Input!$G:$G,Input!$C:$C,$A9,Input!$H:$H,"&lt;&gt;"&amp;$S$1,Input!$H:$H,"&lt;&gt;"&amp;$S$2,Input!$H:$H,"&lt;&gt;"&amp;"",Input!$H:$H,"&lt;&gt;"&amp;$U$1,Input!$H:$H,"&lt;&gt;"&amp;$S$3,Input!$F:$F,'2.CC Trans-BB.RE collateral'!$D$2))/(SUMIFS(Input!$G:$G,Input!$C:$C,'2.CC Trans-BB.RE collateral'!$A$9,Input!$H:$H,"&lt;&gt;"&amp;$S$1,Input!$H:$H,"&lt;&gt;"&amp;$S$2,Input!$F:$F,'2.CC Trans-BB.RE collateral'!$D$2))</f>
        <v>#DIV/0!</v>
      </c>
      <c r="V9" s="47"/>
    </row>
    <row r="10" spans="1:26" s="42" customFormat="1" ht="12.75" x14ac:dyDescent="0.2">
      <c r="A10" s="78" t="s">
        <v>45</v>
      </c>
      <c r="B10" s="45">
        <v>3</v>
      </c>
      <c r="C10" s="57" t="s">
        <v>32</v>
      </c>
      <c r="D10" s="88"/>
      <c r="E10" s="88"/>
      <c r="F10" s="88"/>
      <c r="G10" s="88"/>
      <c r="H10" s="88"/>
      <c r="I10" s="88"/>
      <c r="J10" s="88"/>
      <c r="K10" s="80">
        <f>ROUND(SUMIFS(Input!$G:$G,Input!$C:$C,'2.CC Trans-BB.RE collateral'!$A$10,Input!$F:$F,'2.CC Trans-BB.RE collateral'!$D$2,Input!$R:$R,"&lt;&gt;"&amp;$S$1),0)</f>
        <v>0</v>
      </c>
      <c r="L10" s="81" t="e">
        <f>(SUMIFS(Input!$G:$G,Input!$C:$C,$A$10,Input!$R:$R,"&lt;&gt;"&amp;$S$1,Input!$R:$R,"&lt;&gt;"&amp;"",Input!$R:$R,"&lt;&gt;"&amp;$U$1,Input!$R:$R,"&lt;&gt;"&amp;$S$3,Input!$F:$F,'2.CC Trans-BB.RE collateral'!$D$2))/$K10</f>
        <v>#DIV/0!</v>
      </c>
      <c r="M10" s="88"/>
      <c r="N10" s="88"/>
      <c r="O10" s="88"/>
      <c r="P10" s="88"/>
      <c r="Q10" s="88"/>
      <c r="R10" s="88"/>
      <c r="S10" s="88"/>
      <c r="T10" s="88"/>
      <c r="U10" s="81" t="e">
        <f>(SUMIFS(Input!$G:$G,Input!$C:$C,$A10,Input!$H:$H,"&lt;&gt;"&amp;$S$1,Input!$H:$H,"&lt;&gt;"&amp;$S$2,Input!$H:$H,"&lt;&gt;"&amp;"",Input!$H:$H,"&lt;&gt;"&amp;$U$1,Input!$H:$H,"&lt;&gt;"&amp;$S$3,Input!$F:$F,'2.CC Trans-BB.RE collateral'!$D$2))/(SUMIFS(Input!$G:$G,Input!$C:$C,'2.CC Trans-BB.RE collateral'!$A10,Input!$H:$H,"&lt;&gt;"&amp;$S$1,Input!$H:$H,"&lt;&gt;"&amp;$S$2,Input!$F:$F,'2.CC Trans-BB.RE collateral'!$D$2))</f>
        <v>#DIV/0!</v>
      </c>
      <c r="V10" s="47"/>
    </row>
    <row r="11" spans="1:26" s="42" customFormat="1" ht="12.75" x14ac:dyDescent="0.2">
      <c r="A11" s="78" t="s">
        <v>39</v>
      </c>
      <c r="B11" s="45">
        <v>4</v>
      </c>
      <c r="C11" s="57" t="s">
        <v>33</v>
      </c>
      <c r="D11" s="88"/>
      <c r="E11" s="88"/>
      <c r="F11" s="88"/>
      <c r="G11" s="88"/>
      <c r="H11" s="88"/>
      <c r="I11" s="88"/>
      <c r="J11" s="88"/>
      <c r="K11" s="80">
        <f>ROUND(SUMIFS(Input!$G:$G,Input!$C:$C,'2.CC Trans-BB.RE collateral'!$A$11,Input!$F:$F,'2.CC Trans-BB.RE collateral'!$D$2,Input!$R:$R,"&lt;&gt;"&amp;$S$1),0)</f>
        <v>0</v>
      </c>
      <c r="L11" s="81">
        <f>IFERROR((SUMIFS(Input!$G:$G,Input!$C:$C,$A$11,Input!$F:$F,'2.CC Trans-BB.RE collateral'!$D$2,Input!$R:$R,"&lt;&gt;"&amp;$S$1,Input!$R:$R,"&lt;&gt;"&amp;"",Input!$R:$R,"&lt;&gt;"&amp;$U$1,Input!$R:$R,"&lt;&gt;"&amp;$S$3))/$K11,0)</f>
        <v>0</v>
      </c>
      <c r="M11" s="88"/>
      <c r="N11" s="88"/>
      <c r="O11" s="88"/>
      <c r="P11" s="88"/>
      <c r="Q11" s="88"/>
      <c r="R11" s="88"/>
      <c r="S11" s="88"/>
      <c r="T11" s="88"/>
      <c r="U11" s="81">
        <f>IFERROR((SUMIFS(Input!$G:$G,Input!$C:$C,$A11,Input!$H:$H,"&lt;&gt;"&amp;$S$1,Input!$H:$H,"&lt;&gt;"&amp;$S$2,Input!$H:$H,"&lt;&gt;"&amp;"",Input!$H:$H,"&lt;&gt;"&amp;$U$1,Input!$H:$H,"&lt;&gt;"&amp;$S$3,Input!$F:$F,'2.CC Trans-BB.RE collateral'!$D$2))/(SUMIFS(Input!$G:$G,Input!$C:$C,'2.CC Trans-BB.RE collateral'!$A11,Input!$H:$H,"&lt;&gt;"&amp;$S$1,Input!$H:$H,"&lt;&gt;"&amp;$S$2,Input!$F:$F,'2.CC Trans-BB.RE collateral'!$D$2)),0)</f>
        <v>0</v>
      </c>
      <c r="V11" s="47"/>
    </row>
    <row r="12" spans="1:26" s="42" customFormat="1" ht="12.75" x14ac:dyDescent="0.2">
      <c r="A12" s="78" t="s">
        <v>50</v>
      </c>
      <c r="B12" s="45">
        <v>5</v>
      </c>
      <c r="C12" s="58" t="s">
        <v>89</v>
      </c>
      <c r="D12" s="88"/>
      <c r="E12" s="88"/>
      <c r="F12" s="88"/>
      <c r="G12" s="88"/>
      <c r="H12" s="88"/>
      <c r="I12" s="88"/>
      <c r="J12" s="88"/>
      <c r="K12" s="82">
        <f>ROUND(SUM(SUMIFS(Input!$G:$G,Input!$C:$C,{"Garantia Comercial";"Garantia Residencial";"Stock"},Input!$E:$E,"&lt;&gt;"&amp;$A$12,Input!$R:$R,"&lt;&gt;"&amp;$S$1,Input!$F:$F,'2.CC Trans-BB.RE collateral'!$D$2)),0)</f>
        <v>0</v>
      </c>
      <c r="L12" s="83" t="e">
        <f>SUM(SUMIFS(Input!$G:$G,Input!$C:$C,{"Garantia Comercial";"Garantia Residencial";"Stock"},Input!$R:$R,"&lt;&gt;"&amp;$S$1,Input!$R:$R,"&lt;&gt;"&amp;"",Input!$R:$R,"&lt;&gt;"&amp;$U$1,Input!$R:$R,"&lt;&gt;"&amp;$S$3,Input!$F:$F,'2.CC Trans-BB.RE collateral'!$D$2))/$K12</f>
        <v>#DIV/0!</v>
      </c>
      <c r="M12" s="80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collateral'!$D$2)),0)</f>
        <v>0</v>
      </c>
      <c r="N12" s="80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collateral'!$D$2)),0)</f>
        <v>0</v>
      </c>
      <c r="O12" s="80">
        <f>ROUND(SUM(SUMIFS(Input!$G:$G,Input!$C:$C,{"Garantia Comercial";"Garantia Residencial";"Stock"},Input!$H:$H,"&lt;&gt;"&amp;$S$2,Input!$H:$H,"&lt;&gt;"&amp;"",Input!$H:$H,"&lt;&gt;"&amp;$S$1,Input!$D:$D,'2.CC Trans-BB.RE collateral'!O$7,Input!$D:$D,"&lt;&gt;"&amp;'2.CC Trans-BB.RE collateral'!$T$1,Input!$F:$F,'2.CC Trans-BB.RE collateral'!$D$2)),0)</f>
        <v>0</v>
      </c>
      <c r="P12" s="80">
        <f>ROUND(SUM(SUMIFS(Input!$G:$G,Input!$C:$C,{"Garantia Comercial";"Garantia Residencial";"Stock"},Input!$H:$H,"&lt;&gt;"&amp;"",Input!$H:$H,"&lt;&gt;"&amp;$S$2,Input!$H:$H,"&lt;&gt;"&amp;$S$1,Input!$D:$D,'2.CC Trans-BB.RE collateral'!P$7,Input!$D:$D,"&lt;&gt;"&amp;'2.CC Trans-BB.RE collateral'!$T$1,Input!$F:$F,'2.CC Trans-BB.RE collateral'!$D$2)),0)</f>
        <v>0</v>
      </c>
      <c r="Q12" s="80">
        <f>ROUND(SUM(SUMIFS(Input!$G:$G,Input!$C:$C,{"Garantia Comercial";"Garantia Residencial";"Stock"},Input!$H:$H,"&lt;&gt;"&amp;"",Input!$H:$H,"&lt;&gt;"&amp;$S$2,Input!$H:$H,"&lt;&gt;"&amp;$S$1,Input!$D:$D,'2.CC Trans-BB.RE collateral'!Q$7,Input!$D:$D,"&lt;&gt;"&amp;'2.CC Trans-BB.RE collateral'!$T$1,Input!$F:$F,'2.CC Trans-BB.RE collateral'!$D$2)),0)</f>
        <v>0</v>
      </c>
      <c r="R12" s="80">
        <f>ROUND(SUM(SUMIFS(Input!$G:$G,Input!$C:$C,{"Garantia Comercial";"Garantia Residencial";"Stock"},Input!$H:$H,"&lt;&gt;"&amp;"",Input!$H:$H,"&lt;&gt;"&amp;$S$2,Input!$H:$H,"&lt;&gt;"&amp;$S$1,Input!$D:$D,'2.CC Trans-BB.RE collateral'!R$7,Input!$D:$D,"&lt;&gt;"&amp;'2.CC Trans-BB.RE collateral'!$T$1,Input!$F:$F,'2.CC Trans-BB.RE collateral'!$D$2)),0)</f>
        <v>0</v>
      </c>
      <c r="S12" s="80">
        <f>ROUND(SUM(SUMIFS(Input!$G:$G,Input!$C:$C,{"Garantia Comercial";"Garantia Residencial";"Stock"},Input!$H:$H,"&lt;&gt;"&amp;"",Input!$H:$H,"&lt;&gt;"&amp;$S$2,Input!$H:$H,"&lt;&gt;"&amp;$S$1,Input!$D:$D,'2.CC Trans-BB.RE collateral'!S$7,Input!$D:$D,"&lt;&gt;"&amp;'2.CC Trans-BB.RE collateral'!$T$1,Input!$F:$F,'2.CC Trans-BB.RE collateral'!$D$2)),0)</f>
        <v>0</v>
      </c>
      <c r="T12" s="88"/>
      <c r="U12" s="83" t="e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collateral'!$D$2)))/(SUM(SUMIFS(Input!$G:$G,Input!$C:$C,{"Garantia Comercial";"Garantia Residencial";"Stock"},Input!$H:$H,"&lt;&gt;"&amp;$S$2,Input!$H:$H,"&lt;&gt;"&amp;$S$1,Input!$E:$E,"&lt;&gt;"&amp;$A$12,Input!$F:$F,'2.CC Trans-BB.RE collateral'!$D$2)))</f>
        <v>#DIV/0!</v>
      </c>
      <c r="V12" s="47"/>
    </row>
    <row r="13" spans="1:26" s="42" customFormat="1" ht="15.75" customHeight="1" x14ac:dyDescent="0.2">
      <c r="A13" s="78"/>
      <c r="B13" s="45"/>
      <c r="C13" s="102" t="s">
        <v>90</v>
      </c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4"/>
      <c r="V13" s="47"/>
    </row>
    <row r="14" spans="1:26" s="42" customFormat="1" ht="12.75" x14ac:dyDescent="0.2">
      <c r="B14" s="45">
        <v>6</v>
      </c>
      <c r="C14" s="59" t="s">
        <v>91</v>
      </c>
      <c r="D14" s="84" t="e">
        <f>SUMIFS(Input!$P:$P,Input!$C:$C,'2.CC Trans-BB.RE collateral'!$A$9,Input!$F:$F,'2.CC Trans-BB.RE collateral'!$D$2) / SUMIFS(Input!$G:$G,Input!$C:$C,'2.CC Trans-BB.RE collateral'!$A$9,Input!$F:$F,'2.CC Trans-BB.RE collateral'!$D$2)</f>
        <v>#DIV/0!</v>
      </c>
      <c r="E14" s="84" t="e">
        <f>SUMIFS(Input!$P:$P,Input!$C:$C,'2.CC Trans-BB.RE collateral'!$A$9,Input!$E:$E,'2.CC Trans-BB.RE collateral'!E$3,Input!$F:$F,'2.CC Trans-BB.RE collateral'!$D$2) / SUMIFS(Input!$G:$G,Input!$C:$C,'2.CC Trans-BB.RE collateral'!$A$9,Input!$E:$E,'2.CC Trans-BB.RE collateral'!E$3,Input!$F:$F,'2.CC Trans-BB.RE collateral'!$D$2)</f>
        <v>#DIV/0!</v>
      </c>
      <c r="F14" s="84" t="e">
        <f>SUMIFS(Input!$P:$P,Input!$C:$C,'2.CC Trans-BB.RE collateral'!$A$9,Input!$E:$E,'2.CC Trans-BB.RE collateral'!F$3,Input!$F:$F,'2.CC Trans-BB.RE collateral'!$D$2) / SUMIFS(Input!$G:$G,Input!$C:$C,'2.CC Trans-BB.RE collateral'!$A$9,Input!$E:$E,'2.CC Trans-BB.RE collateral'!F$3,Input!$F:$F,'2.CC Trans-BB.RE collateral'!$D$2)</f>
        <v>#DIV/0!</v>
      </c>
      <c r="G14" s="84" t="e">
        <f>SUMIFS(Input!$P:$P,Input!$C:$C,'2.CC Trans-BB.RE collateral'!$A$9,Input!$E:$E,'2.CC Trans-BB.RE collateral'!G$3,Input!$F:$F,'2.CC Trans-BB.RE collateral'!$D$2) / SUMIFS(Input!$G:$G,Input!$C:$C,'2.CC Trans-BB.RE collateral'!$A$9,Input!$E:$E,'2.CC Trans-BB.RE collateral'!G$3,Input!$F:$F,'2.CC Trans-BB.RE collateral'!$D$2)</f>
        <v>#DIV/0!</v>
      </c>
      <c r="H14" s="84" t="e">
        <f>SUMIFS(Input!$P:$P,Input!$C:$C,'2.CC Trans-BB.RE collateral'!$A$9,Input!$E:$E,'2.CC Trans-BB.RE collateral'!H$3,Input!$F:$F,'2.CC Trans-BB.RE collateral'!$D$2) / SUMIFS(Input!$G:$G,Input!$C:$C,'2.CC Trans-BB.RE collateral'!$A$9,Input!$E:$E,'2.CC Trans-BB.RE collateral'!H$3,Input!$F:$F,'2.CC Trans-BB.RE collateral'!$D$2)</f>
        <v>#DIV/0!</v>
      </c>
      <c r="I14" s="84" t="e">
        <f>SUMIFS(Input!$P:$P,Input!$C:$C,'2.CC Trans-BB.RE collateral'!$A$9,Input!$E:$E,'2.CC Trans-BB.RE collateral'!I$3,Input!$F:$F,'2.CC Trans-BB.RE collateral'!$D$2) / SUMIFS(Input!$G:$G,Input!$C:$C,'2.CC Trans-BB.RE collateral'!$A$9,Input!$E:$E,'2.CC Trans-BB.RE collateral'!I$3,Input!$F:$F,'2.CC Trans-BB.RE collateral'!$D$2)</f>
        <v>#DIV/0!</v>
      </c>
      <c r="J14" s="84" t="e">
        <f>SUMIFS(Input!$P:$P,Input!$C:$C,'2.CC Trans-BB.RE collateral'!$A$9,Input!$E:$E,'2.CC Trans-BB.RE collateral'!J$3,Input!$F:$F,'2.CC Trans-BB.RE collateral'!$D$2) / SUMIFS(Input!$G:$G,Input!$C:$C,'2.CC Trans-BB.RE collateral'!$A$9,Input!$E:$E,'2.CC Trans-BB.RE collateral'!J$3,Input!$F:$F,'2.CC Trans-BB.RE collateral'!$D$2)</f>
        <v>#DIV/0!</v>
      </c>
      <c r="K14" s="84" t="e">
        <f>SUMIFS(Input!$P:$P,Input!$C:$C,'2.CC Trans-BB.RE collateral'!$A$9,Input!$R:$R,"&lt;&gt;"&amp;$S$1,Input!$F:$F,'2.CC Trans-BB.RE collateral'!$D$2) / SUMIFS(Input!$G:$G,Input!$C:$C,'2.CC Trans-BB.RE collateral'!$A$9,Input!$R:$R,"&lt;&gt;"&amp;$S$1,Input!$F:$F,'2.CC Trans-BB.RE collateral'!$D$2)</f>
        <v>#DIV/0!</v>
      </c>
      <c r="L14" s="60"/>
      <c r="M14" s="84" t="e">
        <f>SUM(SUMIFS(Input!$P:$P,Input!$C:$C,'2.CC Trans-BB.RE collateral'!$A$9,Input!$D:$D,'2.CC Trans-BB.RE collateral'!M$7&amp;"*",Input!$H:$H,{"1-REAL";"SANTANDER"},Input!$F:$F,'2.CC Trans-BB.RE collateral'!$D$2)) / SUM(SUMIFS(Input!$G:$G,Input!$C:$C,'2.CC Trans-BB.RE collateral'!$A$9,Input!$D:$D,'2.CC Trans-BB.RE collateral'!M$7&amp;"*",Input!$H:$H,{"1-REAL";"SANTANDER"},Input!$F:$F,'2.CC Trans-BB.RE collateral'!$D$2))</f>
        <v>#DIV/0!</v>
      </c>
      <c r="N14" s="84" t="e">
        <f>SUM(SUMIFS(Input!$P:$P,Input!$C:$C,'2.CC Trans-BB.RE collateral'!$A$9,Input!$D:$D,'2.CC Trans-BB.RE collateral'!N$7&amp;"*",Input!$H:$H,{"1-REAL";"SANTANDER"},Input!$F:$F,'2.CC Trans-BB.RE collateral'!$D$2)) / SUM(SUMIFS(Input!$G:$G,Input!$C:$C,'2.CC Trans-BB.RE collateral'!$A$9,Input!$D:$D,'2.CC Trans-BB.RE collateral'!N$7&amp;"*",Input!$H:$H,{"1-REAL";"SANTANDER"},Input!$F:$F,'2.CC Trans-BB.RE collateral'!$D$2))</f>
        <v>#DIV/0!</v>
      </c>
      <c r="O14" s="84" t="e">
        <f>SUM(SUMIFS(Input!$P:$P,Input!$C:$C,'2.CC Trans-BB.RE collateral'!$A$9,Input!$D:$D,'2.CC Trans-BB.RE collateral'!O$7&amp;"*",Input!$H:$H,{"1-REAL";"SANTANDER"},Input!$F:$F,'2.CC Trans-BB.RE collateral'!$D$2)) / SUM(SUMIFS(Input!$G:$G,Input!$C:$C,'2.CC Trans-BB.RE collateral'!$A$9,Input!$D:$D,'2.CC Trans-BB.RE collateral'!O$7&amp;"*",Input!$H:$H,{"1-REAL";"SANTANDER"},Input!$F:$F,'2.CC Trans-BB.RE collateral'!$D$2))</f>
        <v>#DIV/0!</v>
      </c>
      <c r="P14" s="84" t="e">
        <f>SUM(SUMIFS(Input!$P:$P,Input!$C:$C,'2.CC Trans-BB.RE collateral'!$A$9,Input!$D:$D,'2.CC Trans-BB.RE collateral'!P$7&amp;"*",Input!$H:$H,{"1-REAL";"SANTANDER"},Input!$F:$F,'2.CC Trans-BB.RE collateral'!$D$2)) / SUM(SUMIFS(Input!$G:$G,Input!$C:$C,'2.CC Trans-BB.RE collateral'!$A$9,Input!$D:$D,'2.CC Trans-BB.RE collateral'!P$7&amp;"*",Input!$H:$H,{"1-REAL";"SANTANDER"},Input!$F:$F,'2.CC Trans-BB.RE collateral'!$D$2))</f>
        <v>#DIV/0!</v>
      </c>
      <c r="Q14" s="84" t="e">
        <f>SUM(SUMIFS(Input!$P:$P,Input!$C:$C,'2.CC Trans-BB.RE collateral'!$A$9,Input!$D:$D,'2.CC Trans-BB.RE collateral'!Q$7&amp;"*",Input!$H:$H,{"1-REAL";"SANTANDER"},Input!$F:$F,'2.CC Trans-BB.RE collateral'!$D$2)) / SUM(SUMIFS(Input!$G:$G,Input!$C:$C,'2.CC Trans-BB.RE collateral'!$A$9,Input!$D:$D,'2.CC Trans-BB.RE collateral'!Q$7&amp;"*",Input!$H:$H,{"1-REAL";"SANTANDER"},Input!$F:$F,'2.CC Trans-BB.RE collateral'!$D$2))</f>
        <v>#DIV/0!</v>
      </c>
      <c r="R14" s="84" t="e">
        <f>SUM(SUMIFS(Input!$P:$P,Input!$C:$C,'2.CC Trans-BB.RE collateral'!$A$9,Input!$D:$D,'2.CC Trans-BB.RE collateral'!R$7&amp;"*",Input!$H:$H,{"1-REAL";"SANTANDER"},Input!$F:$F,'2.CC Trans-BB.RE collateral'!$D$2)) / SUM(SUMIFS(Input!$G:$G,Input!$C:$C,'2.CC Trans-BB.RE collateral'!$A$9,Input!$D:$D,'2.CC Trans-BB.RE collateral'!R$7&amp;"*",Input!$H:$H,{"1-REAL";"SANTANDER"},Input!$F:$F,'2.CC Trans-BB.RE collateral'!$D$2))</f>
        <v>#DIV/0!</v>
      </c>
      <c r="S14" s="84" t="e">
        <f>SUM(SUMIFS(Input!$P:$P,Input!$C:$C,'2.CC Trans-BB.RE collateral'!$A$9,Input!$D:$D,'2.CC Trans-BB.RE collateral'!S$7&amp;"*",Input!$H:$H,{"1-REAL";"SANTANDER"},Input!$F:$F,'2.CC Trans-BB.RE collateral'!$D$2)) / SUM(SUMIFS(Input!$G:$G,Input!$C:$C,'2.CC Trans-BB.RE collateral'!$A$9,Input!$D:$D,'2.CC Trans-BB.RE collateral'!S$7&amp;"*",Input!$H:$H,{"1-REAL";"SANTANDER"},Input!$F:$F,'2.CC Trans-BB.RE collateral'!$D$2))</f>
        <v>#DIV/0!</v>
      </c>
      <c r="T14" s="84" t="e">
        <f>SUMIFS(Input!$P:$P,Input!$C:$C,'2.CC Trans-BB.RE collateral'!$A$9,Input!$H:$H,"&lt;&gt;"&amp;S$1,Input!$H:$H,"&lt;&gt;"&amp;S$2,Input!$F:$F,'2.CC Trans-BB.RE collateral'!$D$2) / SUMIFS(Input!$G:$G,Input!$C:$C,'2.CC Trans-BB.RE collateral'!$A$9,Input!$H:$H,"&lt;&gt;"&amp;S$1,Input!$H:$H,"&lt;&gt;"&amp;S$2,Input!$F:$F,'2.CC Trans-BB.RE collateral'!$D$2)</f>
        <v>#DIV/0!</v>
      </c>
      <c r="U14" s="60"/>
      <c r="V14" s="47"/>
    </row>
    <row r="15" spans="1:26" s="42" customFormat="1" ht="12.75" x14ac:dyDescent="0.2">
      <c r="B15" s="45">
        <v>7</v>
      </c>
      <c r="C15" s="59" t="s">
        <v>92</v>
      </c>
      <c r="D15" s="85">
        <f>ROUND(SUMIFS(Input!$G:$G,Input!$C:$C,'2.CC Trans-BB.RE collateral'!$A$9,Input!$Q:$Q,"LTV4",Input!$F:$F,'2.CC Trans-BB.RE collateral'!$D$2),0)</f>
        <v>0</v>
      </c>
      <c r="E15" s="85">
        <f>ROUND(SUMIFS(Input!$G:$G,Input!$C:$C,'2.CC Trans-BB.RE collateral'!$A$9,Input!$Q:$Q,"LTV4",Input!$E:$E,'2.CC Trans-BB.RE collateral'!E$3,Input!$F:$F,'2.CC Trans-BB.RE collateral'!$D$2),0)</f>
        <v>0</v>
      </c>
      <c r="F15" s="85">
        <f>ROUND(SUMIFS(Input!$G:$G,Input!$C:$C,'2.CC Trans-BB.RE collateral'!$A$9,Input!$Q:$Q,"LTV4",Input!$E:$E,'2.CC Trans-BB.RE collateral'!F$3,Input!$F:$F,'2.CC Trans-BB.RE collateral'!$D$2),0)</f>
        <v>0</v>
      </c>
      <c r="G15" s="85">
        <f>ROUND(SUMIFS(Input!$G:$G,Input!$C:$C,'2.CC Trans-BB.RE collateral'!$A$9,Input!$Q:$Q,"LTV4",Input!$E:$E,'2.CC Trans-BB.RE collateral'!G$3,Input!$F:$F,'2.CC Trans-BB.RE collateral'!$D$2),0)</f>
        <v>0</v>
      </c>
      <c r="H15" s="85">
        <f>ROUND(SUMIFS(Input!$G:$G,Input!$C:$C,'2.CC Trans-BB.RE collateral'!$A$9,Input!$Q:$Q,"LTV4",Input!$E:$E,'2.CC Trans-BB.RE collateral'!H$3,Input!$F:$F,'2.CC Trans-BB.RE collateral'!$D$2),0)</f>
        <v>0</v>
      </c>
      <c r="I15" s="85">
        <f>ROUND(SUMIFS(Input!$G:$G,Input!$C:$C,'2.CC Trans-BB.RE collateral'!$A$9,Input!$Q:$Q,"LTV4",Input!$E:$E,'2.CC Trans-BB.RE collateral'!I$3,Input!$F:$F,'2.CC Trans-BB.RE collateral'!$D$2),0)</f>
        <v>0</v>
      </c>
      <c r="J15" s="85">
        <f>ROUND(SUMIFS(Input!$G:$G,Input!$C:$C,'2.CC Trans-BB.RE collateral'!$A$9,Input!$Q:$Q,"LTV4",Input!$E:$E,'2.CC Trans-BB.RE collateral'!J$3,Input!$F:$F,'2.CC Trans-BB.RE collateral'!$D$2),0)</f>
        <v>0</v>
      </c>
      <c r="K15" s="85">
        <f>ROUND(SUMIFS(Input!$G:$G,Input!$C:$C,'2.CC Trans-BB.RE collateral'!$A$9,Input!$Q:$Q,"LTV4",Input!$R:$R,"&lt;&gt;"&amp;$S$1,Input!$F:$F,'2.CC Trans-BB.RE collateral'!$D$2),0)</f>
        <v>0</v>
      </c>
      <c r="L15" s="60"/>
      <c r="M15" s="85">
        <f>ROUND(SUM(SUMIFS(Input!$G:$G,Input!$C:$C,'2.CC Trans-BB.RE collateral'!$A$9,Input!$Q:$Q,"LTV4",Input!$H:$H,{"1-REAL";"SANTANDER"},Input!$D:$D,'2.CC Trans-BB.RE collateral'!M$7&amp;"*",Input!$F:$F,'2.CC Trans-BB.RE collateral'!$D$2)),0)</f>
        <v>0</v>
      </c>
      <c r="N15" s="85">
        <f>ROUND(SUM(SUMIFS(Input!$G:$G,Input!$C:$C,'2.CC Trans-BB.RE collateral'!$A$9,Input!$Q:$Q,"LTV4",Input!$H:$H,{"1-REAL";"SANTANDER"},Input!$D:$D,'2.CC Trans-BB.RE collateral'!N$7&amp;"*",Input!$F:$F,'2.CC Trans-BB.RE collateral'!$D$2)),0)</f>
        <v>0</v>
      </c>
      <c r="O15" s="85">
        <f>ROUND(SUM(SUMIFS(Input!$G:$G,Input!$C:$C,'2.CC Trans-BB.RE collateral'!$A$9,Input!$Q:$Q,"LTV4",Input!$H:$H,{"1-REAL";"SANTANDER"},Input!$D:$D,'2.CC Trans-BB.RE collateral'!O$7&amp;"*",Input!$F:$F,'2.CC Trans-BB.RE collateral'!$D$2)),0)</f>
        <v>0</v>
      </c>
      <c r="P15" s="85">
        <f>ROUND(SUM(SUMIFS(Input!$G:$G,Input!$C:$C,'2.CC Trans-BB.RE collateral'!$A$9,Input!$Q:$Q,"LTV4",Input!$H:$H,{"1-REAL";"SANTANDER"},Input!$D:$D,'2.CC Trans-BB.RE collateral'!P$7&amp;"*",Input!$F:$F,'2.CC Trans-BB.RE collateral'!$D$2)),0)</f>
        <v>0</v>
      </c>
      <c r="Q15" s="85">
        <f>ROUND(SUM(SUMIFS(Input!$G:$G,Input!$C:$C,'2.CC Trans-BB.RE collateral'!$A$9,Input!$Q:$Q,"LTV4",Input!$H:$H,{"1-REAL";"SANTANDER"},Input!$D:$D,'2.CC Trans-BB.RE collateral'!Q$7&amp;"*",Input!$F:$F,'2.CC Trans-BB.RE collateral'!$D$2)),0)</f>
        <v>0</v>
      </c>
      <c r="R15" s="85">
        <f>ROUND(SUM(SUMIFS(Input!$G:$G,Input!$C:$C,'2.CC Trans-BB.RE collateral'!$A$9,Input!$Q:$Q,"LTV4",Input!$H:$H,{"1-REAL";"SANTANDER"},Input!$D:$D,'2.CC Trans-BB.RE collateral'!R$7&amp;"*",Input!$F:$F,'2.CC Trans-BB.RE collateral'!$D$2)),0)</f>
        <v>0</v>
      </c>
      <c r="S15" s="85">
        <f>ROUND(SUM(SUMIFS(Input!$G:$G,Input!$C:$C,'2.CC Trans-BB.RE collateral'!$A$9,Input!$Q:$Q,"LTV4",Input!$H:$H,{"1-REAL";"SANTANDER"},Input!$D:$D,'2.CC Trans-BB.RE collateral'!S$7&amp;"*",Input!$F:$F,'2.CC Trans-BB.RE collateral'!$D$2)),0)</f>
        <v>0</v>
      </c>
      <c r="T15" s="85">
        <f>ROUND(SUMIFS(Input!$G:$G,Input!$C:$C,'2.CC Trans-BB.RE collateral'!$A$9,Input!$Q:$Q,"LTV4",Input!$H:$H,"&lt;&gt;"&amp;S$1,Input!$H:$H,"&lt;&gt;"&amp;S$2,Input!$F:$F,'2.CC Trans-BB.RE collateral'!$D$2),0)</f>
        <v>0</v>
      </c>
      <c r="U15" s="60"/>
      <c r="V15" s="47"/>
    </row>
    <row r="16" spans="1:26" s="42" customFormat="1" ht="12.75" x14ac:dyDescent="0.2">
      <c r="B16" s="45">
        <v>8</v>
      </c>
      <c r="C16" s="59" t="s">
        <v>93</v>
      </c>
      <c r="D16" s="85">
        <f>ROUND(SUMIFS(Input!$G:$G,Input!$C:$C,'2.CC Trans-BB.RE collateral'!$A$9,Input!$Q:$Q,"LTV5",Input!$F:$F,'2.CC Trans-BB.RE collateral'!$D$2),0)</f>
        <v>0</v>
      </c>
      <c r="E16" s="85">
        <f>ROUND(SUMIFS(Input!$G:$G,Input!$C:$C,'2.CC Trans-BB.RE collateral'!$A$9,Input!$Q:$Q,"LTV5",Input!$E:$E,'2.CC Trans-BB.RE collateral'!E$3,Input!$F:$F,'2.CC Trans-BB.RE collateral'!$D$2),0)</f>
        <v>0</v>
      </c>
      <c r="F16" s="85">
        <f>ROUND(SUMIFS(Input!$G:$G,Input!$C:$C,'2.CC Trans-BB.RE collateral'!$A$9,Input!$Q:$Q,"LTV5",Input!$E:$E,'2.CC Trans-BB.RE collateral'!F$3,Input!$F:$F,'2.CC Trans-BB.RE collateral'!$D$2),0)</f>
        <v>0</v>
      </c>
      <c r="G16" s="85">
        <f>ROUND(SUMIFS(Input!$G:$G,Input!$C:$C,'2.CC Trans-BB.RE collateral'!$A$9,Input!$Q:$Q,"LTV5",Input!$E:$E,'2.CC Trans-BB.RE collateral'!G$3,Input!$F:$F,'2.CC Trans-BB.RE collateral'!$D$2),0)</f>
        <v>0</v>
      </c>
      <c r="H16" s="85">
        <f>ROUND(SUMIFS(Input!$G:$G,Input!$C:$C,'2.CC Trans-BB.RE collateral'!$A$9,Input!$Q:$Q,"LTV5",Input!$E:$E,'2.CC Trans-BB.RE collateral'!H$3,Input!$F:$F,'2.CC Trans-BB.RE collateral'!$D$2),0)</f>
        <v>0</v>
      </c>
      <c r="I16" s="85">
        <f>ROUND(SUMIFS(Input!$G:$G,Input!$C:$C,'2.CC Trans-BB.RE collateral'!$A$9,Input!$Q:$Q,"LTV5",Input!$E:$E,'2.CC Trans-BB.RE collateral'!I$3,Input!$F:$F,'2.CC Trans-BB.RE collateral'!$D$2),0)</f>
        <v>0</v>
      </c>
      <c r="J16" s="85">
        <f>ROUND(SUMIFS(Input!$G:$G,Input!$C:$C,'2.CC Trans-BB.RE collateral'!$A$9,Input!$Q:$Q,"LTV5",Input!$E:$E,'2.CC Trans-BB.RE collateral'!J$3,Input!$F:$F,'2.CC Trans-BB.RE collateral'!$D$2),0)</f>
        <v>0</v>
      </c>
      <c r="K16" s="85">
        <f>ROUND(SUMIFS(Input!$G:$G,Input!$C:$C,'2.CC Trans-BB.RE collateral'!$A$9,Input!$Q:$Q,"LTV5",Input!$R:$R,"&lt;&gt;"&amp;$S$1,Input!$F:$F,'2.CC Trans-BB.RE collateral'!$D$2),0)</f>
        <v>0</v>
      </c>
      <c r="L16" s="60"/>
      <c r="M16" s="85">
        <f>ROUND(SUM(SUMIFS(Input!$G:$G,Input!$C:$C,'2.CC Trans-BB.RE collateral'!$A$9,Input!$Q:$Q,"LTV5",Input!$H:$H,{"1-REAL";"SANTANDER"},Input!$D:$D,'2.CC Trans-BB.RE collateral'!M$7&amp;"*",Input!$F:$F,'2.CC Trans-BB.RE collateral'!$D$2)),0)</f>
        <v>0</v>
      </c>
      <c r="N16" s="85">
        <f>ROUND(SUM(SUMIFS(Input!$G:$G,Input!$C:$C,'2.CC Trans-BB.RE collateral'!$A$9,Input!$Q:$Q,"LTV5",Input!$H:$H,{"1-REAL";"SANTANDER"},Input!$D:$D,'2.CC Trans-BB.RE collateral'!N$7&amp;"*",Input!$F:$F,'2.CC Trans-BB.RE collateral'!$D$2)),0)</f>
        <v>0</v>
      </c>
      <c r="O16" s="85">
        <f>ROUND(SUM(SUMIFS(Input!$G:$G,Input!$C:$C,'2.CC Trans-BB.RE collateral'!$A$9,Input!$Q:$Q,"LTV5",Input!$H:$H,{"1-REAL";"SANTANDER"},Input!$D:$D,'2.CC Trans-BB.RE collateral'!O$7&amp;"*",Input!$F:$F,'2.CC Trans-BB.RE collateral'!$D$2)),0)</f>
        <v>0</v>
      </c>
      <c r="P16" s="85">
        <f>ROUND(SUM(SUMIFS(Input!$G:$G,Input!$C:$C,'2.CC Trans-BB.RE collateral'!$A$9,Input!$Q:$Q,"LTV5",Input!$H:$H,{"1-REAL";"SANTANDER"},Input!$D:$D,'2.CC Trans-BB.RE collateral'!P$7&amp;"*",Input!$F:$F,'2.CC Trans-BB.RE collateral'!$D$2)),0)</f>
        <v>0</v>
      </c>
      <c r="Q16" s="85">
        <f>ROUND(SUM(SUMIFS(Input!$G:$G,Input!$C:$C,'2.CC Trans-BB.RE collateral'!$A$9,Input!$Q:$Q,"LTV5",Input!$H:$H,{"1-REAL";"SANTANDER"},Input!$D:$D,'2.CC Trans-BB.RE collateral'!Q$7&amp;"*",Input!$F:$F,'2.CC Trans-BB.RE collateral'!$D$2)),0)</f>
        <v>0</v>
      </c>
      <c r="R16" s="85">
        <f>ROUND(SUM(SUMIFS(Input!$G:$G,Input!$C:$C,'2.CC Trans-BB.RE collateral'!$A$9,Input!$Q:$Q,"LTV5",Input!$H:$H,{"1-REAL";"SANTANDER"},Input!$D:$D,'2.CC Trans-BB.RE collateral'!R$7&amp;"*",Input!$F:$F,'2.CC Trans-BB.RE collateral'!$D$2)),0)</f>
        <v>0</v>
      </c>
      <c r="S16" s="85">
        <f>ROUND(SUM(SUMIFS(Input!$G:$G,Input!$C:$C,'2.CC Trans-BB.RE collateral'!$A$9,Input!$Q:$Q,"LTV5",Input!$H:$H,{"1-REAL";"SANTANDER"},Input!$D:$D,'2.CC Trans-BB.RE collateral'!S$7&amp;"*",Input!$F:$F,'2.CC Trans-BB.RE collateral'!$D$2)),0)</f>
        <v>0</v>
      </c>
      <c r="T16" s="85">
        <f>ROUND(SUMIFS(Input!$G:$G,Input!$C:$C,'2.CC Trans-BB.RE collateral'!$A$9,Input!$Q:$Q,"LTV5",Input!$H:$H,"&lt;&gt;"&amp;S$1,Input!$H:$H,"&lt;&gt;"&amp;S$2,Input!$F:$F,'2.CC Trans-BB.RE collateral'!$D$2),0)</f>
        <v>0</v>
      </c>
      <c r="U16" s="60"/>
      <c r="V16" s="47"/>
    </row>
    <row r="17" spans="2:22" s="42" customFormat="1" ht="12.75" x14ac:dyDescent="0.2">
      <c r="B17" s="45">
        <v>9</v>
      </c>
      <c r="C17" s="59" t="s">
        <v>94</v>
      </c>
      <c r="D17" s="86" t="e">
        <f>SUMIFS(Input!$J:$J,Input!$C:$C,'2.CC Trans-BB.RE collateral'!$A$9,Input!$F:$F,'2.CC Trans-BB.RE collateral'!$D$2) / SUMIFS(Input!$G:$G,Input!$C:$C,'2.CC Trans-BB.RE collateral'!$A$9,Input!$F:$F,'2.CC Trans-BB.RE collateral'!$D$2)</f>
        <v>#DIV/0!</v>
      </c>
      <c r="E17" s="86" t="e">
        <f>SUMIFS(Input!$J:$J,Input!$C:$C,'2.CC Trans-BB.RE collateral'!$A$9,Input!$E:$E,'2.CC Trans-BB.RE collateral'!E$3,Input!$F:$F,'2.CC Trans-BB.RE collateral'!$D$2)  / SUMIFS(Input!$G:$G,Input!$C:$C,'2.CC Trans-BB.RE collateral'!$A$9,Input!$E:$E,'2.CC Trans-BB.RE collateral'!E$3,Input!$F:$F,'2.CC Trans-BB.RE collateral'!$D$2)</f>
        <v>#DIV/0!</v>
      </c>
      <c r="F17" s="86" t="e">
        <f>SUMIFS(Input!$J:$J,Input!$C:$C,'2.CC Trans-BB.RE collateral'!$A$9,Input!$E:$E,'2.CC Trans-BB.RE collateral'!F$3,Input!$F:$F,'2.CC Trans-BB.RE collateral'!$D$2)  / SUMIFS(Input!$G:$G,Input!$C:$C,'2.CC Trans-BB.RE collateral'!$A$9,Input!$E:$E,'2.CC Trans-BB.RE collateral'!F$3,Input!$F:$F,'2.CC Trans-BB.RE collateral'!$D$2)</f>
        <v>#DIV/0!</v>
      </c>
      <c r="G17" s="86" t="e">
        <f>SUMIFS(Input!$J:$J,Input!$C:$C,'2.CC Trans-BB.RE collateral'!$A$9,Input!$E:$E,'2.CC Trans-BB.RE collateral'!G$3,Input!$F:$F,'2.CC Trans-BB.RE collateral'!$D$2)  / SUMIFS(Input!$G:$G,Input!$C:$C,'2.CC Trans-BB.RE collateral'!$A$9,Input!$E:$E,'2.CC Trans-BB.RE collateral'!G$3,Input!$F:$F,'2.CC Trans-BB.RE collateral'!$D$2)</f>
        <v>#DIV/0!</v>
      </c>
      <c r="H17" s="86" t="e">
        <f>SUMIFS(Input!$J:$J,Input!$C:$C,'2.CC Trans-BB.RE collateral'!$A$9,Input!$E:$E,'2.CC Trans-BB.RE collateral'!H$3,Input!$F:$F,'2.CC Trans-BB.RE collateral'!$D$2)  / SUMIFS(Input!$G:$G,Input!$C:$C,'2.CC Trans-BB.RE collateral'!$A$9,Input!$E:$E,'2.CC Trans-BB.RE collateral'!H$3,Input!$F:$F,'2.CC Trans-BB.RE collateral'!$D$2)</f>
        <v>#DIV/0!</v>
      </c>
      <c r="I17" s="86" t="e">
        <f>SUMIFS(Input!$J:$J,Input!$C:$C,'2.CC Trans-BB.RE collateral'!$A$9,Input!$E:$E,'2.CC Trans-BB.RE collateral'!I$3,Input!$F:$F,'2.CC Trans-BB.RE collateral'!$D$2)  / SUMIFS(Input!$G:$G,Input!$C:$C,'2.CC Trans-BB.RE collateral'!$A$9,Input!$E:$E,'2.CC Trans-BB.RE collateral'!I$3,Input!$F:$F,'2.CC Trans-BB.RE collateral'!$D$2)</f>
        <v>#DIV/0!</v>
      </c>
      <c r="J17" s="86" t="e">
        <f>SUMIFS(Input!$J:$J,Input!$C:$C,'2.CC Trans-BB.RE collateral'!$A$9,Input!$E:$E,'2.CC Trans-BB.RE collateral'!J$3,Input!$F:$F,'2.CC Trans-BB.RE collateral'!$D$2)  / SUMIFS(Input!$G:$G,Input!$C:$C,'2.CC Trans-BB.RE collateral'!$A$9,Input!$E:$E,'2.CC Trans-BB.RE collateral'!J$3,Input!$F:$F,'2.CC Trans-BB.RE collateral'!$D$2)</f>
        <v>#DIV/0!</v>
      </c>
      <c r="K17" s="86" t="e">
        <f>SUMIFS(Input!$J:$J,Input!$C:$C,'2.CC Trans-BB.RE collateral'!$A$9,Input!$R:$R,"&lt;&gt;"&amp;$S$1,Input!$F:$F,'2.CC Trans-BB.RE collateral'!$D$2)  / SUMIFS(Input!$G:$G,Input!$C:$C,'2.CC Trans-BB.RE collateral'!$A$9,Input!$R:$R,"&lt;&gt;"&amp;$S$1,Input!$F:$F,'2.CC Trans-BB.RE collateral'!$D$2)</f>
        <v>#DIV/0!</v>
      </c>
      <c r="L17" s="60"/>
      <c r="M17" s="86" t="e">
        <f>SUM(SUMIFS(Input!$J:$J,Input!$C:$C,'2.CC Trans-BB.RE collateral'!$A$9,Input!$D:$D,'2.CC Trans-BB.RE collateral'!M$7&amp;"*",Input!$H:$H,{"1-REAL";"SANTANDER"},Input!$F:$F,'2.CC Trans-BB.RE collateral'!$D$2))  / SUM(SUMIFS(Input!$G:$G,Input!$C:$C,'2.CC Trans-BB.RE collateral'!$A$9,Input!$D:$D,'2.CC Trans-BB.RE collateral'!M$7&amp;"*",Input!$H:$H,{"1-REAL";"SANTANDER"},Input!$F:$F,'2.CC Trans-BB.RE collateral'!$D$2))</f>
        <v>#DIV/0!</v>
      </c>
      <c r="N17" s="86" t="e">
        <f>SUM(SUMIFS(Input!$J:$J,Input!$C:$C,'2.CC Trans-BB.RE collateral'!$A$9,Input!$D:$D,'2.CC Trans-BB.RE collateral'!N$7&amp;"*",Input!$H:$H,{"1-REAL";"SANTANDER"},Input!$F:$F,'2.CC Trans-BB.RE collateral'!$D$2))  / SUM(SUMIFS(Input!$G:$G,Input!$C:$C,'2.CC Trans-BB.RE collateral'!$A$9,Input!$D:$D,'2.CC Trans-BB.RE collateral'!N$7&amp;"*",Input!$H:$H,{"1-REAL";"SANTANDER"},Input!$F:$F,'2.CC Trans-BB.RE collateral'!$D$2))</f>
        <v>#DIV/0!</v>
      </c>
      <c r="O17" s="86" t="e">
        <f>SUM(SUMIFS(Input!$J:$J,Input!$C:$C,'2.CC Trans-BB.RE collateral'!$A$9,Input!$D:$D,'2.CC Trans-BB.RE collateral'!O$7&amp;"*",Input!$H:$H,{"1-REAL";"SANTANDER"},Input!$F:$F,'2.CC Trans-BB.RE collateral'!$D$2))  / SUM(SUMIFS(Input!$G:$G,Input!$C:$C,'2.CC Trans-BB.RE collateral'!$A$9,Input!$D:$D,'2.CC Trans-BB.RE collateral'!O$7&amp;"*",Input!$H:$H,{"1-REAL";"SANTANDER"},Input!$F:$F,'2.CC Trans-BB.RE collateral'!$D$2))</f>
        <v>#DIV/0!</v>
      </c>
      <c r="P17" s="86" t="e">
        <f>SUM(SUMIFS(Input!$J:$J,Input!$C:$C,'2.CC Trans-BB.RE collateral'!$A$9,Input!$D:$D,'2.CC Trans-BB.RE collateral'!P$7&amp;"*",Input!$H:$H,{"1-REAL";"SANTANDER"},Input!$F:$F,'2.CC Trans-BB.RE collateral'!$D$2))  / SUM(SUMIFS(Input!$G:$G,Input!$C:$C,'2.CC Trans-BB.RE collateral'!$A$9,Input!$D:$D,'2.CC Trans-BB.RE collateral'!P$7&amp;"*",Input!$H:$H,{"1-REAL";"SANTANDER"},Input!$F:$F,'2.CC Trans-BB.RE collateral'!$D$2))</f>
        <v>#DIV/0!</v>
      </c>
      <c r="Q17" s="86" t="e">
        <f>SUM(SUMIFS(Input!$J:$J,Input!$C:$C,'2.CC Trans-BB.RE collateral'!$A$9,Input!$D:$D,'2.CC Trans-BB.RE collateral'!Q$7&amp;"*",Input!$H:$H,{"1-REAL";"SANTANDER"},Input!$F:$F,'2.CC Trans-BB.RE collateral'!$D$2))  / SUM(SUMIFS(Input!$G:$G,Input!$C:$C,'2.CC Trans-BB.RE collateral'!$A$9,Input!$D:$D,'2.CC Trans-BB.RE collateral'!Q$7&amp;"*",Input!$H:$H,{"1-REAL";"SANTANDER"},Input!$F:$F,'2.CC Trans-BB.RE collateral'!$D$2))</f>
        <v>#DIV/0!</v>
      </c>
      <c r="R17" s="86" t="e">
        <f>SUM(SUMIFS(Input!$J:$J,Input!$C:$C,'2.CC Trans-BB.RE collateral'!$A$9,Input!$D:$D,'2.CC Trans-BB.RE collateral'!R$7&amp;"*",Input!$H:$H,{"1-REAL";"SANTANDER"},Input!$F:$F,'2.CC Trans-BB.RE collateral'!$D$2))  / SUM(SUMIFS(Input!$G:$G,Input!$C:$C,'2.CC Trans-BB.RE collateral'!$A$9,Input!$D:$D,'2.CC Trans-BB.RE collateral'!R$7&amp;"*",Input!$H:$H,{"1-REAL";"SANTANDER"},Input!$F:$F,'2.CC Trans-BB.RE collateral'!$D$2))</f>
        <v>#DIV/0!</v>
      </c>
      <c r="S17" s="86" t="e">
        <f>SUM(SUMIFS(Input!$J:$J,Input!$C:$C,'2.CC Trans-BB.RE collateral'!$A$9,Input!$D:$D,'2.CC Trans-BB.RE collateral'!S$7&amp;"*",Input!$H:$H,{"1-REAL";"SANTANDER"},Input!$F:$F,'2.CC Trans-BB.RE collateral'!$D$2))  / SUM(SUMIFS(Input!$G:$G,Input!$C:$C,'2.CC Trans-BB.RE collateral'!$A$9,Input!$D:$D,'2.CC Trans-BB.RE collateral'!S$7&amp;"*",Input!$H:$H,{"1-REAL";"SANTANDER"},Input!$F:$F,'2.CC Trans-BB.RE collateral'!$D$2))</f>
        <v>#DIV/0!</v>
      </c>
      <c r="T17" s="86" t="e">
        <f>SUMIFS(Input!$J:$J,Input!$C:$C,'2.CC Trans-BB.RE collateral'!$A$9,Input!$H:$H,"&lt;&gt;"&amp;S$1,Input!$H:$H,"&lt;&gt;"&amp;S$2,Input!$F:$F,'2.CC Trans-BB.RE collateral'!$D$2)  / SUMIFS(Input!$G:$G,Input!$C:$C,'2.CC Trans-BB.RE collateral'!$A$9,Input!$H:$H,"&lt;&gt;"&amp;S$1,Input!$H:$H,"&lt;&gt;"&amp;S$2,Input!$F:$F,'2.CC Trans-BB.RE collateral'!$D$2)</f>
        <v>#DIV/0!</v>
      </c>
      <c r="U17" s="60"/>
      <c r="V17" s="47"/>
    </row>
    <row r="18" spans="2:22" s="42" customFormat="1" ht="12.75" x14ac:dyDescent="0.2">
      <c r="B18" s="45">
        <v>10</v>
      </c>
      <c r="C18" s="59" t="s">
        <v>95</v>
      </c>
      <c r="D18" s="85">
        <f>ROUND(SUMIFS(Input!$G:$G,Input!$C:$C,'2.CC Trans-BB.RE collateral'!$A$9,Input!$I:$I,"MESG1",Input!$F:$F,'2.CC Trans-BB.RE collateral'!$D$2),0)</f>
        <v>0</v>
      </c>
      <c r="E18" s="85">
        <f>ROUND(SUMIFS(Input!$G:$G,Input!$C:$C,'2.CC Trans-BB.RE collateral'!$A$9,Input!$I:$I,"MESG1",Input!$E:$E,'2.CC Trans-BB.RE collateral'!E$3,Input!$F:$F,'2.CC Trans-BB.RE collateral'!$D$2),0)</f>
        <v>0</v>
      </c>
      <c r="F18" s="85">
        <f>ROUND(SUMIFS(Input!$G:$G,Input!$C:$C,'2.CC Trans-BB.RE collateral'!$A$9,Input!$I:$I,"MESG1",Input!$E:$E,'2.CC Trans-BB.RE collateral'!F$3,Input!$F:$F,'2.CC Trans-BB.RE collateral'!$D$2),0)</f>
        <v>0</v>
      </c>
      <c r="G18" s="85">
        <f>ROUND(SUMIFS(Input!$G:$G,Input!$C:$C,'2.CC Trans-BB.RE collateral'!$A$9,Input!$I:$I,"MESG1",Input!$E:$E,'2.CC Trans-BB.RE collateral'!G$3,Input!$F:$F,'2.CC Trans-BB.RE collateral'!$D$2),0)</f>
        <v>0</v>
      </c>
      <c r="H18" s="85">
        <f>ROUND(SUMIFS(Input!$G:$G,Input!$C:$C,'2.CC Trans-BB.RE collateral'!$A$9,Input!$I:$I,"MESG1",Input!$E:$E,'2.CC Trans-BB.RE collateral'!H$3,Input!$F:$F,'2.CC Trans-BB.RE collateral'!$D$2),0)</f>
        <v>0</v>
      </c>
      <c r="I18" s="85">
        <f>ROUND(SUMIFS(Input!$G:$G,Input!$C:$C,'2.CC Trans-BB.RE collateral'!$A$9,Input!$I:$I,"MESG1",Input!$E:$E,'2.CC Trans-BB.RE collateral'!I$3,Input!$F:$F,'2.CC Trans-BB.RE collateral'!$D$2),0)</f>
        <v>0</v>
      </c>
      <c r="J18" s="85">
        <f>ROUND(SUMIFS(Input!$G:$G,Input!$C:$C,'2.CC Trans-BB.RE collateral'!$A$9,Input!$I:$I,"MESG1",Input!$E:$E,'2.CC Trans-BB.RE collateral'!J$3,Input!$F:$F,'2.CC Trans-BB.RE collateral'!$D$2),0)</f>
        <v>0</v>
      </c>
      <c r="K18" s="85">
        <f>ROUND(SUMIFS(Input!$G:$G,Input!$C:$C,'2.CC Trans-BB.RE collateral'!$A$9,Input!$I:$I,"MESG1",Input!$R:$R,"&lt;&gt;"&amp;$S$1,Input!$F:$F,'2.CC Trans-BB.RE collateral'!$D$2),0)</f>
        <v>0</v>
      </c>
      <c r="L18" s="60"/>
      <c r="M18" s="85">
        <f>ROUND(SUM(SUMIFS(Input!$G:$G,Input!$C:$C,'2.CC Trans-BB.RE collateral'!$A$9,Input!$I:$I,"MESG1",Input!$D:$D,'2.CC Trans-BB.RE collateral'!M$7&amp;"*",Input!$H:$H,{"1-REAL";"SANTANDER"},Input!$F:$F,'2.CC Trans-BB.RE collateral'!$D$2)),0)</f>
        <v>0</v>
      </c>
      <c r="N18" s="85">
        <f>ROUND(SUM(SUMIFS(Input!$G:$G,Input!$C:$C,'2.CC Trans-BB.RE collateral'!$A$9,Input!$I:$I,"MESG1",Input!$D:$D,'2.CC Trans-BB.RE collateral'!N$7&amp;"*",Input!$H:$H,{"1-REAL";"SANTANDER"},Input!$F:$F,'2.CC Trans-BB.RE collateral'!$D$2)),0)</f>
        <v>0</v>
      </c>
      <c r="O18" s="85">
        <f>ROUND(SUM(SUMIFS(Input!$G:$G,Input!$C:$C,'2.CC Trans-BB.RE collateral'!$A$9,Input!$I:$I,"MESG1",Input!$D:$D,'2.CC Trans-BB.RE collateral'!O$7&amp;"*",Input!$H:$H,{"1-REAL";"SANTANDER"},Input!$F:$F,'2.CC Trans-BB.RE collateral'!$D$2)),0)</f>
        <v>0</v>
      </c>
      <c r="P18" s="85">
        <f>ROUND(SUM(SUMIFS(Input!$G:$G,Input!$C:$C,'2.CC Trans-BB.RE collateral'!$A$9,Input!$I:$I,"MESG1",Input!$D:$D,'2.CC Trans-BB.RE collateral'!P$7&amp;"*",Input!$H:$H,{"1-REAL";"SANTANDER"},Input!$F:$F,'2.CC Trans-BB.RE collateral'!$D$2)),0)</f>
        <v>0</v>
      </c>
      <c r="Q18" s="85">
        <f>ROUND(SUM(SUMIFS(Input!$G:$G,Input!$C:$C,'2.CC Trans-BB.RE collateral'!$A$9,Input!$I:$I,"MESG1",Input!$D:$D,'2.CC Trans-BB.RE collateral'!Q$7&amp;"*",Input!$H:$H,{"1-REAL";"SANTANDER"},Input!$F:$F,'2.CC Trans-BB.RE collateral'!$D$2)),0)</f>
        <v>0</v>
      </c>
      <c r="R18" s="85">
        <f>ROUND(SUM(SUMIFS(Input!$G:$G,Input!$C:$C,'2.CC Trans-BB.RE collateral'!$A$9,Input!$I:$I,"MESG1",Input!$D:$D,'2.CC Trans-BB.RE collateral'!R$7&amp;"*",Input!$H:$H,{"1-REAL";"SANTANDER"},Input!$F:$F,'2.CC Trans-BB.RE collateral'!$D$2)),0)</f>
        <v>0</v>
      </c>
      <c r="S18" s="85">
        <f>ROUND(SUM(SUMIFS(Input!$G:$G,Input!$C:$C,'2.CC Trans-BB.RE collateral'!$A$9,Input!$I:$I,"MESG1",Input!$D:$D,'2.CC Trans-BB.RE collateral'!S$7&amp;"*",Input!$H:$H,{"1-REAL";"SANTANDER"},Input!$F:$F,'2.CC Trans-BB.RE collateral'!$D$2)),0)</f>
        <v>0</v>
      </c>
      <c r="T18" s="85">
        <f>ROUND(SUMIFS(Input!$G:$G,Input!$C:$C,'2.CC Trans-BB.RE collateral'!$A$9,Input!$I:$I,"MESG1",Input!$H:$H,"&lt;&gt;"&amp;S$1,Input!$H:$H,"&lt;&gt;"&amp;S$2,Input!$F:$F,'2.CC Trans-BB.RE collateral'!$D$2),0)</f>
        <v>0</v>
      </c>
      <c r="U18" s="60"/>
      <c r="V18" s="47"/>
    </row>
    <row r="19" spans="2:22" s="42" customFormat="1" ht="12.75" x14ac:dyDescent="0.2">
      <c r="B19" s="45">
        <v>11</v>
      </c>
      <c r="C19" s="61" t="s">
        <v>96</v>
      </c>
      <c r="D19" s="84" t="e">
        <f>SUM(SUMIFS(Input!$O:$O,Input!$C:$C,'2.CC Trans-BB.RE collateral'!$A$9,Input!$K:$K,{"NBF1";"NBF2"},Input!$F:$F,'2.CC Trans-BB.RE collateral'!$D$2)) / SUM(SUMIFS(Input!$G:$G,Input!$C:$C,'2.CC Trans-BB.RE collateral'!$A$9,Input!$K:$K,{"NBF1";"NBF2"},Input!$F:$F,'2.CC Trans-BB.RE collateral'!$D$2))</f>
        <v>#DIV/0!</v>
      </c>
      <c r="E19" s="84" t="e">
        <f>SUM(SUMIFS(Input!$O:$O,Input!$C:$C,'2.CC Trans-BB.RE collateral'!$A$9,Input!$K:$K,{"NBF1";"NBF2"},Input!$E:$E,'2.CC Trans-BB.RE collateral'!E$3,Input!$F:$F,'2.CC Trans-BB.RE collateral'!$D$2)) / SUM(SUMIFS(Input!$G:$G,Input!$C:$C,'2.CC Trans-BB.RE collateral'!$A$9,Input!$K:$K,{"NBF1";"NBF2"},Input!$E:$E,'2.CC Trans-BB.RE collateral'!E$3,Input!$F:$F,'2.CC Trans-BB.RE collateral'!$D$2))</f>
        <v>#DIV/0!</v>
      </c>
      <c r="F19" s="84" t="e">
        <f>SUM(SUMIFS(Input!$O:$O,Input!$C:$C,'2.CC Trans-BB.RE collateral'!$A$9,Input!$K:$K,{"NBF1";"NBF2"},Input!$E:$E,'2.CC Trans-BB.RE collateral'!F$3,Input!$F:$F,'2.CC Trans-BB.RE collateral'!$D$2)) / SUM(SUMIFS(Input!$G:$G,Input!$C:$C,'2.CC Trans-BB.RE collateral'!$A$9,Input!$K:$K,{"NBF1";"NBF2"},Input!$E:$E,'2.CC Trans-BB.RE collateral'!F$3,Input!$F:$F,'2.CC Trans-BB.RE collateral'!$D$2))</f>
        <v>#DIV/0!</v>
      </c>
      <c r="G19" s="84" t="e">
        <f>SUM(SUMIFS(Input!$O:$O,Input!$C:$C,'2.CC Trans-BB.RE collateral'!$A$9,Input!$K:$K,{"NBF1";"NBF2"},Input!$E:$E,'2.CC Trans-BB.RE collateral'!G$3,Input!$F:$F,'2.CC Trans-BB.RE collateral'!$D$2)) / SUM(SUMIFS(Input!$G:$G,Input!$C:$C,'2.CC Trans-BB.RE collateral'!$A$9,Input!$K:$K,{"NBF1";"NBF2"},Input!$E:$E,'2.CC Trans-BB.RE collateral'!G$3,Input!$F:$F,'2.CC Trans-BB.RE collateral'!$D$2))</f>
        <v>#DIV/0!</v>
      </c>
      <c r="H19" s="84" t="e">
        <f>SUM(SUMIFS(Input!$O:$O,Input!$C:$C,'2.CC Trans-BB.RE collateral'!$A$9,Input!$K:$K,{"NBF1";"NBF2"},Input!$E:$E,'2.CC Trans-BB.RE collateral'!H$3,Input!$F:$F,'2.CC Trans-BB.RE collateral'!$D$2)) / SUM(SUMIFS(Input!$G:$G,Input!$C:$C,'2.CC Trans-BB.RE collateral'!$A$9,Input!$K:$K,{"NBF1";"NBF2"},Input!$E:$E,'2.CC Trans-BB.RE collateral'!H$3,Input!$F:$F,'2.CC Trans-BB.RE collateral'!$D$2))</f>
        <v>#DIV/0!</v>
      </c>
      <c r="I19" s="84" t="e">
        <f>SUM(SUMIFS(Input!$O:$O,Input!$C:$C,'2.CC Trans-BB.RE collateral'!$A$9,Input!$K:$K,{"NBF1";"NBF2"},Input!$E:$E,'2.CC Trans-BB.RE collateral'!I$3,Input!$F:$F,'2.CC Trans-BB.RE collateral'!$D$2)) / SUM(SUMIFS(Input!$G:$G,Input!$C:$C,'2.CC Trans-BB.RE collateral'!$A$9,Input!$K:$K,{"NBF1";"NBF2"},Input!$E:$E,'2.CC Trans-BB.RE collateral'!I$3,Input!$F:$F,'2.CC Trans-BB.RE collateral'!$D$2))</f>
        <v>#DIV/0!</v>
      </c>
      <c r="J19" s="84" t="e">
        <f>SUM(SUMIFS(Input!$O:$O,Input!$C:$C,'2.CC Trans-BB.RE collateral'!$A$9,Input!$K:$K,{"NBF1";"NBF2"},Input!$E:$E,'2.CC Trans-BB.RE collateral'!J$3,Input!$F:$F,'2.CC Trans-BB.RE collateral'!$D$2)) / SUM(SUMIFS(Input!$G:$G,Input!$C:$C,'2.CC Trans-BB.RE collateral'!$A$9,Input!$K:$K,{"NBF1";"NBF2"},Input!$E:$E,'2.CC Trans-BB.RE collateral'!J$3,Input!$F:$F,'2.CC Trans-BB.RE collateral'!$D$2))</f>
        <v>#DIV/0!</v>
      </c>
      <c r="K19" s="84" t="e">
        <f>SUM(SUMIFS(Input!$O:$O,Input!$C:$C,'2.CC Trans-BB.RE collateral'!$A$9,Input!$K:$K,{"NBF1";"NBF2"},Input!$R:$R,"&lt;&gt;"&amp;$S$1,Input!$F:$F,'2.CC Trans-BB.RE collateral'!$D$2)) / SUM(SUMIFS(Input!$G:$G,Input!$C:$C,'2.CC Trans-BB.RE collateral'!$A$9,Input!$K:$K,{"NBF1";"NBF2"},Input!$R:$R,"&lt;&gt;"&amp;$S$1,Input!$F:$F,'2.CC Trans-BB.RE collateral'!$D$2))</f>
        <v>#DIV/0!</v>
      </c>
      <c r="L19" s="60"/>
      <c r="M19" s="84" t="e">
        <f>SUM(SUMIFS(Input!$O:$O,Input!$C:$C,'2.CC Trans-BB.RE collateral'!$A$9,Input!$K:$K,{"NBF1";"NBF2"},Input!$H:$H,"1-REAL",Input!$D:$D,'2.CC Trans-BB.RE collateral'!M$7&amp;"*",Input!$F:$F,'2.CC Trans-BB.RE collateral'!$D$2)) / SUM(SUMIFS(Input!$G:$G,Input!$C:$C,'2.CC Trans-BB.RE collateral'!$A$9,Input!$K:$K,{"NBF1";"NBF2"},Input!$H:$H,"1-REAL",Input!$D:$D,'2.CC Trans-BB.RE collateral'!M$7&amp;"*",Input!$F:$F,'2.CC Trans-BB.RE collateral'!$D$2))</f>
        <v>#DIV/0!</v>
      </c>
      <c r="N19" s="84" t="e">
        <f>SUM(SUMIFS(Input!$O:$O,Input!$C:$C,'2.CC Trans-BB.RE collateral'!$A$9,Input!$K:$K,{"NBF1";"NBF2"},Input!$H:$H,"1-REAL",Input!$D:$D,'2.CC Trans-BB.RE collateral'!N$7&amp;"*",Input!$F:$F,'2.CC Trans-BB.RE collateral'!$D$2)) / SUM(SUMIFS(Input!$G:$G,Input!$C:$C,'2.CC Trans-BB.RE collateral'!$A$9,Input!$K:$K,{"NBF1";"NBF2"},Input!$H:$H,"1-REAL",Input!$D:$D,'2.CC Trans-BB.RE collateral'!N$7&amp;"*",Input!$F:$F,'2.CC Trans-BB.RE collateral'!$D$2))</f>
        <v>#DIV/0!</v>
      </c>
      <c r="O19" s="84" t="e">
        <f>SUM(SUMIFS(Input!$O:$O,Input!$C:$C,'2.CC Trans-BB.RE collateral'!$A$9,Input!$K:$K,{"NBF1";"NBF2"},Input!$H:$H,"1-REAL",Input!$D:$D,'2.CC Trans-BB.RE collateral'!O$7&amp;"*",Input!$F:$F,'2.CC Trans-BB.RE collateral'!$D$2)) / SUM(SUMIFS(Input!$G:$G,Input!$C:$C,'2.CC Trans-BB.RE collateral'!$A$9,Input!$K:$K,{"NBF1";"NBF2"},Input!$H:$H,"1-REAL",Input!$D:$D,'2.CC Trans-BB.RE collateral'!O$7&amp;"*",Input!$F:$F,'2.CC Trans-BB.RE collateral'!$D$2))</f>
        <v>#DIV/0!</v>
      </c>
      <c r="P19" s="84" t="e">
        <f>SUM(SUMIFS(Input!$O:$O,Input!$C:$C,'2.CC Trans-BB.RE collateral'!$A$9,Input!$K:$K,{"NBF1";"NBF2"},Input!$H:$H,"1-REAL",Input!$D:$D,'2.CC Trans-BB.RE collateral'!P$7&amp;"*",Input!$F:$F,'2.CC Trans-BB.RE collateral'!$D$2)) / SUM(SUMIFS(Input!$G:$G,Input!$C:$C,'2.CC Trans-BB.RE collateral'!$A$9,Input!$K:$K,{"NBF1";"NBF2"},Input!$H:$H,"1-REAL",Input!$D:$D,'2.CC Trans-BB.RE collateral'!P$7&amp;"*",Input!$F:$F,'2.CC Trans-BB.RE collateral'!$D$2))</f>
        <v>#DIV/0!</v>
      </c>
      <c r="Q19" s="84" t="e">
        <f>SUM(SUMIFS(Input!$O:$O,Input!$C:$C,'2.CC Trans-BB.RE collateral'!$A$9,Input!$K:$K,{"NBF1";"NBF2"},Input!$H:$H,"1-REAL",Input!$D:$D,'2.CC Trans-BB.RE collateral'!Q$7&amp;"*",Input!$F:$F,'2.CC Trans-BB.RE collateral'!$D$2)) / SUM(SUMIFS(Input!$G:$G,Input!$C:$C,'2.CC Trans-BB.RE collateral'!$A$9,Input!$K:$K,{"NBF1";"NBF2"},Input!$H:$H,"1-REAL",Input!$D:$D,'2.CC Trans-BB.RE collateral'!Q$7&amp;"*",Input!$F:$F,'2.CC Trans-BB.RE collateral'!$D$2))</f>
        <v>#DIV/0!</v>
      </c>
      <c r="R19" s="84" t="e">
        <f>SUM(SUMIFS(Input!$O:$O,Input!$C:$C,'2.CC Trans-BB.RE collateral'!$A$9,Input!$K:$K,{"NBF1";"NBF2"},Input!$H:$H,"1-REAL",Input!$D:$D,'2.CC Trans-BB.RE collateral'!R$7&amp;"*",Input!$F:$F,'2.CC Trans-BB.RE collateral'!$D$2)) / SUM(SUMIFS(Input!$G:$G,Input!$C:$C,'2.CC Trans-BB.RE collateral'!$A$9,Input!$K:$K,{"NBF1";"NBF2"},Input!$H:$H,"1-REAL",Input!$D:$D,'2.CC Trans-BB.RE collateral'!R$7&amp;"*",Input!$F:$F,'2.CC Trans-BB.RE collateral'!$D$2))</f>
        <v>#DIV/0!</v>
      </c>
      <c r="S19" s="84">
        <f>IFERROR(SUM(SUMIFS(Input!$O:$O,Input!$C:$C,'2.CC Trans-BB.RE collateral'!$A$9,Input!$K:$K,{"NBF1";"NBF2"},Input!$H:$H,"1-REAL",Input!$D:$D,'2.CC Trans-BB.RE collateral'!S$7&amp;"*",Input!$F:$F,'2.CC Trans-BB.RE collateral'!$D$2)) / SUM(SUMIFS(Input!$G:$G,Input!$C:$C,'2.CC Trans-BB.RE collateral'!$A$9,Input!$K:$K,{"NBF1";"NBF2"},Input!$H:$H,"1-REAL",Input!$D:$D,'2.CC Trans-BB.RE collateral'!S$7&amp;"*",Input!$F:$F,'2.CC Trans-BB.RE collateral'!$D$2)),0)</f>
        <v>0</v>
      </c>
      <c r="T19" s="84" t="e">
        <f>SUM(SUMIFS(Input!$O:$O,Input!$C:$C,'2.CC Trans-BB.RE collateral'!$A$9,Input!$K:$K,{"NBF1";"NBF2"},Input!$H:$H,"&lt;&gt;"&amp;S$1,Input!$H:$H,"&lt;&gt;"&amp;S$2,Input!$F:$F,'2.CC Trans-BB.RE collateral'!$D$2)) / SUM(SUMIFS(Input!$G:$G,Input!$C:$C,'2.CC Trans-BB.RE collateral'!$A$9,Input!$K:$K,{"NBF1";"NBF2"},Input!$H:$H,"&lt;&gt;"&amp;S$1,Input!$H:$H,"&lt;&gt;"&amp;S$2,Input!$F:$F,'2.CC Trans-BB.RE collateral'!$D$2))</f>
        <v>#DIV/0!</v>
      </c>
      <c r="U19" s="60"/>
      <c r="V19" s="47"/>
    </row>
    <row r="20" spans="2:22" s="42" customFormat="1" ht="15.75" customHeight="1" x14ac:dyDescent="0.2">
      <c r="B20" s="45"/>
      <c r="C20" s="105" t="s">
        <v>97</v>
      </c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7"/>
      <c r="V20" s="47"/>
    </row>
    <row r="21" spans="2:22" s="42" customFormat="1" ht="12.75" x14ac:dyDescent="0.2">
      <c r="B21" s="45">
        <v>12</v>
      </c>
      <c r="C21" s="59" t="s">
        <v>98</v>
      </c>
      <c r="D21" s="84" t="e">
        <f>SUMIFS(Input!$P:$P,Input!$C:$C,'2.CC Trans-BB.RE collateral'!$A$10,Input!$F:$F,'2.CC Trans-BB.RE collateral'!$D$2) / SUMIFS(Input!$G:$G,Input!$C:$C,'2.CC Trans-BB.RE collateral'!$A$10,Input!$F:$F,'2.CC Trans-BB.RE collateral'!$D$2)</f>
        <v>#DIV/0!</v>
      </c>
      <c r="E21" s="84" t="e">
        <f>SUMIFS(Input!$P:$P,Input!$C:$C,'2.CC Trans-BB.RE collateral'!$A$10,Input!$E:$E,'2.CC Trans-BB.RE collateral'!E$3,Input!$F:$F,'2.CC Trans-BB.RE collateral'!$D$2) / SUMIFS(Input!$G:$G,Input!$C:$C,'2.CC Trans-BB.RE collateral'!$A$10,Input!$E:$E,'2.CC Trans-BB.RE collateral'!E$3,Input!$F:$F,'2.CC Trans-BB.RE collateral'!$D$2)</f>
        <v>#DIV/0!</v>
      </c>
      <c r="F21" s="84" t="e">
        <f>SUMIFS(Input!$P:$P,Input!$C:$C,'2.CC Trans-BB.RE collateral'!$A$10,Input!$E:$E,'2.CC Trans-BB.RE collateral'!F$3,Input!$F:$F,'2.CC Trans-BB.RE collateral'!$D$2) / SUMIFS(Input!$G:$G,Input!$C:$C,'2.CC Trans-BB.RE collateral'!$A$10,Input!$E:$E,'2.CC Trans-BB.RE collateral'!F$3,Input!$F:$F,'2.CC Trans-BB.RE collateral'!$D$2)</f>
        <v>#DIV/0!</v>
      </c>
      <c r="G21" s="84" t="e">
        <f>SUMIFS(Input!$P:$P,Input!$C:$C,'2.CC Trans-BB.RE collateral'!$A$10,Input!$E:$E,'2.CC Trans-BB.RE collateral'!G$3,Input!$F:$F,'2.CC Trans-BB.RE collateral'!$D$2) / SUMIFS(Input!$G:$G,Input!$C:$C,'2.CC Trans-BB.RE collateral'!$A$10,Input!$E:$E,'2.CC Trans-BB.RE collateral'!G$3,Input!$F:$F,'2.CC Trans-BB.RE collateral'!$D$2)</f>
        <v>#DIV/0!</v>
      </c>
      <c r="H21" s="84" t="e">
        <f>SUMIFS(Input!$P:$P,Input!$C:$C,'2.CC Trans-BB.RE collateral'!$A$10,Input!$E:$E,'2.CC Trans-BB.RE collateral'!H$3,Input!$F:$F,'2.CC Trans-BB.RE collateral'!$D$2) / SUMIFS(Input!$G:$G,Input!$C:$C,'2.CC Trans-BB.RE collateral'!$A$10,Input!$E:$E,'2.CC Trans-BB.RE collateral'!H$3,Input!$F:$F,'2.CC Trans-BB.RE collateral'!$D$2)</f>
        <v>#DIV/0!</v>
      </c>
      <c r="I21" s="84" t="e">
        <f>SUMIFS(Input!$P:$P,Input!$C:$C,'2.CC Trans-BB.RE collateral'!$A$10,Input!$E:$E,'2.CC Trans-BB.RE collateral'!I$3,Input!$F:$F,'2.CC Trans-BB.RE collateral'!$D$2) / SUMIFS(Input!$G:$G,Input!$C:$C,'2.CC Trans-BB.RE collateral'!$A$10,Input!$E:$E,'2.CC Trans-BB.RE collateral'!I$3,Input!$F:$F,'2.CC Trans-BB.RE collateral'!$D$2)</f>
        <v>#DIV/0!</v>
      </c>
      <c r="J21" s="84" t="e">
        <f>SUMIFS(Input!$P:$P,Input!$C:$C,'2.CC Trans-BB.RE collateral'!$A$10,Input!$E:$E,'2.CC Trans-BB.RE collateral'!J$3,Input!$F:$F,'2.CC Trans-BB.RE collateral'!$D$2) / SUMIFS(Input!$G:$G,Input!$C:$C,'2.CC Trans-BB.RE collateral'!$A$10,Input!$E:$E,'2.CC Trans-BB.RE collateral'!J$3,Input!$F:$F,'2.CC Trans-BB.RE collateral'!$D$2)</f>
        <v>#DIV/0!</v>
      </c>
      <c r="K21" s="84" t="e">
        <f>SUMIFS(Input!$P:$P,Input!$C:$C,'2.CC Trans-BB.RE collateral'!$A$10,Input!$R:$R,"&lt;&gt;"&amp;$S$1,Input!$F:$F,'2.CC Trans-BB.RE collateral'!$D$2) / SUMIFS(Input!$G:$G,Input!$C:$C,'2.CC Trans-BB.RE collateral'!$A$10,Input!$R:$R,"&lt;&gt;"&amp;$S$1,Input!$F:$F,'2.CC Trans-BB.RE collateral'!$D$2)</f>
        <v>#DIV/0!</v>
      </c>
      <c r="L21" s="60"/>
      <c r="M21" s="84" t="e">
        <f>SUM(SUMIFS(Input!$P:$P,Input!$C:$C,'2.CC Trans-BB.RE collateral'!$A$10,Input!$D:$D,'2.CC Trans-BB.RE collateral'!M$7&amp;"*",Input!$H:$H,{"1-REAL";"SANTANDER"},Input!$F:$F,'2.CC Trans-BB.RE collateral'!$D$2)) / SUM(SUMIFS(Input!$G:$G,Input!$C:$C,'2.CC Trans-BB.RE collateral'!$A$10,Input!$D:$D,'2.CC Trans-BB.RE collateral'!M$7&amp;"*",Input!$H:$H,{"1-REAL";"SANTANDER"},Input!$F:$F,'2.CC Trans-BB.RE collateral'!$D$2))</f>
        <v>#DIV/0!</v>
      </c>
      <c r="N21" s="84" t="e">
        <f>SUM(SUMIFS(Input!$P:$P,Input!$C:$C,'2.CC Trans-BB.RE collateral'!$A$10,Input!$D:$D,'2.CC Trans-BB.RE collateral'!N$7&amp;"*",Input!$H:$H,{"1-REAL";"SANTANDER"},Input!$F:$F,'2.CC Trans-BB.RE collateral'!$D$2)) / SUM(SUMIFS(Input!$G:$G,Input!$C:$C,'2.CC Trans-BB.RE collateral'!$A$10,Input!$D:$D,'2.CC Trans-BB.RE collateral'!N$7&amp;"*",Input!$H:$H,{"1-REAL";"SANTANDER"},Input!$F:$F,'2.CC Trans-BB.RE collateral'!$D$2))</f>
        <v>#DIV/0!</v>
      </c>
      <c r="O21" s="84" t="e">
        <f>SUM(SUMIFS(Input!$P:$P,Input!$C:$C,'2.CC Trans-BB.RE collateral'!$A$10,Input!$D:$D,'2.CC Trans-BB.RE collateral'!O$7&amp;"*",Input!$H:$H,{"1-REAL";"SANTANDER"},Input!$F:$F,'2.CC Trans-BB.RE collateral'!$D$2)) / SUM(SUMIFS(Input!$G:$G,Input!$C:$C,'2.CC Trans-BB.RE collateral'!$A$10,Input!$D:$D,'2.CC Trans-BB.RE collateral'!O$7&amp;"*",Input!$H:$H,{"1-REAL";"SANTANDER"},Input!$F:$F,'2.CC Trans-BB.RE collateral'!$D$2))</f>
        <v>#DIV/0!</v>
      </c>
      <c r="P21" s="84" t="e">
        <f>SUM(SUMIFS(Input!$P:$P,Input!$C:$C,'2.CC Trans-BB.RE collateral'!$A$10,Input!$D:$D,'2.CC Trans-BB.RE collateral'!P$7&amp;"*",Input!$H:$H,{"1-REAL";"SANTANDER"},Input!$F:$F,'2.CC Trans-BB.RE collateral'!$D$2)) / SUM(SUMIFS(Input!$G:$G,Input!$C:$C,'2.CC Trans-BB.RE collateral'!$A$10,Input!$D:$D,'2.CC Trans-BB.RE collateral'!P$7&amp;"*",Input!$H:$H,{"1-REAL";"SANTANDER"},Input!$F:$F,'2.CC Trans-BB.RE collateral'!$D$2))</f>
        <v>#DIV/0!</v>
      </c>
      <c r="Q21" s="84" t="e">
        <f>SUM(SUMIFS(Input!$P:$P,Input!$C:$C,'2.CC Trans-BB.RE collateral'!$A$10,Input!$D:$D,'2.CC Trans-BB.RE collateral'!Q$7&amp;"*",Input!$H:$H,{"1-REAL";"SANTANDER"},Input!$F:$F,'2.CC Trans-BB.RE collateral'!$D$2)) / SUM(SUMIFS(Input!$G:$G,Input!$C:$C,'2.CC Trans-BB.RE collateral'!$A$10,Input!$D:$D,'2.CC Trans-BB.RE collateral'!Q$7&amp;"*",Input!$H:$H,{"1-REAL";"SANTANDER"},Input!$F:$F,'2.CC Trans-BB.RE collateral'!$D$2))</f>
        <v>#DIV/0!</v>
      </c>
      <c r="R21" s="84" t="e">
        <f>SUM(SUMIFS(Input!$P:$P,Input!$C:$C,'2.CC Trans-BB.RE collateral'!$A$10,Input!$D:$D,'2.CC Trans-BB.RE collateral'!R$7&amp;"*",Input!$H:$H,{"1-REAL";"SANTANDER"},Input!$F:$F,'2.CC Trans-BB.RE collateral'!$D$2)) / SUM(SUMIFS(Input!$G:$G,Input!$C:$C,'2.CC Trans-BB.RE collateral'!$A$10,Input!$D:$D,'2.CC Trans-BB.RE collateral'!R$7&amp;"*",Input!$H:$H,{"1-REAL";"SANTANDER"},Input!$F:$F,'2.CC Trans-BB.RE collateral'!$D$2))</f>
        <v>#DIV/0!</v>
      </c>
      <c r="S21" s="84" t="e">
        <f>SUM(SUMIFS(Input!$P:$P,Input!$C:$C,'2.CC Trans-BB.RE collateral'!$A$10,Input!$D:$D,'2.CC Trans-BB.RE collateral'!S$7&amp;"*",Input!$H:$H,{"1-REAL";"SANTANDER"},Input!$F:$F,'2.CC Trans-BB.RE collateral'!$D$2)) / SUM(SUMIFS(Input!$G:$G,Input!$C:$C,'2.CC Trans-BB.RE collateral'!$A$10,Input!$D:$D,'2.CC Trans-BB.RE collateral'!S$7&amp;"*",Input!$H:$H,{"1-REAL";"SANTANDER"},Input!$F:$F,'2.CC Trans-BB.RE collateral'!$D$2))</f>
        <v>#DIV/0!</v>
      </c>
      <c r="T21" s="84" t="e">
        <f>SUMIFS(Input!$P:$P,Input!$C:$C,'2.CC Trans-BB.RE collateral'!$A$10,Input!$H:$H,"&lt;&gt;"&amp;S$1,Input!$H:$H,"&lt;&gt;"&amp;S$2,Input!$F:$F,'2.CC Trans-BB.RE collateral'!$D$2) / SUMIFS(Input!$G:$G,Input!$C:$C,'2.CC Trans-BB.RE collateral'!$A$10,Input!$H:$H,"&lt;&gt;"&amp;S$1,Input!$H:$H,"&lt;&gt;"&amp;S$2,Input!$F:$F,'2.CC Trans-BB.RE collateral'!$D$2)</f>
        <v>#DIV/0!</v>
      </c>
      <c r="U21" s="60"/>
      <c r="V21" s="47"/>
    </row>
    <row r="22" spans="2:22" s="42" customFormat="1" ht="12.75" x14ac:dyDescent="0.2">
      <c r="B22" s="45">
        <v>13</v>
      </c>
      <c r="C22" s="59" t="s">
        <v>99</v>
      </c>
      <c r="D22" s="85">
        <f>ROUND(SUMIFS(Input!$G:$G,Input!$C:$C,'2.CC Trans-BB.RE collateral'!$A$10,Input!$Q:$Q,"LTV4",Input!$F:$F,'2.CC Trans-BB.RE collateral'!$D$2),0)</f>
        <v>0</v>
      </c>
      <c r="E22" s="85">
        <f>ROUND(SUMIFS(Input!$G:$G,Input!$C:$C,'2.CC Trans-BB.RE collateral'!$A$10,Input!$Q:$Q,"LTV4",Input!$E:$E,'2.CC Trans-BB.RE collateral'!E$3,Input!$F:$F,'2.CC Trans-BB.RE collateral'!$D$2),0)</f>
        <v>0</v>
      </c>
      <c r="F22" s="85">
        <f>ROUND(SUMIFS(Input!$G:$G,Input!$C:$C,'2.CC Trans-BB.RE collateral'!$A$10,Input!$Q:$Q,"LTV4",Input!$E:$E,'2.CC Trans-BB.RE collateral'!F$3,Input!$F:$F,'2.CC Trans-BB.RE collateral'!$D$2),0)</f>
        <v>0</v>
      </c>
      <c r="G22" s="85">
        <f>ROUND(SUMIFS(Input!$G:$G,Input!$C:$C,'2.CC Trans-BB.RE collateral'!$A$10,Input!$Q:$Q,"LTV4",Input!$E:$E,'2.CC Trans-BB.RE collateral'!G$3,Input!$F:$F,'2.CC Trans-BB.RE collateral'!$D$2),0)</f>
        <v>0</v>
      </c>
      <c r="H22" s="85">
        <f>ROUND(SUMIFS(Input!$G:$G,Input!$C:$C,'2.CC Trans-BB.RE collateral'!$A$10,Input!$Q:$Q,"LTV4",Input!$E:$E,'2.CC Trans-BB.RE collateral'!H$3,Input!$F:$F,'2.CC Trans-BB.RE collateral'!$D$2),0)</f>
        <v>0</v>
      </c>
      <c r="I22" s="85">
        <f>ROUND(SUMIFS(Input!$G:$G,Input!$C:$C,'2.CC Trans-BB.RE collateral'!$A$10,Input!$Q:$Q,"LTV4",Input!$E:$E,'2.CC Trans-BB.RE collateral'!I$3,Input!$F:$F,'2.CC Trans-BB.RE collateral'!$D$2),0)</f>
        <v>0</v>
      </c>
      <c r="J22" s="85">
        <f>ROUND(SUMIFS(Input!$G:$G,Input!$C:$C,'2.CC Trans-BB.RE collateral'!$A$10,Input!$Q:$Q,"LTV4",Input!$E:$E,'2.CC Trans-BB.RE collateral'!J$3,Input!$F:$F,'2.CC Trans-BB.RE collateral'!$D$2),0)</f>
        <v>0</v>
      </c>
      <c r="K22" s="85">
        <f>ROUND(SUMIFS(Input!$G:$G,Input!$C:$C,'2.CC Trans-BB.RE collateral'!$A$10,Input!$Q:$Q,"LTV4",Input!$R:$R,"&lt;&gt;"&amp;$S$1,Input!$F:$F,'2.CC Trans-BB.RE collateral'!$D$2),0)</f>
        <v>0</v>
      </c>
      <c r="L22" s="60"/>
      <c r="M22" s="85">
        <f>ROUND(SUM(SUMIFS(Input!$G:$G,Input!$C:$C,'2.CC Trans-BB.RE collateral'!$A$10,Input!$Q:$Q,"LTV4",Input!$D:$D,'2.CC Trans-BB.RE collateral'!M$7&amp;"*",Input!$H:$H,{"1-REAL";"SANTANDER"},Input!$F:$F,'2.CC Trans-BB.RE collateral'!$D$2)),0)</f>
        <v>0</v>
      </c>
      <c r="N22" s="85">
        <f>ROUND(SUM(SUMIFS(Input!$G:$G,Input!$C:$C,'2.CC Trans-BB.RE collateral'!$A$10,Input!$Q:$Q,"LTV4",Input!$D:$D,'2.CC Trans-BB.RE collateral'!N$7&amp;"*",Input!$H:$H,{"1-REAL";"SANTANDER"},Input!$F:$F,'2.CC Trans-BB.RE collateral'!$D$2)),0)</f>
        <v>0</v>
      </c>
      <c r="O22" s="85">
        <f>ROUND(SUM(SUMIFS(Input!$G:$G,Input!$C:$C,'2.CC Trans-BB.RE collateral'!$A$10,Input!$Q:$Q,"LTV4",Input!$D:$D,'2.CC Trans-BB.RE collateral'!O$7&amp;"*",Input!$H:$H,{"1-REAL";"SANTANDER"},Input!$F:$F,'2.CC Trans-BB.RE collateral'!$D$2)),0)</f>
        <v>0</v>
      </c>
      <c r="P22" s="85">
        <f>ROUND(SUM(SUMIFS(Input!$G:$G,Input!$C:$C,'2.CC Trans-BB.RE collateral'!$A$10,Input!$Q:$Q,"LTV4",Input!$D:$D,'2.CC Trans-BB.RE collateral'!P$7&amp;"*",Input!$H:$H,{"1-REAL";"SANTANDER"},Input!$F:$F,'2.CC Trans-BB.RE collateral'!$D$2)),0)</f>
        <v>0</v>
      </c>
      <c r="Q22" s="85">
        <f>ROUND(SUM(SUMIFS(Input!$G:$G,Input!$C:$C,'2.CC Trans-BB.RE collateral'!$A$10,Input!$Q:$Q,"LTV4",Input!$D:$D,'2.CC Trans-BB.RE collateral'!Q$7&amp;"*",Input!$H:$H,{"1-REAL";"SANTANDER"},Input!$F:$F,'2.CC Trans-BB.RE collateral'!$D$2)),0)</f>
        <v>0</v>
      </c>
      <c r="R22" s="85">
        <f>ROUND(SUM(SUMIFS(Input!$G:$G,Input!$C:$C,'2.CC Trans-BB.RE collateral'!$A$10,Input!$Q:$Q,"LTV4",Input!$D:$D,'2.CC Trans-BB.RE collateral'!R$7&amp;"*",Input!$H:$H,{"1-REAL";"SANTANDER"},Input!$F:$F,'2.CC Trans-BB.RE collateral'!$D$2)),0)</f>
        <v>0</v>
      </c>
      <c r="S22" s="85">
        <f>ROUND(SUM(SUMIFS(Input!$G:$G,Input!$C:$C,'2.CC Trans-BB.RE collateral'!$A$10,Input!$Q:$Q,"LTV4",Input!$D:$D,'2.CC Trans-BB.RE collateral'!S$7&amp;"*",Input!$H:$H,{"1-REAL";"SANTANDER"},Input!$F:$F,'2.CC Trans-BB.RE collateral'!$D$2)),0)</f>
        <v>0</v>
      </c>
      <c r="T22" s="85">
        <f>ROUND(SUMIFS(Input!$G:$G,Input!$C:$C,'2.CC Trans-BB.RE collateral'!$A$10,Input!$Q:$Q,"LTV4",Input!$H:$H,"&lt;&gt;"&amp;S$1,Input!$H:$H,"&lt;&gt;"&amp;S$2,Input!$F:$F,'2.CC Trans-BB.RE collateral'!$D$2),0)</f>
        <v>0</v>
      </c>
      <c r="U22" s="60"/>
      <c r="V22" s="47"/>
    </row>
    <row r="23" spans="2:22" s="42" customFormat="1" ht="12.75" x14ac:dyDescent="0.2">
      <c r="B23" s="45">
        <v>14</v>
      </c>
      <c r="C23" s="59" t="s">
        <v>100</v>
      </c>
      <c r="D23" s="85">
        <f>ROUND(SUMIFS(Input!$G:$G,Input!$C:$C,'2.CC Trans-BB.RE collateral'!$A$10,Input!$Q:$Q,"LTV5",Input!$F:$F,'2.CC Trans-BB.RE collateral'!$D$2),0)</f>
        <v>0</v>
      </c>
      <c r="E23" s="85">
        <f>ROUND(SUMIFS(Input!$G:$G,Input!$C:$C,'2.CC Trans-BB.RE collateral'!$A$10,Input!$Q:$Q,"LTV5",Input!$E:$E,'2.CC Trans-BB.RE collateral'!E$3,Input!$F:$F,'2.CC Trans-BB.RE collateral'!$D$2),0)</f>
        <v>0</v>
      </c>
      <c r="F23" s="85">
        <f>ROUND(SUMIFS(Input!$G:$G,Input!$C:$C,'2.CC Trans-BB.RE collateral'!$A$10,Input!$Q:$Q,"LTV5",Input!$E:$E,'2.CC Trans-BB.RE collateral'!F$3,Input!$F:$F,'2.CC Trans-BB.RE collateral'!$D$2),0)</f>
        <v>0</v>
      </c>
      <c r="G23" s="85">
        <f>ROUND(SUMIFS(Input!$G:$G,Input!$C:$C,'2.CC Trans-BB.RE collateral'!$A$10,Input!$Q:$Q,"LTV5",Input!$E:$E,'2.CC Trans-BB.RE collateral'!G$3,Input!$F:$F,'2.CC Trans-BB.RE collateral'!$D$2),0)</f>
        <v>0</v>
      </c>
      <c r="H23" s="85">
        <f>ROUND(SUMIFS(Input!$G:$G,Input!$C:$C,'2.CC Trans-BB.RE collateral'!$A$10,Input!$Q:$Q,"LTV5",Input!$E:$E,'2.CC Trans-BB.RE collateral'!H$3,Input!$F:$F,'2.CC Trans-BB.RE collateral'!$D$2),0)</f>
        <v>0</v>
      </c>
      <c r="I23" s="85">
        <f>ROUND(SUMIFS(Input!$G:$G,Input!$C:$C,'2.CC Trans-BB.RE collateral'!$A$10,Input!$Q:$Q,"LTV5",Input!$E:$E,'2.CC Trans-BB.RE collateral'!I$3,Input!$F:$F,'2.CC Trans-BB.RE collateral'!$D$2),0)</f>
        <v>0</v>
      </c>
      <c r="J23" s="85">
        <f>ROUND(SUMIFS(Input!$G:$G,Input!$C:$C,'2.CC Trans-BB.RE collateral'!$A$10,Input!$Q:$Q,"LTV5",Input!$E:$E,'2.CC Trans-BB.RE collateral'!J$3,Input!$F:$F,'2.CC Trans-BB.RE collateral'!$D$2),0)</f>
        <v>0</v>
      </c>
      <c r="K23" s="85">
        <f>ROUND(SUMIFS(Input!$G:$G,Input!$C:$C,'2.CC Trans-BB.RE collateral'!$A$10,Input!$Q:$Q,"LTV5",Input!$R:$R,"&lt;&gt;"&amp;$S$1,Input!$F:$F,'2.CC Trans-BB.RE collateral'!$D$2),0)</f>
        <v>0</v>
      </c>
      <c r="L23" s="60"/>
      <c r="M23" s="85">
        <f>ROUND(SUM(SUMIFS(Input!$G:$G,Input!$C:$C,'2.CC Trans-BB.RE collateral'!$A$10,Input!$Q:$Q,"LTV5",Input!$D:$D,'2.CC Trans-BB.RE collateral'!M$7&amp;"*",Input!$H:$H,{"1-REAL";"SANTANDER"},Input!$F:$F,'2.CC Trans-BB.RE collateral'!$D$2)),0)</f>
        <v>0</v>
      </c>
      <c r="N23" s="85">
        <f>ROUND(SUM(SUMIFS(Input!$G:$G,Input!$C:$C,'2.CC Trans-BB.RE collateral'!$A$10,Input!$Q:$Q,"LTV5",Input!$D:$D,'2.CC Trans-BB.RE collateral'!N$7&amp;"*",Input!$H:$H,{"1-REAL";"SANTANDER"},Input!$F:$F,'2.CC Trans-BB.RE collateral'!$D$2)),0)</f>
        <v>0</v>
      </c>
      <c r="O23" s="85">
        <f>ROUND(SUM(SUMIFS(Input!$G:$G,Input!$C:$C,'2.CC Trans-BB.RE collateral'!$A$10,Input!$Q:$Q,"LTV5",Input!$D:$D,'2.CC Trans-BB.RE collateral'!O$7&amp;"*",Input!$H:$H,{"1-REAL";"SANTANDER"},Input!$F:$F,'2.CC Trans-BB.RE collateral'!$D$2)),0)</f>
        <v>0</v>
      </c>
      <c r="P23" s="85">
        <f>ROUND(SUM(SUMIFS(Input!$G:$G,Input!$C:$C,'2.CC Trans-BB.RE collateral'!$A$10,Input!$Q:$Q,"LTV5",Input!$D:$D,'2.CC Trans-BB.RE collateral'!P$7&amp;"*",Input!$H:$H,{"1-REAL";"SANTANDER"},Input!$F:$F,'2.CC Trans-BB.RE collateral'!$D$2)),0)</f>
        <v>0</v>
      </c>
      <c r="Q23" s="85">
        <f>ROUND(SUM(SUMIFS(Input!$G:$G,Input!$C:$C,'2.CC Trans-BB.RE collateral'!$A$10,Input!$Q:$Q,"LTV5",Input!$D:$D,'2.CC Trans-BB.RE collateral'!Q$7&amp;"*",Input!$H:$H,{"1-REAL";"SANTANDER"},Input!$F:$F,'2.CC Trans-BB.RE collateral'!$D$2)),0)</f>
        <v>0</v>
      </c>
      <c r="R23" s="85">
        <f>ROUND(SUM(SUMIFS(Input!$G:$G,Input!$C:$C,'2.CC Trans-BB.RE collateral'!$A$10,Input!$Q:$Q,"LTV5",Input!$D:$D,'2.CC Trans-BB.RE collateral'!R$7&amp;"*",Input!$H:$H,{"1-REAL";"SANTANDER"},Input!$F:$F,'2.CC Trans-BB.RE collateral'!$D$2)),0)</f>
        <v>0</v>
      </c>
      <c r="S23" s="85">
        <f>ROUND(SUM(SUMIFS(Input!$G:$G,Input!$C:$C,'2.CC Trans-BB.RE collateral'!$A$10,Input!$Q:$Q,"LTV5",Input!$D:$D,'2.CC Trans-BB.RE collateral'!S$7&amp;"*",Input!$H:$H,{"1-REAL";"SANTANDER"},Input!$F:$F,'2.CC Trans-BB.RE collateral'!$D$2)),0)</f>
        <v>0</v>
      </c>
      <c r="T23" s="85">
        <f>ROUND(SUMIFS(Input!$G:$G,Input!$C:$C,'2.CC Trans-BB.RE collateral'!$A$10,Input!$Q:$Q,"LTV5",Input!$H:$H,"&lt;&gt;"&amp;S$1,Input!$H:$H,"&lt;&gt;"&amp;S$2,Input!$F:$F,'2.CC Trans-BB.RE collateral'!$D$2),0)</f>
        <v>0</v>
      </c>
      <c r="U23" s="60"/>
      <c r="V23" s="47"/>
    </row>
    <row r="24" spans="2:22" s="42" customFormat="1" ht="12.75" x14ac:dyDescent="0.2">
      <c r="B24" s="45">
        <v>15</v>
      </c>
      <c r="C24" s="59" t="s">
        <v>101</v>
      </c>
      <c r="D24" s="86" t="e">
        <f>SUMIFS(Input!$J:$J,Input!$C:$C,'2.CC Trans-BB.RE collateral'!$A$10,Input!$F:$F,'2.CC Trans-BB.RE collateral'!$D$2) / SUMIFS(Input!$G:$G,Input!$C:$C,'2.CC Trans-BB.RE collateral'!$A$10,Input!$F:$F,'2.CC Trans-BB.RE collateral'!$D$2)</f>
        <v>#DIV/0!</v>
      </c>
      <c r="E24" s="86" t="e">
        <f>SUMIFS(Input!$J:$J,Input!$C:$C,'2.CC Trans-BB.RE collateral'!$A$10,Input!$E:$E,'2.CC Trans-BB.RE collateral'!E$3,Input!$F:$F,'2.CC Trans-BB.RE collateral'!$D$2)  / SUMIFS(Input!$G:$G,Input!$C:$C,'2.CC Trans-BB.RE collateral'!$A$10,Input!$E:$E,'2.CC Trans-BB.RE collateral'!E$3,Input!$F:$F,'2.CC Trans-BB.RE collateral'!$D$2)</f>
        <v>#DIV/0!</v>
      </c>
      <c r="F24" s="86" t="e">
        <f>SUMIFS(Input!$J:$J,Input!$C:$C,'2.CC Trans-BB.RE collateral'!$A$10,Input!$E:$E,'2.CC Trans-BB.RE collateral'!F$3,Input!$F:$F,'2.CC Trans-BB.RE collateral'!$D$2)  / SUMIFS(Input!$G:$G,Input!$C:$C,'2.CC Trans-BB.RE collateral'!$A$10,Input!$E:$E,'2.CC Trans-BB.RE collateral'!F$3,Input!$F:$F,'2.CC Trans-BB.RE collateral'!$D$2)</f>
        <v>#DIV/0!</v>
      </c>
      <c r="G24" s="86" t="e">
        <f>SUMIFS(Input!$J:$J,Input!$C:$C,'2.CC Trans-BB.RE collateral'!$A$10,Input!$E:$E,'2.CC Trans-BB.RE collateral'!G$3,Input!$F:$F,'2.CC Trans-BB.RE collateral'!$D$2)  / SUMIFS(Input!$G:$G,Input!$C:$C,'2.CC Trans-BB.RE collateral'!$A$10,Input!$E:$E,'2.CC Trans-BB.RE collateral'!G$3,Input!$F:$F,'2.CC Trans-BB.RE collateral'!$D$2)</f>
        <v>#DIV/0!</v>
      </c>
      <c r="H24" s="86" t="e">
        <f>SUMIFS(Input!$J:$J,Input!$C:$C,'2.CC Trans-BB.RE collateral'!$A$10,Input!$E:$E,'2.CC Trans-BB.RE collateral'!H$3,Input!$F:$F,'2.CC Trans-BB.RE collateral'!$D$2)  / SUMIFS(Input!$G:$G,Input!$C:$C,'2.CC Trans-BB.RE collateral'!$A$10,Input!$E:$E,'2.CC Trans-BB.RE collateral'!H$3,Input!$F:$F,'2.CC Trans-BB.RE collateral'!$D$2)</f>
        <v>#DIV/0!</v>
      </c>
      <c r="I24" s="86" t="e">
        <f>SUMIFS(Input!$J:$J,Input!$C:$C,'2.CC Trans-BB.RE collateral'!$A$10,Input!$E:$E,'2.CC Trans-BB.RE collateral'!I$3,Input!$F:$F,'2.CC Trans-BB.RE collateral'!$D$2)  / SUMIFS(Input!$G:$G,Input!$C:$C,'2.CC Trans-BB.RE collateral'!$A$10,Input!$E:$E,'2.CC Trans-BB.RE collateral'!I$3,Input!$F:$F,'2.CC Trans-BB.RE collateral'!$D$2)</f>
        <v>#DIV/0!</v>
      </c>
      <c r="J24" s="86" t="e">
        <f>SUMIFS(Input!$J:$J,Input!$C:$C,'2.CC Trans-BB.RE collateral'!$A$10,Input!$E:$E,'2.CC Trans-BB.RE collateral'!J$3,Input!$F:$F,'2.CC Trans-BB.RE collateral'!$D$2)  / SUMIFS(Input!$G:$G,Input!$C:$C,'2.CC Trans-BB.RE collateral'!$A$10,Input!$E:$E,'2.CC Trans-BB.RE collateral'!J$3,Input!$F:$F,'2.CC Trans-BB.RE collateral'!$D$2)</f>
        <v>#DIV/0!</v>
      </c>
      <c r="K24" s="86" t="e">
        <f>SUMIFS(Input!$J:$J,Input!$C:$C,'2.CC Trans-BB.RE collateral'!$A$10,Input!$R:$R,"&lt;&gt;"&amp;$S$1,Input!$F:$F,'2.CC Trans-BB.RE collateral'!$D$2)  / SUMIFS(Input!$G:$G,Input!$C:$C,'2.CC Trans-BB.RE collateral'!$A$10,Input!$R:$R,"&lt;&gt;"&amp;$S$1,Input!$F:$F,'2.CC Trans-BB.RE collateral'!$D$2)</f>
        <v>#DIV/0!</v>
      </c>
      <c r="L24" s="60"/>
      <c r="M24" s="86" t="e">
        <f>SUM(SUMIFS(Input!$J:$J,Input!$C:$C,'2.CC Trans-BB.RE collateral'!$A$10,Input!$D:$D,'2.CC Trans-BB.RE collateral'!M$7&amp;"*",Input!$H:$H,{"1-REAL";"SANTANDER"},Input!$F:$F,'2.CC Trans-BB.RE collateral'!$D$2))  / SUM(SUMIFS(Input!$G:$G,Input!$C:$C,'2.CC Trans-BB.RE collateral'!$A$10,Input!$D:$D,'2.CC Trans-BB.RE collateral'!M$7&amp;"*",Input!$H:$H,{"1-REAL";"SANTANDER"},Input!$F:$F,'2.CC Trans-BB.RE collateral'!$D$2))</f>
        <v>#DIV/0!</v>
      </c>
      <c r="N24" s="86" t="e">
        <f>SUM(SUMIFS(Input!$J:$J,Input!$C:$C,'2.CC Trans-BB.RE collateral'!$A$10,Input!$D:$D,'2.CC Trans-BB.RE collateral'!N$7&amp;"*",Input!$H:$H,{"1-REAL";"SANTANDER"},Input!$F:$F,'2.CC Trans-BB.RE collateral'!$D$2))  / SUM(SUMIFS(Input!$G:$G,Input!$C:$C,'2.CC Trans-BB.RE collateral'!$A$10,Input!$D:$D,'2.CC Trans-BB.RE collateral'!N$7&amp;"*",Input!$H:$H,{"1-REAL";"SANTANDER"},Input!$F:$F,'2.CC Trans-BB.RE collateral'!$D$2))</f>
        <v>#DIV/0!</v>
      </c>
      <c r="O24" s="86" t="e">
        <f>SUM(SUMIFS(Input!$J:$J,Input!$C:$C,'2.CC Trans-BB.RE collateral'!$A$10,Input!$D:$D,'2.CC Trans-BB.RE collateral'!O$7&amp;"*",Input!$H:$H,{"1-REAL";"SANTANDER"},Input!$F:$F,'2.CC Trans-BB.RE collateral'!$D$2))  / SUM(SUMIFS(Input!$G:$G,Input!$C:$C,'2.CC Trans-BB.RE collateral'!$A$10,Input!$D:$D,'2.CC Trans-BB.RE collateral'!O$7&amp;"*",Input!$H:$H,{"1-REAL";"SANTANDER"},Input!$F:$F,'2.CC Trans-BB.RE collateral'!$D$2))</f>
        <v>#DIV/0!</v>
      </c>
      <c r="P24" s="86" t="e">
        <f>SUM(SUMIFS(Input!$J:$J,Input!$C:$C,'2.CC Trans-BB.RE collateral'!$A$10,Input!$D:$D,'2.CC Trans-BB.RE collateral'!P$7&amp;"*",Input!$H:$H,{"1-REAL";"SANTANDER"},Input!$F:$F,'2.CC Trans-BB.RE collateral'!$D$2))  / SUM(SUMIFS(Input!$G:$G,Input!$C:$C,'2.CC Trans-BB.RE collateral'!$A$10,Input!$D:$D,'2.CC Trans-BB.RE collateral'!P$7&amp;"*",Input!$H:$H,{"1-REAL";"SANTANDER"},Input!$F:$F,'2.CC Trans-BB.RE collateral'!$D$2))</f>
        <v>#DIV/0!</v>
      </c>
      <c r="Q24" s="86" t="e">
        <f>SUM(SUMIFS(Input!$J:$J,Input!$C:$C,'2.CC Trans-BB.RE collateral'!$A$10,Input!$D:$D,'2.CC Trans-BB.RE collateral'!Q$7&amp;"*",Input!$H:$H,{"1-REAL";"SANTANDER"},Input!$F:$F,'2.CC Trans-BB.RE collateral'!$D$2))  / SUM(SUMIFS(Input!$G:$G,Input!$C:$C,'2.CC Trans-BB.RE collateral'!$A$10,Input!$D:$D,'2.CC Trans-BB.RE collateral'!Q$7&amp;"*",Input!$H:$H,{"1-REAL";"SANTANDER"},Input!$F:$F,'2.CC Trans-BB.RE collateral'!$D$2))</f>
        <v>#DIV/0!</v>
      </c>
      <c r="R24" s="86" t="e">
        <f>SUM(SUMIFS(Input!$J:$J,Input!$C:$C,'2.CC Trans-BB.RE collateral'!$A$10,Input!$D:$D,'2.CC Trans-BB.RE collateral'!R$7&amp;"*",Input!$H:$H,{"1-REAL";"SANTANDER"},Input!$F:$F,'2.CC Trans-BB.RE collateral'!$D$2))  / SUM(SUMIFS(Input!$G:$G,Input!$C:$C,'2.CC Trans-BB.RE collateral'!$A$10,Input!$D:$D,'2.CC Trans-BB.RE collateral'!R$7&amp;"*",Input!$H:$H,{"1-REAL";"SANTANDER"},Input!$F:$F,'2.CC Trans-BB.RE collateral'!$D$2))</f>
        <v>#DIV/0!</v>
      </c>
      <c r="S24" s="86" t="e">
        <f>SUM(SUMIFS(Input!$J:$J,Input!$C:$C,'2.CC Trans-BB.RE collateral'!$A$10,Input!$D:$D,'2.CC Trans-BB.RE collateral'!S$7&amp;"*",Input!$H:$H,{"1-REAL";"SANTANDER"},Input!$F:$F,'2.CC Trans-BB.RE collateral'!$D$2))  / SUM(SUMIFS(Input!$G:$G,Input!$C:$C,'2.CC Trans-BB.RE collateral'!$A$10,Input!$D:$D,'2.CC Trans-BB.RE collateral'!S$7&amp;"*",Input!$H:$H,{"1-REAL";"SANTANDER"},Input!$F:$F,'2.CC Trans-BB.RE collateral'!$D$2))</f>
        <v>#DIV/0!</v>
      </c>
      <c r="T24" s="86" t="e">
        <f>SUMIFS(Input!$J:$J,Input!$C:$C,'2.CC Trans-BB.RE collateral'!$A$10,Input!$H:$H,"&lt;&gt;"&amp;S$1,Input!$H:$H,"&lt;&gt;"&amp;S$2,Input!$F:$F,'2.CC Trans-BB.RE collateral'!$D$2)  / SUMIFS(Input!$G:$G,Input!$C:$C,'2.CC Trans-BB.RE collateral'!$A$10,Input!$H:$H,"&lt;&gt;"&amp;S$1,Input!$H:$H,"&lt;&gt;"&amp;S$2,Input!$F:$F,'2.CC Trans-BB.RE collateral'!$D$2)</f>
        <v>#DIV/0!</v>
      </c>
      <c r="U24" s="60"/>
      <c r="V24" s="47"/>
    </row>
    <row r="25" spans="2:22" s="42" customFormat="1" ht="12.75" x14ac:dyDescent="0.2">
      <c r="B25" s="45">
        <v>16</v>
      </c>
      <c r="C25" s="59" t="s">
        <v>102</v>
      </c>
      <c r="D25" s="85">
        <f>ROUND(SUMIFS(Input!$G:$G,Input!$C:$C,'2.CC Trans-BB.RE collateral'!$A$10,Input!$I:$I,"MESG1",Input!$F:$F,'2.CC Trans-BB.RE collateral'!$D$2),0)</f>
        <v>0</v>
      </c>
      <c r="E25" s="85">
        <f>ROUND(SUMIFS(Input!$G:$G,Input!$C:$C,'2.CC Trans-BB.RE collateral'!$A$10,Input!$I:$I,"MESG1",Input!$E:$E,'2.CC Trans-BB.RE collateral'!E$3,Input!$F:$F,'2.CC Trans-BB.RE collateral'!$D$2),0)</f>
        <v>0</v>
      </c>
      <c r="F25" s="85">
        <f>ROUND(SUMIFS(Input!$G:$G,Input!$C:$C,'2.CC Trans-BB.RE collateral'!$A$10,Input!$I:$I,"MESG1",Input!$E:$E,'2.CC Trans-BB.RE collateral'!F$3,Input!$F:$F,'2.CC Trans-BB.RE collateral'!$D$2),0)</f>
        <v>0</v>
      </c>
      <c r="G25" s="85">
        <f>ROUND(SUMIFS(Input!$G:$G,Input!$C:$C,'2.CC Trans-BB.RE collateral'!$A$10,Input!$I:$I,"MESG1",Input!$E:$E,'2.CC Trans-BB.RE collateral'!G$3,Input!$F:$F,'2.CC Trans-BB.RE collateral'!$D$2),0)</f>
        <v>0</v>
      </c>
      <c r="H25" s="85">
        <f>ROUND(SUMIFS(Input!$G:$G,Input!$C:$C,'2.CC Trans-BB.RE collateral'!$A$10,Input!$I:$I,"MESG1",Input!$E:$E,'2.CC Trans-BB.RE collateral'!H$3,Input!$F:$F,'2.CC Trans-BB.RE collateral'!$D$2),0)</f>
        <v>0</v>
      </c>
      <c r="I25" s="85">
        <f>ROUND(SUMIFS(Input!$G:$G,Input!$C:$C,'2.CC Trans-BB.RE collateral'!$A$10,Input!$I:$I,"MESG1",Input!$E:$E,'2.CC Trans-BB.RE collateral'!I$3,Input!$F:$F,'2.CC Trans-BB.RE collateral'!$D$2),0)</f>
        <v>0</v>
      </c>
      <c r="J25" s="85">
        <f>ROUND(SUMIFS(Input!$G:$G,Input!$C:$C,'2.CC Trans-BB.RE collateral'!$A$10,Input!$I:$I,"MESG1",Input!$E:$E,'2.CC Trans-BB.RE collateral'!J$3,Input!$F:$F,'2.CC Trans-BB.RE collateral'!$D$2),0)</f>
        <v>0</v>
      </c>
      <c r="K25" s="85">
        <f>ROUND(SUMIFS(Input!$G:$G,Input!$C:$C,'2.CC Trans-BB.RE collateral'!$A$10,Input!$I:$I,"MESG1",Input!$R:$R,"&lt;&gt;"&amp;$S$1,Input!$F:$F,'2.CC Trans-BB.RE collateral'!$D$2),0)</f>
        <v>0</v>
      </c>
      <c r="L25" s="60"/>
      <c r="M25" s="85">
        <f>ROUND(SUM(SUMIFS(Input!$G:$G,Input!$C:$C,'2.CC Trans-BB.RE collateral'!$A$10,Input!$I:$I,"MESG1",Input!$D:$D,'2.CC Trans-BB.RE collateral'!M$7&amp;"*",Input!$H:$H,{"1-REAL";"SANTANDER"},Input!$F:$F,'2.CC Trans-BB.RE collateral'!$D$2)),0)</f>
        <v>0</v>
      </c>
      <c r="N25" s="85">
        <f>ROUND(SUM(SUMIFS(Input!$G:$G,Input!$C:$C,'2.CC Trans-BB.RE collateral'!$A$10,Input!$I:$I,"MESG1",Input!$D:$D,'2.CC Trans-BB.RE collateral'!N$7&amp;"*",Input!$H:$H,{"1-REAL";"SANTANDER"},Input!$F:$F,'2.CC Trans-BB.RE collateral'!$D$2)),0)</f>
        <v>0</v>
      </c>
      <c r="O25" s="85">
        <f>ROUND(SUM(SUMIFS(Input!$G:$G,Input!$C:$C,'2.CC Trans-BB.RE collateral'!$A$10,Input!$I:$I,"MESG1",Input!$D:$D,'2.CC Trans-BB.RE collateral'!O$7&amp;"*",Input!$H:$H,{"1-REAL";"SANTANDER"},Input!$F:$F,'2.CC Trans-BB.RE collateral'!$D$2)),0)</f>
        <v>0</v>
      </c>
      <c r="P25" s="85">
        <f>ROUND(SUM(SUMIFS(Input!$G:$G,Input!$C:$C,'2.CC Trans-BB.RE collateral'!$A$10,Input!$I:$I,"MESG1",Input!$D:$D,'2.CC Trans-BB.RE collateral'!P$7&amp;"*",Input!$H:$H,{"1-REAL";"SANTANDER"},Input!$F:$F,'2.CC Trans-BB.RE collateral'!$D$2)),0)</f>
        <v>0</v>
      </c>
      <c r="Q25" s="85">
        <f>ROUND(SUM(SUMIFS(Input!$G:$G,Input!$C:$C,'2.CC Trans-BB.RE collateral'!$A$10,Input!$I:$I,"MESG1",Input!$D:$D,'2.CC Trans-BB.RE collateral'!Q$7&amp;"*",Input!$H:$H,{"1-REAL";"SANTANDER"},Input!$F:$F,'2.CC Trans-BB.RE collateral'!$D$2)),0)</f>
        <v>0</v>
      </c>
      <c r="R25" s="85">
        <f>ROUND(SUM(SUMIFS(Input!$G:$G,Input!$C:$C,'2.CC Trans-BB.RE collateral'!$A$10,Input!$I:$I,"MESG1",Input!$D:$D,'2.CC Trans-BB.RE collateral'!R$7&amp;"*",Input!$H:$H,{"1-REAL";"SANTANDER"},Input!$F:$F,'2.CC Trans-BB.RE collateral'!$D$2)),0)</f>
        <v>0</v>
      </c>
      <c r="S25" s="85">
        <f>ROUND(SUM(SUMIFS(Input!$G:$G,Input!$C:$C,'2.CC Trans-BB.RE collateral'!$A$10,Input!$I:$I,"MESG1",Input!$D:$D,'2.CC Trans-BB.RE collateral'!S$7&amp;"*",Input!$H:$H,{"1-REAL";"SANTANDER"},Input!$F:$F,'2.CC Trans-BB.RE collateral'!$D$2)),0)</f>
        <v>0</v>
      </c>
      <c r="T25" s="85">
        <f>ROUND(SUMIFS(Input!$G:$G,Input!$C:$C,'2.CC Trans-BB.RE collateral'!$A$10,Input!$I:$I,"MESG1",Input!$H:$H,"&lt;&gt;"&amp;S$1,Input!$H:$H,"&lt;&gt;"&amp;S$2,Input!$F:$F,'2.CC Trans-BB.RE collateral'!$D$2),0)</f>
        <v>0</v>
      </c>
      <c r="U25" s="60"/>
      <c r="V25" s="47"/>
    </row>
    <row r="26" spans="2:22" s="42" customFormat="1" ht="12.75" x14ac:dyDescent="0.2">
      <c r="B26" s="45">
        <v>17</v>
      </c>
      <c r="C26" s="59" t="s">
        <v>103</v>
      </c>
      <c r="D26" s="84" t="e">
        <f>SUM(SUMIFS(Input!$O:$O,Input!$C:$C,'2.CC Trans-BB.RE collateral'!$A$10,Input!$K:$K,{"NBF1";"NBF2"},Input!$F:$F,'2.CC Trans-BB.RE collateral'!$D$2)) / SUM(SUMIFS(Input!$G:$G,Input!$C:$C,'2.CC Trans-BB.RE collateral'!$A$10,Input!$K:$K,{"NBF1";"NBF2"},Input!$F:$F,'2.CC Trans-BB.RE collateral'!$D$2))</f>
        <v>#DIV/0!</v>
      </c>
      <c r="E26" s="84" t="e">
        <f>SUM(SUMIFS(Input!$O:$O,Input!$C:$C,'2.CC Trans-BB.RE collateral'!$A$10,Input!$K:$K,{"NBF1";"NBF2"},Input!$E:$E,'2.CC Trans-BB.RE collateral'!E$3,Input!$F:$F,'2.CC Trans-BB.RE collateral'!$D$2)) / SUM(SUMIFS(Input!$G:$G,Input!$C:$C,'2.CC Trans-BB.RE collateral'!$A$10,Input!$K:$K,{"NBF1";"NBF2"},Input!$E:$E,'2.CC Trans-BB.RE collateral'!E$3,Input!$F:$F,'2.CC Trans-BB.RE collateral'!$D$2))</f>
        <v>#DIV/0!</v>
      </c>
      <c r="F26" s="84" t="e">
        <f>SUM(SUMIFS(Input!$O:$O,Input!$C:$C,'2.CC Trans-BB.RE collateral'!$A$10,Input!$K:$K,{"NBF1";"NBF2"},Input!$E:$E,'2.CC Trans-BB.RE collateral'!F$3,Input!$F:$F,'2.CC Trans-BB.RE collateral'!$D$2)) / SUM(SUMIFS(Input!$G:$G,Input!$C:$C,'2.CC Trans-BB.RE collateral'!$A$10,Input!$K:$K,{"NBF1";"NBF2"},Input!$E:$E,'2.CC Trans-BB.RE collateral'!F$3,Input!$F:$F,'2.CC Trans-BB.RE collateral'!$D$2))</f>
        <v>#DIV/0!</v>
      </c>
      <c r="G26" s="84" t="e">
        <f>SUM(SUMIFS(Input!$O:$O,Input!$C:$C,'2.CC Trans-BB.RE collateral'!$A$10,Input!$K:$K,{"NBF1";"NBF2"},Input!$E:$E,'2.CC Trans-BB.RE collateral'!G$3,Input!$F:$F,'2.CC Trans-BB.RE collateral'!$D$2)) / SUM(SUMIFS(Input!$G:$G,Input!$C:$C,'2.CC Trans-BB.RE collateral'!$A$10,Input!$K:$K,{"NBF1";"NBF2"},Input!$E:$E,'2.CC Trans-BB.RE collateral'!G$3,Input!$F:$F,'2.CC Trans-BB.RE collateral'!$D$2))</f>
        <v>#DIV/0!</v>
      </c>
      <c r="H26" s="84" t="e">
        <f>SUM(SUMIFS(Input!$O:$O,Input!$C:$C,'2.CC Trans-BB.RE collateral'!$A$10,Input!$K:$K,{"NBF1";"NBF2"},Input!$E:$E,'2.CC Trans-BB.RE collateral'!H$3,Input!$F:$F,'2.CC Trans-BB.RE collateral'!$D$2)) / SUM(SUMIFS(Input!$G:$G,Input!$C:$C,'2.CC Trans-BB.RE collateral'!$A$10,Input!$K:$K,{"NBF1";"NBF2"},Input!$E:$E,'2.CC Trans-BB.RE collateral'!H$3,Input!$F:$F,'2.CC Trans-BB.RE collateral'!$D$2))</f>
        <v>#DIV/0!</v>
      </c>
      <c r="I26" s="84" t="e">
        <f>SUM(SUMIFS(Input!$O:$O,Input!$C:$C,'2.CC Trans-BB.RE collateral'!$A$10,Input!$K:$K,{"NBF1";"NBF2"},Input!$E:$E,'2.CC Trans-BB.RE collateral'!I$3,Input!$F:$F,'2.CC Trans-BB.RE collateral'!$D$2)) / SUM(SUMIFS(Input!$G:$G,Input!$C:$C,'2.CC Trans-BB.RE collateral'!$A$10,Input!$K:$K,{"NBF1";"NBF2"},Input!$E:$E,'2.CC Trans-BB.RE collateral'!I$3,Input!$F:$F,'2.CC Trans-BB.RE collateral'!$D$2))</f>
        <v>#DIV/0!</v>
      </c>
      <c r="J26" s="84" t="e">
        <f>SUM(SUMIFS(Input!$O:$O,Input!$C:$C,'2.CC Trans-BB.RE collateral'!$A$10,Input!$K:$K,{"NBF1";"NBF2"},Input!$E:$E,'2.CC Trans-BB.RE collateral'!J$3,Input!$F:$F,'2.CC Trans-BB.RE collateral'!$D$2)) / SUM(SUMIFS(Input!$G:$G,Input!$C:$C,'2.CC Trans-BB.RE collateral'!$A$10,Input!$K:$K,{"NBF1";"NBF2"},Input!$E:$E,'2.CC Trans-BB.RE collateral'!J$3,Input!$F:$F,'2.CC Trans-BB.RE collateral'!$D$2))</f>
        <v>#DIV/0!</v>
      </c>
      <c r="K26" s="84" t="e">
        <f>SUM(SUMIFS(Input!$O:$O,Input!$C:$C,'2.CC Trans-BB.RE collateral'!$A$10,Input!$K:$K,{"NBF1";"NBF2"},Input!$R:$R,"&lt;&gt;"&amp;$S$1,Input!$F:$F,'2.CC Trans-BB.RE collateral'!$D$2)) / SUM(SUMIFS(Input!$G:$G,Input!$C:$C,'2.CC Trans-BB.RE collateral'!$A$10,Input!$K:$K,{"NBF1";"NBF2"},Input!$R:$R,"&lt;&gt;"&amp;$S$1,Input!$F:$F,'2.CC Trans-BB.RE collateral'!$D$2))</f>
        <v>#DIV/0!</v>
      </c>
      <c r="L26" s="60"/>
      <c r="M26" s="84" t="e">
        <f>SUM(SUMIFS(Input!$O:$O,Input!$C:$C,'2.CC Trans-BB.RE collateral'!$A$10,Input!$K:$K,{"NBF1";"NBF2"},Input!$H:$H,"1-REAL",Input!$D:$D,'2.CC Trans-BB.RE collateral'!M$7&amp;"*",Input!$F:$F,'2.CC Trans-BB.RE collateral'!$D$2)) / SUM(SUMIFS(Input!$G:$G,Input!$C:$C,'2.CC Trans-BB.RE collateral'!$A$10,Input!$K:$K,{"NBF1";"NBF2"},Input!$H:$H,"1-REAL",Input!$D:$D,'2.CC Trans-BB.RE collateral'!M$7&amp;"*",Input!$F:$F,'2.CC Trans-BB.RE collateral'!$D$2))</f>
        <v>#DIV/0!</v>
      </c>
      <c r="N26" s="84" t="e">
        <f>SUM(SUMIFS(Input!$O:$O,Input!$C:$C,'2.CC Trans-BB.RE collateral'!$A$10,Input!$K:$K,{"NBF1";"NBF2"},Input!$H:$H,"1-REAL",Input!$D:$D,'2.CC Trans-BB.RE collateral'!N$7&amp;"*",Input!$F:$F,'2.CC Trans-BB.RE collateral'!$D$2)) / SUM(SUMIFS(Input!$G:$G,Input!$C:$C,'2.CC Trans-BB.RE collateral'!$A$10,Input!$K:$K,{"NBF1";"NBF2"},Input!$H:$H,"1-REAL",Input!$D:$D,'2.CC Trans-BB.RE collateral'!N$7&amp;"*",Input!$F:$F,'2.CC Trans-BB.RE collateral'!$D$2))</f>
        <v>#DIV/0!</v>
      </c>
      <c r="O26" s="84" t="e">
        <f>SUM(SUMIFS(Input!$O:$O,Input!$C:$C,'2.CC Trans-BB.RE collateral'!$A$10,Input!$K:$K,{"NBF1";"NBF2"},Input!$H:$H,"1-REAL",Input!$D:$D,'2.CC Trans-BB.RE collateral'!O$7&amp;"*",Input!$F:$F,'2.CC Trans-BB.RE collateral'!$D$2)) / SUM(SUMIFS(Input!$G:$G,Input!$C:$C,'2.CC Trans-BB.RE collateral'!$A$10,Input!$K:$K,{"NBF1";"NBF2"},Input!$H:$H,"1-REAL",Input!$D:$D,'2.CC Trans-BB.RE collateral'!O$7&amp;"*",Input!$F:$F,'2.CC Trans-BB.RE collateral'!$D$2))</f>
        <v>#DIV/0!</v>
      </c>
      <c r="P26" s="84" t="e">
        <f>SUM(SUMIFS(Input!$O:$O,Input!$C:$C,'2.CC Trans-BB.RE collateral'!$A$10,Input!$K:$K,{"NBF1";"NBF2"},Input!$H:$H,"1-REAL",Input!$D:$D,'2.CC Trans-BB.RE collateral'!P$7&amp;"*",Input!$F:$F,'2.CC Trans-BB.RE collateral'!$D$2)) / SUM(SUMIFS(Input!$G:$G,Input!$C:$C,'2.CC Trans-BB.RE collateral'!$A$10,Input!$K:$K,{"NBF1";"NBF2"},Input!$H:$H,"1-REAL",Input!$D:$D,'2.CC Trans-BB.RE collateral'!P$7&amp;"*",Input!$F:$F,'2.CC Trans-BB.RE collateral'!$D$2))</f>
        <v>#DIV/0!</v>
      </c>
      <c r="Q26" s="84" t="e">
        <f>SUM(SUMIFS(Input!$O:$O,Input!$C:$C,'2.CC Trans-BB.RE collateral'!$A$10,Input!$K:$K,{"NBF1";"NBF2"},Input!$H:$H,"1-REAL",Input!$D:$D,'2.CC Trans-BB.RE collateral'!Q$7&amp;"*",Input!$F:$F,'2.CC Trans-BB.RE collateral'!$D$2)) / SUM(SUMIFS(Input!$G:$G,Input!$C:$C,'2.CC Trans-BB.RE collateral'!$A$10,Input!$K:$K,{"NBF1";"NBF2"},Input!$H:$H,"1-REAL",Input!$D:$D,'2.CC Trans-BB.RE collateral'!Q$7&amp;"*",Input!$F:$F,'2.CC Trans-BB.RE collateral'!$D$2))</f>
        <v>#DIV/0!</v>
      </c>
      <c r="R26" s="84" t="e">
        <f>SUM(SUMIFS(Input!$O:$O,Input!$C:$C,'2.CC Trans-BB.RE collateral'!$A$10,Input!$K:$K,{"NBF1";"NBF2"},Input!$H:$H,"1-REAL",Input!$D:$D,'2.CC Trans-BB.RE collateral'!R$7&amp;"*",Input!$F:$F,'2.CC Trans-BB.RE collateral'!$D$2)) / SUM(SUMIFS(Input!$G:$G,Input!$C:$C,'2.CC Trans-BB.RE collateral'!$A$10,Input!$K:$K,{"NBF1";"NBF2"},Input!$H:$H,"1-REAL",Input!$D:$D,'2.CC Trans-BB.RE collateral'!R$7&amp;"*",Input!$F:$F,'2.CC Trans-BB.RE collateral'!$D$2))</f>
        <v>#DIV/0!</v>
      </c>
      <c r="S26" s="84">
        <f>IFERROR(SUM(SUMIFS(Input!$O:$O,Input!$C:$C,'2.CC Trans-BB.RE collateral'!$A$10,Input!$K:$K,{"NBF1";"NBF2"},Input!$H:$H,"1-REAL",Input!$D:$D,'2.CC Trans-BB.RE collateral'!S$7&amp;"*",Input!$F:$F,'2.CC Trans-BB.RE collateral'!$D$2)) / SUM(SUMIFS(Input!$G:$G,Input!$C:$C,'2.CC Trans-BB.RE collateral'!$A$10,Input!$K:$K,{"NBF1";"NBF2"},Input!$H:$H,"1-REAL",Input!$D:$D,'2.CC Trans-BB.RE collateral'!S$7&amp;"*",Input!$F:$F,'2.CC Trans-BB.RE collateral'!$D$2)),0)</f>
        <v>0</v>
      </c>
      <c r="T26" s="84" t="e">
        <f>SUM(SUMIFS(Input!$O:$O,Input!$C:$C,'2.CC Trans-BB.RE collateral'!$A$10,Input!$K:$K,{"NBF1";"NBF2"},Input!$H:$H,"&lt;&gt;"&amp;S$1,Input!$H:$H,"&lt;&gt;"&amp;S$2,Input!$F:$F,'2.CC Trans-BB.RE collateral'!$D$2)) / SUM(SUMIFS(Input!$G:$G,Input!$C:$C,'2.CC Trans-BB.RE collateral'!$A$10,Input!$K:$K,{"NBF1";"NBF2"},Input!$H:$H,"&lt;&gt;"&amp;S$1,Input!$H:$H,"&lt;&gt;"&amp;S$2,Input!$F:$F,'2.CC Trans-BB.RE collateral'!$D$2))</f>
        <v>#DIV/0!</v>
      </c>
      <c r="U26" s="60"/>
      <c r="V26" s="47"/>
    </row>
    <row r="27" spans="2:22" s="42" customFormat="1" ht="12.75" x14ac:dyDescent="0.2">
      <c r="B27" s="45">
        <v>18</v>
      </c>
      <c r="C27" s="62" t="s">
        <v>35</v>
      </c>
      <c r="D27" s="88"/>
      <c r="E27" s="88"/>
      <c r="F27" s="88"/>
      <c r="G27" s="88"/>
      <c r="H27" s="88"/>
      <c r="I27" s="88"/>
      <c r="J27" s="88"/>
      <c r="K27" s="80">
        <f>+SUM(K28:K30)</f>
        <v>0</v>
      </c>
      <c r="L27" s="81" t="e">
        <f>(SUM(SUMIFS(Input!$G:$G,Input!$C:$C,{"Garantia Comercial";"Garantia Residencial";"Stock"},Input!$R:$R,"&lt;&gt;"&amp;$S$1,Input!$R:$R,"&lt;&gt;"&amp;"",Input!$R:$R,"&lt;&gt;"&amp;$U$1,Input!$R:$R,"&lt;&gt;"&amp;$S$3,Input!$F:$F,'2.CC Trans-BB.RE collateral'!$D$3)))/$K27</f>
        <v>#DIV/0!</v>
      </c>
      <c r="M27" s="88"/>
      <c r="N27" s="88"/>
      <c r="O27" s="88"/>
      <c r="P27" s="88"/>
      <c r="Q27" s="88"/>
      <c r="R27" s="88"/>
      <c r="S27" s="88"/>
      <c r="T27" s="88"/>
      <c r="U27" s="81" t="e">
        <f>(SUM(SUMIFS(Input!$G:$G,Input!$C:$C,{"Garantia Comercial";"Garantia Residencial";"Stock"},Input!$H:$H,"&lt;&gt;"&amp;"",Input!$H:$H,"&lt;&gt;"&amp;$S$1,Input!$H:$H,"&lt;&gt;"&amp;$S$2,Input!$H:$H,"&lt;&gt;"&amp;$U$1,Input!$H:$H,"&lt;&gt;"&amp;$S$3,Input!$F:$F,'2.CC Trans-BB.RE collateral'!$D$3)))/(SUM(SUMIFS(Input!$G:$G,Input!$C:$C,{"Garantia Comercial";"Garantia Residencial";"Stock"},Input!$H:$H,"&lt;&gt;"&amp;$S$1,Input!$H:$H,"&lt;&gt;"&amp;$S$2,Input!$F:$F,'2.CC Trans-BB.RE collateral'!$D$3)))</f>
        <v>#DIV/0!</v>
      </c>
    </row>
    <row r="28" spans="2:22" ht="15" x14ac:dyDescent="0.25">
      <c r="B28" s="45">
        <v>19</v>
      </c>
      <c r="C28" s="63" t="s">
        <v>31</v>
      </c>
      <c r="D28" s="88"/>
      <c r="E28" s="88"/>
      <c r="F28" s="88"/>
      <c r="G28" s="88"/>
      <c r="H28" s="88"/>
      <c r="I28" s="88"/>
      <c r="J28" s="88"/>
      <c r="K28" s="80">
        <f>ROUND(SUMIFS(Input!$G:$G,Input!$C:$C,'2.CC Trans-BB.RE collateral'!$A$9,Input!$F:$F,'2.CC Trans-BB.RE collateral'!$D$3,Input!$R:$R,"&lt;&gt;"&amp;$S$1),0)</f>
        <v>0</v>
      </c>
      <c r="L28" s="81">
        <f>IFERROR((SUMIFS(Input!$G:$G,Input!$C:$C,$A$9,Input!$F:$F,'2.CC Trans-BB.RE collateral'!$D$3,Input!$R:$R,"&lt;&gt;"&amp;$S$1,Input!$R:$R,"&lt;&gt;"&amp;"",Input!$R:$R,"&lt;&gt;"&amp;$U$1,Input!$R:$R,"&lt;&gt;"&amp;$S$3))/$K28,0)</f>
        <v>0</v>
      </c>
      <c r="M28" s="88"/>
      <c r="N28" s="88"/>
      <c r="O28" s="88"/>
      <c r="P28" s="88"/>
      <c r="Q28" s="88"/>
      <c r="R28" s="88"/>
      <c r="S28" s="88"/>
      <c r="T28" s="88"/>
      <c r="U28" s="81">
        <f>IFERROR((SUMIFS(Input!$G:$G,Input!$C:$C,$A9,Input!$H:$H,"&lt;&gt;"&amp;$S$1,Input!$H:$H,"&lt;&gt;"&amp;$S$2,Input!$H:$H,"&lt;&gt;"&amp;"",Input!$H:$H,"&lt;&gt;"&amp;$U$1,Input!$H:$H,"&lt;&gt;"&amp;$S$3,Input!$F:$F,'2.CC Trans-BB.RE collateral'!$D$3))/(SUMIFS(Input!$G:$G,Input!$C:$C,'2.CC Trans-BB.RE collateral'!$A9,Input!$H:$H,"&lt;&gt;"&amp;$S$1,Input!$H:$H,"&lt;&gt;"&amp;$S$2,Input!$F:$F,'2.CC Trans-BB.RE collateral'!$D$3)),0)</f>
        <v>0</v>
      </c>
    </row>
    <row r="29" spans="2:22" ht="15" x14ac:dyDescent="0.25">
      <c r="B29" s="45">
        <v>20</v>
      </c>
      <c r="C29" s="63" t="s">
        <v>32</v>
      </c>
      <c r="D29" s="88"/>
      <c r="E29" s="88"/>
      <c r="F29" s="88"/>
      <c r="G29" s="88"/>
      <c r="H29" s="88"/>
      <c r="I29" s="88"/>
      <c r="J29" s="88"/>
      <c r="K29" s="80">
        <f>ROUND(SUMIFS(Input!$G:$G,Input!$C:$C,'2.CC Trans-BB.RE collateral'!$A$10,Input!$F:$F,'2.CC Trans-BB.RE collateral'!$D$3,Input!$R:$R,"&lt;&gt;"&amp;$S$1),0)</f>
        <v>0</v>
      </c>
      <c r="L29" s="81" t="e">
        <f>(SUMIFS(Input!$G:$G,Input!$C:$C,$A$10,Input!$F:$F,'2.CC Trans-BB.RE collateral'!$D$3,Input!$R:$R,"&lt;&gt;"&amp;$S$1,Input!$R:$R,"&lt;&gt;"&amp;"",Input!$R:$R,"&lt;&gt;"&amp;$U$1,Input!$R:$R,"&lt;&gt;"&amp;$S$3))/$K29</f>
        <v>#DIV/0!</v>
      </c>
      <c r="M29" s="88"/>
      <c r="N29" s="88"/>
      <c r="O29" s="88"/>
      <c r="P29" s="88"/>
      <c r="Q29" s="88"/>
      <c r="R29" s="88"/>
      <c r="S29" s="88"/>
      <c r="T29" s="88"/>
      <c r="U29" s="81">
        <f>IFERROR((SUMIFS(Input!$G:$G,Input!$C:$C,$A10,Input!$H:$H,"&lt;&gt;"&amp;$S$1,Input!$H:$H,"&lt;&gt;"&amp;$S$2,Input!$H:$H,"&lt;&gt;"&amp;"",Input!$H:$H,"&lt;&gt;"&amp;$U$1,Input!$H:$H,"&lt;&gt;"&amp;$S$3,Input!$F:$F,'2.CC Trans-BB.RE collateral'!$D$3))/(SUMIFS(Input!$G:$G,Input!$C:$C,'2.CC Trans-BB.RE collateral'!$A10,Input!$H:$H,"&lt;&gt;"&amp;$S$1,Input!$H:$H,"&lt;&gt;"&amp;$S$2,Input!$F:$F,'2.CC Trans-BB.RE collateral'!$D$3)),0)</f>
        <v>0</v>
      </c>
    </row>
    <row r="30" spans="2:22" s="42" customFormat="1" ht="12.75" x14ac:dyDescent="0.2">
      <c r="B30" s="45">
        <v>21</v>
      </c>
      <c r="C30" s="63" t="s">
        <v>33</v>
      </c>
      <c r="D30" s="88"/>
      <c r="E30" s="88"/>
      <c r="F30" s="88"/>
      <c r="G30" s="88"/>
      <c r="H30" s="88"/>
      <c r="I30" s="88"/>
      <c r="J30" s="88"/>
      <c r="K30" s="80">
        <f>ROUND(SUMIFS(Input!$G:$G,Input!$C:$C,'2.CC Trans-BB.RE collateral'!$A$11,Input!$F:$F,'2.CC Trans-BB.RE collateral'!$D$3),0)</f>
        <v>0</v>
      </c>
      <c r="L30" s="81">
        <f>IFERROR((SUMIFS(Input!$G:$G,Input!$C:$C,$A$11,Input!$F:$F,'2.CC Trans-BB.RE collateral'!$D$3,Input!$R:$R,"&lt;&gt;"&amp;$S$1,Input!$R:$R,"&lt;&gt;"&amp;"",Input!$R:$R,"&lt;&gt;"&amp;$U$1,Input!$R:$R,"&lt;&gt;"&amp;$S$3))/$K30,0)</f>
        <v>0</v>
      </c>
      <c r="M30" s="88"/>
      <c r="N30" s="88"/>
      <c r="O30" s="88"/>
      <c r="P30" s="88"/>
      <c r="Q30" s="88"/>
      <c r="R30" s="88"/>
      <c r="S30" s="88"/>
      <c r="T30" s="88"/>
      <c r="U30" s="81">
        <f>IFERROR((SUMIFS(Input!$G:$G,Input!$C:$C,$A$11,Input!$H:$H,"&lt;&gt;"&amp;$S$1,Input!$H:$H,"&lt;&gt;"&amp;$S$2,Input!$H:$H,"&lt;&gt;"&amp;"",Input!$H:$H,"&lt;&gt;"&amp;$U$1,Input!$H:$H,"&lt;&gt;"&amp;$S$3,Input!$F:$F,'2.CC Trans-BB.RE collateral'!$D$3))/(SUMIFS(Input!$G:$G,Input!$C:$C,'2.CC Trans-BB.RE collateral'!$A11,Input!$H:$H,"&lt;&gt;"&amp;$S$1,Input!$H:$H,"&lt;&gt;"&amp;$S$2,Input!$F:$F,'2.CC Trans-BB.RE collateral'!$D$3)),0)</f>
        <v>0</v>
      </c>
      <c r="V30" s="47"/>
    </row>
    <row r="31" spans="2:22" s="42" customFormat="1" ht="12.75" x14ac:dyDescent="0.2">
      <c r="B31" s="45">
        <v>22</v>
      </c>
      <c r="C31" s="65" t="s">
        <v>89</v>
      </c>
      <c r="D31" s="88"/>
      <c r="E31" s="88"/>
      <c r="F31" s="88"/>
      <c r="G31" s="88"/>
      <c r="H31" s="88"/>
      <c r="I31" s="88"/>
      <c r="J31" s="88"/>
      <c r="K31" s="82">
        <f>ROUND(SUM(SUMIFS(Input!$G:$G,Input!$C:$C,{"Garantia Comercial";"Garantia Residencial";"Stock"},Input!$E:$E,"&lt;&gt;"&amp;$A$12,Input!$R:$R,"&lt;&gt;"&amp;$S$1,Input!$F:$F,'2.CC Trans-BB.RE collateral'!$D$3)),0)</f>
        <v>0</v>
      </c>
      <c r="L31" s="83" t="e">
        <f>SUM(SUMIFS(Input!$G:$G,Input!$C:$C,{"Garantia Comercial";"Garantia Residencial";"Stock"},Input!$R:$R,"&lt;&gt;"&amp;$S$1,Input!$R:$R,"&lt;&gt;"&amp;"",Input!$R:$R,"&lt;&gt;"&amp;$U$1,Input!$R:$R,"&lt;&gt;"&amp;$S$3,Input!$F:$F,'2.CC Trans-BB.RE collateral'!$D$3))/$K31</f>
        <v>#DIV/0!</v>
      </c>
      <c r="M31" s="80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collateral'!$D$3)),0)</f>
        <v>0</v>
      </c>
      <c r="N31" s="80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collateral'!$D$3)),0)</f>
        <v>0</v>
      </c>
      <c r="O31" s="80">
        <f>ROUND(SUM(SUMIFS(Input!$G:$G,Input!$C:$C,{"Garantia Comercial";"Garantia Residencial";"Stock"},Input!$H:$H,"&lt;&gt;"&amp;$S$2,Input!$H:$H,"&lt;&gt;"&amp;"",Input!$H:$H,"&lt;&gt;"&amp;$S$1,Input!$D:$D,'2.CC Trans-BB.RE collateral'!O$7&amp;"*",Input!$D:$D,"&lt;&gt;"&amp;'2.CC Trans-BB.RE collateral'!$T$1,Input!$F:$F,'2.CC Trans-BB.RE collateral'!$D$3)),0)</f>
        <v>0</v>
      </c>
      <c r="P31" s="80">
        <f>ROUND(SUM(SUMIFS(Input!$G:$G,Input!$C:$C,{"Garantia Comercial";"Garantia Residencial";"Stock"},Input!$H:$H,"&lt;&gt;"&amp;$S$2,Input!$H:$H,"&lt;&gt;"&amp;"",Input!$H:$H,"&lt;&gt;"&amp;$S$1,Input!$D:$D,'2.CC Trans-BB.RE collateral'!P$7&amp;"*",Input!$D:$D,"&lt;&gt;"&amp;'2.CC Trans-BB.RE collateral'!$T$1,Input!$F:$F,'2.CC Trans-BB.RE collateral'!$D$3)),0)</f>
        <v>0</v>
      </c>
      <c r="Q31" s="80">
        <f>ROUND(SUM(SUMIFS(Input!$G:$G,Input!$C:$C,{"Garantia Comercial";"Garantia Residencial";"Stock"},Input!$H:$H,"&lt;&gt;"&amp;$S$2,Input!$H:$H,"&lt;&gt;"&amp;"",Input!$H:$H,"&lt;&gt;"&amp;$S$1,Input!$D:$D,'2.CC Trans-BB.RE collateral'!Q$7&amp;"*",Input!$D:$D,"&lt;&gt;"&amp;'2.CC Trans-BB.RE collateral'!$T$1,Input!$F:$F,'2.CC Trans-BB.RE collateral'!$D$3)),0)</f>
        <v>0</v>
      </c>
      <c r="R31" s="80">
        <f>ROUND(SUM(SUMIFS(Input!$G:$G,Input!$C:$C,{"Garantia Comercial";"Garantia Residencial";"Stock"},Input!$H:$H,"&lt;&gt;"&amp;$S$2,Input!$H:$H,"&lt;&gt;"&amp;"",Input!$H:$H,"&lt;&gt;"&amp;$S$1,Input!$D:$D,'2.CC Trans-BB.RE collateral'!R$7&amp;"*",Input!$D:$D,"&lt;&gt;"&amp;'2.CC Trans-BB.RE collateral'!$T$1,Input!$F:$F,'2.CC Trans-BB.RE collateral'!$D$3)),0)</f>
        <v>0</v>
      </c>
      <c r="S31" s="80">
        <f>ROUND(SUM(SUMIFS(Input!$G:$G,Input!$C:$C,{"Garantia Comercial";"Garantia Residencial";"Stock"},Input!$H:$H,"&lt;&gt;"&amp;$S$2,Input!$H:$H,"&lt;&gt;"&amp;"",Input!$H:$H,"&lt;&gt;"&amp;$S$1,Input!$D:$D,'2.CC Trans-BB.RE collateral'!S$7&amp;"*",Input!$D:$D,"&lt;&gt;"&amp;'2.CC Trans-BB.RE collateral'!$T$1,Input!$F:$F,'2.CC Trans-BB.RE collateral'!$D$3)),0)</f>
        <v>0</v>
      </c>
      <c r="T31" s="88"/>
      <c r="U31" s="83" t="e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collateral'!$D$3)))/(SUM(SUMIFS(Input!$G:$G,Input!$C:$C,{"Garantia Comercial";"Garantia Residencial";"Stock"},Input!$H:$H,"&lt;&gt;"&amp;$S$2,Input!$H:$H,"&lt;&gt;"&amp;$S$1,Input!$E:$E,"&lt;&gt;"&amp;$A$12,Input!$F:$F,'2.CC Trans-BB.RE collateral'!$D$3)))</f>
        <v>#DIV/0!</v>
      </c>
      <c r="V31" s="47"/>
    </row>
    <row r="32" spans="2:22" s="42" customFormat="1" ht="12.75" x14ac:dyDescent="0.2">
      <c r="B32" s="45"/>
      <c r="C32" s="108" t="s">
        <v>90</v>
      </c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10"/>
      <c r="V32" s="47"/>
    </row>
    <row r="33" spans="2:22" s="42" customFormat="1" ht="12.75" x14ac:dyDescent="0.2">
      <c r="B33" s="45">
        <v>23</v>
      </c>
      <c r="C33" s="59" t="s">
        <v>91</v>
      </c>
      <c r="D33" s="84">
        <f>IFERROR(SUMIFS(Input!$P:$P,Input!$C:$C,'2.CC Trans-BB.RE collateral'!$A$9,Input!$F:$F,'2.CC Trans-BB.RE collateral'!$D$3) / SUMIFS(Input!$G:$G,Input!$C:$C,'2.CC Trans-BB.RE collateral'!$A$9,Input!$F:$F,'2.CC Trans-BB.RE collateral'!$D$3),0)</f>
        <v>0</v>
      </c>
      <c r="E33" s="84">
        <f>IFERROR(SUMIFS(Input!$P:$P,Input!$C:$C,'2.CC Trans-BB.RE collateral'!$A$9,Input!$E:$E,'2.CC Trans-BB.RE collateral'!E$3,Input!$F:$F,'2.CC Trans-BB.RE collateral'!$D$3) / SUMIFS(Input!$G:$G,Input!$C:$C,'2.CC Trans-BB.RE collateral'!$A$9,Input!$E:$E,'2.CC Trans-BB.RE collateral'!E$3,Input!$F:$F,'2.CC Trans-BB.RE collateral'!$D$3),0)</f>
        <v>0</v>
      </c>
      <c r="F33" s="84">
        <f>IFERROR(SUMIFS(Input!$P:$P,Input!$C:$C,'2.CC Trans-BB.RE collateral'!$A$9,Input!$E:$E,'2.CC Trans-BB.RE collateral'!F$3,Input!$F:$F,'2.CC Trans-BB.RE collateral'!$D$3) / SUMIFS(Input!$G:$G,Input!$C:$C,'2.CC Trans-BB.RE collateral'!$A$9,Input!$E:$E,'2.CC Trans-BB.RE collateral'!F$3,Input!$F:$F,'2.CC Trans-BB.RE collateral'!$D$3),0)</f>
        <v>0</v>
      </c>
      <c r="G33" s="84">
        <f>IFERROR(SUMIFS(Input!$P:$P,Input!$C:$C,'2.CC Trans-BB.RE collateral'!$A$9,Input!$E:$E,'2.CC Trans-BB.RE collateral'!G$3,Input!$F:$F,'2.CC Trans-BB.RE collateral'!$D$3) / SUMIFS(Input!$G:$G,Input!$C:$C,'2.CC Trans-BB.RE collateral'!$A$9,Input!$E:$E,'2.CC Trans-BB.RE collateral'!G$3,Input!$F:$F,'2.CC Trans-BB.RE collateral'!$D$3),0)</f>
        <v>0</v>
      </c>
      <c r="H33" s="84">
        <f>IFERROR(SUMIFS(Input!$P:$P,Input!$C:$C,'2.CC Trans-BB.RE collateral'!$A$9,Input!$E:$E,'2.CC Trans-BB.RE collateral'!H$3,Input!$F:$F,'2.CC Trans-BB.RE collateral'!$D$3) / SUMIFS(Input!$G:$G,Input!$C:$C,'2.CC Trans-BB.RE collateral'!$A$9,Input!$E:$E,'2.CC Trans-BB.RE collateral'!H$3,Input!$F:$F,'2.CC Trans-BB.RE collateral'!$D$3),0)</f>
        <v>0</v>
      </c>
      <c r="I33" s="84">
        <f>IFERROR(SUMIFS(Input!$P:$P,Input!$C:$C,'2.CC Trans-BB.RE collateral'!$A$9,Input!$E:$E,'2.CC Trans-BB.RE collateral'!I$3,Input!$F:$F,'2.CC Trans-BB.RE collateral'!$D$3) / SUMIFS(Input!$G:$G,Input!$C:$C,'2.CC Trans-BB.RE collateral'!$A$9,Input!$E:$E,'2.CC Trans-BB.RE collateral'!I$3,Input!$F:$F,'2.CC Trans-BB.RE collateral'!$D$3),0)</f>
        <v>0</v>
      </c>
      <c r="J33" s="84">
        <f>IFERROR(SUMIFS(Input!$P:$P,Input!$C:$C,'2.CC Trans-BB.RE collateral'!$A$9,Input!$E:$E,'2.CC Trans-BB.RE collateral'!J$3,Input!$F:$F,'2.CC Trans-BB.RE collateral'!$D$3) / SUMIFS(Input!$G:$G,Input!$C:$C,'2.CC Trans-BB.RE collateral'!$A$9,Input!$E:$E,'2.CC Trans-BB.RE collateral'!J$3,Input!$F:$F,'2.CC Trans-BB.RE collateral'!$D$3),0)</f>
        <v>0</v>
      </c>
      <c r="K33" s="84">
        <f>IFERROR(SUMIFS(Input!$P:$P,Input!$C:$C,'2.CC Trans-BB.RE collateral'!$A$9,Input!$R:$R,"&lt;&gt;"&amp;$S$1,Input!$F:$F,'2.CC Trans-BB.RE collateral'!$D$3) / SUMIFS(Input!$G:$G,Input!$C:$C,'2.CC Trans-BB.RE collateral'!$A$9,Input!$R:$R,"&lt;&gt;"&amp;$S$1,Input!$F:$F,'2.CC Trans-BB.RE collateral'!$D$3),0)</f>
        <v>0</v>
      </c>
      <c r="L33" s="60"/>
      <c r="M33" s="84">
        <f>IFERROR(SUM(SUMIFS(Input!$P:$P,Input!$C:$C,'2.CC Trans-BB.RE collateral'!$A$9,Input!$D:$D,'2.CC Trans-BB.RE collateral'!M$7&amp;"*",Input!$H:$H,{"1-REAL";"SANTANDER"},Input!$F:$F,'2.CC Trans-BB.RE collateral'!$D$3)) / SUM(SUMIFS(Input!$G:$G,Input!$C:$C,'2.CC Trans-BB.RE collateral'!$A$9,Input!$D:$D,'2.CC Trans-BB.RE collateral'!M$7&amp;"*",Input!$H:$H,{"1-REAL";"SANTANDER"},Input!$F:$F,'2.CC Trans-BB.RE collateral'!$D$3)),0)</f>
        <v>0</v>
      </c>
      <c r="N33" s="84">
        <f>IFERROR(SUM(SUMIFS(Input!$P:$P,Input!$C:$C,'2.CC Trans-BB.RE collateral'!$A$9,Input!$D:$D,'2.CC Trans-BB.RE collateral'!N$7&amp;"*",Input!$H:$H,{"1-REAL";"SANTANDER"},Input!$F:$F,'2.CC Trans-BB.RE collateral'!$D$3)) / SUM(SUMIFS(Input!$G:$G,Input!$C:$C,'2.CC Trans-BB.RE collateral'!$A$9,Input!$D:$D,'2.CC Trans-BB.RE collateral'!N$7&amp;"*",Input!$H:$H,{"1-REAL";"SANTANDER"},Input!$F:$F,'2.CC Trans-BB.RE collateral'!$D$3)),0)</f>
        <v>0</v>
      </c>
      <c r="O33" s="84">
        <f>IFERROR(SUM(SUMIFS(Input!$P:$P,Input!$C:$C,'2.CC Trans-BB.RE collateral'!$A$9,Input!$D:$D,'2.CC Trans-BB.RE collateral'!O$7&amp;"*",Input!$H:$H,{"1-REAL";"SANTANDER"},Input!$F:$F,'2.CC Trans-BB.RE collateral'!$D$3)) / SUM(SUMIFS(Input!$G:$G,Input!$C:$C,'2.CC Trans-BB.RE collateral'!$A$9,Input!$D:$D,'2.CC Trans-BB.RE collateral'!O$7&amp;"*",Input!$H:$H,{"1-REAL";"SANTANDER"},Input!$F:$F,'2.CC Trans-BB.RE collateral'!$D$3)),0)</f>
        <v>0</v>
      </c>
      <c r="P33" s="84">
        <f>IFERROR(SUM(SUMIFS(Input!$P:$P,Input!$C:$C,'2.CC Trans-BB.RE collateral'!$A$9,Input!$D:$D,'2.CC Trans-BB.RE collateral'!P$7&amp;"*",Input!$H:$H,{"1-REAL";"SANTANDER"},Input!$F:$F,'2.CC Trans-BB.RE collateral'!$D$3)) / SUM(SUMIFS(Input!$G:$G,Input!$C:$C,'2.CC Trans-BB.RE collateral'!$A$9,Input!$D:$D,'2.CC Trans-BB.RE collateral'!P$7&amp;"*",Input!$H:$H,{"1-REAL";"SANTANDER"},Input!$F:$F,'2.CC Trans-BB.RE collateral'!$D$3)),0)</f>
        <v>0</v>
      </c>
      <c r="Q33" s="84">
        <f>IFERROR(SUM(SUMIFS(Input!$P:$P,Input!$C:$C,'2.CC Trans-BB.RE collateral'!$A$9,Input!$D:$D,'2.CC Trans-BB.RE collateral'!Q$7&amp;"*",Input!$H:$H,{"1-REAL";"SANTANDER"},Input!$F:$F,'2.CC Trans-BB.RE collateral'!$D$3)) / SUM(SUMIFS(Input!$G:$G,Input!$C:$C,'2.CC Trans-BB.RE collateral'!$A$9,Input!$D:$D,'2.CC Trans-BB.RE collateral'!Q$7&amp;"*",Input!$H:$H,{"1-REAL";"SANTANDER"},Input!$F:$F,'2.CC Trans-BB.RE collateral'!$D$3)),0)</f>
        <v>0</v>
      </c>
      <c r="R33" s="84">
        <f>IFERROR(SUM(SUMIFS(Input!$P:$P,Input!$C:$C,'2.CC Trans-BB.RE collateral'!$A$9,Input!$D:$D,'2.CC Trans-BB.RE collateral'!R$7&amp;"*",Input!$H:$H,{"1-REAL";"SANTANDER"},Input!$F:$F,'2.CC Trans-BB.RE collateral'!$D$3)) / SUM(SUMIFS(Input!$G:$G,Input!$C:$C,'2.CC Trans-BB.RE collateral'!$A$9,Input!$D:$D,'2.CC Trans-BB.RE collateral'!R$7&amp;"*",Input!$H:$H,{"1-REAL";"SANTANDER"},Input!$F:$F,'2.CC Trans-BB.RE collateral'!$D$3)),0)</f>
        <v>0</v>
      </c>
      <c r="S33" s="84">
        <f>IFERROR(SUM(SUMIFS(Input!$P:$P,Input!$C:$C,'2.CC Trans-BB.RE collateral'!$A$9,Input!$D:$D,'2.CC Trans-BB.RE collateral'!S$7&amp;"*",Input!$H:$H,{"1-REAL";"SANTANDER"},Input!$F:$F,'2.CC Trans-BB.RE collateral'!$D$3)) / SUM(SUMIFS(Input!$G:$G,Input!$C:$C,'2.CC Trans-BB.RE collateral'!$A$9,Input!$D:$D,'2.CC Trans-BB.RE collateral'!S$7&amp;"*",Input!$H:$H,{"1-REAL";"SANTANDER"},Input!$F:$F,'2.CC Trans-BB.RE collateral'!$D$3)),0)</f>
        <v>0</v>
      </c>
      <c r="T33" s="84">
        <f>IFERROR(SUMIFS(Input!$P:$P,Input!$C:$C,'2.CC Trans-BB.RE collateral'!$A$9,Input!$H:$H,"&lt;&gt;"&amp;S$1,Input!$H:$H,"&lt;&gt;"&amp;S$2,Input!$F:$F,'2.CC Trans-BB.RE collateral'!$D$3) / SUMIFS(Input!$G:$G,Input!$C:$C,'2.CC Trans-BB.RE collateral'!$A$9,Input!$H:$H,"&lt;&gt;"&amp;S$1,Input!$H:$H,"&lt;&gt;"&amp;S$2,Input!$F:$F,'2.CC Trans-BB.RE collateral'!$D$3),0)</f>
        <v>0</v>
      </c>
      <c r="U33" s="60"/>
      <c r="V33" s="47"/>
    </row>
    <row r="34" spans="2:22" s="42" customFormat="1" ht="12.75" x14ac:dyDescent="0.2">
      <c r="B34" s="45">
        <v>24</v>
      </c>
      <c r="C34" s="59" t="s">
        <v>92</v>
      </c>
      <c r="D34" s="85">
        <f>ROUND(SUMIFS(Input!$G:$G,Input!$C:$C,'2.CC Trans-BB.RE collateral'!$A$9,Input!$Q:$Q,"LTV4",Input!$F:$F,'2.CC Trans-BB.RE collateral'!$D$3),0)</f>
        <v>0</v>
      </c>
      <c r="E34" s="85">
        <f>ROUND(SUMIFS(Input!$G:$G,Input!$C:$C,'2.CC Trans-BB.RE collateral'!$A$9,Input!$Q:$Q,"LTV4",Input!$E:$E,'2.CC Trans-BB.RE collateral'!E$3,Input!$F:$F,'2.CC Trans-BB.RE collateral'!$D$3),0)</f>
        <v>0</v>
      </c>
      <c r="F34" s="85">
        <f>ROUND(SUMIFS(Input!$G:$G,Input!$C:$C,'2.CC Trans-BB.RE collateral'!$A$9,Input!$Q:$Q,"LTV4",Input!$E:$E,'2.CC Trans-BB.RE collateral'!F$3,Input!$F:$F,'2.CC Trans-BB.RE collateral'!$D$3),0)</f>
        <v>0</v>
      </c>
      <c r="G34" s="85">
        <f>ROUND(SUMIFS(Input!$G:$G,Input!$C:$C,'2.CC Trans-BB.RE collateral'!$A$9,Input!$Q:$Q,"LTV4",Input!$E:$E,'2.CC Trans-BB.RE collateral'!G$3,Input!$F:$F,'2.CC Trans-BB.RE collateral'!$D$3),0)</f>
        <v>0</v>
      </c>
      <c r="H34" s="85">
        <f>ROUND(SUMIFS(Input!$G:$G,Input!$C:$C,'2.CC Trans-BB.RE collateral'!$A$9,Input!$Q:$Q,"LTV4",Input!$E:$E,'2.CC Trans-BB.RE collateral'!H$3,Input!$F:$F,'2.CC Trans-BB.RE collateral'!$D$3),0)</f>
        <v>0</v>
      </c>
      <c r="I34" s="85">
        <f>ROUND(SUMIFS(Input!$G:$G,Input!$C:$C,'2.CC Trans-BB.RE collateral'!$A$9,Input!$Q:$Q,"LTV4",Input!$E:$E,'2.CC Trans-BB.RE collateral'!I$3,Input!$F:$F,'2.CC Trans-BB.RE collateral'!$D$3),0)</f>
        <v>0</v>
      </c>
      <c r="J34" s="85">
        <f>ROUND(SUMIFS(Input!$G:$G,Input!$C:$C,'2.CC Trans-BB.RE collateral'!$A$9,Input!$Q:$Q,"LTV4",Input!$E:$E,'2.CC Trans-BB.RE collateral'!J$3,Input!$F:$F,'2.CC Trans-BB.RE collateral'!$D$3),0)</f>
        <v>0</v>
      </c>
      <c r="K34" s="85">
        <f>ROUND(SUMIFS(Input!$G:$G,Input!$C:$C,'2.CC Trans-BB.RE collateral'!$A$9,Input!$Q:$Q,"LTV4",Input!$R:$R,"&lt;&gt;"&amp;$S$1,Input!$F:$F,'2.CC Trans-BB.RE collateral'!$D$3),0)</f>
        <v>0</v>
      </c>
      <c r="L34" s="60"/>
      <c r="M34" s="85">
        <f>ROUND(SUM(SUMIFS(Input!$G:$G,Input!$C:$C,'2.CC Trans-BB.RE collateral'!$A$9,Input!$Q:$Q,"LTV4",Input!$D:$D,'2.CC Trans-BB.RE collateral'!M$7&amp;"*",Input!$H:$H,{"1-REAL";"SANTANDER"},Input!$F:$F,'2.CC Trans-BB.RE collateral'!$D$3)),0)</f>
        <v>0</v>
      </c>
      <c r="N34" s="85">
        <f>ROUND(SUM(SUMIFS(Input!$G:$G,Input!$C:$C,'2.CC Trans-BB.RE collateral'!$A$9,Input!$Q:$Q,"LTV4",Input!$D:$D,'2.CC Trans-BB.RE collateral'!N$7&amp;"*",Input!$H:$H,{"1-REAL";"SANTANDER"},Input!$F:$F,'2.CC Trans-BB.RE collateral'!$D$3)),0)</f>
        <v>0</v>
      </c>
      <c r="O34" s="85">
        <f>ROUND(SUM(SUMIFS(Input!$G:$G,Input!$C:$C,'2.CC Trans-BB.RE collateral'!$A$9,Input!$Q:$Q,"LTV4",Input!$D:$D,'2.CC Trans-BB.RE collateral'!O$7&amp;"*",Input!$H:$H,{"1-REAL";"SANTANDER"},Input!$F:$F,'2.CC Trans-BB.RE collateral'!$D$3)),0)</f>
        <v>0</v>
      </c>
      <c r="P34" s="85">
        <f>ROUND(SUM(SUMIFS(Input!$G:$G,Input!$C:$C,'2.CC Trans-BB.RE collateral'!$A$9,Input!$Q:$Q,"LTV4",Input!$D:$D,'2.CC Trans-BB.RE collateral'!P$7&amp;"*",Input!$H:$H,{"1-REAL";"SANTANDER"},Input!$F:$F,'2.CC Trans-BB.RE collateral'!$D$3)),0)</f>
        <v>0</v>
      </c>
      <c r="Q34" s="85">
        <f>ROUND(SUM(SUMIFS(Input!$G:$G,Input!$C:$C,'2.CC Trans-BB.RE collateral'!$A$9,Input!$Q:$Q,"LTV4",Input!$D:$D,'2.CC Trans-BB.RE collateral'!Q$7&amp;"*",Input!$H:$H,{"1-REAL";"SANTANDER"},Input!$F:$F,'2.CC Trans-BB.RE collateral'!$D$3)),0)</f>
        <v>0</v>
      </c>
      <c r="R34" s="85">
        <f>ROUND(SUM(SUMIFS(Input!$G:$G,Input!$C:$C,'2.CC Trans-BB.RE collateral'!$A$9,Input!$Q:$Q,"LTV4",Input!$D:$D,'2.CC Trans-BB.RE collateral'!R$7&amp;"*",Input!$H:$H,{"1-REAL";"SANTANDER"},Input!$F:$F,'2.CC Trans-BB.RE collateral'!$D$3)),0)</f>
        <v>0</v>
      </c>
      <c r="S34" s="85">
        <f>ROUND(SUM(SUMIFS(Input!$G:$G,Input!$C:$C,'2.CC Trans-BB.RE collateral'!$A$9,Input!$Q:$Q,"LTV4",Input!$D:$D,'2.CC Trans-BB.RE collateral'!S$7&amp;"*",Input!$H:$H,{"1-REAL";"SANTANDER"},Input!$F:$F,'2.CC Trans-BB.RE collateral'!$D$3)),0)</f>
        <v>0</v>
      </c>
      <c r="T34" s="85">
        <f>ROUND(SUMIFS(Input!$G:$G,Input!$C:$C,'2.CC Trans-BB.RE collateral'!$A$9,Input!$Q:$Q,"LTV4",Input!$H:$H,"&lt;&gt;"&amp;S$1,Input!$H:$H,"&lt;&gt;"&amp;S$2,Input!$F:$F,'2.CC Trans-BB.RE collateral'!$D$3),0)</f>
        <v>0</v>
      </c>
      <c r="U34" s="60"/>
      <c r="V34" s="47"/>
    </row>
    <row r="35" spans="2:22" s="42" customFormat="1" ht="12.75" x14ac:dyDescent="0.2">
      <c r="B35" s="45">
        <v>25</v>
      </c>
      <c r="C35" s="59" t="s">
        <v>93</v>
      </c>
      <c r="D35" s="85">
        <f>ROUND(SUMIFS(Input!$G:$G,Input!$C:$C,'2.CC Trans-BB.RE collateral'!$A$9,Input!$Q:$Q,"LTV5",Input!$F:$F,'2.CC Trans-BB.RE collateral'!$D$3),0)</f>
        <v>0</v>
      </c>
      <c r="E35" s="85">
        <f>ROUND(SUMIFS(Input!$G:$G,Input!$C:$C,'2.CC Trans-BB.RE collateral'!$A$9,Input!$Q:$Q,"LTV5",Input!$E:$E,'2.CC Trans-BB.RE collateral'!E$3,Input!$F:$F,'2.CC Trans-BB.RE collateral'!$D$3),0)</f>
        <v>0</v>
      </c>
      <c r="F35" s="85">
        <f>ROUND(SUMIFS(Input!$G:$G,Input!$C:$C,'2.CC Trans-BB.RE collateral'!$A$9,Input!$Q:$Q,"LTV5",Input!$E:$E,'2.CC Trans-BB.RE collateral'!F$3,Input!$F:$F,'2.CC Trans-BB.RE collateral'!$D$3),0)</f>
        <v>0</v>
      </c>
      <c r="G35" s="85">
        <f>ROUND(SUMIFS(Input!$G:$G,Input!$C:$C,'2.CC Trans-BB.RE collateral'!$A$9,Input!$Q:$Q,"LTV5",Input!$E:$E,'2.CC Trans-BB.RE collateral'!G$3,Input!$F:$F,'2.CC Trans-BB.RE collateral'!$D$3),0)</f>
        <v>0</v>
      </c>
      <c r="H35" s="85">
        <f>ROUND(SUMIFS(Input!$G:$G,Input!$C:$C,'2.CC Trans-BB.RE collateral'!$A$9,Input!$Q:$Q,"LTV5",Input!$E:$E,'2.CC Trans-BB.RE collateral'!H$3,Input!$F:$F,'2.CC Trans-BB.RE collateral'!$D$3),0)</f>
        <v>0</v>
      </c>
      <c r="I35" s="85">
        <f>ROUND(SUMIFS(Input!$G:$G,Input!$C:$C,'2.CC Trans-BB.RE collateral'!$A$9,Input!$Q:$Q,"LTV5",Input!$E:$E,'2.CC Trans-BB.RE collateral'!I$3,Input!$F:$F,'2.CC Trans-BB.RE collateral'!$D$3),0)</f>
        <v>0</v>
      </c>
      <c r="J35" s="85">
        <f>ROUND(SUMIFS(Input!$G:$G,Input!$C:$C,'2.CC Trans-BB.RE collateral'!$A$9,Input!$Q:$Q,"LTV5",Input!$E:$E,'2.CC Trans-BB.RE collateral'!J$3,Input!$F:$F,'2.CC Trans-BB.RE collateral'!$D$3),0)</f>
        <v>0</v>
      </c>
      <c r="K35" s="85">
        <f>ROUND(SUMIFS(Input!$G:$G,Input!$C:$C,'2.CC Trans-BB.RE collateral'!$A$9,Input!$Q:$Q,"LTV5",Input!$R:$R,"&lt;&gt;"&amp;$S$1,Input!$F:$F,'2.CC Trans-BB.RE collateral'!$D$3),0)</f>
        <v>0</v>
      </c>
      <c r="L35" s="60"/>
      <c r="M35" s="85">
        <f>ROUND(SUM(SUMIFS(Input!$G:$G,Input!$C:$C,'2.CC Trans-BB.RE collateral'!$A$9,Input!$Q:$Q,"LTV5",Input!$D:$D,'2.CC Trans-BB.RE collateral'!M$7&amp;"*",Input!$H:$H,{"1-REAL";"SANTANDER"},Input!$F:$F,'2.CC Trans-BB.RE collateral'!$D$3)),0)</f>
        <v>0</v>
      </c>
      <c r="N35" s="85">
        <f>ROUND(SUM(SUMIFS(Input!$G:$G,Input!$C:$C,'2.CC Trans-BB.RE collateral'!$A$9,Input!$Q:$Q,"LTV5",Input!$D:$D,'2.CC Trans-BB.RE collateral'!N$7&amp;"*",Input!$H:$H,{"1-REAL";"SANTANDER"},Input!$F:$F,'2.CC Trans-BB.RE collateral'!$D$3)),0)</f>
        <v>0</v>
      </c>
      <c r="O35" s="85">
        <f>ROUND(SUM(SUMIFS(Input!$G:$G,Input!$C:$C,'2.CC Trans-BB.RE collateral'!$A$9,Input!$Q:$Q,"LTV5",Input!$D:$D,'2.CC Trans-BB.RE collateral'!O$7&amp;"*",Input!$H:$H,{"1-REAL";"SANTANDER"},Input!$F:$F,'2.CC Trans-BB.RE collateral'!$D$3)),0)</f>
        <v>0</v>
      </c>
      <c r="P35" s="85">
        <f>ROUND(SUM(SUMIFS(Input!$G:$G,Input!$C:$C,'2.CC Trans-BB.RE collateral'!$A$9,Input!$Q:$Q,"LTV5",Input!$D:$D,'2.CC Trans-BB.RE collateral'!P$7&amp;"*",Input!$H:$H,{"1-REAL";"SANTANDER"},Input!$F:$F,'2.CC Trans-BB.RE collateral'!$D$3)),0)</f>
        <v>0</v>
      </c>
      <c r="Q35" s="85">
        <f>ROUND(SUM(SUMIFS(Input!$G:$G,Input!$C:$C,'2.CC Trans-BB.RE collateral'!$A$9,Input!$Q:$Q,"LTV5",Input!$D:$D,'2.CC Trans-BB.RE collateral'!Q$7&amp;"*",Input!$H:$H,{"1-REAL";"SANTANDER"},Input!$F:$F,'2.CC Trans-BB.RE collateral'!$D$3)),0)</f>
        <v>0</v>
      </c>
      <c r="R35" s="85">
        <f>ROUND(SUM(SUMIFS(Input!$G:$G,Input!$C:$C,'2.CC Trans-BB.RE collateral'!$A$9,Input!$Q:$Q,"LTV5",Input!$D:$D,'2.CC Trans-BB.RE collateral'!R$7&amp;"*",Input!$H:$H,{"1-REAL";"SANTANDER"},Input!$F:$F,'2.CC Trans-BB.RE collateral'!$D$3)),0)</f>
        <v>0</v>
      </c>
      <c r="S35" s="85">
        <f>ROUND(SUM(SUMIFS(Input!$G:$G,Input!$C:$C,'2.CC Trans-BB.RE collateral'!$A$9,Input!$Q:$Q,"LTV5",Input!$D:$D,'2.CC Trans-BB.RE collateral'!S$7&amp;"*",Input!$H:$H,{"1-REAL";"SANTANDER"},Input!$F:$F,'2.CC Trans-BB.RE collateral'!$D$3)),0)</f>
        <v>0</v>
      </c>
      <c r="T35" s="85">
        <f>ROUND(SUMIFS(Input!$G:$G,Input!$C:$C,'2.CC Trans-BB.RE collateral'!$A$9,Input!$Q:$Q,"LTV5",Input!$H:$H,"&lt;&gt;"&amp;S$1,Input!$H:$H,"&lt;&gt;"&amp;S$2,Input!$F:$F,'2.CC Trans-BB.RE collateral'!$D$3),0)</f>
        <v>0</v>
      </c>
      <c r="U35" s="60"/>
      <c r="V35" s="47"/>
    </row>
    <row r="36" spans="2:22" s="42" customFormat="1" ht="12.75" x14ac:dyDescent="0.2">
      <c r="B36" s="45">
        <v>26</v>
      </c>
      <c r="C36" s="59" t="s">
        <v>94</v>
      </c>
      <c r="D36" s="86">
        <f>IFERROR(SUMIFS(Input!$J:$J,Input!$C:$C,'2.CC Trans-BB.RE collateral'!$A$9,Input!$F:$F,'2.CC Trans-BB.RE collateral'!$D$3) / SUMIFS(Input!$G:$G,Input!$C:$C,'2.CC Trans-BB.RE collateral'!$A$9,Input!$F:$F,'2.CC Trans-BB.RE collateral'!$D$3),0)</f>
        <v>0</v>
      </c>
      <c r="E36" s="86">
        <f>IFERROR(SUMIFS(Input!$J:$J,Input!$C:$C,'2.CC Trans-BB.RE collateral'!$A$9,Input!$E:$E,'2.CC Trans-BB.RE collateral'!E$3,Input!$F:$F,'2.CC Trans-BB.RE collateral'!$D$3)  / SUMIFS(Input!$G:$G,Input!$C:$C,'2.CC Trans-BB.RE collateral'!$A$9,Input!$E:$E,'2.CC Trans-BB.RE collateral'!E$3,Input!$F:$F,'2.CC Trans-BB.RE collateral'!$D$3),0)</f>
        <v>0</v>
      </c>
      <c r="F36" s="86">
        <f>IFERROR(SUMIFS(Input!$J:$J,Input!$C:$C,'2.CC Trans-BB.RE collateral'!$A$9,Input!$E:$E,'2.CC Trans-BB.RE collateral'!F$3,Input!$F:$F,'2.CC Trans-BB.RE collateral'!$D$3)  / SUMIFS(Input!$G:$G,Input!$C:$C,'2.CC Trans-BB.RE collateral'!$A$9,Input!$E:$E,'2.CC Trans-BB.RE collateral'!F$3,Input!$F:$F,'2.CC Trans-BB.RE collateral'!$D$3),0)</f>
        <v>0</v>
      </c>
      <c r="G36" s="86">
        <f>IFERROR(SUMIFS(Input!$J:$J,Input!$C:$C,'2.CC Trans-BB.RE collateral'!$A$9,Input!$E:$E,'2.CC Trans-BB.RE collateral'!G$3,Input!$F:$F,'2.CC Trans-BB.RE collateral'!$D$3)  / SUMIFS(Input!$G:$G,Input!$C:$C,'2.CC Trans-BB.RE collateral'!$A$9,Input!$E:$E,'2.CC Trans-BB.RE collateral'!G$3,Input!$F:$F,'2.CC Trans-BB.RE collateral'!$D$3),0)</f>
        <v>0</v>
      </c>
      <c r="H36" s="86">
        <f>IFERROR(SUMIFS(Input!$J:$J,Input!$C:$C,'2.CC Trans-BB.RE collateral'!$A$9,Input!$E:$E,'2.CC Trans-BB.RE collateral'!H$3,Input!$F:$F,'2.CC Trans-BB.RE collateral'!$D$3)  / SUMIFS(Input!$G:$G,Input!$C:$C,'2.CC Trans-BB.RE collateral'!$A$9,Input!$E:$E,'2.CC Trans-BB.RE collateral'!H$3,Input!$F:$F,'2.CC Trans-BB.RE collateral'!$D$3),0)</f>
        <v>0</v>
      </c>
      <c r="I36" s="86">
        <f>IFERROR(SUMIFS(Input!$J:$J,Input!$C:$C,'2.CC Trans-BB.RE collateral'!$A$9,Input!$E:$E,'2.CC Trans-BB.RE collateral'!I$3,Input!$F:$F,'2.CC Trans-BB.RE collateral'!$D$3)  / SUMIFS(Input!$G:$G,Input!$C:$C,'2.CC Trans-BB.RE collateral'!$A$9,Input!$E:$E,'2.CC Trans-BB.RE collateral'!I$3,Input!$F:$F,'2.CC Trans-BB.RE collateral'!$D$3),0)</f>
        <v>0</v>
      </c>
      <c r="J36" s="86">
        <f>IFERROR(SUMIFS(Input!$J:$J,Input!$C:$C,'2.CC Trans-BB.RE collateral'!$A$9,Input!$E:$E,'2.CC Trans-BB.RE collateral'!J$3,Input!$F:$F,'2.CC Trans-BB.RE collateral'!$D$3)  / SUMIFS(Input!$G:$G,Input!$C:$C,'2.CC Trans-BB.RE collateral'!$A$9,Input!$E:$E,'2.CC Trans-BB.RE collateral'!J$3,Input!$F:$F,'2.CC Trans-BB.RE collateral'!$D$3),0)</f>
        <v>0</v>
      </c>
      <c r="K36" s="86">
        <f>IFERROR(SUMIFS(Input!$J:$J,Input!$C:$C,'2.CC Trans-BB.RE collateral'!$A$9,Input!$R:$R,"&lt;&gt;"&amp;$S$1,Input!$F:$F,'2.CC Trans-BB.RE collateral'!$D$3)  / SUMIFS(Input!$G:$G,Input!$C:$C,'2.CC Trans-BB.RE collateral'!$A$9,Input!$R:$R,"&lt;&gt;"&amp;$S$1,Input!$F:$F,'2.CC Trans-BB.RE collateral'!$D$3),0)</f>
        <v>0</v>
      </c>
      <c r="L36" s="60"/>
      <c r="M36" s="86">
        <f>IFERROR(SUM(SUMIFS(Input!$J:$J,Input!$C:$C,'2.CC Trans-BB.RE collateral'!$A$9,Input!$D:$D,'2.CC Trans-BB.RE collateral'!M$7&amp;"*",Input!$H:$H,{"1-REAL";"SANTANDER"},Input!$F:$F,'2.CC Trans-BB.RE collateral'!$D$3))  / SUM(SUMIFS(Input!$G:$G,Input!$C:$C,'2.CC Trans-BB.RE collateral'!$A$9,Input!$D:$D,'2.CC Trans-BB.RE collateral'!M$7&amp;"*",Input!$H:$H,{"1-REAL";"SANTANDER"},Input!$F:$F,'2.CC Trans-BB.RE collateral'!$D$3)),0)</f>
        <v>0</v>
      </c>
      <c r="N36" s="86">
        <f>IFERROR(SUM(SUMIFS(Input!$J:$J,Input!$C:$C,'2.CC Trans-BB.RE collateral'!$A$9,Input!$D:$D,'2.CC Trans-BB.RE collateral'!N$7&amp;"*",Input!$H:$H,{"1-REAL";"SANTANDER"},Input!$F:$F,'2.CC Trans-BB.RE collateral'!$D$3))  / SUM(SUMIFS(Input!$G:$G,Input!$C:$C,'2.CC Trans-BB.RE collateral'!$A$9,Input!$D:$D,'2.CC Trans-BB.RE collateral'!N$7&amp;"*",Input!$H:$H,{"1-REAL";"SANTANDER"},Input!$F:$F,'2.CC Trans-BB.RE collateral'!$D$3)),0)</f>
        <v>0</v>
      </c>
      <c r="O36" s="86">
        <f>IFERROR(SUM(SUMIFS(Input!$J:$J,Input!$C:$C,'2.CC Trans-BB.RE collateral'!$A$9,Input!$D:$D,'2.CC Trans-BB.RE collateral'!O$7&amp;"*",Input!$H:$H,{"1-REAL";"SANTANDER"},Input!$F:$F,'2.CC Trans-BB.RE collateral'!$D$3))  / SUM(SUMIFS(Input!$G:$G,Input!$C:$C,'2.CC Trans-BB.RE collateral'!$A$9,Input!$D:$D,'2.CC Trans-BB.RE collateral'!O$7&amp;"*",Input!$H:$H,{"1-REAL";"SANTANDER"},Input!$F:$F,'2.CC Trans-BB.RE collateral'!$D$3)),0)</f>
        <v>0</v>
      </c>
      <c r="P36" s="86">
        <f>IFERROR(SUM(SUMIFS(Input!$J:$J,Input!$C:$C,'2.CC Trans-BB.RE collateral'!$A$9,Input!$D:$D,'2.CC Trans-BB.RE collateral'!P$7&amp;"*",Input!$H:$H,{"1-REAL";"SANTANDER"},Input!$F:$F,'2.CC Trans-BB.RE collateral'!$D$3))  / SUM(SUMIFS(Input!$G:$G,Input!$C:$C,'2.CC Trans-BB.RE collateral'!$A$9,Input!$D:$D,'2.CC Trans-BB.RE collateral'!P$7&amp;"*",Input!$H:$H,{"1-REAL";"SANTANDER"},Input!$F:$F,'2.CC Trans-BB.RE collateral'!$D$3)),0)</f>
        <v>0</v>
      </c>
      <c r="Q36" s="86">
        <f>IFERROR(SUM(SUMIFS(Input!$J:$J,Input!$C:$C,'2.CC Trans-BB.RE collateral'!$A$9,Input!$D:$D,'2.CC Trans-BB.RE collateral'!Q$7&amp;"*",Input!$H:$H,{"1-REAL";"SANTANDER"},Input!$F:$F,'2.CC Trans-BB.RE collateral'!$D$3))  / SUM(SUMIFS(Input!$G:$G,Input!$C:$C,'2.CC Trans-BB.RE collateral'!$A$9,Input!$D:$D,'2.CC Trans-BB.RE collateral'!Q$7&amp;"*",Input!$H:$H,{"1-REAL";"SANTANDER"},Input!$F:$F,'2.CC Trans-BB.RE collateral'!$D$3)),0)</f>
        <v>0</v>
      </c>
      <c r="R36" s="86">
        <f>IFERROR(SUM(SUMIFS(Input!$J:$J,Input!$C:$C,'2.CC Trans-BB.RE collateral'!$A$9,Input!$D:$D,'2.CC Trans-BB.RE collateral'!R$7&amp;"*",Input!$H:$H,{"1-REAL";"SANTANDER"},Input!$F:$F,'2.CC Trans-BB.RE collateral'!$D$3))  / SUM(SUMIFS(Input!$G:$G,Input!$C:$C,'2.CC Trans-BB.RE collateral'!$A$9,Input!$D:$D,'2.CC Trans-BB.RE collateral'!R$7&amp;"*",Input!$H:$H,{"1-REAL";"SANTANDER"},Input!$F:$F,'2.CC Trans-BB.RE collateral'!$D$3)),0)</f>
        <v>0</v>
      </c>
      <c r="S36" s="86">
        <f>IFERROR(SUM(SUMIFS(Input!$J:$J,Input!$C:$C,'2.CC Trans-BB.RE collateral'!$A$9,Input!$D:$D,'2.CC Trans-BB.RE collateral'!S$7&amp;"*",Input!$H:$H,{"1-REAL";"SANTANDER"},Input!$F:$F,'2.CC Trans-BB.RE collateral'!$D$3))  / SUM(SUMIFS(Input!$G:$G,Input!$C:$C,'2.CC Trans-BB.RE collateral'!$A$9,Input!$D:$D,'2.CC Trans-BB.RE collateral'!S$7&amp;"*",Input!$H:$H,{"1-REAL";"SANTANDER"},Input!$F:$F,'2.CC Trans-BB.RE collateral'!$D$3)),0)</f>
        <v>0</v>
      </c>
      <c r="T36" s="86">
        <f>IFERROR(SUMIFS(Input!$J:$J,Input!$C:$C,'2.CC Trans-BB.RE collateral'!$A$9,Input!$H:$H,"&lt;&gt;"&amp;S$1,Input!$H:$H,"&lt;&gt;"&amp;S$2,Input!$F:$F,'2.CC Trans-BB.RE collateral'!$D$3)  / SUMIFS(Input!$G:$G,Input!$C:$C,'2.CC Trans-BB.RE collateral'!$A$9,Input!$H:$H,"&lt;&gt;"&amp;S$1,Input!$H:$H,"&lt;&gt;"&amp;S$2,Input!$F:$F,'2.CC Trans-BB.RE collateral'!$D$3),0)</f>
        <v>0</v>
      </c>
      <c r="U36" s="60"/>
      <c r="V36" s="47"/>
    </row>
    <row r="37" spans="2:22" s="42" customFormat="1" ht="12.75" x14ac:dyDescent="0.2">
      <c r="B37" s="45">
        <v>27</v>
      </c>
      <c r="C37" s="59" t="s">
        <v>95</v>
      </c>
      <c r="D37" s="85">
        <f>ROUND(SUMIFS(Input!$G:$G,Input!$C:$C,'2.CC Trans-BB.RE collateral'!$A$9,Input!$I:$I,"MESG1",Input!$F:$F,'2.CC Trans-BB.RE collateral'!$D$3),0)</f>
        <v>0</v>
      </c>
      <c r="E37" s="85">
        <f>ROUND(SUMIFS(Input!$G:$G,Input!$C:$C,'2.CC Trans-BB.RE collateral'!$A$9,Input!$I:$I,"MESG1",Input!$E:$E,'2.CC Trans-BB.RE collateral'!E$3,Input!$F:$F,'2.CC Trans-BB.RE collateral'!$D$3),0)</f>
        <v>0</v>
      </c>
      <c r="F37" s="85">
        <f>ROUND(SUMIFS(Input!$G:$G,Input!$C:$C,'2.CC Trans-BB.RE collateral'!$A$9,Input!$I:$I,"MESG1",Input!$E:$E,'2.CC Trans-BB.RE collateral'!F$3,Input!$F:$F,'2.CC Trans-BB.RE collateral'!$D$3),0)</f>
        <v>0</v>
      </c>
      <c r="G37" s="85">
        <f>ROUND(SUMIFS(Input!$G:$G,Input!$C:$C,'2.CC Trans-BB.RE collateral'!$A$9,Input!$I:$I,"MESG1",Input!$E:$E,'2.CC Trans-BB.RE collateral'!G$3,Input!$F:$F,'2.CC Trans-BB.RE collateral'!$D$3),0)</f>
        <v>0</v>
      </c>
      <c r="H37" s="85">
        <f>ROUND(SUMIFS(Input!$G:$G,Input!$C:$C,'2.CC Trans-BB.RE collateral'!$A$9,Input!$I:$I,"MESG1",Input!$E:$E,'2.CC Trans-BB.RE collateral'!H$3,Input!$F:$F,'2.CC Trans-BB.RE collateral'!$D$3),0)</f>
        <v>0</v>
      </c>
      <c r="I37" s="85">
        <f>ROUND(SUMIFS(Input!$G:$G,Input!$C:$C,'2.CC Trans-BB.RE collateral'!$A$9,Input!$I:$I,"MESG1",Input!$E:$E,'2.CC Trans-BB.RE collateral'!I$3,Input!$F:$F,'2.CC Trans-BB.RE collateral'!$D$3),0)</f>
        <v>0</v>
      </c>
      <c r="J37" s="85">
        <f>ROUND(SUMIFS(Input!$G:$G,Input!$C:$C,'2.CC Trans-BB.RE collateral'!$A$9,Input!$I:$I,"MESG1",Input!$E:$E,'2.CC Trans-BB.RE collateral'!J$3,Input!$F:$F,'2.CC Trans-BB.RE collateral'!$D$3),0)</f>
        <v>0</v>
      </c>
      <c r="K37" s="85">
        <f>ROUND(SUMIFS(Input!$G:$G,Input!$C:$C,'2.CC Trans-BB.RE collateral'!$A$9,Input!$I:$I,"MESG1",Input!$R:$R,"&lt;&gt;"&amp;$S$1,Input!$F:$F,'2.CC Trans-BB.RE collateral'!$D$3),0)</f>
        <v>0</v>
      </c>
      <c r="L37" s="60"/>
      <c r="M37" s="85">
        <f>ROUND(SUM(SUMIFS(Input!$G:$G,Input!$C:$C,'2.CC Trans-BB.RE collateral'!$A$9,Input!$I:$I,"MESG1",Input!$D:$D,'2.CC Trans-BB.RE collateral'!M$7&amp;"*",Input!$H:$H,{"1-REAL";"SANTANDER"},Input!$F:$F,'2.CC Trans-BB.RE collateral'!$D$3)),0)</f>
        <v>0</v>
      </c>
      <c r="N37" s="85">
        <f>ROUND(SUM(SUMIFS(Input!$G:$G,Input!$C:$C,'2.CC Trans-BB.RE collateral'!$A$9,Input!$I:$I,"MESG1",Input!$D:$D,'2.CC Trans-BB.RE collateral'!N$7&amp;"*",Input!$H:$H,{"1-REAL";"SANTANDER"},Input!$F:$F,'2.CC Trans-BB.RE collateral'!$D$3)),0)</f>
        <v>0</v>
      </c>
      <c r="O37" s="85">
        <f>ROUND(SUM(SUMIFS(Input!$G:$G,Input!$C:$C,'2.CC Trans-BB.RE collateral'!$A$9,Input!$I:$I,"MESG1",Input!$D:$D,'2.CC Trans-BB.RE collateral'!O$7&amp;"*",Input!$H:$H,{"1-REAL";"SANTANDER"},Input!$F:$F,'2.CC Trans-BB.RE collateral'!$D$3)),0)</f>
        <v>0</v>
      </c>
      <c r="P37" s="85">
        <f>ROUND(SUM(SUMIFS(Input!$G:$G,Input!$C:$C,'2.CC Trans-BB.RE collateral'!$A$9,Input!$I:$I,"MESG1",Input!$D:$D,'2.CC Trans-BB.RE collateral'!P$7&amp;"*",Input!$H:$H,{"1-REAL";"SANTANDER"},Input!$F:$F,'2.CC Trans-BB.RE collateral'!$D$3)),0)</f>
        <v>0</v>
      </c>
      <c r="Q37" s="85">
        <f>ROUND(SUM(SUMIFS(Input!$G:$G,Input!$C:$C,'2.CC Trans-BB.RE collateral'!$A$9,Input!$I:$I,"MESG1",Input!$D:$D,'2.CC Trans-BB.RE collateral'!Q$7&amp;"*",Input!$H:$H,{"1-REAL";"SANTANDER"},Input!$F:$F,'2.CC Trans-BB.RE collateral'!$D$3)),0)</f>
        <v>0</v>
      </c>
      <c r="R37" s="85">
        <f>ROUND(SUM(SUMIFS(Input!$G:$G,Input!$C:$C,'2.CC Trans-BB.RE collateral'!$A$9,Input!$I:$I,"MESG1",Input!$D:$D,'2.CC Trans-BB.RE collateral'!R$7&amp;"*",Input!$H:$H,{"1-REAL";"SANTANDER"},Input!$F:$F,'2.CC Trans-BB.RE collateral'!$D$3)),0)</f>
        <v>0</v>
      </c>
      <c r="S37" s="85">
        <f>ROUND(SUM(SUMIFS(Input!$G:$G,Input!$C:$C,'2.CC Trans-BB.RE collateral'!$A$9,Input!$I:$I,"MESG1",Input!$D:$D,'2.CC Trans-BB.RE collateral'!S$7&amp;"*",Input!$H:$H,{"1-REAL";"SANTANDER"},Input!$F:$F,'2.CC Trans-BB.RE collateral'!$D$3)),0)</f>
        <v>0</v>
      </c>
      <c r="T37" s="85">
        <f>ROUND(SUMIFS(Input!$G:$G,Input!$C:$C,'2.CC Trans-BB.RE collateral'!$A$9,Input!$I:$I,"MESG1",Input!$H:$H,"&lt;&gt;"&amp;S$1,Input!$H:$H,"&lt;&gt;"&amp;S$2,Input!$F:$F,'2.CC Trans-BB.RE collateral'!$D$3),0)</f>
        <v>0</v>
      </c>
      <c r="U37" s="60"/>
      <c r="V37" s="47"/>
    </row>
    <row r="38" spans="2:22" s="42" customFormat="1" ht="12.75" x14ac:dyDescent="0.2">
      <c r="B38" s="45">
        <v>28</v>
      </c>
      <c r="C38" s="61" t="s">
        <v>96</v>
      </c>
      <c r="D38" s="84">
        <f>IFERROR(SUM(SUMIFS(Input!$O:$O,Input!$C:$C,'2.CC Trans-BB.RE collateral'!$A$9,Input!$K:$K,{"NBF1";"NBF2"},Input!$F:$F,'2.CC Trans-BB.RE collateral'!$D$3)) / SUM(SUMIFS(Input!$G:$G,Input!$C:$C,'2.CC Trans-BB.RE collateral'!$A$9,Input!$K:$K,{"NBF1";"NBF2"},Input!$F:$F,'2.CC Trans-BB.RE collateral'!$D$3)),0)</f>
        <v>0</v>
      </c>
      <c r="E38" s="84">
        <f>IFERROR(SUM(SUMIFS(Input!$O:$O,Input!$C:$C,'2.CC Trans-BB.RE collateral'!$A$9,Input!$K:$K,{"NBF1";"NBF2"},Input!$E:$E,'2.CC Trans-BB.RE collateral'!E$3,Input!$F:$F,'2.CC Trans-BB.RE collateral'!$D$3)) / SUM(SUMIFS(Input!$G:$G,Input!$C:$C,'2.CC Trans-BB.RE collateral'!$A$9,Input!$K:$K,{"NBF1";"NBF2"},Input!$E:$E,'2.CC Trans-BB.RE collateral'!E$3,Input!$F:$F,'2.CC Trans-BB.RE collateral'!$D$3)),0)</f>
        <v>0</v>
      </c>
      <c r="F38" s="84">
        <f>IFERROR(SUM(SUMIFS(Input!$O:$O,Input!$C:$C,'2.CC Trans-BB.RE collateral'!$A$9,Input!$K:$K,{"NBF1";"NBF2"},Input!$E:$E,'2.CC Trans-BB.RE collateral'!F$3,Input!$F:$F,'2.CC Trans-BB.RE collateral'!$D$3)) / SUM(SUMIFS(Input!$G:$G,Input!$C:$C,'2.CC Trans-BB.RE collateral'!$A$9,Input!$K:$K,{"NBF1";"NBF2"},Input!$E:$E,'2.CC Trans-BB.RE collateral'!F$3,Input!$F:$F,'2.CC Trans-BB.RE collateral'!$D$3)),0)</f>
        <v>0</v>
      </c>
      <c r="G38" s="84">
        <f>IFERROR(SUM(SUMIFS(Input!$O:$O,Input!$C:$C,'2.CC Trans-BB.RE collateral'!$A$9,Input!$K:$K,{"NBF1";"NBF2"},Input!$E:$E,'2.CC Trans-BB.RE collateral'!G$3,Input!$F:$F,'2.CC Trans-BB.RE collateral'!$D$3)) / SUM(SUMIFS(Input!$G:$G,Input!$C:$C,'2.CC Trans-BB.RE collateral'!$A$9,Input!$K:$K,{"NBF1";"NBF2"},Input!$E:$E,'2.CC Trans-BB.RE collateral'!G$3,Input!$F:$F,'2.CC Trans-BB.RE collateral'!$D$3)),0)</f>
        <v>0</v>
      </c>
      <c r="H38" s="84">
        <f>IFERROR(SUM(SUMIFS(Input!$O:$O,Input!$C:$C,'2.CC Trans-BB.RE collateral'!$A$9,Input!$K:$K,{"NBF1";"NBF2"},Input!$E:$E,'2.CC Trans-BB.RE collateral'!H$3,Input!$F:$F,'2.CC Trans-BB.RE collateral'!$D$3)) / SUM(SUMIFS(Input!$G:$G,Input!$C:$C,'2.CC Trans-BB.RE collateral'!$A$9,Input!$K:$K,{"NBF1";"NBF2"},Input!$E:$E,'2.CC Trans-BB.RE collateral'!H$3,Input!$F:$F,'2.CC Trans-BB.RE collateral'!$D$3)),0)</f>
        <v>0</v>
      </c>
      <c r="I38" s="84">
        <f>IFERROR(SUM(SUMIFS(Input!$O:$O,Input!$C:$C,'2.CC Trans-BB.RE collateral'!$A$9,Input!$K:$K,{"NBF1";"NBF2"},Input!$E:$E,'2.CC Trans-BB.RE collateral'!I$3,Input!$F:$F,'2.CC Trans-BB.RE collateral'!$D$3)) / SUM(SUMIFS(Input!$G:$G,Input!$C:$C,'2.CC Trans-BB.RE collateral'!$A$9,Input!$K:$K,{"NBF1";"NBF2"},Input!$E:$E,'2.CC Trans-BB.RE collateral'!I$3,Input!$F:$F,'2.CC Trans-BB.RE collateral'!$D$3)),0)</f>
        <v>0</v>
      </c>
      <c r="J38" s="84">
        <f>IFERROR(SUM(SUMIFS(Input!$O:$O,Input!$C:$C,'2.CC Trans-BB.RE collateral'!$A$9,Input!$K:$K,{"NBF1";"NBF2"},Input!$E:$E,'2.CC Trans-BB.RE collateral'!J$3,Input!$F:$F,'2.CC Trans-BB.RE collateral'!$D$3)) / SUM(SUMIFS(Input!$G:$G,Input!$C:$C,'2.CC Trans-BB.RE collateral'!$A$9,Input!$K:$K,{"NBF1";"NBF2"},Input!$E:$E,'2.CC Trans-BB.RE collateral'!J$3,Input!$F:$F,'2.CC Trans-BB.RE collateral'!$D$3)),0)</f>
        <v>0</v>
      </c>
      <c r="K38" s="84">
        <f>IFERROR(SUM(SUMIFS(Input!$O:$O,Input!$C:$C,'2.CC Trans-BB.RE collateral'!$A$9,Input!$K:$K,{"NBF1";"NBF2"},Input!$R:$R,"&lt;&gt;"&amp;$S$1,Input!$F:$F,'2.CC Trans-BB.RE collateral'!$D$3)) / SUM(SUMIFS(Input!$G:$G,Input!$C:$C,'2.CC Trans-BB.RE collateral'!$A$9,Input!$K:$K,{"NBF1";"NBF2"},Input!$R:$R,"&lt;&gt;"&amp;$S$1,Input!$F:$F,'2.CC Trans-BB.RE collateral'!$D$3)),0)</f>
        <v>0</v>
      </c>
      <c r="L38" s="60"/>
      <c r="M38" s="84">
        <f>IFERROR(SUM(SUMIFS(Input!$O:$O,Input!$C:$C,'2.CC Trans-BB.RE collateral'!$A$9,Input!$K:$K,{"NBF1";"NBF2"},Input!$H:$H,"1-REAL",Input!$D:$D,'2.CC Trans-BB.RE collateral'!M$7&amp;"*",Input!$F:$F,'2.CC Trans-BB.RE collateral'!$D$3)) / SUM(SUMIFS(Input!$G:$G,Input!$C:$C,'2.CC Trans-BB.RE collateral'!$A$9,Input!$K:$K,{"NBF1";"NBF2"},Input!$H:$H,"1-REAL",Input!$D:$D,'2.CC Trans-BB.RE collateral'!M$7&amp;"*",Input!$F:$F,'2.CC Trans-BB.RE collateral'!$D$3)),0)</f>
        <v>0</v>
      </c>
      <c r="N38" s="84">
        <f>IFERROR(SUM(SUMIFS(Input!$O:$O,Input!$C:$C,'2.CC Trans-BB.RE collateral'!$A$9,Input!$K:$K,{"NBF1";"NBF2"},Input!$H:$H,"1-REAL",Input!$D:$D,'2.CC Trans-BB.RE collateral'!N$7&amp;"*",Input!$F:$F,'2.CC Trans-BB.RE collateral'!$D$3)) / SUM(SUMIFS(Input!$G:$G,Input!$C:$C,'2.CC Trans-BB.RE collateral'!$A$9,Input!$K:$K,{"NBF1";"NBF2"},Input!$H:$H,"1-REAL",Input!$D:$D,'2.CC Trans-BB.RE collateral'!N$7&amp;"*",Input!$F:$F,'2.CC Trans-BB.RE collateral'!$D$3)),0)</f>
        <v>0</v>
      </c>
      <c r="O38" s="84">
        <f>IFERROR(SUM(SUMIFS(Input!$O:$O,Input!$C:$C,'2.CC Trans-BB.RE collateral'!$A$9,Input!$K:$K,{"NBF1";"NBF2"},Input!$H:$H,"1-REAL",Input!$D:$D,'2.CC Trans-BB.RE collateral'!O$7&amp;"*",Input!$F:$F,'2.CC Trans-BB.RE collateral'!$D$3)) / SUM(SUMIFS(Input!$G:$G,Input!$C:$C,'2.CC Trans-BB.RE collateral'!$A$9,Input!$K:$K,{"NBF1";"NBF2"},Input!$H:$H,"1-REAL",Input!$D:$D,'2.CC Trans-BB.RE collateral'!O$7&amp;"*",Input!$F:$F,'2.CC Trans-BB.RE collateral'!$D$3)),0)</f>
        <v>0</v>
      </c>
      <c r="P38" s="84">
        <f>IFERROR(SUM(SUMIFS(Input!$O:$O,Input!$C:$C,'2.CC Trans-BB.RE collateral'!$A$9,Input!$K:$K,{"NBF1";"NBF2"},Input!$H:$H,"1-REAL",Input!$D:$D,'2.CC Trans-BB.RE collateral'!P$7&amp;"*",Input!$F:$F,'2.CC Trans-BB.RE collateral'!$D$3)) / SUM(SUMIFS(Input!$G:$G,Input!$C:$C,'2.CC Trans-BB.RE collateral'!$A$9,Input!$K:$K,{"NBF1";"NBF2"},Input!$H:$H,"1-REAL",Input!$D:$D,'2.CC Trans-BB.RE collateral'!P$7&amp;"*",Input!$F:$F,'2.CC Trans-BB.RE collateral'!$D$3)),0)</f>
        <v>0</v>
      </c>
      <c r="Q38" s="84">
        <f>IFERROR(SUM(SUMIFS(Input!$O:$O,Input!$C:$C,'2.CC Trans-BB.RE collateral'!$A$9,Input!$K:$K,{"NBF1";"NBF2"},Input!$H:$H,"1-REAL",Input!$D:$D,'2.CC Trans-BB.RE collateral'!Q$7&amp;"*",Input!$F:$F,'2.CC Trans-BB.RE collateral'!$D$3)) / SUM(SUMIFS(Input!$G:$G,Input!$C:$C,'2.CC Trans-BB.RE collateral'!$A$9,Input!$K:$K,{"NBF1";"NBF2"},Input!$H:$H,"1-REAL",Input!$D:$D,'2.CC Trans-BB.RE collateral'!Q$7&amp;"*",Input!$F:$F,'2.CC Trans-BB.RE collateral'!$D$3)),0)</f>
        <v>0</v>
      </c>
      <c r="R38" s="84">
        <f>IFERROR(SUM(SUMIFS(Input!$O:$O,Input!$C:$C,'2.CC Trans-BB.RE collateral'!$A$9,Input!$K:$K,{"NBF1";"NBF2"},Input!$H:$H,"1-REAL",Input!$D:$D,'2.CC Trans-BB.RE collateral'!R$7&amp;"*",Input!$F:$F,'2.CC Trans-BB.RE collateral'!$D$3)) / SUM(SUMIFS(Input!$G:$G,Input!$C:$C,'2.CC Trans-BB.RE collateral'!$A$9,Input!$K:$K,{"NBF1";"NBF2"},Input!$H:$H,"1-REAL",Input!$D:$D,'2.CC Trans-BB.RE collateral'!R$7&amp;"*",Input!$F:$F,'2.CC Trans-BB.RE collateral'!$D$3)),0)</f>
        <v>0</v>
      </c>
      <c r="S38" s="84">
        <f>IFERROR(SUM(SUMIFS(Input!$O:$O,Input!$C:$C,'2.CC Trans-BB.RE collateral'!$A$9,Input!$K:$K,{"NBF1";"NBF2"},Input!$H:$H,"1-REAL",Input!$D:$D,'2.CC Trans-BB.RE collateral'!S$7&amp;"*",Input!$F:$F,'2.CC Trans-BB.RE collateral'!$D$3)) / SUM(SUMIFS(Input!$G:$G,Input!$C:$C,'2.CC Trans-BB.RE collateral'!$A$9,Input!$K:$K,{"NBF1";"NBF2"},Input!$H:$H,"1-REAL",Input!$D:$D,'2.CC Trans-BB.RE collateral'!S$7&amp;"*",Input!$F:$F,'2.CC Trans-BB.RE collateral'!$D$3)),0)</f>
        <v>0</v>
      </c>
      <c r="T38" s="84">
        <f>IFERROR(SUM(SUMIFS(Input!$O:$O,Input!$C:$C,'2.CC Trans-BB.RE collateral'!$A$9,Input!$K:$K,{"NBF1";"NBF2"},Input!$H:$H,"&lt;&gt;"&amp;S$1,Input!$H:$H,"&lt;&gt;"&amp;S$2,Input!$F:$F,'2.CC Trans-BB.RE collateral'!$D$3)) / SUM(SUMIFS(Input!$G:$G,Input!$C:$C,'2.CC Trans-BB.RE collateral'!$A$9,Input!$K:$K,{"NBF1";"NBF2"},Input!$H:$H,"&lt;&gt;"&amp;S$1,Input!$H:$H,"&lt;&gt;"&amp;S$2,Input!$F:$F,'2.CC Trans-BB.RE collateral'!$D$3)),0)</f>
        <v>0</v>
      </c>
      <c r="U38" s="60"/>
      <c r="V38" s="47"/>
    </row>
    <row r="39" spans="2:22" s="42" customFormat="1" ht="15.75" customHeight="1" x14ac:dyDescent="0.2">
      <c r="B39" s="45"/>
      <c r="C39" s="105" t="s">
        <v>97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7"/>
      <c r="V39" s="47"/>
    </row>
    <row r="40" spans="2:22" s="42" customFormat="1" ht="12.75" x14ac:dyDescent="0.2">
      <c r="B40" s="45">
        <v>29</v>
      </c>
      <c r="C40" s="59" t="s">
        <v>98</v>
      </c>
      <c r="D40" s="84">
        <f>IFERROR(SUMIFS(Input!$P:$P,Input!$C:$C,'2.CC Trans-BB.RE collateral'!$A$10,Input!$F:$F,'2.CC Trans-BB.RE collateral'!$D$3) / SUMIFS(Input!$G:$G,Input!$C:$C,'2.CC Trans-BB.RE collateral'!$A$10,Input!$F:$F,'2.CC Trans-BB.RE collateral'!$D$3),0)</f>
        <v>0</v>
      </c>
      <c r="E40" s="84">
        <f>IFERROR(SUMIFS(Input!$P:$P,Input!$C:$C,'2.CC Trans-BB.RE collateral'!$A$10,Input!$E:$E,'2.CC Trans-BB.RE collateral'!E$3,Input!$F:$F,'2.CC Trans-BB.RE collateral'!$D$3) / SUMIFS(Input!$G:$G,Input!$C:$C,'2.CC Trans-BB.RE collateral'!$A$10,Input!$E:$E,'2.CC Trans-BB.RE collateral'!E$3,Input!$F:$F,'2.CC Trans-BB.RE collateral'!$D$3),0)</f>
        <v>0</v>
      </c>
      <c r="F40" s="84">
        <f>IFERROR(SUMIFS(Input!$P:$P,Input!$C:$C,'2.CC Trans-BB.RE collateral'!$A$10,Input!$E:$E,'2.CC Trans-BB.RE collateral'!F$3,Input!$F:$F,'2.CC Trans-BB.RE collateral'!$D$3) / SUMIFS(Input!$G:$G,Input!$C:$C,'2.CC Trans-BB.RE collateral'!$A$10,Input!$E:$E,'2.CC Trans-BB.RE collateral'!F$3,Input!$F:$F,'2.CC Trans-BB.RE collateral'!$D$3),0)</f>
        <v>0</v>
      </c>
      <c r="G40" s="84">
        <f>IFERROR(SUMIFS(Input!$P:$P,Input!$C:$C,'2.CC Trans-BB.RE collateral'!$A$10,Input!$E:$E,'2.CC Trans-BB.RE collateral'!G$3,Input!$F:$F,'2.CC Trans-BB.RE collateral'!$D$3) / SUMIFS(Input!$G:$G,Input!$C:$C,'2.CC Trans-BB.RE collateral'!$A$10,Input!$E:$E,'2.CC Trans-BB.RE collateral'!G$3,Input!$F:$F,'2.CC Trans-BB.RE collateral'!$D$3),0)</f>
        <v>0</v>
      </c>
      <c r="H40" s="84">
        <f>IFERROR(SUMIFS(Input!$P:$P,Input!$C:$C,'2.CC Trans-BB.RE collateral'!$A$10,Input!$E:$E,'2.CC Trans-BB.RE collateral'!H$3,Input!$F:$F,'2.CC Trans-BB.RE collateral'!$D$3) / SUMIFS(Input!$G:$G,Input!$C:$C,'2.CC Trans-BB.RE collateral'!$A$10,Input!$E:$E,'2.CC Trans-BB.RE collateral'!H$3,Input!$F:$F,'2.CC Trans-BB.RE collateral'!$D$3),0)</f>
        <v>0</v>
      </c>
      <c r="I40" s="84">
        <f>IFERROR(SUMIFS(Input!$P:$P,Input!$C:$C,'2.CC Trans-BB.RE collateral'!$A$10,Input!$E:$E,'2.CC Trans-BB.RE collateral'!I$3,Input!$F:$F,'2.CC Trans-BB.RE collateral'!$D$3) / SUMIFS(Input!$G:$G,Input!$C:$C,'2.CC Trans-BB.RE collateral'!$A$10,Input!$E:$E,'2.CC Trans-BB.RE collateral'!I$3,Input!$F:$F,'2.CC Trans-BB.RE collateral'!$D$3),0)</f>
        <v>0</v>
      </c>
      <c r="J40" s="84">
        <f>IFERROR(SUMIFS(Input!$P:$P,Input!$C:$C,'2.CC Trans-BB.RE collateral'!$A$10,Input!$E:$E,'2.CC Trans-BB.RE collateral'!J$3,Input!$F:$F,'2.CC Trans-BB.RE collateral'!$D$3) / SUMIFS(Input!$G:$G,Input!$C:$C,'2.CC Trans-BB.RE collateral'!$A$10,Input!$E:$E,'2.CC Trans-BB.RE collateral'!J$3,Input!$F:$F,'2.CC Trans-BB.RE collateral'!$D$3),0)</f>
        <v>0</v>
      </c>
      <c r="K40" s="84">
        <f>IFERROR(SUMIFS(Input!$P:$P,Input!$C:$C,'2.CC Trans-BB.RE collateral'!$A$10,Input!$R:$R,"&lt;&gt;"&amp;$S$1,Input!$F:$F,'2.CC Trans-BB.RE collateral'!$D$3) / SUMIFS(Input!$G:$G,Input!$C:$C,'2.CC Trans-BB.RE collateral'!$A$10,Input!$R:$R,"&lt;&gt;"&amp;$S$1,Input!$F:$F,'2.CC Trans-BB.RE collateral'!$D$3),0)</f>
        <v>0</v>
      </c>
      <c r="L40" s="60"/>
      <c r="M40" s="84">
        <f>IFERROR(SUM(SUMIFS(Input!$P:$P,Input!$C:$C,'2.CC Trans-BB.RE collateral'!$A$10,Input!$D:$D,'2.CC Trans-BB.RE collateral'!M$7&amp;"*",Input!$H:$H,{"1-REAL";"SANTANDER"},Input!$F:$F,'2.CC Trans-BB.RE collateral'!$D$3)) / SUM(SUMIFS(Input!$G:$G,Input!$C:$C,'2.CC Trans-BB.RE collateral'!$A$10,Input!$D:$D,'2.CC Trans-BB.RE collateral'!M$7&amp;"*",Input!$H:$H,{"1-REAL";"SANTANDER"},Input!$F:$F,'2.CC Trans-BB.RE collateral'!$D$3)),0)</f>
        <v>0</v>
      </c>
      <c r="N40" s="84">
        <f>IFERROR(SUM(SUMIFS(Input!$P:$P,Input!$C:$C,'2.CC Trans-BB.RE collateral'!$A$10,Input!$D:$D,'2.CC Trans-BB.RE collateral'!N$7&amp;"*",Input!$H:$H,{"1-REAL";"SANTANDER"},Input!$F:$F,'2.CC Trans-BB.RE collateral'!$D$3)) / SUM(SUMIFS(Input!$G:$G,Input!$C:$C,'2.CC Trans-BB.RE collateral'!$A$10,Input!$D:$D,'2.CC Trans-BB.RE collateral'!N$7&amp;"*",Input!$H:$H,{"1-REAL";"SANTANDER"},Input!$F:$F,'2.CC Trans-BB.RE collateral'!$D$3)),0)</f>
        <v>0</v>
      </c>
      <c r="O40" s="84">
        <f>IFERROR(SUM(SUMIFS(Input!$P:$P,Input!$C:$C,'2.CC Trans-BB.RE collateral'!$A$10,Input!$D:$D,'2.CC Trans-BB.RE collateral'!O$7&amp;"*",Input!$H:$H,{"1-REAL";"SANTANDER"},Input!$F:$F,'2.CC Trans-BB.RE collateral'!$D$3)) / SUM(SUMIFS(Input!$G:$G,Input!$C:$C,'2.CC Trans-BB.RE collateral'!$A$10,Input!$D:$D,'2.CC Trans-BB.RE collateral'!O$7&amp;"*",Input!$H:$H,{"1-REAL";"SANTANDER"},Input!$F:$F,'2.CC Trans-BB.RE collateral'!$D$3)),0)</f>
        <v>0</v>
      </c>
      <c r="P40" s="84">
        <f>IFERROR(SUM(SUMIFS(Input!$P:$P,Input!$C:$C,'2.CC Trans-BB.RE collateral'!$A$10,Input!$D:$D,'2.CC Trans-BB.RE collateral'!P$7&amp;"*",Input!$H:$H,{"1-REAL";"SANTANDER"},Input!$F:$F,'2.CC Trans-BB.RE collateral'!$D$3)) / SUM(SUMIFS(Input!$G:$G,Input!$C:$C,'2.CC Trans-BB.RE collateral'!$A$10,Input!$D:$D,'2.CC Trans-BB.RE collateral'!P$7&amp;"*",Input!$H:$H,{"1-REAL";"SANTANDER"},Input!$F:$F,'2.CC Trans-BB.RE collateral'!$D$3)),0)</f>
        <v>0</v>
      </c>
      <c r="Q40" s="84">
        <f>IFERROR(SUM(SUMIFS(Input!$P:$P,Input!$C:$C,'2.CC Trans-BB.RE collateral'!$A$10,Input!$D:$D,'2.CC Trans-BB.RE collateral'!Q$7&amp;"*",Input!$H:$H,{"1-REAL";"SANTANDER"},Input!$F:$F,'2.CC Trans-BB.RE collateral'!$D$3)) / SUM(SUMIFS(Input!$G:$G,Input!$C:$C,'2.CC Trans-BB.RE collateral'!$A$10,Input!$D:$D,'2.CC Trans-BB.RE collateral'!Q$7&amp;"*",Input!$H:$H,{"1-REAL";"SANTANDER"},Input!$F:$F,'2.CC Trans-BB.RE collateral'!$D$3)),0)</f>
        <v>0</v>
      </c>
      <c r="R40" s="84">
        <f>IFERROR(SUM(SUMIFS(Input!$P:$P,Input!$C:$C,'2.CC Trans-BB.RE collateral'!$A$10,Input!$D:$D,'2.CC Trans-BB.RE collateral'!R$7&amp;"*",Input!$H:$H,{"1-REAL";"SANTANDER"},Input!$F:$F,'2.CC Trans-BB.RE collateral'!$D$3)) / SUM(SUMIFS(Input!$G:$G,Input!$C:$C,'2.CC Trans-BB.RE collateral'!$A$10,Input!$D:$D,'2.CC Trans-BB.RE collateral'!R$7&amp;"*",Input!$H:$H,{"1-REAL";"SANTANDER"},Input!$F:$F,'2.CC Trans-BB.RE collateral'!$D$3)),0)</f>
        <v>0</v>
      </c>
      <c r="S40" s="84">
        <f>IFERROR(SUM(SUMIFS(Input!$P:$P,Input!$C:$C,'2.CC Trans-BB.RE collateral'!$A$10,Input!$D:$D,'2.CC Trans-BB.RE collateral'!S$7&amp;"*",Input!$H:$H,{"1-REAL";"SANTANDER"},Input!$F:$F,'2.CC Trans-BB.RE collateral'!$D$3)) / SUM(SUMIFS(Input!$G:$G,Input!$C:$C,'2.CC Trans-BB.RE collateral'!$A$10,Input!$D:$D,'2.CC Trans-BB.RE collateral'!S$7&amp;"*",Input!$H:$H,{"1-REAL";"SANTANDER"},Input!$F:$F,'2.CC Trans-BB.RE collateral'!$D$3)),0)</f>
        <v>0</v>
      </c>
      <c r="T40" s="84">
        <f>IFERROR(SUMIFS(Input!$P:$P,Input!$C:$C,'2.CC Trans-BB.RE collateral'!$A$10,Input!$H:$H,"&lt;&gt;"&amp;S$1,Input!$H:$H,"&lt;&gt;"&amp;S$2,Input!$F:$F,'2.CC Trans-BB.RE collateral'!$D$3) / SUMIFS(Input!$G:$G,Input!$C:$C,'2.CC Trans-BB.RE collateral'!$A$10,Input!$H:$H,"&lt;&gt;"&amp;S$1,Input!$H:$H,"&lt;&gt;"&amp;S$2,Input!$F:$F,'2.CC Trans-BB.RE collateral'!$D$3),0)</f>
        <v>0</v>
      </c>
      <c r="U40" s="60"/>
      <c r="V40" s="47"/>
    </row>
    <row r="41" spans="2:22" s="42" customFormat="1" ht="12.75" x14ac:dyDescent="0.2">
      <c r="B41" s="45">
        <v>30</v>
      </c>
      <c r="C41" s="59" t="s">
        <v>99</v>
      </c>
      <c r="D41" s="85">
        <f>ROUND(SUMIFS(Input!$G:$G,Input!$C:$C,'2.CC Trans-BB.RE collateral'!$A$10,Input!$Q:$Q,"LTV4",Input!$F:$F,'2.CC Trans-BB.RE collateral'!$D$3),0)</f>
        <v>0</v>
      </c>
      <c r="E41" s="85">
        <f>ROUND(SUMIFS(Input!$G:$G,Input!$C:$C,'2.CC Trans-BB.RE collateral'!$A$10,Input!$Q:$Q,"LTV4",Input!$E:$E,'2.CC Trans-BB.RE collateral'!E$3,Input!$F:$F,'2.CC Trans-BB.RE collateral'!$D$3),0)</f>
        <v>0</v>
      </c>
      <c r="F41" s="85">
        <f>ROUND(SUMIFS(Input!$G:$G,Input!$C:$C,'2.CC Trans-BB.RE collateral'!$A$10,Input!$Q:$Q,"LTV4",Input!$E:$E,'2.CC Trans-BB.RE collateral'!F$3,Input!$F:$F,'2.CC Trans-BB.RE collateral'!$D$3),0)</f>
        <v>0</v>
      </c>
      <c r="G41" s="85">
        <f>ROUND(SUMIFS(Input!$G:$G,Input!$C:$C,'2.CC Trans-BB.RE collateral'!$A$10,Input!$Q:$Q,"LTV4",Input!$E:$E,'2.CC Trans-BB.RE collateral'!G$3,Input!$F:$F,'2.CC Trans-BB.RE collateral'!$D$3),0)</f>
        <v>0</v>
      </c>
      <c r="H41" s="85">
        <f>ROUND(SUMIFS(Input!$G:$G,Input!$C:$C,'2.CC Trans-BB.RE collateral'!$A$10,Input!$Q:$Q,"LTV4",Input!$E:$E,'2.CC Trans-BB.RE collateral'!H$3,Input!$F:$F,'2.CC Trans-BB.RE collateral'!$D$3),0)</f>
        <v>0</v>
      </c>
      <c r="I41" s="85">
        <f>ROUND(SUMIFS(Input!$G:$G,Input!$C:$C,'2.CC Trans-BB.RE collateral'!$A$10,Input!$Q:$Q,"LTV4",Input!$E:$E,'2.CC Trans-BB.RE collateral'!I$3,Input!$F:$F,'2.CC Trans-BB.RE collateral'!$D$3),0)</f>
        <v>0</v>
      </c>
      <c r="J41" s="85">
        <f>ROUND(SUMIFS(Input!$G:$G,Input!$C:$C,'2.CC Trans-BB.RE collateral'!$A$10,Input!$Q:$Q,"LTV4",Input!$E:$E,'2.CC Trans-BB.RE collateral'!J$3,Input!$F:$F,'2.CC Trans-BB.RE collateral'!$D$3),0)</f>
        <v>0</v>
      </c>
      <c r="K41" s="85">
        <f>ROUND(SUMIFS(Input!$G:$G,Input!$C:$C,'2.CC Trans-BB.RE collateral'!$A$10,Input!$Q:$Q,"LTV4",Input!$R:$R,"&lt;&gt;"&amp;$S$1,Input!$F:$F,'2.CC Trans-BB.RE collateral'!$D$3),0)</f>
        <v>0</v>
      </c>
      <c r="L41" s="60"/>
      <c r="M41" s="85">
        <f>ROUND(SUM(SUMIFS(Input!$G:$G,Input!$C:$C,'2.CC Trans-BB.RE collateral'!$A$10,Input!$Q:$Q,"LTV4",Input!$D:$D,'2.CC Trans-BB.RE collateral'!M$7&amp;"*",Input!$H:$H,{"1-REAL";"SANTANDER"},Input!$F:$F,'2.CC Trans-BB.RE collateral'!$D$3)),0)</f>
        <v>0</v>
      </c>
      <c r="N41" s="85">
        <f>ROUND(SUM(SUMIFS(Input!$G:$G,Input!$C:$C,'2.CC Trans-BB.RE collateral'!$A$10,Input!$Q:$Q,"LTV4",Input!$D:$D,'2.CC Trans-BB.RE collateral'!N$7&amp;"*",Input!$H:$H,{"1-REAL";"SANTANDER"},Input!$F:$F,'2.CC Trans-BB.RE collateral'!$D$3)),0)</f>
        <v>0</v>
      </c>
      <c r="O41" s="85">
        <f>ROUND(SUM(SUMIFS(Input!$G:$G,Input!$C:$C,'2.CC Trans-BB.RE collateral'!$A$10,Input!$Q:$Q,"LTV4",Input!$D:$D,'2.CC Trans-BB.RE collateral'!O$7&amp;"*",Input!$H:$H,{"1-REAL";"SANTANDER"},Input!$F:$F,'2.CC Trans-BB.RE collateral'!$D$3)),0)</f>
        <v>0</v>
      </c>
      <c r="P41" s="85">
        <f>ROUND(SUM(SUMIFS(Input!$G:$G,Input!$C:$C,'2.CC Trans-BB.RE collateral'!$A$10,Input!$Q:$Q,"LTV4",Input!$D:$D,'2.CC Trans-BB.RE collateral'!P$7&amp;"*",Input!$H:$H,{"1-REAL";"SANTANDER"},Input!$F:$F,'2.CC Trans-BB.RE collateral'!$D$3)),0)</f>
        <v>0</v>
      </c>
      <c r="Q41" s="85">
        <f>ROUND(SUM(SUMIFS(Input!$G:$G,Input!$C:$C,'2.CC Trans-BB.RE collateral'!$A$10,Input!$Q:$Q,"LTV4",Input!$D:$D,'2.CC Trans-BB.RE collateral'!Q$7&amp;"*",Input!$H:$H,{"1-REAL";"SANTANDER"},Input!$F:$F,'2.CC Trans-BB.RE collateral'!$D$3)),0)</f>
        <v>0</v>
      </c>
      <c r="R41" s="85">
        <f>ROUND(SUM(SUMIFS(Input!$G:$G,Input!$C:$C,'2.CC Trans-BB.RE collateral'!$A$10,Input!$Q:$Q,"LTV4",Input!$D:$D,'2.CC Trans-BB.RE collateral'!R$7&amp;"*",Input!$H:$H,{"1-REAL";"SANTANDER"},Input!$F:$F,'2.CC Trans-BB.RE collateral'!$D$3)),0)</f>
        <v>0</v>
      </c>
      <c r="S41" s="85">
        <f>ROUND(SUM(SUMIFS(Input!$G:$G,Input!$C:$C,'2.CC Trans-BB.RE collateral'!$A$10,Input!$Q:$Q,"LTV4",Input!$D:$D,'2.CC Trans-BB.RE collateral'!S$7&amp;"*",Input!$H:$H,{"1-REAL";"SANTANDER"},Input!$F:$F,'2.CC Trans-BB.RE collateral'!$D$3)),0)</f>
        <v>0</v>
      </c>
      <c r="T41" s="85">
        <f>ROUND(SUMIFS(Input!$G:$G,Input!$C:$C,'2.CC Trans-BB.RE collateral'!$A$10,Input!$Q:$Q,"LTV4",Input!$H:$H,"&lt;&gt;"&amp;S$1,Input!$H:$H,"&lt;&gt;"&amp;S$2,Input!$F:$F,'2.CC Trans-BB.RE collateral'!$D$3),0)</f>
        <v>0</v>
      </c>
      <c r="U41" s="60"/>
      <c r="V41" s="47"/>
    </row>
    <row r="42" spans="2:22" s="42" customFormat="1" ht="12.75" x14ac:dyDescent="0.2">
      <c r="B42" s="45">
        <v>31</v>
      </c>
      <c r="C42" s="59" t="s">
        <v>100</v>
      </c>
      <c r="D42" s="85">
        <f>ROUND(SUMIFS(Input!$G:$G,Input!$C:$C,'2.CC Trans-BB.RE collateral'!$A$10,Input!$Q:$Q,"LTV5",Input!$F:$F,'2.CC Trans-BB.RE collateral'!$D$3),0)</f>
        <v>0</v>
      </c>
      <c r="E42" s="85">
        <f>ROUND(SUMIFS(Input!$G:$G,Input!$C:$C,'2.CC Trans-BB.RE collateral'!$A$10,Input!$Q:$Q,"LTV5",Input!$E:$E,'2.CC Trans-BB.RE collateral'!E$3,Input!$F:$F,'2.CC Trans-BB.RE collateral'!$D$3),0)</f>
        <v>0</v>
      </c>
      <c r="F42" s="85">
        <f>ROUND(SUMIFS(Input!$G:$G,Input!$C:$C,'2.CC Trans-BB.RE collateral'!$A$10,Input!$Q:$Q,"LTV5",Input!$E:$E,'2.CC Trans-BB.RE collateral'!F$3,Input!$F:$F,'2.CC Trans-BB.RE collateral'!$D$3),0)</f>
        <v>0</v>
      </c>
      <c r="G42" s="85">
        <f>ROUND(SUMIFS(Input!$G:$G,Input!$C:$C,'2.CC Trans-BB.RE collateral'!$A$10,Input!$Q:$Q,"LTV5",Input!$E:$E,'2.CC Trans-BB.RE collateral'!G$3,Input!$F:$F,'2.CC Trans-BB.RE collateral'!$D$3),0)</f>
        <v>0</v>
      </c>
      <c r="H42" s="85">
        <f>ROUND(SUMIFS(Input!$G:$G,Input!$C:$C,'2.CC Trans-BB.RE collateral'!$A$10,Input!$Q:$Q,"LTV5",Input!$E:$E,'2.CC Trans-BB.RE collateral'!H$3,Input!$F:$F,'2.CC Trans-BB.RE collateral'!$D$3),0)</f>
        <v>0</v>
      </c>
      <c r="I42" s="85">
        <f>ROUND(SUMIFS(Input!$G:$G,Input!$C:$C,'2.CC Trans-BB.RE collateral'!$A$10,Input!$Q:$Q,"LTV5",Input!$E:$E,'2.CC Trans-BB.RE collateral'!I$3,Input!$F:$F,'2.CC Trans-BB.RE collateral'!$D$3),0)</f>
        <v>0</v>
      </c>
      <c r="J42" s="85">
        <f>ROUND(SUMIFS(Input!$G:$G,Input!$C:$C,'2.CC Trans-BB.RE collateral'!$A$10,Input!$Q:$Q,"LTV5",Input!$E:$E,'2.CC Trans-BB.RE collateral'!J$3,Input!$F:$F,'2.CC Trans-BB.RE collateral'!$D$3),0)</f>
        <v>0</v>
      </c>
      <c r="K42" s="85">
        <f>ROUND(SUMIFS(Input!$G:$G,Input!$C:$C,'2.CC Trans-BB.RE collateral'!$A$10,Input!$Q:$Q,"LTV5",Input!$R:$R,"&lt;&gt;"&amp;$S$1,Input!$F:$F,'2.CC Trans-BB.RE collateral'!$D$3),0)</f>
        <v>0</v>
      </c>
      <c r="L42" s="60"/>
      <c r="M42" s="85">
        <f>ROUND(SUM(SUMIFS(Input!$G:$G,Input!$C:$C,'2.CC Trans-BB.RE collateral'!$A$10,Input!$Q:$Q,"LTV5",Input!$D:$D,'2.CC Trans-BB.RE collateral'!M$7&amp;"*",Input!$H:$H,{"1-REAL";"SANTANDER"},Input!$F:$F,'2.CC Trans-BB.RE collateral'!$D$3)),0)</f>
        <v>0</v>
      </c>
      <c r="N42" s="85">
        <f>ROUND(SUM(SUMIFS(Input!$G:$G,Input!$C:$C,'2.CC Trans-BB.RE collateral'!$A$10,Input!$Q:$Q,"LTV5",Input!$D:$D,'2.CC Trans-BB.RE collateral'!N$7&amp;"*",Input!$H:$H,{"1-REAL";"SANTANDER"},Input!$F:$F,'2.CC Trans-BB.RE collateral'!$D$3)),0)</f>
        <v>0</v>
      </c>
      <c r="O42" s="85">
        <f>ROUND(SUM(SUMIFS(Input!$G:$G,Input!$C:$C,'2.CC Trans-BB.RE collateral'!$A$10,Input!$Q:$Q,"LTV5",Input!$D:$D,'2.CC Trans-BB.RE collateral'!O$7&amp;"*",Input!$H:$H,{"1-REAL";"SANTANDER"},Input!$F:$F,'2.CC Trans-BB.RE collateral'!$D$3)),0)</f>
        <v>0</v>
      </c>
      <c r="P42" s="85">
        <f>ROUND(SUM(SUMIFS(Input!$G:$G,Input!$C:$C,'2.CC Trans-BB.RE collateral'!$A$10,Input!$Q:$Q,"LTV5",Input!$D:$D,'2.CC Trans-BB.RE collateral'!P$7&amp;"*",Input!$H:$H,{"1-REAL";"SANTANDER"},Input!$F:$F,'2.CC Trans-BB.RE collateral'!$D$3)),0)</f>
        <v>0</v>
      </c>
      <c r="Q42" s="85">
        <f>ROUND(SUM(SUMIFS(Input!$G:$G,Input!$C:$C,'2.CC Trans-BB.RE collateral'!$A$10,Input!$Q:$Q,"LTV5",Input!$D:$D,'2.CC Trans-BB.RE collateral'!Q$7&amp;"*",Input!$H:$H,{"1-REAL";"SANTANDER"},Input!$F:$F,'2.CC Trans-BB.RE collateral'!$D$3)),0)</f>
        <v>0</v>
      </c>
      <c r="R42" s="85">
        <f>ROUND(SUM(SUMIFS(Input!$G:$G,Input!$C:$C,'2.CC Trans-BB.RE collateral'!$A$10,Input!$Q:$Q,"LTV5",Input!$D:$D,'2.CC Trans-BB.RE collateral'!R$7&amp;"*",Input!$H:$H,{"1-REAL";"SANTANDER"},Input!$F:$F,'2.CC Trans-BB.RE collateral'!$D$3)),0)</f>
        <v>0</v>
      </c>
      <c r="S42" s="85">
        <f>ROUND(SUM(SUMIFS(Input!$G:$G,Input!$C:$C,'2.CC Trans-BB.RE collateral'!$A$10,Input!$Q:$Q,"LTV5",Input!$D:$D,'2.CC Trans-BB.RE collateral'!S$7&amp;"*",Input!$H:$H,{"1-REAL";"SANTANDER"},Input!$F:$F,'2.CC Trans-BB.RE collateral'!$D$3)),0)</f>
        <v>0</v>
      </c>
      <c r="T42" s="85">
        <f>ROUND(SUMIFS(Input!$G:$G,Input!$C:$C,'2.CC Trans-BB.RE collateral'!$A$10,Input!$Q:$Q,"LTV5",Input!$H:$H,"&lt;&gt;"&amp;S$1,Input!$H:$H,"&lt;&gt;"&amp;S$2,Input!$F:$F,'2.CC Trans-BB.RE collateral'!$D$3),0)</f>
        <v>0</v>
      </c>
      <c r="U42" s="60"/>
      <c r="V42" s="47"/>
    </row>
    <row r="43" spans="2:22" s="42" customFormat="1" ht="12.75" x14ac:dyDescent="0.2">
      <c r="B43" s="45">
        <v>32</v>
      </c>
      <c r="C43" s="59" t="s">
        <v>101</v>
      </c>
      <c r="D43" s="86">
        <f>IFERROR(SUMIFS(Input!$J:$J,Input!$C:$C,'2.CC Trans-BB.RE collateral'!$A$10,Input!$F:$F,'2.CC Trans-BB.RE collateral'!$D$3) / SUMIFS(Input!$G:$G,Input!$C:$C,'2.CC Trans-BB.RE collateral'!$A$10,Input!$F:$F,'2.CC Trans-BB.RE collateral'!$D$3),0)</f>
        <v>0</v>
      </c>
      <c r="E43" s="86">
        <f>IFERROR(SUMIFS(Input!$J:$J,Input!$C:$C,'2.CC Trans-BB.RE collateral'!$A$10,Input!$E:$E,'2.CC Trans-BB.RE collateral'!E$3,Input!$F:$F,'2.CC Trans-BB.RE collateral'!$D$3)  / SUMIFS(Input!$G:$G,Input!$C:$C,'2.CC Trans-BB.RE collateral'!$A$10,Input!$E:$E,'2.CC Trans-BB.RE collateral'!E$3,Input!$F:$F,'2.CC Trans-BB.RE collateral'!$D$3),0)</f>
        <v>0</v>
      </c>
      <c r="F43" s="86">
        <f>IFERROR(SUMIFS(Input!$J:$J,Input!$C:$C,'2.CC Trans-BB.RE collateral'!$A$10,Input!$E:$E,'2.CC Trans-BB.RE collateral'!F$3,Input!$F:$F,'2.CC Trans-BB.RE collateral'!$D$3)  / SUMIFS(Input!$G:$G,Input!$C:$C,'2.CC Trans-BB.RE collateral'!$A$10,Input!$E:$E,'2.CC Trans-BB.RE collateral'!F$3,Input!$F:$F,'2.CC Trans-BB.RE collateral'!$D$3),0)</f>
        <v>0</v>
      </c>
      <c r="G43" s="86">
        <f>IFERROR(SUMIFS(Input!$J:$J,Input!$C:$C,'2.CC Trans-BB.RE collateral'!$A$10,Input!$E:$E,'2.CC Trans-BB.RE collateral'!G$3,Input!$F:$F,'2.CC Trans-BB.RE collateral'!$D$3)  / SUMIFS(Input!$G:$G,Input!$C:$C,'2.CC Trans-BB.RE collateral'!$A$10,Input!$E:$E,'2.CC Trans-BB.RE collateral'!G$3,Input!$F:$F,'2.CC Trans-BB.RE collateral'!$D$3),0)</f>
        <v>0</v>
      </c>
      <c r="H43" s="86">
        <f>IFERROR(SUMIFS(Input!$J:$J,Input!$C:$C,'2.CC Trans-BB.RE collateral'!$A$10,Input!$E:$E,'2.CC Trans-BB.RE collateral'!H$3,Input!$F:$F,'2.CC Trans-BB.RE collateral'!$D$3)  / SUMIFS(Input!$G:$G,Input!$C:$C,'2.CC Trans-BB.RE collateral'!$A$10,Input!$E:$E,'2.CC Trans-BB.RE collateral'!H$3,Input!$F:$F,'2.CC Trans-BB.RE collateral'!$D$3),0)</f>
        <v>0</v>
      </c>
      <c r="I43" s="86">
        <f>IFERROR(SUMIFS(Input!$J:$J,Input!$C:$C,'2.CC Trans-BB.RE collateral'!$A$10,Input!$E:$E,'2.CC Trans-BB.RE collateral'!I$3,Input!$F:$F,'2.CC Trans-BB.RE collateral'!$D$3)  / SUMIFS(Input!$G:$G,Input!$C:$C,'2.CC Trans-BB.RE collateral'!$A$10,Input!$E:$E,'2.CC Trans-BB.RE collateral'!I$3,Input!$F:$F,'2.CC Trans-BB.RE collateral'!$D$3),0)</f>
        <v>0</v>
      </c>
      <c r="J43" s="86">
        <f>IFERROR(SUMIFS(Input!$J:$J,Input!$C:$C,'2.CC Trans-BB.RE collateral'!$A$10,Input!$E:$E,'2.CC Trans-BB.RE collateral'!J$3,Input!$F:$F,'2.CC Trans-BB.RE collateral'!$D$3)  / SUMIFS(Input!$G:$G,Input!$C:$C,'2.CC Trans-BB.RE collateral'!$A$10,Input!$E:$E,'2.CC Trans-BB.RE collateral'!J$3,Input!$F:$F,'2.CC Trans-BB.RE collateral'!$D$3),0)</f>
        <v>0</v>
      </c>
      <c r="K43" s="86">
        <f>IFERROR(SUMIFS(Input!$J:$J,Input!$C:$C,'2.CC Trans-BB.RE collateral'!$A$10,Input!$R:$R,"&lt;&gt;"&amp;$S$1,Input!$F:$F,'2.CC Trans-BB.RE collateral'!$D$3)  / SUMIFS(Input!$G:$G,Input!$C:$C,'2.CC Trans-BB.RE collateral'!$A$10,Input!$R:$R,"&lt;&gt;"&amp;$S$1,Input!$F:$F,'2.CC Trans-BB.RE collateral'!$D$3),0)</f>
        <v>0</v>
      </c>
      <c r="L43" s="60"/>
      <c r="M43" s="86">
        <f>IFERROR(SUM(SUMIFS(Input!$J:$J,Input!$C:$C,'2.CC Trans-BB.RE collateral'!$A$10,Input!$D:$D,'2.CC Trans-BB.RE collateral'!M$7&amp;"*",Input!$H:$H,{"1-REAL";"SANTANDER"},Input!$F:$F,'2.CC Trans-BB.RE collateral'!$D$3))  / SUM(SUMIFS(Input!$G:$G,Input!$C:$C,'2.CC Trans-BB.RE collateral'!$A$10,Input!$D:$D,'2.CC Trans-BB.RE collateral'!M$7&amp;"*",Input!$H:$H,{"1-REAL";"SANTANDER"},Input!$F:$F,'2.CC Trans-BB.RE collateral'!$D$3)),0)</f>
        <v>0</v>
      </c>
      <c r="N43" s="86">
        <f>IFERROR(SUM(SUMIFS(Input!$J:$J,Input!$C:$C,'2.CC Trans-BB.RE collateral'!$A$10,Input!$D:$D,'2.CC Trans-BB.RE collateral'!N$7&amp;"*",Input!$H:$H,{"1-REAL";"SANTANDER"},Input!$F:$F,'2.CC Trans-BB.RE collateral'!$D$3))  / SUM(SUMIFS(Input!$G:$G,Input!$C:$C,'2.CC Trans-BB.RE collateral'!$A$10,Input!$D:$D,'2.CC Trans-BB.RE collateral'!N$7&amp;"*",Input!$H:$H,{"1-REAL";"SANTANDER"},Input!$F:$F,'2.CC Trans-BB.RE collateral'!$D$3)),0)</f>
        <v>0</v>
      </c>
      <c r="O43" s="86">
        <f>IFERROR(SUM(SUMIFS(Input!$J:$J,Input!$C:$C,'2.CC Trans-BB.RE collateral'!$A$10,Input!$D:$D,'2.CC Trans-BB.RE collateral'!O$7&amp;"*",Input!$H:$H,{"1-REAL";"SANTANDER"},Input!$F:$F,'2.CC Trans-BB.RE collateral'!$D$3))  / SUM(SUMIFS(Input!$G:$G,Input!$C:$C,'2.CC Trans-BB.RE collateral'!$A$10,Input!$D:$D,'2.CC Trans-BB.RE collateral'!O$7&amp;"*",Input!$H:$H,{"1-REAL";"SANTANDER"},Input!$F:$F,'2.CC Trans-BB.RE collateral'!$D$3)),0)</f>
        <v>0</v>
      </c>
      <c r="P43" s="86">
        <f>IFERROR(SUM(SUMIFS(Input!$J:$J,Input!$C:$C,'2.CC Trans-BB.RE collateral'!$A$10,Input!$D:$D,'2.CC Trans-BB.RE collateral'!P$7&amp;"*",Input!$H:$H,{"1-REAL";"SANTANDER"},Input!$F:$F,'2.CC Trans-BB.RE collateral'!$D$3))  / SUM(SUMIFS(Input!$G:$G,Input!$C:$C,'2.CC Trans-BB.RE collateral'!$A$10,Input!$D:$D,'2.CC Trans-BB.RE collateral'!P$7&amp;"*",Input!$H:$H,{"1-REAL";"SANTANDER"},Input!$F:$F,'2.CC Trans-BB.RE collateral'!$D$3)),0)</f>
        <v>0</v>
      </c>
      <c r="Q43" s="86">
        <f>IFERROR(SUM(SUMIFS(Input!$J:$J,Input!$C:$C,'2.CC Trans-BB.RE collateral'!$A$10,Input!$D:$D,'2.CC Trans-BB.RE collateral'!Q$7&amp;"*",Input!$H:$H,{"1-REAL";"SANTANDER"},Input!$F:$F,'2.CC Trans-BB.RE collateral'!$D$3))  / SUM(SUMIFS(Input!$G:$G,Input!$C:$C,'2.CC Trans-BB.RE collateral'!$A$10,Input!$D:$D,'2.CC Trans-BB.RE collateral'!Q$7&amp;"*",Input!$H:$H,{"1-REAL";"SANTANDER"},Input!$F:$F,'2.CC Trans-BB.RE collateral'!$D$3)),0)</f>
        <v>0</v>
      </c>
      <c r="R43" s="86">
        <f>IFERROR(SUM(SUMIFS(Input!$J:$J,Input!$C:$C,'2.CC Trans-BB.RE collateral'!$A$10,Input!$D:$D,'2.CC Trans-BB.RE collateral'!R$7&amp;"*",Input!$H:$H,{"1-REAL";"SANTANDER"},Input!$F:$F,'2.CC Trans-BB.RE collateral'!$D$3))  / SUM(SUMIFS(Input!$G:$G,Input!$C:$C,'2.CC Trans-BB.RE collateral'!$A$10,Input!$D:$D,'2.CC Trans-BB.RE collateral'!R$7&amp;"*",Input!$H:$H,{"1-REAL";"SANTANDER"},Input!$F:$F,'2.CC Trans-BB.RE collateral'!$D$3)),0)</f>
        <v>0</v>
      </c>
      <c r="S43" s="86">
        <f>IFERROR(SUM(SUMIFS(Input!$J:$J,Input!$C:$C,'2.CC Trans-BB.RE collateral'!$A$10,Input!$D:$D,'2.CC Trans-BB.RE collateral'!S$7&amp;"*",Input!$H:$H,{"1-REAL";"SANTANDER"},Input!$F:$F,'2.CC Trans-BB.RE collateral'!$D$3))  / SUM(SUMIFS(Input!$G:$G,Input!$C:$C,'2.CC Trans-BB.RE collateral'!$A$10,Input!$D:$D,'2.CC Trans-BB.RE collateral'!S$7&amp;"*",Input!$H:$H,{"1-REAL";"SANTANDER"},Input!$F:$F,'2.CC Trans-BB.RE collateral'!$D$3)),0)</f>
        <v>0</v>
      </c>
      <c r="T43" s="86">
        <f>IFERROR(SUMIFS(Input!$J:$J,Input!$C:$C,'2.CC Trans-BB.RE collateral'!$A$10,Input!$H:$H,"&lt;&gt;"&amp;S$1,Input!$H:$H,"&lt;&gt;"&amp;S$2,Input!$F:$F,'2.CC Trans-BB.RE collateral'!$D$3)  / SUMIFS(Input!$G:$G,Input!$C:$C,'2.CC Trans-BB.RE collateral'!$A$10,Input!$H:$H,"&lt;&gt;"&amp;S$1,Input!$H:$H,"&lt;&gt;"&amp;S$2,Input!$F:$F,'2.CC Trans-BB.RE collateral'!$D$3),0)</f>
        <v>0</v>
      </c>
      <c r="U43" s="60"/>
      <c r="V43" s="47"/>
    </row>
    <row r="44" spans="2:22" s="42" customFormat="1" ht="12.75" x14ac:dyDescent="0.2">
      <c r="B44" s="45">
        <v>33</v>
      </c>
      <c r="C44" s="59" t="s">
        <v>102</v>
      </c>
      <c r="D44" s="85">
        <f>ROUND(SUMIFS(Input!$G:$G,Input!$C:$C,'2.CC Trans-BB.RE collateral'!$A$10,Input!$I:$I,"MESG1",Input!$F:$F,'2.CC Trans-BB.RE collateral'!$D$3),0)</f>
        <v>0</v>
      </c>
      <c r="E44" s="85">
        <f>ROUND(SUMIFS(Input!$G:$G,Input!$C:$C,'2.CC Trans-BB.RE collateral'!$A$10,Input!$I:$I,"MESG1",Input!$E:$E,'2.CC Trans-BB.RE collateral'!E$3,Input!$F:$F,'2.CC Trans-BB.RE collateral'!$D$3),0)</f>
        <v>0</v>
      </c>
      <c r="F44" s="85">
        <f>ROUND(SUMIFS(Input!$G:$G,Input!$C:$C,'2.CC Trans-BB.RE collateral'!$A$10,Input!$I:$I,"MESG1",Input!$E:$E,'2.CC Trans-BB.RE collateral'!F$3,Input!$F:$F,'2.CC Trans-BB.RE collateral'!$D$3),0)</f>
        <v>0</v>
      </c>
      <c r="G44" s="85">
        <f>ROUND(SUMIFS(Input!$G:$G,Input!$C:$C,'2.CC Trans-BB.RE collateral'!$A$10,Input!$I:$I,"MESG1",Input!$E:$E,'2.CC Trans-BB.RE collateral'!G$3,Input!$F:$F,'2.CC Trans-BB.RE collateral'!$D$3),0)</f>
        <v>0</v>
      </c>
      <c r="H44" s="85">
        <f>ROUND(SUMIFS(Input!$G:$G,Input!$C:$C,'2.CC Trans-BB.RE collateral'!$A$10,Input!$I:$I,"MESG1",Input!$E:$E,'2.CC Trans-BB.RE collateral'!H$3,Input!$F:$F,'2.CC Trans-BB.RE collateral'!$D$3),0)</f>
        <v>0</v>
      </c>
      <c r="I44" s="85">
        <f>ROUND(SUMIFS(Input!$G:$G,Input!$C:$C,'2.CC Trans-BB.RE collateral'!$A$10,Input!$I:$I,"MESG1",Input!$E:$E,'2.CC Trans-BB.RE collateral'!I$3,Input!$F:$F,'2.CC Trans-BB.RE collateral'!$D$3),0)</f>
        <v>0</v>
      </c>
      <c r="J44" s="85">
        <f>ROUND(SUMIFS(Input!$G:$G,Input!$C:$C,'2.CC Trans-BB.RE collateral'!$A$10,Input!$I:$I,"MESG1",Input!$E:$E,'2.CC Trans-BB.RE collateral'!J$3,Input!$F:$F,'2.CC Trans-BB.RE collateral'!$D$3),0)</f>
        <v>0</v>
      </c>
      <c r="K44" s="85">
        <f>ROUND(SUMIFS(Input!$G:$G,Input!$C:$C,'2.CC Trans-BB.RE collateral'!$A$10,Input!$I:$I,"MESG1",Input!$R:$R,"&lt;&gt;"&amp;$S$1,Input!$F:$F,'2.CC Trans-BB.RE collateral'!$D$3),0)</f>
        <v>0</v>
      </c>
      <c r="L44" s="60"/>
      <c r="M44" s="85">
        <f>ROUND(SUM(SUMIFS(Input!$G:$G,Input!$C:$C,'2.CC Trans-BB.RE collateral'!$A$10,Input!$I:$I,"MESG1",Input!$D:$D,'2.CC Trans-BB.RE collateral'!M$7&amp;"*",Input!$H:$H,{"1-REAL";"SANTANDER"},Input!$F:$F,'2.CC Trans-BB.RE collateral'!$D$3)),0)</f>
        <v>0</v>
      </c>
      <c r="N44" s="85">
        <f>ROUND(SUM(SUMIFS(Input!$G:$G,Input!$C:$C,'2.CC Trans-BB.RE collateral'!$A$10,Input!$I:$I,"MESG1",Input!$D:$D,'2.CC Trans-BB.RE collateral'!N$7&amp;"*",Input!$H:$H,{"1-REAL";"SANTANDER"},Input!$F:$F,'2.CC Trans-BB.RE collateral'!$D$3)),0)</f>
        <v>0</v>
      </c>
      <c r="O44" s="85">
        <f>ROUND(SUM(SUMIFS(Input!$G:$G,Input!$C:$C,'2.CC Trans-BB.RE collateral'!$A$10,Input!$I:$I,"MESG1",Input!$D:$D,'2.CC Trans-BB.RE collateral'!O$7&amp;"*",Input!$H:$H,{"1-REAL";"SANTANDER"},Input!$F:$F,'2.CC Trans-BB.RE collateral'!$D$3)),0)</f>
        <v>0</v>
      </c>
      <c r="P44" s="85">
        <f>ROUND(SUM(SUMIFS(Input!$G:$G,Input!$C:$C,'2.CC Trans-BB.RE collateral'!$A$10,Input!$I:$I,"MESG1",Input!$D:$D,'2.CC Trans-BB.RE collateral'!P$7&amp;"*",Input!$H:$H,{"1-REAL";"SANTANDER"},Input!$F:$F,'2.CC Trans-BB.RE collateral'!$D$3)),0)</f>
        <v>0</v>
      </c>
      <c r="Q44" s="85">
        <f>ROUND(SUM(SUMIFS(Input!$G:$G,Input!$C:$C,'2.CC Trans-BB.RE collateral'!$A$10,Input!$I:$I,"MESG1",Input!$D:$D,'2.CC Trans-BB.RE collateral'!Q$7&amp;"*",Input!$H:$H,{"1-REAL";"SANTANDER"},Input!$F:$F,'2.CC Trans-BB.RE collateral'!$D$3)),0)</f>
        <v>0</v>
      </c>
      <c r="R44" s="85">
        <f>ROUND(SUM(SUMIFS(Input!$G:$G,Input!$C:$C,'2.CC Trans-BB.RE collateral'!$A$10,Input!$I:$I,"MESG1",Input!$D:$D,'2.CC Trans-BB.RE collateral'!R$7&amp;"*",Input!$H:$H,{"1-REAL";"SANTANDER"},Input!$F:$F,'2.CC Trans-BB.RE collateral'!$D$3)),0)</f>
        <v>0</v>
      </c>
      <c r="S44" s="85">
        <f>ROUND(SUM(SUMIFS(Input!$G:$G,Input!$C:$C,'2.CC Trans-BB.RE collateral'!$A$10,Input!$I:$I,"MESG1",Input!$D:$D,'2.CC Trans-BB.RE collateral'!S$7&amp;"*",Input!$H:$H,{"1-REAL";"SANTANDER"},Input!$F:$F,'2.CC Trans-BB.RE collateral'!$D$3)),0)</f>
        <v>0</v>
      </c>
      <c r="T44" s="85">
        <f>ROUND(SUMIFS(Input!$G:$G,Input!$C:$C,'2.CC Trans-BB.RE collateral'!$A$10,Input!$I:$I,"MESG1",Input!$H:$H,"&lt;&gt;"&amp;S$1,Input!$H:$H,"&lt;&gt;"&amp;S$2,Input!$F:$F,'2.CC Trans-BB.RE collateral'!$D$3),0)</f>
        <v>0</v>
      </c>
      <c r="U44" s="60"/>
      <c r="V44" s="47"/>
    </row>
    <row r="45" spans="2:22" s="42" customFormat="1" ht="12.75" x14ac:dyDescent="0.2">
      <c r="B45" s="45">
        <v>34</v>
      </c>
      <c r="C45" s="59" t="s">
        <v>103</v>
      </c>
      <c r="D45" s="84">
        <f>IFERROR(SUM(SUMIFS(Input!$O:$O,Input!$C:$C,'2.CC Trans-BB.RE collateral'!$A$10,Input!$K:$K,{"NBF1";"NBF2"},Input!$F:$F,'2.CC Trans-BB.RE collateral'!$D$3)) / SUM(SUMIFS(Input!$G:$G,Input!$C:$C,'2.CC Trans-BB.RE collateral'!$A$10,Input!$K:$K,{"NBF1";"NBF2"},Input!$F:$F,'2.CC Trans-BB.RE collateral'!$D$3)),0)</f>
        <v>0</v>
      </c>
      <c r="E45" s="84">
        <f>IFERROR(SUM(SUMIFS(Input!$O:$O,Input!$C:$C,'2.CC Trans-BB.RE collateral'!$A$10,Input!$K:$K,{"NBF1";"NBF2"},Input!$E:$E,'2.CC Trans-BB.RE collateral'!E$3,Input!$F:$F,'2.CC Trans-BB.RE collateral'!$D$3)) / SUM(SUMIFS(Input!$G:$G,Input!$C:$C,'2.CC Trans-BB.RE collateral'!$A$10,Input!$K:$K,{"NBF1";"NBF2"},Input!$E:$E,'2.CC Trans-BB.RE collateral'!E$3,Input!$F:$F,'2.CC Trans-BB.RE collateral'!$D$3)),0)</f>
        <v>0</v>
      </c>
      <c r="F45" s="84">
        <f>IFERROR(SUM(SUMIFS(Input!$O:$O,Input!$C:$C,'2.CC Trans-BB.RE collateral'!$A$10,Input!$K:$K,{"NBF1";"NBF2"},Input!$E:$E,'2.CC Trans-BB.RE collateral'!F$3,Input!$F:$F,'2.CC Trans-BB.RE collateral'!$D$3)) / SUM(SUMIFS(Input!$G:$G,Input!$C:$C,'2.CC Trans-BB.RE collateral'!$A$10,Input!$K:$K,{"NBF1";"NBF2"},Input!$E:$E,'2.CC Trans-BB.RE collateral'!F$3,Input!$F:$F,'2.CC Trans-BB.RE collateral'!$D$3)),0)</f>
        <v>0</v>
      </c>
      <c r="G45" s="84">
        <f>IFERROR(SUM(SUMIFS(Input!$O:$O,Input!$C:$C,'2.CC Trans-BB.RE collateral'!$A$10,Input!$K:$K,{"NBF1";"NBF2"},Input!$E:$E,'2.CC Trans-BB.RE collateral'!G$3,Input!$F:$F,'2.CC Trans-BB.RE collateral'!$D$3)) / SUM(SUMIFS(Input!$G:$G,Input!$C:$C,'2.CC Trans-BB.RE collateral'!$A$10,Input!$K:$K,{"NBF1";"NBF2"},Input!$E:$E,'2.CC Trans-BB.RE collateral'!G$3,Input!$F:$F,'2.CC Trans-BB.RE collateral'!$D$3)),0)</f>
        <v>0</v>
      </c>
      <c r="H45" s="84">
        <f>IFERROR(SUM(SUMIFS(Input!$O:$O,Input!$C:$C,'2.CC Trans-BB.RE collateral'!$A$10,Input!$K:$K,{"NBF1";"NBF2"},Input!$E:$E,'2.CC Trans-BB.RE collateral'!H$3,Input!$F:$F,'2.CC Trans-BB.RE collateral'!$D$3)) / SUM(SUMIFS(Input!$G:$G,Input!$C:$C,'2.CC Trans-BB.RE collateral'!$A$10,Input!$K:$K,{"NBF1";"NBF2"},Input!$E:$E,'2.CC Trans-BB.RE collateral'!H$3,Input!$F:$F,'2.CC Trans-BB.RE collateral'!$D$3)),0)</f>
        <v>0</v>
      </c>
      <c r="I45" s="84">
        <f>IFERROR(SUM(SUMIFS(Input!$O:$O,Input!$C:$C,'2.CC Trans-BB.RE collateral'!$A$10,Input!$K:$K,{"NBF1";"NBF2"},Input!$E:$E,'2.CC Trans-BB.RE collateral'!I$3,Input!$F:$F,'2.CC Trans-BB.RE collateral'!$D$3)) / SUM(SUMIFS(Input!$G:$G,Input!$C:$C,'2.CC Trans-BB.RE collateral'!$A$10,Input!$K:$K,{"NBF1";"NBF2"},Input!$E:$E,'2.CC Trans-BB.RE collateral'!I$3,Input!$F:$F,'2.CC Trans-BB.RE collateral'!$D$3)),0)</f>
        <v>0</v>
      </c>
      <c r="J45" s="84">
        <f>IFERROR(SUM(SUMIFS(Input!$O:$O,Input!$C:$C,'2.CC Trans-BB.RE collateral'!$A$10,Input!$K:$K,{"NBF1";"NBF2"},Input!$E:$E,'2.CC Trans-BB.RE collateral'!J$3,Input!$F:$F,'2.CC Trans-BB.RE collateral'!$D$3)) / SUM(SUMIFS(Input!$G:$G,Input!$C:$C,'2.CC Trans-BB.RE collateral'!$A$10,Input!$K:$K,{"NBF1";"NBF2"},Input!$E:$E,'2.CC Trans-BB.RE collateral'!J$3,Input!$F:$F,'2.CC Trans-BB.RE collateral'!$D$3)),0)</f>
        <v>0</v>
      </c>
      <c r="K45" s="84">
        <f>IFERROR(SUM(SUMIFS(Input!$O:$O,Input!$C:$C,'2.CC Trans-BB.RE collateral'!$A$10,Input!$K:$K,{"NBF1";"NBF2"},Input!$R:$R,"&lt;&gt;"&amp;$S$1,Input!$F:$F,'2.CC Trans-BB.RE collateral'!$D$3)) / SUM(SUMIFS(Input!$G:$G,Input!$C:$C,'2.CC Trans-BB.RE collateral'!$A$10,Input!$K:$K,{"NBF1";"NBF2"},Input!$R:$R,"&lt;&gt;"&amp;$S$1,Input!$F:$F,'2.CC Trans-BB.RE collateral'!$D$3)),0)</f>
        <v>0</v>
      </c>
      <c r="L45" s="60"/>
      <c r="M45" s="84">
        <f>IFERROR(SUM(SUMIFS(Input!$O:$O,Input!$C:$C,'2.CC Trans-BB.RE collateral'!$A$10,Input!$K:$K,{"NBF1";"NBF2"},Input!$H:$H,"1-REAL",Input!$D:$D,'2.CC Trans-BB.RE collateral'!M$7&amp;"*",Input!$F:$F,'2.CC Trans-BB.RE collateral'!$D$3)) / SUM(SUMIFS(Input!$G:$G,Input!$C:$C,'2.CC Trans-BB.RE collateral'!$A$10,Input!$K:$K,{"NBF1";"NBF2"},Input!$H:$H,"1-REAL",Input!$D:$D,'2.CC Trans-BB.RE collateral'!M$7&amp;"*",Input!$F:$F,'2.CC Trans-BB.RE collateral'!$D$3)),0)</f>
        <v>0</v>
      </c>
      <c r="N45" s="84">
        <f>IFERROR(SUM(SUMIFS(Input!$O:$O,Input!$C:$C,'2.CC Trans-BB.RE collateral'!$A$10,Input!$K:$K,{"NBF1";"NBF2"},Input!$H:$H,"1-REAL",Input!$D:$D,'2.CC Trans-BB.RE collateral'!N$7&amp;"*",Input!$F:$F,'2.CC Trans-BB.RE collateral'!$D$3)) / SUM(SUMIFS(Input!$G:$G,Input!$C:$C,'2.CC Trans-BB.RE collateral'!$A$10,Input!$K:$K,{"NBF1";"NBF2"},Input!$H:$H,"1-REAL",Input!$D:$D,'2.CC Trans-BB.RE collateral'!N$7&amp;"*",Input!$F:$F,'2.CC Trans-BB.RE collateral'!$D$3)),0)</f>
        <v>0</v>
      </c>
      <c r="O45" s="84">
        <f>IFERROR(SUM(SUMIFS(Input!$O:$O,Input!$C:$C,'2.CC Trans-BB.RE collateral'!$A$10,Input!$K:$K,{"NBF1";"NBF2"},Input!$H:$H,"1-REAL",Input!$D:$D,'2.CC Trans-BB.RE collateral'!O$7&amp;"*",Input!$F:$F,'2.CC Trans-BB.RE collateral'!$D$3)) / SUM(SUMIFS(Input!$G:$G,Input!$C:$C,'2.CC Trans-BB.RE collateral'!$A$10,Input!$K:$K,{"NBF1";"NBF2"},Input!$H:$H,"1-REAL",Input!$D:$D,'2.CC Trans-BB.RE collateral'!O$7&amp;"*",Input!$F:$F,'2.CC Trans-BB.RE collateral'!$D$3)),0)</f>
        <v>0</v>
      </c>
      <c r="P45" s="84">
        <f>IFERROR(SUM(SUMIFS(Input!$O:$O,Input!$C:$C,'2.CC Trans-BB.RE collateral'!$A$10,Input!$K:$K,{"NBF1";"NBF2"},Input!$H:$H,"1-REAL",Input!$D:$D,'2.CC Trans-BB.RE collateral'!P$7&amp;"*",Input!$F:$F,'2.CC Trans-BB.RE collateral'!$D$3)) / SUM(SUMIFS(Input!$G:$G,Input!$C:$C,'2.CC Trans-BB.RE collateral'!$A$10,Input!$K:$K,{"NBF1";"NBF2"},Input!$H:$H,"1-REAL",Input!$D:$D,'2.CC Trans-BB.RE collateral'!P$7&amp;"*",Input!$F:$F,'2.CC Trans-BB.RE collateral'!$D$3)),0)</f>
        <v>0</v>
      </c>
      <c r="Q45" s="84">
        <f>IFERROR(SUM(SUMIFS(Input!$O:$O,Input!$C:$C,'2.CC Trans-BB.RE collateral'!$A$10,Input!$K:$K,{"NBF1";"NBF2"},Input!$H:$H,"1-REAL",Input!$D:$D,'2.CC Trans-BB.RE collateral'!Q$7&amp;"*",Input!$F:$F,'2.CC Trans-BB.RE collateral'!$D$3)) / SUM(SUMIFS(Input!$G:$G,Input!$C:$C,'2.CC Trans-BB.RE collateral'!$A$10,Input!$K:$K,{"NBF1";"NBF2"},Input!$H:$H,"1-REAL",Input!$D:$D,'2.CC Trans-BB.RE collateral'!Q$7&amp;"*",Input!$F:$F,'2.CC Trans-BB.RE collateral'!$D$3)),0)</f>
        <v>0</v>
      </c>
      <c r="R45" s="84">
        <f>IFERROR(SUM(SUMIFS(Input!$O:$O,Input!$C:$C,'2.CC Trans-BB.RE collateral'!$A$10,Input!$K:$K,{"NBF1";"NBF2"},Input!$H:$H,"1-REAL",Input!$D:$D,'2.CC Trans-BB.RE collateral'!R$7&amp;"*",Input!$F:$F,'2.CC Trans-BB.RE collateral'!$D$3)) / SUM(SUMIFS(Input!$G:$G,Input!$C:$C,'2.CC Trans-BB.RE collateral'!$A$10,Input!$K:$K,{"NBF1";"NBF2"},Input!$H:$H,"1-REAL",Input!$D:$D,'2.CC Trans-BB.RE collateral'!R$7&amp;"*",Input!$F:$F,'2.CC Trans-BB.RE collateral'!$D$3)),0)</f>
        <v>0</v>
      </c>
      <c r="S45" s="84">
        <f>IFERROR(SUM(SUMIFS(Input!$O:$O,Input!$C:$C,'2.CC Trans-BB.RE collateral'!$A$10,Input!$K:$K,{"NBF1";"NBF2"},Input!$H:$H,"1-REAL",Input!$D:$D,'2.CC Trans-BB.RE collateral'!S$7&amp;"*",Input!$F:$F,'2.CC Trans-BB.RE collateral'!$D$3)) / SUM(SUMIFS(Input!$G:$G,Input!$C:$C,'2.CC Trans-BB.RE collateral'!$A$10,Input!$K:$K,{"NBF1";"NBF2"},Input!$H:$H,"1-REAL",Input!$D:$D,'2.CC Trans-BB.RE collateral'!S$7&amp;"*",Input!$F:$F,'2.CC Trans-BB.RE collateral'!$D$3)),0)</f>
        <v>0</v>
      </c>
      <c r="T45" s="84">
        <f>IFERROR(SUM(SUMIFS(Input!$O:$O,Input!$C:$C,'2.CC Trans-BB.RE collateral'!$A$10,Input!$K:$K,{"NBF1";"NBF2"},Input!$H:$H,"&lt;&gt;"&amp;S$1,Input!$H:$H,"&lt;&gt;"&amp;S$2,Input!$F:$F,'2.CC Trans-BB.RE collateral'!$D$3)) / SUM(SUMIFS(Input!$G:$G,Input!$C:$C,'2.CC Trans-BB.RE collateral'!$A$10,Input!$K:$K,{"NBF1";"NBF2"},Input!$H:$H,"&lt;&gt;"&amp;S$1,Input!$H:$H,"&lt;&gt;"&amp;S$2,Input!$F:$F,'2.CC Trans-BB.RE collateral'!$D$3)),0)</f>
        <v>0</v>
      </c>
      <c r="U45" s="60"/>
      <c r="V45" s="47"/>
    </row>
    <row r="46" spans="2:22" s="42" customFormat="1" ht="12.75" x14ac:dyDescent="0.2">
      <c r="B46" s="66"/>
      <c r="C46" s="67"/>
      <c r="D46" s="68"/>
      <c r="K46" s="68"/>
      <c r="L46" s="69"/>
      <c r="M46" s="70"/>
      <c r="N46" s="70"/>
      <c r="O46" s="70"/>
      <c r="P46" s="70"/>
      <c r="Q46" s="70"/>
      <c r="R46" s="70"/>
      <c r="S46" s="70"/>
      <c r="T46" s="70"/>
      <c r="U46" s="69"/>
      <c r="V46" s="47"/>
    </row>
    <row r="47" spans="2:22" s="42" customFormat="1" ht="12.75" x14ac:dyDescent="0.2">
      <c r="B47" s="71" t="s">
        <v>104</v>
      </c>
      <c r="C47" s="67"/>
      <c r="D47" s="68"/>
      <c r="E47" s="68"/>
      <c r="F47" s="68"/>
      <c r="G47" s="68"/>
      <c r="H47" s="68"/>
      <c r="I47" s="68"/>
      <c r="J47" s="68"/>
      <c r="K47" s="68"/>
      <c r="L47" s="69"/>
      <c r="M47" s="72"/>
      <c r="N47" s="72"/>
      <c r="O47" s="72"/>
      <c r="P47" s="72"/>
      <c r="Q47" s="72"/>
      <c r="R47" s="72"/>
      <c r="S47" s="72"/>
      <c r="T47" s="70"/>
      <c r="U47" s="69"/>
      <c r="V47" s="47"/>
    </row>
    <row r="48" spans="2:22" s="42" customFormat="1" ht="12.75" x14ac:dyDescent="0.2">
      <c r="B48" s="73"/>
      <c r="C48" s="67"/>
      <c r="D48" s="68"/>
      <c r="E48" s="95" t="s">
        <v>105</v>
      </c>
      <c r="F48" s="95"/>
      <c r="G48" s="95"/>
      <c r="H48" s="95"/>
      <c r="I48" s="95"/>
      <c r="J48" s="95"/>
      <c r="K48" s="68"/>
      <c r="L48" s="68"/>
      <c r="M48" s="95" t="s">
        <v>105</v>
      </c>
      <c r="N48" s="95"/>
      <c r="O48" s="95"/>
      <c r="P48" s="95"/>
      <c r="Q48" s="95"/>
      <c r="R48" s="95"/>
      <c r="S48" s="95"/>
      <c r="T48" s="70"/>
      <c r="U48" s="69"/>
      <c r="V48" s="47"/>
    </row>
    <row r="49" spans="2:22" s="42" customFormat="1" ht="14.25" customHeight="1" x14ac:dyDescent="0.2">
      <c r="C49" s="67"/>
      <c r="D49" s="68"/>
      <c r="E49" s="74" t="s">
        <v>13</v>
      </c>
      <c r="F49" s="74" t="s">
        <v>14</v>
      </c>
      <c r="G49" s="74" t="s">
        <v>15</v>
      </c>
      <c r="H49" s="74" t="s">
        <v>16</v>
      </c>
      <c r="I49" s="74" t="s">
        <v>17</v>
      </c>
      <c r="J49" s="74" t="s">
        <v>18</v>
      </c>
      <c r="K49" s="68"/>
      <c r="M49" s="74" t="s">
        <v>19</v>
      </c>
      <c r="N49" s="74" t="s">
        <v>20</v>
      </c>
      <c r="O49" s="74" t="s">
        <v>21</v>
      </c>
      <c r="P49" s="74" t="s">
        <v>22</v>
      </c>
      <c r="Q49" s="74" t="s">
        <v>23</v>
      </c>
      <c r="R49" s="74" t="s">
        <v>24</v>
      </c>
      <c r="S49" s="74" t="s">
        <v>25</v>
      </c>
      <c r="T49" s="70"/>
      <c r="U49" s="69"/>
      <c r="V49" s="47"/>
    </row>
    <row r="50" spans="2:22" s="42" customFormat="1" ht="12.75" x14ac:dyDescent="0.2">
      <c r="B50" s="45">
        <v>35</v>
      </c>
      <c r="C50" s="67"/>
      <c r="D50" s="68" t="s">
        <v>106</v>
      </c>
      <c r="E50" s="85">
        <f>ROUND(SUM(SUMIFS(Input!$G:$G,Input!$E:$E,'2.CC Trans-BB.RE collateral'!E$3,Input!$C:$C,'2.CC Trans-BB.RE collateral'!$A$9,Input!$K:$K,{"NBF1";"NBF2"})),0)</f>
        <v>0</v>
      </c>
      <c r="F50" s="85">
        <f>ROUND(SUM(SUMIFS(Input!$G:$G,Input!$E:$E,'2.CC Trans-BB.RE collateral'!F$3,Input!$C:$C,'2.CC Trans-BB.RE collateral'!$A$9,Input!$K:$K,{"NBF1";"NBF2"})),0)</f>
        <v>0</v>
      </c>
      <c r="G50" s="85">
        <f>ROUND(SUM(SUMIFS(Input!$G:$G,Input!$E:$E,'2.CC Trans-BB.RE collateral'!G$3,Input!$C:$C,'2.CC Trans-BB.RE collateral'!$A$9,Input!$K:$K,{"NBF1";"NBF2"})),0)</f>
        <v>0</v>
      </c>
      <c r="H50" s="85">
        <f>ROUND(SUM(SUMIFS(Input!$G:$G,Input!$E:$E,'2.CC Trans-BB.RE collateral'!H$3,Input!$C:$C,'2.CC Trans-BB.RE collateral'!$A$9,Input!$K:$K,{"NBF1";"NBF2"})),0)</f>
        <v>0</v>
      </c>
      <c r="I50" s="85">
        <f>ROUND(SUM(SUMIFS(Input!$G:$G,Input!$E:$E,'2.CC Trans-BB.RE collateral'!I$3,Input!$C:$C,'2.CC Trans-BB.RE collateral'!$A$9,Input!$K:$K,{"NBF1";"NBF2"})),0)</f>
        <v>0</v>
      </c>
      <c r="J50" s="85">
        <f>ROUND(SUM(SUMIFS(Input!$G:$G,Input!$E:$E,'2.CC Trans-BB.RE collateral'!J$3,Input!$C:$C,'2.CC Trans-BB.RE collateral'!$A$9,Input!$K:$K,{"NBF1";"NBF2"})),0)</f>
        <v>0</v>
      </c>
      <c r="K50" s="68"/>
      <c r="L50" s="68" t="s">
        <v>106</v>
      </c>
      <c r="M50" s="85">
        <f>ROUND((SUM(SUMIFS(Input!$G:$G,Input!$D:$D,'2.CC Trans-BB.RE collateral'!M$7&amp;"*",Input!$C:$C,'2.CC Trans-BB.RE collateral'!$A$9,Input!$H:$H,{"1-REAL";"SANTANDER"},Input!$K:$K,"NBF2"))+
SUM(SUMIFS(Input!$G:$G,Input!$D:$D,'2.CC Trans-BB.RE collateral'!M$7&amp;"*",Input!$C:$C,'2.CC Trans-BB.RE collateral'!$A$9,Input!$H:$H,{"1-REAL";"SANTANDER"},Input!$K:$K,"NBF1"))),0)</f>
        <v>0</v>
      </c>
      <c r="N50" s="85">
        <f>ROUND((SUM(SUMIFS(Input!$G:$G,Input!$D:$D,'2.CC Trans-BB.RE collateral'!N$7&amp;"*",Input!$C:$C,'2.CC Trans-BB.RE collateral'!$A$9,Input!$H:$H,{"1-REAL";"SANTANDER"},Input!$K:$K,"NBF2"))+
SUM(SUMIFS(Input!$G:$G,Input!$D:$D,'2.CC Trans-BB.RE collateral'!N$7&amp;"*",Input!$C:$C,'2.CC Trans-BB.RE collateral'!$A$9,Input!$H:$H,{"1-REAL";"SANTANDER"},Input!$K:$K,"NBF1"))),0)</f>
        <v>0</v>
      </c>
      <c r="O50" s="85">
        <f>ROUND((SUM(SUMIFS(Input!$G:$G,Input!$D:$D,'2.CC Trans-BB.RE collateral'!O$7&amp;"*",Input!$C:$C,'2.CC Trans-BB.RE collateral'!$A$9,Input!$H:$H,{"1-REAL";"SANTANDER"},Input!$K:$K,"NBF2"))+
SUM(SUMIFS(Input!$G:$G,Input!$D:$D,'2.CC Trans-BB.RE collateral'!O$7&amp;"*",Input!$C:$C,'2.CC Trans-BB.RE collateral'!$A$9,Input!$H:$H,{"1-REAL";"SANTANDER"},Input!$K:$K,"NBF1"))),0)</f>
        <v>0</v>
      </c>
      <c r="P50" s="85">
        <f>ROUND((SUM(SUMIFS(Input!$G:$G,Input!$D:$D,'2.CC Trans-BB.RE collateral'!P$7&amp;"*",Input!$C:$C,'2.CC Trans-BB.RE collateral'!$A$9,Input!$H:$H,{"1-REAL";"SANTANDER"},Input!$K:$K,"NBF2"))+
SUM(SUMIFS(Input!$G:$G,Input!$D:$D,'2.CC Trans-BB.RE collateral'!P$7&amp;"*",Input!$C:$C,'2.CC Trans-BB.RE collateral'!$A$9,Input!$H:$H,{"1-REAL";"SANTANDER"},Input!$K:$K,"NBF1"))),0)</f>
        <v>0</v>
      </c>
      <c r="Q50" s="85">
        <f>ROUND((SUM(SUMIFS(Input!$G:$G,Input!$D:$D,'2.CC Trans-BB.RE collateral'!Q$7&amp;"*",Input!$C:$C,'2.CC Trans-BB.RE collateral'!$A$9,Input!$H:$H,{"1-REAL";"SANTANDER"},Input!$K:$K,"NBF2"))+
SUM(SUMIFS(Input!$G:$G,Input!$D:$D,'2.CC Trans-BB.RE collateral'!Q$7&amp;"*",Input!$C:$C,'2.CC Trans-BB.RE collateral'!$A$9,Input!$H:$H,{"1-REAL";"SANTANDER"},Input!$K:$K,"NBF1"))),0)</f>
        <v>0</v>
      </c>
      <c r="R50" s="85">
        <f>ROUND((SUM(SUMIFS(Input!$G:$G,Input!$D:$D,'2.CC Trans-BB.RE collateral'!R$7&amp;"*",Input!$C:$C,'2.CC Trans-BB.RE collateral'!$A$9,Input!$H:$H,{"1-REAL";"SANTANDER"},Input!$K:$K,"NBF2"))+
SUM(SUMIFS(Input!$G:$G,Input!$D:$D,'2.CC Trans-BB.RE collateral'!R$7&amp;"*",Input!$C:$C,'2.CC Trans-BB.RE collateral'!$A$9,Input!$H:$H,{"1-REAL";"SANTANDER"},Input!$K:$K,"NBF1"))),0)</f>
        <v>0</v>
      </c>
      <c r="S50" s="85">
        <f>ROUND((SUM(SUMIFS(Input!$G:$G,Input!$D:$D,'2.CC Trans-BB.RE collateral'!S$7&amp;"*",Input!$C:$C,'2.CC Trans-BB.RE collateral'!$A$9,Input!$H:$H,{"1-REAL";"SANTANDER"},Input!$K:$K,"NBF2"))+
SUM(SUMIFS(Input!$G:$G,Input!$D:$D,'2.CC Trans-BB.RE collateral'!S$7&amp;"*",Input!$C:$C,'2.CC Trans-BB.RE collateral'!$A$9,Input!$H:$H,{"1-REAL";"SANTANDER"},Input!$K:$K,"NBF1"))),0)</f>
        <v>0</v>
      </c>
      <c r="T50" s="70"/>
      <c r="U50" s="69"/>
      <c r="V50" s="47"/>
    </row>
    <row r="51" spans="2:22" s="42" customFormat="1" ht="3" customHeight="1" x14ac:dyDescent="0.2">
      <c r="B51" s="75"/>
      <c r="C51" s="67"/>
      <c r="D51" s="68"/>
      <c r="E51" s="87"/>
      <c r="F51" s="87"/>
      <c r="G51" s="87"/>
      <c r="H51" s="87"/>
      <c r="I51" s="87"/>
      <c r="J51" s="87"/>
      <c r="K51" s="68"/>
      <c r="L51" s="68"/>
      <c r="M51" s="87"/>
      <c r="N51" s="87"/>
      <c r="O51" s="87"/>
      <c r="P51" s="87"/>
      <c r="Q51" s="87"/>
      <c r="R51" s="87"/>
      <c r="S51" s="87"/>
      <c r="T51" s="70"/>
      <c r="U51" s="69"/>
      <c r="V51" s="47"/>
    </row>
    <row r="52" spans="2:22" s="42" customFormat="1" ht="12.75" x14ac:dyDescent="0.2">
      <c r="B52" s="45">
        <v>36</v>
      </c>
      <c r="C52" s="67"/>
      <c r="D52" s="76" t="s">
        <v>13</v>
      </c>
      <c r="E52" s="85">
        <f>ROUND(SUM(SUMIFS(Input!$G:$G,Input!$E:$E,'2.CC Trans-BB.RE collateral'!E$3,Input!$C:$C,'2.CC Trans-BB.RE collateral'!$A$9,Input!$L:$L,"PEPS1",Input!$K:$K,"NBF3")),0)</f>
        <v>0</v>
      </c>
      <c r="F52" s="85">
        <f>ROUND(SUM(SUMIFS(Input!$G:$G,Input!$E:$E,'2.CC Trans-BB.RE collateral'!F$3,Input!$C:$C,'2.CC Trans-BB.RE collateral'!$A$9,Input!$L:$L,"PEPS1",Input!$K:$K,"NBF3")),0)</f>
        <v>0</v>
      </c>
      <c r="G52" s="85">
        <f>ROUND(SUM(SUMIFS(Input!$G:$G,Input!$E:$E,'2.CC Trans-BB.RE collateral'!G$3,Input!$C:$C,'2.CC Trans-BB.RE collateral'!$A$9,Input!$L:$L,"PEPS1",Input!$K:$K,"NBF3")),0)</f>
        <v>0</v>
      </c>
      <c r="H52" s="85">
        <f>ROUND(SUM(SUMIFS(Input!$G:$G,Input!$E:$E,'2.CC Trans-BB.RE collateral'!H$3,Input!$C:$C,'2.CC Trans-BB.RE collateral'!$A$9,Input!$L:$L,"PEPS1",Input!$K:$K,"NBF3")),0)</f>
        <v>0</v>
      </c>
      <c r="I52" s="85">
        <f>ROUND(SUM(SUMIFS(Input!$G:$G,Input!$E:$E,'2.CC Trans-BB.RE collateral'!I$3,Input!$C:$C,'2.CC Trans-BB.RE collateral'!$A$9,Input!$L:$L,"PEPS1",Input!$K:$K,"NBF3")),0)</f>
        <v>0</v>
      </c>
      <c r="J52" s="85">
        <f>ROUND(SUM(SUMIFS(Input!$G:$G,Input!$E:$E,'2.CC Trans-BB.RE collateral'!J$3,Input!$C:$C,'2.CC Trans-BB.RE collateral'!$A$9,Input!$L:$L,"PEPS1",Input!$K:$K,"NBF3")),0)</f>
        <v>0</v>
      </c>
      <c r="K52" s="68"/>
      <c r="L52" s="76" t="s">
        <v>19</v>
      </c>
      <c r="M52" s="85">
        <f>ROUND(SUM(SUMIFS(Input!$G:$G,Input!$D:$D,'2.CC Trans-BB.RE collateral'!M$7&amp;"*",Input!$C:$C,'2.CC Trans-BB.RE collateral'!$A$9,Input!$M:$M,"PEPC1",Input!$H:$H,{"1-REAL";"SANTANDER"},Input!$K:$K,"NBF3")),0)</f>
        <v>0</v>
      </c>
      <c r="N52" s="85">
        <f>ROUND(SUM(SUMIFS(Input!$G:$G,Input!$D:$D,'2.CC Trans-BB.RE collateral'!N$7&amp;"*",Input!$C:$C,'2.CC Trans-BB.RE collateral'!$A$9,Input!$M:$M,"PEPC1",Input!$H:$H,{"1-REAL";"SANTANDER"},Input!$K:$K,"NBF3")),0)</f>
        <v>0</v>
      </c>
      <c r="O52" s="85">
        <f>ROUND(SUM(SUMIFS(Input!$G:$G,Input!$D:$D,'2.CC Trans-BB.RE collateral'!O$7&amp;"*",Input!$C:$C,'2.CC Trans-BB.RE collateral'!$A$9,Input!$M:$M,"PEPC1",Input!$H:$H,{"1-REAL";"SANTANDER"},Input!$K:$K,"NBF3")),0)</f>
        <v>0</v>
      </c>
      <c r="P52" s="85">
        <f>ROUND(SUM(SUMIFS(Input!$G:$G,Input!$D:$D,'2.CC Trans-BB.RE collateral'!P$7&amp;"*",Input!$C:$C,'2.CC Trans-BB.RE collateral'!$A$9,Input!$M:$M,"PEPC1",Input!$H:$H,{"1-REAL";"SANTANDER"},Input!$K:$K,"NBF3")),0)</f>
        <v>0</v>
      </c>
      <c r="Q52" s="85">
        <f>ROUND(SUM(SUMIFS(Input!$G:$G,Input!$D:$D,'2.CC Trans-BB.RE collateral'!Q$7&amp;"*",Input!$C:$C,'2.CC Trans-BB.RE collateral'!$A$9,Input!$M:$M,"PEPC1",Input!$H:$H,{"1-REAL";"SANTANDER"},Input!$K:$K,"NBF3")),0)</f>
        <v>0</v>
      </c>
      <c r="R52" s="85">
        <f>ROUND(SUM(SUMIFS(Input!$G:$G,Input!$D:$D,'2.CC Trans-BB.RE collateral'!R$7&amp;"*",Input!$C:$C,'2.CC Trans-BB.RE collateral'!$A$9,Input!$M:$M,"PEPC1",Input!$H:$H,{"1-REAL";"SANTANDER"},Input!$K:$K,"NBF3")),0)</f>
        <v>0</v>
      </c>
      <c r="S52" s="85">
        <f>ROUND(SUM(SUMIFS(Input!$G:$G,Input!$D:$D,'2.CC Trans-BB.RE collateral'!S$7&amp;"*",Input!$C:$C,'2.CC Trans-BB.RE collateral'!$A$9,Input!$M:$M,"PEPC1",Input!$H:$H,{"1-REAL";"SANTANDER"},Input!$K:$K,"NBF3")),0)</f>
        <v>0</v>
      </c>
      <c r="T52" s="70"/>
      <c r="U52" s="69"/>
      <c r="V52" s="47"/>
    </row>
    <row r="53" spans="2:22" s="42" customFormat="1" ht="12.75" x14ac:dyDescent="0.2">
      <c r="B53" s="45">
        <v>37</v>
      </c>
      <c r="C53" s="67"/>
      <c r="D53" s="76" t="s">
        <v>14</v>
      </c>
      <c r="E53" s="85">
        <f>ROUND(SUM(SUMIFS(Input!$G:$G,Input!$E:$E,'2.CC Trans-BB.RE collateral'!E$3,Input!$C:$C,'2.CC Trans-BB.RE collateral'!$A$9,Input!$L:$L,"PEPS2",Input!$K:$K,"NBF3")),0)</f>
        <v>0</v>
      </c>
      <c r="F53" s="85">
        <f>ROUND(SUM(SUMIFS(Input!$G:$G,Input!$E:$E,'2.CC Trans-BB.RE collateral'!F$3,Input!$C:$C,'2.CC Trans-BB.RE collateral'!$A$9,Input!$L:$L,"PEPS2",Input!$K:$K,"NBF3")),0)</f>
        <v>0</v>
      </c>
      <c r="G53" s="85">
        <f>ROUND(SUM(SUMIFS(Input!$G:$G,Input!$E:$E,'2.CC Trans-BB.RE collateral'!G$3,Input!$C:$C,'2.CC Trans-BB.RE collateral'!$A$9,Input!$L:$L,"PEPS2",Input!$K:$K,"NBF3")),0)</f>
        <v>0</v>
      </c>
      <c r="H53" s="85">
        <f>ROUND(SUM(SUMIFS(Input!$G:$G,Input!$E:$E,'2.CC Trans-BB.RE collateral'!H$3,Input!$C:$C,'2.CC Trans-BB.RE collateral'!$A$9,Input!$L:$L,"PEPS2",Input!$K:$K,"NBF3")),0)</f>
        <v>0</v>
      </c>
      <c r="I53" s="85">
        <f>ROUND(SUM(SUMIFS(Input!$G:$G,Input!$E:$E,'2.CC Trans-BB.RE collateral'!I$3,Input!$C:$C,'2.CC Trans-BB.RE collateral'!$A$9,Input!$L:$L,"PEPS2",Input!$K:$K,"NBF3")),0)</f>
        <v>0</v>
      </c>
      <c r="J53" s="85">
        <f>ROUND(SUM(SUMIFS(Input!$G:$G,Input!$E:$E,'2.CC Trans-BB.RE collateral'!J$3,Input!$C:$C,'2.CC Trans-BB.RE collateral'!$A$9,Input!$L:$L,"PEPS2",Input!$K:$K,"NBF3")),0)</f>
        <v>0</v>
      </c>
      <c r="K53" s="68"/>
      <c r="L53" s="76" t="s">
        <v>20</v>
      </c>
      <c r="M53" s="85">
        <f>ROUND(SUM(SUMIFS(Input!$G:$G,Input!$D:$D,'2.CC Trans-BB.RE collateral'!M$7&amp;"*",Input!$C:$C,'2.CC Trans-BB.RE collateral'!$A$9,Input!$M:$M,"PEPC2",Input!$H:$H,{"1-REAL";"SANTANDER"},Input!$K:$K,"NBF3")),0)</f>
        <v>0</v>
      </c>
      <c r="N53" s="85">
        <f>ROUND(SUM(SUMIFS(Input!$G:$G,Input!$D:$D,'2.CC Trans-BB.RE collateral'!N$7&amp;"*",Input!$C:$C,'2.CC Trans-BB.RE collateral'!$A$9,Input!$M:$M,"PEPC2",Input!$H:$H,{"1-REAL";"SANTANDER"},Input!$K:$K,"NBF3")),0)</f>
        <v>0</v>
      </c>
      <c r="O53" s="85">
        <f>ROUND(SUM(SUMIFS(Input!$G:$G,Input!$D:$D,'2.CC Trans-BB.RE collateral'!O$7&amp;"*",Input!$C:$C,'2.CC Trans-BB.RE collateral'!$A$9,Input!$M:$M,"PEPC2",Input!$H:$H,{"1-REAL";"SANTANDER"},Input!$K:$K,"NBF3")),0)</f>
        <v>0</v>
      </c>
      <c r="P53" s="85">
        <f>ROUND(SUM(SUMIFS(Input!$G:$G,Input!$D:$D,'2.CC Trans-BB.RE collateral'!P$7&amp;"*",Input!$C:$C,'2.CC Trans-BB.RE collateral'!$A$9,Input!$M:$M,"PEPC2",Input!$H:$H,{"1-REAL";"SANTANDER"},Input!$K:$K,"NBF3")),0)</f>
        <v>0</v>
      </c>
      <c r="Q53" s="85">
        <f>ROUND(SUM(SUMIFS(Input!$G:$G,Input!$D:$D,'2.CC Trans-BB.RE collateral'!Q$7&amp;"*",Input!$C:$C,'2.CC Trans-BB.RE collateral'!$A$9,Input!$M:$M,"PEPC2",Input!$H:$H,{"1-REAL";"SANTANDER"},Input!$K:$K,"NBF3")),0)</f>
        <v>0</v>
      </c>
      <c r="R53" s="85">
        <f>ROUND(SUM(SUMIFS(Input!$G:$G,Input!$D:$D,'2.CC Trans-BB.RE collateral'!R$7&amp;"*",Input!$C:$C,'2.CC Trans-BB.RE collateral'!$A$9,Input!$M:$M,"PEPC2",Input!$H:$H,{"1-REAL";"SANTANDER"},Input!$K:$K,"NBF3")),0)</f>
        <v>0</v>
      </c>
      <c r="S53" s="85">
        <f>ROUND(SUM(SUMIFS(Input!$G:$G,Input!$D:$D,'2.CC Trans-BB.RE collateral'!S$7&amp;"*",Input!$C:$C,'2.CC Trans-BB.RE collateral'!$A$9,Input!$M:$M,"PEPC2",Input!$H:$H,{"1-REAL";"SANTANDER"},Input!$K:$K,"NBF3")),0)</f>
        <v>0</v>
      </c>
      <c r="T53" s="70"/>
      <c r="U53" s="69"/>
      <c r="V53" s="47"/>
    </row>
    <row r="54" spans="2:22" s="42" customFormat="1" ht="12.75" x14ac:dyDescent="0.2">
      <c r="B54" s="45">
        <v>38</v>
      </c>
      <c r="C54" s="67"/>
      <c r="D54" s="76" t="s">
        <v>15</v>
      </c>
      <c r="E54" s="85">
        <f>ROUND(SUM(SUMIFS(Input!$G:$G,Input!$E:$E,'2.CC Trans-BB.RE collateral'!E$3,Input!$C:$C,'2.CC Trans-BB.RE collateral'!$A$9,Input!$L:$L,"PEPS3",Input!$K:$K,"NBF3")),0)</f>
        <v>0</v>
      </c>
      <c r="F54" s="85">
        <f>ROUND(SUM(SUMIFS(Input!$G:$G,Input!$E:$E,'2.CC Trans-BB.RE collateral'!F$3,Input!$C:$C,'2.CC Trans-BB.RE collateral'!$A$9,Input!$L:$L,"PEPS3",Input!$K:$K,"NBF3")),0)</f>
        <v>0</v>
      </c>
      <c r="G54" s="85">
        <f>ROUND(SUM(SUMIFS(Input!$G:$G,Input!$E:$E,'2.CC Trans-BB.RE collateral'!G$3,Input!$C:$C,'2.CC Trans-BB.RE collateral'!$A$9,Input!$L:$L,"PEPS3",Input!$K:$K,"NBF3")),0)</f>
        <v>0</v>
      </c>
      <c r="H54" s="85">
        <f>ROUND(SUM(SUMIFS(Input!$G:$G,Input!$E:$E,'2.CC Trans-BB.RE collateral'!H$3,Input!$C:$C,'2.CC Trans-BB.RE collateral'!$A$9,Input!$L:$L,"PEPS3",Input!$K:$K,"NBF3")),0)</f>
        <v>0</v>
      </c>
      <c r="I54" s="85">
        <f>ROUND(SUM(SUMIFS(Input!$G:$G,Input!$E:$E,'2.CC Trans-BB.RE collateral'!I$3,Input!$C:$C,'2.CC Trans-BB.RE collateral'!$A$9,Input!$L:$L,"PEPS3",Input!$K:$K,"NBF3")),0)</f>
        <v>0</v>
      </c>
      <c r="J54" s="85">
        <f>ROUND(SUM(SUMIFS(Input!$G:$G,Input!$E:$E,'2.CC Trans-BB.RE collateral'!J$3,Input!$C:$C,'2.CC Trans-BB.RE collateral'!$A$9,Input!$L:$L,"PEPS3",Input!$K:$K,"NBF3")),0)</f>
        <v>0</v>
      </c>
      <c r="K54" s="68"/>
      <c r="L54" s="76" t="s">
        <v>21</v>
      </c>
      <c r="M54" s="85">
        <f>ROUND(SUM(SUMIFS(Input!$G:$G,Input!$D:$D,'2.CC Trans-BB.RE collateral'!M$7&amp;"*",Input!$C:$C,'2.CC Trans-BB.RE collateral'!$A$9,Input!$M:$M,"PEPC3",Input!$H:$H,{"1-REAL";"SANTANDER"},Input!$K:$K,"NBF3")),0)</f>
        <v>0</v>
      </c>
      <c r="N54" s="85">
        <f>ROUND(SUM(SUMIFS(Input!$G:$G,Input!$D:$D,'2.CC Trans-BB.RE collateral'!N$7&amp;"*",Input!$C:$C,'2.CC Trans-BB.RE collateral'!$A$9,Input!$M:$M,"PEPC3",Input!$H:$H,{"1-REAL";"SANTANDER"},Input!$K:$K,"NBF3")),0)</f>
        <v>0</v>
      </c>
      <c r="O54" s="85">
        <f>ROUND(SUM(SUMIFS(Input!$G:$G,Input!$D:$D,'2.CC Trans-BB.RE collateral'!O$7&amp;"*",Input!$C:$C,'2.CC Trans-BB.RE collateral'!$A$9,Input!$M:$M,"PEPC3",Input!$H:$H,{"1-REAL";"SANTANDER"},Input!$K:$K,"NBF3")),0)</f>
        <v>0</v>
      </c>
      <c r="P54" s="85">
        <f>ROUND(SUM(SUMIFS(Input!$G:$G,Input!$D:$D,'2.CC Trans-BB.RE collateral'!P$7&amp;"*",Input!$C:$C,'2.CC Trans-BB.RE collateral'!$A$9,Input!$M:$M,"PEPC3",Input!$H:$H,{"1-REAL";"SANTANDER"},Input!$K:$K,"NBF3")),0)</f>
        <v>0</v>
      </c>
      <c r="Q54" s="85">
        <f>ROUND(SUM(SUMIFS(Input!$G:$G,Input!$D:$D,'2.CC Trans-BB.RE collateral'!Q$7&amp;"*",Input!$C:$C,'2.CC Trans-BB.RE collateral'!$A$9,Input!$M:$M,"PEPC3",Input!$H:$H,{"1-REAL";"SANTANDER"},Input!$K:$K,"NBF3")),0)</f>
        <v>0</v>
      </c>
      <c r="R54" s="85">
        <f>ROUND(SUM(SUMIFS(Input!$G:$G,Input!$D:$D,'2.CC Trans-BB.RE collateral'!R$7&amp;"*",Input!$C:$C,'2.CC Trans-BB.RE collateral'!$A$9,Input!$M:$M,"PEPC3",Input!$H:$H,{"1-REAL";"SANTANDER"},Input!$K:$K,"NBF3")),0)</f>
        <v>0</v>
      </c>
      <c r="S54" s="85">
        <f>ROUND(SUM(SUMIFS(Input!$G:$G,Input!$D:$D,'2.CC Trans-BB.RE collateral'!S$7&amp;"*",Input!$C:$C,'2.CC Trans-BB.RE collateral'!$A$9,Input!$M:$M,"PEPC3",Input!$H:$H,{"1-REAL";"SANTANDER"},Input!$K:$K,"NBF3")),0)</f>
        <v>0</v>
      </c>
      <c r="T54" s="70"/>
      <c r="U54" s="69"/>
      <c r="V54" s="47"/>
    </row>
    <row r="55" spans="2:22" s="42" customFormat="1" ht="12.75" x14ac:dyDescent="0.2">
      <c r="B55" s="45">
        <v>39</v>
      </c>
      <c r="C55" s="67"/>
      <c r="D55" s="76" t="s">
        <v>16</v>
      </c>
      <c r="E55" s="85">
        <f>ROUND(SUM(SUMIFS(Input!$G:$G,Input!$E:$E,'2.CC Trans-BB.RE collateral'!E$3,Input!$C:$C,'2.CC Trans-BB.RE collateral'!$A$9,Input!$L:$L,"PEPS4",Input!$K:$K,"NBF3")),0)</f>
        <v>0</v>
      </c>
      <c r="F55" s="85">
        <f>ROUND(SUM(SUMIFS(Input!$G:$G,Input!$E:$E,'2.CC Trans-BB.RE collateral'!F$3,Input!$C:$C,'2.CC Trans-BB.RE collateral'!$A$9,Input!$L:$L,"PEPS4",Input!$K:$K,"NBF3")),0)</f>
        <v>0</v>
      </c>
      <c r="G55" s="85">
        <f>ROUND(SUM(SUMIFS(Input!$G:$G,Input!$E:$E,'2.CC Trans-BB.RE collateral'!G$3,Input!$C:$C,'2.CC Trans-BB.RE collateral'!$A$9,Input!$L:$L,"PEPS4",Input!$K:$K,"NBF3")),0)</f>
        <v>0</v>
      </c>
      <c r="H55" s="85">
        <f>ROUND(SUM(SUMIFS(Input!$G:$G,Input!$E:$E,'2.CC Trans-BB.RE collateral'!H$3,Input!$C:$C,'2.CC Trans-BB.RE collateral'!$A$9,Input!$L:$L,"PEPS4",Input!$K:$K,"NBF3")),0)</f>
        <v>0</v>
      </c>
      <c r="I55" s="85">
        <f>ROUND(SUM(SUMIFS(Input!$G:$G,Input!$E:$E,'2.CC Trans-BB.RE collateral'!I$3,Input!$C:$C,'2.CC Trans-BB.RE collateral'!$A$9,Input!$L:$L,"PEPS4",Input!$K:$K,"NBF3")),0)</f>
        <v>0</v>
      </c>
      <c r="J55" s="85">
        <f>ROUND(SUM(SUMIFS(Input!$G:$G,Input!$E:$E,'2.CC Trans-BB.RE collateral'!J$3,Input!$C:$C,'2.CC Trans-BB.RE collateral'!$A$9,Input!$L:$L,"PEPS4",Input!$K:$K,"NBF3")),0)</f>
        <v>0</v>
      </c>
      <c r="K55" s="68"/>
      <c r="L55" s="76" t="s">
        <v>22</v>
      </c>
      <c r="M55" s="85">
        <f>ROUND(SUM(SUMIFS(Input!$G:$G,Input!$D:$D,'2.CC Trans-BB.RE collateral'!M$7&amp;"*",Input!$C:$C,'2.CC Trans-BB.RE collateral'!$A$9,Input!$M:$M,"PEPC4",Input!$H:$H,{"1-REAL";"SANTANDER"},Input!$K:$K,"NBF3")),0)</f>
        <v>0</v>
      </c>
      <c r="N55" s="85">
        <f>ROUND(SUM(SUMIFS(Input!$G:$G,Input!$D:$D,'2.CC Trans-BB.RE collateral'!N$7&amp;"*",Input!$C:$C,'2.CC Trans-BB.RE collateral'!$A$9,Input!$M:$M,"PEPC4",Input!$H:$H,{"1-REAL";"SANTANDER"},Input!$K:$K,"NBF3")),0)</f>
        <v>0</v>
      </c>
      <c r="O55" s="85">
        <f>ROUND(SUM(SUMIFS(Input!$G:$G,Input!$D:$D,'2.CC Trans-BB.RE collateral'!O$7&amp;"*",Input!$C:$C,'2.CC Trans-BB.RE collateral'!$A$9,Input!$M:$M,"PEPC4",Input!$H:$H,{"1-REAL";"SANTANDER"},Input!$K:$K,"NBF3")),0)</f>
        <v>0</v>
      </c>
      <c r="P55" s="85">
        <f>ROUND(SUM(SUMIFS(Input!$G:$G,Input!$D:$D,'2.CC Trans-BB.RE collateral'!P$7&amp;"*",Input!$C:$C,'2.CC Trans-BB.RE collateral'!$A$9,Input!$M:$M,"PEPC4",Input!$H:$H,{"1-REAL";"SANTANDER"},Input!$K:$K,"NBF3")),0)</f>
        <v>0</v>
      </c>
      <c r="Q55" s="85">
        <f>ROUND(SUM(SUMIFS(Input!$G:$G,Input!$D:$D,'2.CC Trans-BB.RE collateral'!Q$7&amp;"*",Input!$C:$C,'2.CC Trans-BB.RE collateral'!$A$9,Input!$M:$M,"PEPC4",Input!$H:$H,{"1-REAL";"SANTANDER"},Input!$K:$K,"NBF3")),0)</f>
        <v>0</v>
      </c>
      <c r="R55" s="85">
        <f>ROUND(SUM(SUMIFS(Input!$G:$G,Input!$D:$D,'2.CC Trans-BB.RE collateral'!R$7&amp;"*",Input!$C:$C,'2.CC Trans-BB.RE collateral'!$A$9,Input!$M:$M,"PEPC4",Input!$H:$H,{"1-REAL";"SANTANDER"},Input!$K:$K,"NBF3")),0)</f>
        <v>0</v>
      </c>
      <c r="S55" s="85">
        <f>ROUND(SUM(SUMIFS(Input!$G:$G,Input!$D:$D,'2.CC Trans-BB.RE collateral'!S$7&amp;"*",Input!$C:$C,'2.CC Trans-BB.RE collateral'!$A$9,Input!$M:$M,"PEPC4",Input!$H:$H,{"1-REAL";"SANTANDER"},Input!$K:$K,"NBF3")),0)</f>
        <v>0</v>
      </c>
      <c r="T55" s="70"/>
      <c r="U55" s="69"/>
      <c r="V55" s="47"/>
    </row>
    <row r="56" spans="2:22" s="42" customFormat="1" ht="12.75" x14ac:dyDescent="0.2">
      <c r="B56" s="45">
        <v>40</v>
      </c>
      <c r="C56" s="67"/>
      <c r="D56" s="76" t="s">
        <v>17</v>
      </c>
      <c r="E56" s="85">
        <f>ROUND(SUM(SUMIFS(Input!$G:$G,Input!$E:$E,'2.CC Trans-BB.RE collateral'!E$3,Input!$C:$C,'2.CC Trans-BB.RE collateral'!$A$9,Input!$L:$L,"PEPS5",Input!$K:$K,"NBF3")),0)</f>
        <v>0</v>
      </c>
      <c r="F56" s="85">
        <f>ROUND(SUM(SUMIFS(Input!$G:$G,Input!$E:$E,'2.CC Trans-BB.RE collateral'!F$3,Input!$C:$C,'2.CC Trans-BB.RE collateral'!$A$9,Input!$L:$L,"PEPS5",Input!$K:$K,"NBF3")),0)</f>
        <v>0</v>
      </c>
      <c r="G56" s="85">
        <f>ROUND(SUM(SUMIFS(Input!$G:$G,Input!$E:$E,'2.CC Trans-BB.RE collateral'!G$3,Input!$C:$C,'2.CC Trans-BB.RE collateral'!$A$9,Input!$L:$L,"PEPS5",Input!$K:$K,"NBF3")),0)</f>
        <v>0</v>
      </c>
      <c r="H56" s="85">
        <f>ROUND(SUM(SUMIFS(Input!$G:$G,Input!$E:$E,'2.CC Trans-BB.RE collateral'!H$3,Input!$C:$C,'2.CC Trans-BB.RE collateral'!$A$9,Input!$L:$L,"PEPS5",Input!$K:$K,"NBF3")),0)</f>
        <v>0</v>
      </c>
      <c r="I56" s="85">
        <f>ROUND(SUM(SUMIFS(Input!$G:$G,Input!$E:$E,'2.CC Trans-BB.RE collateral'!I$3,Input!$C:$C,'2.CC Trans-BB.RE collateral'!$A$9,Input!$L:$L,"PEPS5",Input!$K:$K,"NBF3")),0)</f>
        <v>0</v>
      </c>
      <c r="J56" s="85">
        <f>ROUND(SUM(SUMIFS(Input!$G:$G,Input!$E:$E,'2.CC Trans-BB.RE collateral'!J$3,Input!$C:$C,'2.CC Trans-BB.RE collateral'!$A$9,Input!$L:$L,"PEPS5",Input!$K:$K,"NBF3")),0)</f>
        <v>0</v>
      </c>
      <c r="K56" s="68"/>
      <c r="L56" s="76" t="s">
        <v>23</v>
      </c>
      <c r="M56" s="85">
        <f>ROUND(SUM(SUMIFS(Input!$G:$G,Input!$D:$D,'2.CC Trans-BB.RE collateral'!M$7&amp;"*",Input!$C:$C,'2.CC Trans-BB.RE collateral'!$A$9,Input!$M:$M,"PEPC5",Input!$H:$H,{"1-REAL";"SANTANDER"},Input!$K:$K,"NBF3")),0)</f>
        <v>0</v>
      </c>
      <c r="N56" s="85">
        <f>ROUND(SUM(SUMIFS(Input!$G:$G,Input!$D:$D,'2.CC Trans-BB.RE collateral'!N$7&amp;"*",Input!$C:$C,'2.CC Trans-BB.RE collateral'!$A$9,Input!$M:$M,"PEPC5",Input!$H:$H,{"1-REAL";"SANTANDER"},Input!$K:$K,"NBF3")),0)</f>
        <v>0</v>
      </c>
      <c r="O56" s="85">
        <f>ROUND(SUM(SUMIFS(Input!$G:$G,Input!$D:$D,'2.CC Trans-BB.RE collateral'!O$7&amp;"*",Input!$C:$C,'2.CC Trans-BB.RE collateral'!$A$9,Input!$M:$M,"PEPC5",Input!$H:$H,{"1-REAL";"SANTANDER"},Input!$K:$K,"NBF3")),0)</f>
        <v>0</v>
      </c>
      <c r="P56" s="85">
        <f>ROUND(SUM(SUMIFS(Input!$G:$G,Input!$D:$D,'2.CC Trans-BB.RE collateral'!P$7&amp;"*",Input!$C:$C,'2.CC Trans-BB.RE collateral'!$A$9,Input!$M:$M,"PEPC5",Input!$H:$H,{"1-REAL";"SANTANDER"},Input!$K:$K,"NBF3")),0)</f>
        <v>0</v>
      </c>
      <c r="Q56" s="85">
        <f>ROUND(SUM(SUMIFS(Input!$G:$G,Input!$D:$D,'2.CC Trans-BB.RE collateral'!Q$7&amp;"*",Input!$C:$C,'2.CC Trans-BB.RE collateral'!$A$9,Input!$M:$M,"PEPC5",Input!$H:$H,{"1-REAL";"SANTANDER"},Input!$K:$K,"NBF3")),0)</f>
        <v>0</v>
      </c>
      <c r="R56" s="85">
        <f>ROUND(SUM(SUMIFS(Input!$G:$G,Input!$D:$D,'2.CC Trans-BB.RE collateral'!R$7&amp;"*",Input!$C:$C,'2.CC Trans-BB.RE collateral'!$A$9,Input!$M:$M,"PEPC5",Input!$H:$H,{"1-REAL";"SANTANDER"},Input!$K:$K,"NBF3")),0)</f>
        <v>0</v>
      </c>
      <c r="S56" s="85">
        <f>ROUND(SUM(SUMIFS(Input!$G:$G,Input!$D:$D,'2.CC Trans-BB.RE collateral'!S$7&amp;"*",Input!$C:$C,'2.CC Trans-BB.RE collateral'!$A$9,Input!$M:$M,"PEPC5",Input!$H:$H,{"1-REAL";"SANTANDER"},Input!$K:$K,"NBF3")),0)</f>
        <v>0</v>
      </c>
      <c r="T56" s="70"/>
      <c r="U56" s="69"/>
      <c r="V56" s="47"/>
    </row>
    <row r="57" spans="2:22" s="42" customFormat="1" ht="12.75" x14ac:dyDescent="0.2">
      <c r="B57" s="45">
        <v>41</v>
      </c>
      <c r="C57" s="67"/>
      <c r="D57" s="76" t="s">
        <v>18</v>
      </c>
      <c r="E57" s="85">
        <f>ROUND(SUM(SUMIFS(Input!$G:$G,Input!$E:$E,'2.CC Trans-BB.RE collateral'!E$3,Input!$C:$C,'2.CC Trans-BB.RE collateral'!$A$9,Input!$L:$L,"PEPS6",Input!$K:$K,"NBF3")),0)</f>
        <v>0</v>
      </c>
      <c r="F57" s="85">
        <f>ROUND(SUM(SUMIFS(Input!$G:$G,Input!$E:$E,'2.CC Trans-BB.RE collateral'!F$3,Input!$C:$C,'2.CC Trans-BB.RE collateral'!$A$9,Input!$L:$L,"PEPS6",Input!$K:$K,"NBF3")),0)</f>
        <v>0</v>
      </c>
      <c r="G57" s="85">
        <f>ROUND(SUM(SUMIFS(Input!$G:$G,Input!$E:$E,'2.CC Trans-BB.RE collateral'!G$3,Input!$C:$C,'2.CC Trans-BB.RE collateral'!$A$9,Input!$L:$L,"PEPS6",Input!$K:$K,"NBF3")),0)</f>
        <v>0</v>
      </c>
      <c r="H57" s="85">
        <f>ROUND(SUM(SUMIFS(Input!$G:$G,Input!$E:$E,'2.CC Trans-BB.RE collateral'!H$3,Input!$C:$C,'2.CC Trans-BB.RE collateral'!$A$9,Input!$L:$L,"PEPS6",Input!$K:$K,"NBF3")),0)</f>
        <v>0</v>
      </c>
      <c r="I57" s="85">
        <f>ROUND(SUM(SUMIFS(Input!$G:$G,Input!$E:$E,'2.CC Trans-BB.RE collateral'!I$3,Input!$C:$C,'2.CC Trans-BB.RE collateral'!$A$9,Input!$L:$L,"PEPS6",Input!$K:$K,"NBF3")),0)</f>
        <v>0</v>
      </c>
      <c r="J57" s="85">
        <f>ROUND(SUM(SUMIFS(Input!$G:$G,Input!$E:$E,'2.CC Trans-BB.RE collateral'!J$3,Input!$C:$C,'2.CC Trans-BB.RE collateral'!$A$9,Input!$L:$L,"PEPS6",Input!$K:$K,"NBF3")),0)</f>
        <v>0</v>
      </c>
      <c r="K57" s="68"/>
      <c r="L57" s="76" t="s">
        <v>24</v>
      </c>
      <c r="M57" s="85">
        <f>ROUND(SUM(SUMIFS(Input!$G:$G,Input!$D:$D,'2.CC Trans-BB.RE collateral'!M$7&amp;"*",Input!$C:$C,'2.CC Trans-BB.RE collateral'!$A$9,Input!$M:$M,"PEPC6",Input!$H:$H,{"1-REAL";"SANTANDER"},Input!$K:$K,"NBF3")),0)</f>
        <v>0</v>
      </c>
      <c r="N57" s="85">
        <f>ROUND(SUM(SUMIFS(Input!$G:$G,Input!$D:$D,'2.CC Trans-BB.RE collateral'!N$7&amp;"*",Input!$C:$C,'2.CC Trans-BB.RE collateral'!$A$9,Input!$M:$M,"PEPC6",Input!$H:$H,{"1-REAL";"SANTANDER"},Input!$K:$K,"NBF3")),0)</f>
        <v>0</v>
      </c>
      <c r="O57" s="85">
        <f>ROUND(SUM(SUMIFS(Input!$G:$G,Input!$D:$D,'2.CC Trans-BB.RE collateral'!O$7&amp;"*",Input!$C:$C,'2.CC Trans-BB.RE collateral'!$A$9,Input!$M:$M,"PEPC6",Input!$H:$H,{"1-REAL";"SANTANDER"},Input!$K:$K,"NBF3")),0)</f>
        <v>0</v>
      </c>
      <c r="P57" s="85">
        <f>ROUND(SUM(SUMIFS(Input!$G:$G,Input!$D:$D,'2.CC Trans-BB.RE collateral'!P$7&amp;"*",Input!$C:$C,'2.CC Trans-BB.RE collateral'!$A$9,Input!$M:$M,"PEPC6",Input!$H:$H,{"1-REAL";"SANTANDER"},Input!$K:$K,"NBF3")),0)</f>
        <v>0</v>
      </c>
      <c r="Q57" s="85">
        <f>ROUND(SUM(SUMIFS(Input!$G:$G,Input!$D:$D,'2.CC Trans-BB.RE collateral'!Q$7&amp;"*",Input!$C:$C,'2.CC Trans-BB.RE collateral'!$A$9,Input!$M:$M,"PEPC6",Input!$H:$H,{"1-REAL";"SANTANDER"},Input!$K:$K,"NBF3")),0)</f>
        <v>0</v>
      </c>
      <c r="R57" s="85">
        <f>ROUND(SUM(SUMIFS(Input!$G:$G,Input!$D:$D,'2.CC Trans-BB.RE collateral'!R$7&amp;"*",Input!$C:$C,'2.CC Trans-BB.RE collateral'!$A$9,Input!$M:$M,"PEPC6",Input!$H:$H,{"1-REAL";"SANTANDER"},Input!$K:$K,"NBF3")),0)</f>
        <v>0</v>
      </c>
      <c r="S57" s="85">
        <f>ROUND(SUM(SUMIFS(Input!$G:$G,Input!$D:$D,'2.CC Trans-BB.RE collateral'!S$7&amp;"*",Input!$C:$C,'2.CC Trans-BB.RE collateral'!$A$9,Input!$M:$M,"PEPC6",Input!$H:$H,{"1-REAL";"SANTANDER"},Input!$K:$K,"NBF3")),0)</f>
        <v>0</v>
      </c>
      <c r="T57" s="70"/>
      <c r="U57" s="69"/>
      <c r="V57" s="47"/>
    </row>
    <row r="58" spans="2:22" s="42" customFormat="1" ht="15" x14ac:dyDescent="0.25">
      <c r="B58" s="45">
        <v>42</v>
      </c>
      <c r="C58" s="64"/>
      <c r="D58" s="64"/>
      <c r="E58" s="64"/>
      <c r="F58" s="77"/>
      <c r="G58" s="64"/>
      <c r="H58" s="64"/>
      <c r="I58" s="64"/>
      <c r="J58" s="68"/>
      <c r="K58" s="68"/>
      <c r="L58" s="76" t="s">
        <v>25</v>
      </c>
      <c r="M58" s="85">
        <f>ROUND(SUM(SUMIFS(Input!$G:$G,Input!$D:$D,'2.CC Trans-BB.RE collateral'!M$7&amp;"*",Input!$C:$C,'2.CC Trans-BB.RE collateral'!$A$9,Input!$M:$M,"PEPC7",Input!$H:$H,{"1-REAL";"SANTANDER"},Input!$K:$K,"NBF3")),0)</f>
        <v>0</v>
      </c>
      <c r="N58" s="85">
        <f>ROUND(SUM(SUMIFS(Input!$G:$G,Input!$D:$D,'2.CC Trans-BB.RE collateral'!N$7&amp;"*",Input!$C:$C,'2.CC Trans-BB.RE collateral'!$A$9,Input!$M:$M,"PEPC7",Input!$H:$H,{"1-REAL";"SANTANDER"},Input!$K:$K,"NBF3")),0)</f>
        <v>0</v>
      </c>
      <c r="O58" s="85">
        <f>ROUND(SUM(SUMIFS(Input!$G:$G,Input!$D:$D,'2.CC Trans-BB.RE collateral'!O$7&amp;"*",Input!$C:$C,'2.CC Trans-BB.RE collateral'!$A$9,Input!$M:$M,"PEPC7",Input!$H:$H,{"1-REAL";"SANTANDER"},Input!$K:$K,"NBF3")),0)</f>
        <v>0</v>
      </c>
      <c r="P58" s="85">
        <f>ROUND(SUM(SUMIFS(Input!$G:$G,Input!$D:$D,'2.CC Trans-BB.RE collateral'!P$7&amp;"*",Input!$C:$C,'2.CC Trans-BB.RE collateral'!$A$9,Input!$M:$M,"PEPC7",Input!$H:$H,{"1-REAL";"SANTANDER"},Input!$K:$K,"NBF3")),0)</f>
        <v>0</v>
      </c>
      <c r="Q58" s="85">
        <f>ROUND(SUM(SUMIFS(Input!$G:$G,Input!$D:$D,'2.CC Trans-BB.RE collateral'!Q$7&amp;"*",Input!$C:$C,'2.CC Trans-BB.RE collateral'!$A$9,Input!$M:$M,"PEPC7",Input!$H:$H,{"1-REAL";"SANTANDER"},Input!$K:$K,"NBF3")),0)</f>
        <v>0</v>
      </c>
      <c r="R58" s="85">
        <f>ROUND(SUM(SUMIFS(Input!$G:$G,Input!$D:$D,'2.CC Trans-BB.RE collateral'!R$7&amp;"*",Input!$C:$C,'2.CC Trans-BB.RE collateral'!$A$9,Input!$M:$M,"PEPC7",Input!$H:$H,{"1-REAL";"SANTANDER"},Input!$K:$K,"NBF3")),0)</f>
        <v>0</v>
      </c>
      <c r="S58" s="85">
        <f>ROUND(SUM(SUMIFS(Input!$G:$G,Input!$D:$D,'2.CC Trans-BB.RE collateral'!S$7&amp;"*",Input!$C:$C,'2.CC Trans-BB.RE collateral'!$A$9,Input!$M:$M,"PEPC7",Input!$H:$H,{"1-REAL";"SANTANDER"},Input!$K:$K,"NBF3")),0)</f>
        <v>0</v>
      </c>
      <c r="T58" s="70"/>
      <c r="U58" s="69"/>
      <c r="V58" s="47"/>
    </row>
    <row r="59" spans="2:22" ht="15" x14ac:dyDescent="0.25"/>
    <row r="60" spans="2:22" s="42" customFormat="1" ht="12.75" x14ac:dyDescent="0.2">
      <c r="B60" s="71" t="s">
        <v>107</v>
      </c>
      <c r="C60" s="67"/>
      <c r="D60" s="68"/>
      <c r="E60" s="68"/>
      <c r="F60" s="68"/>
      <c r="G60" s="68"/>
      <c r="H60" s="68"/>
      <c r="I60" s="68"/>
      <c r="J60" s="68"/>
      <c r="K60" s="68"/>
      <c r="L60" s="69"/>
      <c r="M60" s="72"/>
      <c r="N60" s="72"/>
      <c r="O60" s="72"/>
      <c r="P60" s="72"/>
      <c r="Q60" s="72"/>
      <c r="R60" s="72"/>
      <c r="S60" s="72"/>
      <c r="T60" s="70"/>
      <c r="U60" s="69"/>
      <c r="V60" s="47"/>
    </row>
    <row r="61" spans="2:22" s="42" customFormat="1" ht="12.75" x14ac:dyDescent="0.2">
      <c r="B61" s="73"/>
      <c r="C61" s="67"/>
      <c r="D61" s="68"/>
      <c r="E61" s="95" t="s">
        <v>105</v>
      </c>
      <c r="F61" s="95"/>
      <c r="G61" s="95"/>
      <c r="H61" s="95"/>
      <c r="I61" s="95"/>
      <c r="J61" s="95"/>
      <c r="K61" s="68"/>
      <c r="L61" s="68"/>
      <c r="M61" s="95" t="s">
        <v>105</v>
      </c>
      <c r="N61" s="95"/>
      <c r="O61" s="95"/>
      <c r="P61" s="95"/>
      <c r="Q61" s="95"/>
      <c r="R61" s="95"/>
      <c r="S61" s="95"/>
      <c r="T61" s="70"/>
      <c r="U61" s="69"/>
      <c r="V61" s="47"/>
    </row>
    <row r="62" spans="2:22" s="42" customFormat="1" ht="14.25" customHeight="1" x14ac:dyDescent="0.2">
      <c r="C62" s="67"/>
      <c r="D62" s="68"/>
      <c r="E62" s="74" t="s">
        <v>13</v>
      </c>
      <c r="F62" s="74" t="s">
        <v>14</v>
      </c>
      <c r="G62" s="74" t="s">
        <v>15</v>
      </c>
      <c r="H62" s="74" t="s">
        <v>16</v>
      </c>
      <c r="I62" s="74" t="s">
        <v>17</v>
      </c>
      <c r="J62" s="74" t="s">
        <v>18</v>
      </c>
      <c r="K62" s="68"/>
      <c r="M62" s="74" t="s">
        <v>19</v>
      </c>
      <c r="N62" s="74" t="s">
        <v>20</v>
      </c>
      <c r="O62" s="74" t="s">
        <v>21</v>
      </c>
      <c r="P62" s="74" t="s">
        <v>22</v>
      </c>
      <c r="Q62" s="74" t="s">
        <v>23</v>
      </c>
      <c r="R62" s="74" t="s">
        <v>24</v>
      </c>
      <c r="S62" s="74" t="s">
        <v>25</v>
      </c>
      <c r="T62" s="70"/>
      <c r="U62" s="69"/>
      <c r="V62" s="47"/>
    </row>
    <row r="63" spans="2:22" s="42" customFormat="1" ht="14.25" customHeight="1" x14ac:dyDescent="0.2">
      <c r="B63" s="45">
        <v>43</v>
      </c>
      <c r="C63" s="67"/>
      <c r="D63" s="68" t="s">
        <v>106</v>
      </c>
      <c r="E63" s="85">
        <f>ROUND(SUM(SUMIFS(Input!$G:$G,Input!$E:$E,'2.CC Trans-BB.RE collateral'!E$3,Input!$C:$C,'2.CC Trans-BB.RE collateral'!$A$10,Input!$K:$K,{"NBF1";"NBF2"})),0)</f>
        <v>0</v>
      </c>
      <c r="F63" s="85">
        <f>ROUND(SUM(SUMIFS(Input!$G:$G,Input!$E:$E,'2.CC Trans-BB.RE collateral'!F$3,Input!$C:$C,'2.CC Trans-BB.RE collateral'!$A$10,Input!$K:$K,{"NBF1";"NBF2"})),0)</f>
        <v>0</v>
      </c>
      <c r="G63" s="85">
        <f>ROUND(SUM(SUMIFS(Input!$G:$G,Input!$E:$E,'2.CC Trans-BB.RE collateral'!G$3,Input!$C:$C,'2.CC Trans-BB.RE collateral'!$A$10,Input!$K:$K,{"NBF1";"NBF2"})),0)</f>
        <v>0</v>
      </c>
      <c r="H63" s="85">
        <f>ROUND(SUM(SUMIFS(Input!$G:$G,Input!$E:$E,'2.CC Trans-BB.RE collateral'!H$3,Input!$C:$C,'2.CC Trans-BB.RE collateral'!$A$10,Input!$K:$K,{"NBF1";"NBF2"})),0)</f>
        <v>0</v>
      </c>
      <c r="I63" s="85">
        <f>ROUND(SUM(SUMIFS(Input!$G:$G,Input!$E:$E,'2.CC Trans-BB.RE collateral'!I$3,Input!$C:$C,'2.CC Trans-BB.RE collateral'!$A$10,Input!$K:$K,{"NBF1";"NBF2"})),0)</f>
        <v>0</v>
      </c>
      <c r="J63" s="85">
        <f>ROUND(SUM(SUMIFS(Input!$G:$G,Input!$E:$E,'2.CC Trans-BB.RE collateral'!J$3,Input!$C:$C,'2.CC Trans-BB.RE collateral'!$A$10,Input!$K:$K,{"NBF1";"NBF2"})),0)</f>
        <v>0</v>
      </c>
      <c r="K63" s="68"/>
      <c r="L63" s="68" t="s">
        <v>106</v>
      </c>
      <c r="M63" s="85">
        <f>ROUND((SUM(SUMIFS(Input!$G:$G,Input!$D:$D,'2.CC Trans-BB.RE collateral'!M$7&amp;"*",Input!$C:$C,'2.CC Trans-BB.RE collateral'!$A$10,Input!$H:$H,{"1-REAL";"SANTANDER"},Input!$K:$K,"NBF2"))+
SUM(SUMIFS(Input!$G:$G,Input!$D:$D,'2.CC Trans-BB.RE collateral'!M$7&amp;"*",Input!$C:$C,'2.CC Trans-BB.RE collateral'!$A$10,Input!$H:$H,{"1-REAL";"SANTANDER"},Input!$K:$K,"NBF1"))),0)</f>
        <v>0</v>
      </c>
      <c r="N63" s="85">
        <f>ROUND((SUM(SUMIFS(Input!$G:$G,Input!$D:$D,'2.CC Trans-BB.RE collateral'!N$7&amp;"*",Input!$C:$C,'2.CC Trans-BB.RE collateral'!$A$10,Input!$H:$H,{"1-REAL";"SANTANDER"},Input!$K:$K,"NBF2"))+
SUM(SUMIFS(Input!$G:$G,Input!$D:$D,'2.CC Trans-BB.RE collateral'!N$7&amp;"*",Input!$C:$C,'2.CC Trans-BB.RE collateral'!$A$10,Input!$H:$H,{"1-REAL";"SANTANDER"},Input!$K:$K,"NBF1"))),0)</f>
        <v>0</v>
      </c>
      <c r="O63" s="85">
        <f>ROUND((SUM(SUMIFS(Input!$G:$G,Input!$D:$D,'2.CC Trans-BB.RE collateral'!O$7&amp;"*",Input!$C:$C,'2.CC Trans-BB.RE collateral'!$A$10,Input!$H:$H,{"1-REAL";"SANTANDER"},Input!$K:$K,"NBF2"))+
SUM(SUMIFS(Input!$G:$G,Input!$D:$D,'2.CC Trans-BB.RE collateral'!O$7&amp;"*",Input!$C:$C,'2.CC Trans-BB.RE collateral'!$A$10,Input!$H:$H,{"1-REAL";"SANTANDER"},Input!$K:$K,"NBF1"))),0)</f>
        <v>0</v>
      </c>
      <c r="P63" s="85">
        <f>ROUND((SUM(SUMIFS(Input!$G:$G,Input!$D:$D,'2.CC Trans-BB.RE collateral'!P$7&amp;"*",Input!$C:$C,'2.CC Trans-BB.RE collateral'!$A$10,Input!$H:$H,{"1-REAL";"SANTANDER"},Input!$K:$K,"NBF2"))+
SUM(SUMIFS(Input!$G:$G,Input!$D:$D,'2.CC Trans-BB.RE collateral'!P$7&amp;"*",Input!$C:$C,'2.CC Trans-BB.RE collateral'!$A$10,Input!$H:$H,{"1-REAL";"SANTANDER"},Input!$K:$K,"NBF1"))),0)</f>
        <v>0</v>
      </c>
      <c r="Q63" s="85">
        <f>ROUND((SUM(SUMIFS(Input!$G:$G,Input!$D:$D,'2.CC Trans-BB.RE collateral'!Q$7&amp;"*",Input!$C:$C,'2.CC Trans-BB.RE collateral'!$A$10,Input!$H:$H,{"1-REAL";"SANTANDER"},Input!$K:$K,"NBF2"))+
SUM(SUMIFS(Input!$G:$G,Input!$D:$D,'2.CC Trans-BB.RE collateral'!Q$7&amp;"*",Input!$C:$C,'2.CC Trans-BB.RE collateral'!$A$10,Input!$H:$H,{"1-REAL";"SANTANDER"},Input!$K:$K,"NBF1"))),0)</f>
        <v>0</v>
      </c>
      <c r="R63" s="85">
        <f>ROUND((SUM(SUMIFS(Input!$G:$G,Input!$D:$D,'2.CC Trans-BB.RE collateral'!R$7&amp;"*",Input!$C:$C,'2.CC Trans-BB.RE collateral'!$A$10,Input!$H:$H,{"1-REAL";"SANTANDER"},Input!$K:$K,"NBF2"))+
SUM(SUMIFS(Input!$G:$G,Input!$D:$D,'2.CC Trans-BB.RE collateral'!R$7&amp;"*",Input!$C:$C,'2.CC Trans-BB.RE collateral'!$A$10,Input!$H:$H,{"1-REAL";"SANTANDER"},Input!$K:$K,"NBF1"))),0)</f>
        <v>0</v>
      </c>
      <c r="S63" s="85">
        <f>ROUND((SUM(SUMIFS(Input!$G:$G,Input!$D:$D,'2.CC Trans-BB.RE collateral'!S$7&amp;"*",Input!$C:$C,'2.CC Trans-BB.RE collateral'!$A$10,Input!$H:$H,{"1-REAL";"SANTANDER"},Input!$K:$K,"NBF2"))+
SUM(SUMIFS(Input!$G:$G,Input!$D:$D,'2.CC Trans-BB.RE collateral'!S$7&amp;"*",Input!$C:$C,'2.CC Trans-BB.RE collateral'!$A$10,Input!$H:$H,{"1-REAL";"SANTANDER"},Input!$K:$K,"NBF1"))),0)</f>
        <v>0</v>
      </c>
      <c r="T63" s="70"/>
      <c r="U63" s="69"/>
      <c r="V63" s="47"/>
    </row>
    <row r="64" spans="2:22" s="42" customFormat="1" ht="3" customHeight="1" x14ac:dyDescent="0.2">
      <c r="B64" s="75"/>
      <c r="C64" s="67"/>
      <c r="D64" s="68"/>
      <c r="E64" s="87"/>
      <c r="F64" s="87"/>
      <c r="G64" s="87"/>
      <c r="H64" s="87"/>
      <c r="I64" s="87"/>
      <c r="J64" s="87"/>
      <c r="K64" s="68"/>
      <c r="L64" s="68"/>
      <c r="M64" s="87"/>
      <c r="N64" s="87"/>
      <c r="O64" s="87"/>
      <c r="P64" s="87"/>
      <c r="Q64" s="87"/>
      <c r="R64" s="87"/>
      <c r="S64" s="87"/>
      <c r="T64" s="70"/>
      <c r="U64" s="69"/>
      <c r="V64" s="47"/>
    </row>
    <row r="65" spans="2:22" s="42" customFormat="1" ht="12.75" x14ac:dyDescent="0.2">
      <c r="B65" s="45">
        <v>44</v>
      </c>
      <c r="C65" s="67"/>
      <c r="D65" s="76" t="s">
        <v>13</v>
      </c>
      <c r="E65" s="85">
        <f>ROUND(SUM(SUMIFS(Input!$G:$G,Input!$E:$E,'2.CC Trans-BB.RE collateral'!E$3,Input!$C:$C,'2.CC Trans-BB.RE collateral'!$A$10,Input!$L:$L,"PEPS1",Input!$K:$K,"NBF3")),0)</f>
        <v>0</v>
      </c>
      <c r="F65" s="85">
        <f>ROUND(SUM(SUMIFS(Input!$G:$G,Input!$E:$E,'2.CC Trans-BB.RE collateral'!F$3,Input!$C:$C,'2.CC Trans-BB.RE collateral'!$A$10,Input!$L:$L,"PEPS1",Input!$K:$K,"NBF3")),0)</f>
        <v>0</v>
      </c>
      <c r="G65" s="85">
        <f>ROUND(SUM(SUMIFS(Input!$G:$G,Input!$E:$E,'2.CC Trans-BB.RE collateral'!G$3,Input!$C:$C,'2.CC Trans-BB.RE collateral'!$A$10,Input!$L:$L,"PEPS1",Input!$K:$K,"NBF3")),0)</f>
        <v>0</v>
      </c>
      <c r="H65" s="85">
        <f>ROUND(SUM(SUMIFS(Input!$G:$G,Input!$E:$E,'2.CC Trans-BB.RE collateral'!H$3,Input!$C:$C,'2.CC Trans-BB.RE collateral'!$A$10,Input!$L:$L,"PEPS1",Input!$K:$K,"NBF3")),0)</f>
        <v>0</v>
      </c>
      <c r="I65" s="85">
        <f>ROUND(SUM(SUMIFS(Input!$G:$G,Input!$E:$E,'2.CC Trans-BB.RE collateral'!I$3,Input!$C:$C,'2.CC Trans-BB.RE collateral'!$A$10,Input!$L:$L,"PEPS1",Input!$K:$K,"NBF3")),0)</f>
        <v>0</v>
      </c>
      <c r="J65" s="85">
        <f>ROUND(SUM(SUMIFS(Input!$G:$G,Input!$E:$E,'2.CC Trans-BB.RE collateral'!J$3,Input!$C:$C,'2.CC Trans-BB.RE collateral'!$A$10,Input!$L:$L,"PEPS1",Input!$K:$K,"NBF3")),0)</f>
        <v>0</v>
      </c>
      <c r="K65" s="68"/>
      <c r="L65" s="76" t="s">
        <v>19</v>
      </c>
      <c r="M65" s="85">
        <f>ROUND(SUM(SUMIFS(Input!$G:$G,Input!$D:$D,'2.CC Trans-BB.RE collateral'!M$7&amp;"*",Input!$C:$C,'2.CC Trans-BB.RE collateral'!$A$10,Input!$M:$M,"PEPC1",Input!$H:$H,{"1-REAL";"SANTANDER"},Input!$K:$K,"NBF3")),0)</f>
        <v>0</v>
      </c>
      <c r="N65" s="85">
        <f>ROUND(SUM(SUMIFS(Input!$G:$G,Input!$D:$D,'2.CC Trans-BB.RE collateral'!N$7&amp;"*",Input!$C:$C,'2.CC Trans-BB.RE collateral'!$A$10,Input!$M:$M,"PEPC1",Input!$H:$H,{"1-REAL";"SANTANDER"},Input!$K:$K,"NBF3")),0)</f>
        <v>0</v>
      </c>
      <c r="O65" s="85">
        <f>ROUND(SUM(SUMIFS(Input!$G:$G,Input!$D:$D,'2.CC Trans-BB.RE collateral'!O$7&amp;"*",Input!$C:$C,'2.CC Trans-BB.RE collateral'!$A$10,Input!$M:$M,"PEPC1",Input!$H:$H,{"1-REAL";"SANTANDER"},Input!$K:$K,"NBF3")),0)</f>
        <v>0</v>
      </c>
      <c r="P65" s="85">
        <f>ROUND(SUM(SUMIFS(Input!$G:$G,Input!$D:$D,'2.CC Trans-BB.RE collateral'!P$7&amp;"*",Input!$C:$C,'2.CC Trans-BB.RE collateral'!$A$10,Input!$M:$M,"PEPC1",Input!$H:$H,{"1-REAL";"SANTANDER"},Input!$K:$K,"NBF3")),0)</f>
        <v>0</v>
      </c>
      <c r="Q65" s="85">
        <f>ROUND(SUM(SUMIFS(Input!$G:$G,Input!$D:$D,'2.CC Trans-BB.RE collateral'!Q$7&amp;"*",Input!$C:$C,'2.CC Trans-BB.RE collateral'!$A$10,Input!$M:$M,"PEPC1",Input!$H:$H,{"1-REAL";"SANTANDER"},Input!$K:$K,"NBF3")),0)</f>
        <v>0</v>
      </c>
      <c r="R65" s="85">
        <f>ROUND(SUM(SUMIFS(Input!$G:$G,Input!$D:$D,'2.CC Trans-BB.RE collateral'!R$7&amp;"*",Input!$C:$C,'2.CC Trans-BB.RE collateral'!$A$10,Input!$M:$M,"PEPC1",Input!$H:$H,{"1-REAL";"SANTANDER"},Input!$K:$K,"NBF3")),0)</f>
        <v>0</v>
      </c>
      <c r="S65" s="85">
        <f>ROUND(SUM(SUMIFS(Input!$G:$G,Input!$D:$D,'2.CC Trans-BB.RE collateral'!S$7&amp;"*",Input!$C:$C,'2.CC Trans-BB.RE collateral'!$A$10,Input!$M:$M,"PEPC1",Input!$H:$H,{"1-REAL";"SANTANDER"},Input!$K:$K,"NBF3")),0)</f>
        <v>0</v>
      </c>
      <c r="T65" s="70"/>
      <c r="U65" s="69"/>
      <c r="V65" s="47"/>
    </row>
    <row r="66" spans="2:22" s="42" customFormat="1" ht="12.75" x14ac:dyDescent="0.2">
      <c r="B66" s="45">
        <v>45</v>
      </c>
      <c r="C66" s="67"/>
      <c r="D66" s="76" t="s">
        <v>14</v>
      </c>
      <c r="E66" s="85">
        <f>ROUND(SUM(SUMIFS(Input!$G:$G,Input!$E:$E,'2.CC Trans-BB.RE collateral'!E$3,Input!$C:$C,'2.CC Trans-BB.RE collateral'!$A$10,Input!$L:$L,"PEPS2",Input!$K:$K,"NBF3")),0)</f>
        <v>0</v>
      </c>
      <c r="F66" s="85">
        <f>ROUND(SUM(SUMIFS(Input!$G:$G,Input!$E:$E,'2.CC Trans-BB.RE collateral'!F$3,Input!$C:$C,'2.CC Trans-BB.RE collateral'!$A$10,Input!$L:$L,"PEPS2",Input!$K:$K,"NBF3")),0)</f>
        <v>0</v>
      </c>
      <c r="G66" s="85">
        <f>ROUND(SUM(SUMIFS(Input!$G:$G,Input!$E:$E,'2.CC Trans-BB.RE collateral'!G$3,Input!$C:$C,'2.CC Trans-BB.RE collateral'!$A$10,Input!$L:$L,"PEPS2",Input!$K:$K,"NBF3")),0)</f>
        <v>0</v>
      </c>
      <c r="H66" s="85">
        <f>ROUND(SUM(SUMIFS(Input!$G:$G,Input!$E:$E,'2.CC Trans-BB.RE collateral'!H$3,Input!$C:$C,'2.CC Trans-BB.RE collateral'!$A$10,Input!$L:$L,"PEPS2",Input!$K:$K,"NBF3")),0)</f>
        <v>0</v>
      </c>
      <c r="I66" s="85">
        <f>ROUND(SUM(SUMIFS(Input!$G:$G,Input!$E:$E,'2.CC Trans-BB.RE collateral'!I$3,Input!$C:$C,'2.CC Trans-BB.RE collateral'!$A$10,Input!$L:$L,"PEPS2",Input!$K:$K,"NBF3")),0)</f>
        <v>0</v>
      </c>
      <c r="J66" s="85">
        <f>ROUND(SUM(SUMIFS(Input!$G:$G,Input!$E:$E,'2.CC Trans-BB.RE collateral'!J$3,Input!$C:$C,'2.CC Trans-BB.RE collateral'!$A$10,Input!$L:$L,"PEPS2",Input!$K:$K,"NBF3")),0)</f>
        <v>0</v>
      </c>
      <c r="K66" s="68"/>
      <c r="L66" s="76" t="s">
        <v>20</v>
      </c>
      <c r="M66" s="85">
        <f>ROUND(SUM(SUMIFS(Input!$G:$G,Input!$D:$D,'2.CC Trans-BB.RE collateral'!M$7&amp;"*",Input!$C:$C,'2.CC Trans-BB.RE collateral'!$A$10,Input!$M:$M,"PEPC2",Input!$H:$H,{"1-REAL";"SANTANDER"},Input!$K:$K,"NBF3")),0)</f>
        <v>0</v>
      </c>
      <c r="N66" s="85">
        <f>ROUND(SUM(SUMIFS(Input!$G:$G,Input!$D:$D,'2.CC Trans-BB.RE collateral'!N$7&amp;"*",Input!$C:$C,'2.CC Trans-BB.RE collateral'!$A$10,Input!$M:$M,"PEPC2",Input!$H:$H,{"1-REAL";"SANTANDER"},Input!$K:$K,"NBF3")),0)</f>
        <v>0</v>
      </c>
      <c r="O66" s="85">
        <f>ROUND(SUM(SUMIFS(Input!$G:$G,Input!$D:$D,'2.CC Trans-BB.RE collateral'!O$7&amp;"*",Input!$C:$C,'2.CC Trans-BB.RE collateral'!$A$10,Input!$M:$M,"PEPC2",Input!$H:$H,{"1-REAL";"SANTANDER"},Input!$K:$K,"NBF3")),0)</f>
        <v>0</v>
      </c>
      <c r="P66" s="85">
        <f>ROUND(SUM(SUMIFS(Input!$G:$G,Input!$D:$D,'2.CC Trans-BB.RE collateral'!P$7&amp;"*",Input!$C:$C,'2.CC Trans-BB.RE collateral'!$A$10,Input!$M:$M,"PEPC2",Input!$H:$H,{"1-REAL";"SANTANDER"},Input!$K:$K,"NBF3")),0)</f>
        <v>0</v>
      </c>
      <c r="Q66" s="85">
        <f>ROUND(SUM(SUMIFS(Input!$G:$G,Input!$D:$D,'2.CC Trans-BB.RE collateral'!Q$7&amp;"*",Input!$C:$C,'2.CC Trans-BB.RE collateral'!$A$10,Input!$M:$M,"PEPC2",Input!$H:$H,{"1-REAL";"SANTANDER"},Input!$K:$K,"NBF3")),0)</f>
        <v>0</v>
      </c>
      <c r="R66" s="85">
        <f>ROUND(SUM(SUMIFS(Input!$G:$G,Input!$D:$D,'2.CC Trans-BB.RE collateral'!R$7&amp;"*",Input!$C:$C,'2.CC Trans-BB.RE collateral'!$A$10,Input!$M:$M,"PEPC2",Input!$H:$H,{"1-REAL";"SANTANDER"},Input!$K:$K,"NBF3")),0)</f>
        <v>0</v>
      </c>
      <c r="S66" s="85">
        <f>ROUND(SUM(SUMIFS(Input!$G:$G,Input!$D:$D,'2.CC Trans-BB.RE collateral'!S$7&amp;"*",Input!$C:$C,'2.CC Trans-BB.RE collateral'!$A$10,Input!$M:$M,"PEPC2",Input!$H:$H,{"1-REAL";"SANTANDER"},Input!$K:$K,"NBF3")),0)</f>
        <v>0</v>
      </c>
      <c r="T66" s="70"/>
      <c r="U66" s="69"/>
      <c r="V66" s="47"/>
    </row>
    <row r="67" spans="2:22" s="42" customFormat="1" ht="12.75" x14ac:dyDescent="0.2">
      <c r="B67" s="45">
        <v>46</v>
      </c>
      <c r="C67" s="67"/>
      <c r="D67" s="76" t="s">
        <v>15</v>
      </c>
      <c r="E67" s="85">
        <f>ROUND(SUM(SUMIFS(Input!$G:$G,Input!$E:$E,'2.CC Trans-BB.RE collateral'!E$3,Input!$C:$C,'2.CC Trans-BB.RE collateral'!$A$10,Input!$L:$L,"PEPS3",Input!$K:$K,"NBF3")),0)</f>
        <v>0</v>
      </c>
      <c r="F67" s="85">
        <f>ROUND(SUM(SUMIFS(Input!$G:$G,Input!$E:$E,'2.CC Trans-BB.RE collateral'!F$3,Input!$C:$C,'2.CC Trans-BB.RE collateral'!$A$10,Input!$L:$L,"PEPS3",Input!$K:$K,"NBF3")),0)</f>
        <v>0</v>
      </c>
      <c r="G67" s="85">
        <f>ROUND(SUM(SUMIFS(Input!$G:$G,Input!$E:$E,'2.CC Trans-BB.RE collateral'!G$3,Input!$C:$C,'2.CC Trans-BB.RE collateral'!$A$10,Input!$L:$L,"PEPS3",Input!$K:$K,"NBF3")),0)</f>
        <v>0</v>
      </c>
      <c r="H67" s="85">
        <f>ROUND(SUM(SUMIFS(Input!$G:$G,Input!$E:$E,'2.CC Trans-BB.RE collateral'!H$3,Input!$C:$C,'2.CC Trans-BB.RE collateral'!$A$10,Input!$L:$L,"PEPS3",Input!$K:$K,"NBF3")),0)</f>
        <v>0</v>
      </c>
      <c r="I67" s="85">
        <f>ROUND(SUM(SUMIFS(Input!$G:$G,Input!$E:$E,'2.CC Trans-BB.RE collateral'!I$3,Input!$C:$C,'2.CC Trans-BB.RE collateral'!$A$10,Input!$L:$L,"PEPS3",Input!$K:$K,"NBF3")),0)</f>
        <v>0</v>
      </c>
      <c r="J67" s="85">
        <f>ROUND(SUM(SUMIFS(Input!$G:$G,Input!$E:$E,'2.CC Trans-BB.RE collateral'!J$3,Input!$C:$C,'2.CC Trans-BB.RE collateral'!$A$10,Input!$L:$L,"PEPS3",Input!$K:$K,"NBF3")),0)</f>
        <v>0</v>
      </c>
      <c r="K67" s="68"/>
      <c r="L67" s="76" t="s">
        <v>21</v>
      </c>
      <c r="M67" s="85">
        <f>ROUND(SUM(SUMIFS(Input!$G:$G,Input!$D:$D,'2.CC Trans-BB.RE collateral'!M$7&amp;"*",Input!$C:$C,'2.CC Trans-BB.RE collateral'!$A$10,Input!$M:$M,"PEPC3",Input!$H:$H,{"1-REAL";"SANTANDER"},Input!$K:$K,"NBF3")),0)</f>
        <v>0</v>
      </c>
      <c r="N67" s="85">
        <f>ROUND(SUM(SUMIFS(Input!$G:$G,Input!$D:$D,'2.CC Trans-BB.RE collateral'!N$7&amp;"*",Input!$C:$C,'2.CC Trans-BB.RE collateral'!$A$10,Input!$M:$M,"PEPC3",Input!$H:$H,{"1-REAL";"SANTANDER"},Input!$K:$K,"NBF3")),0)</f>
        <v>0</v>
      </c>
      <c r="O67" s="85">
        <f>ROUND(SUM(SUMIFS(Input!$G:$G,Input!$D:$D,'2.CC Trans-BB.RE collateral'!O$7&amp;"*",Input!$C:$C,'2.CC Trans-BB.RE collateral'!$A$10,Input!$M:$M,"PEPC3",Input!$H:$H,{"1-REAL";"SANTANDER"},Input!$K:$K,"NBF3")),0)</f>
        <v>0</v>
      </c>
      <c r="P67" s="85">
        <f>ROUND(SUM(SUMIFS(Input!$G:$G,Input!$D:$D,'2.CC Trans-BB.RE collateral'!P$7&amp;"*",Input!$C:$C,'2.CC Trans-BB.RE collateral'!$A$10,Input!$M:$M,"PEPC3",Input!$H:$H,{"1-REAL";"SANTANDER"},Input!$K:$K,"NBF3")),0)</f>
        <v>0</v>
      </c>
      <c r="Q67" s="85">
        <f>ROUND(SUM(SUMIFS(Input!$G:$G,Input!$D:$D,'2.CC Trans-BB.RE collateral'!Q$7&amp;"*",Input!$C:$C,'2.CC Trans-BB.RE collateral'!$A$10,Input!$M:$M,"PEPC3",Input!$H:$H,{"1-REAL";"SANTANDER"},Input!$K:$K,"NBF3")),0)</f>
        <v>0</v>
      </c>
      <c r="R67" s="85">
        <f>ROUND(SUM(SUMIFS(Input!$G:$G,Input!$D:$D,'2.CC Trans-BB.RE collateral'!R$7&amp;"*",Input!$C:$C,'2.CC Trans-BB.RE collateral'!$A$10,Input!$M:$M,"PEPC3",Input!$H:$H,{"1-REAL";"SANTANDER"},Input!$K:$K,"NBF3")),0)</f>
        <v>0</v>
      </c>
      <c r="S67" s="85">
        <f>ROUND(SUM(SUMIFS(Input!$G:$G,Input!$D:$D,'2.CC Trans-BB.RE collateral'!S$7&amp;"*",Input!$C:$C,'2.CC Trans-BB.RE collateral'!$A$10,Input!$M:$M,"PEPC3",Input!$H:$H,{"1-REAL";"SANTANDER"},Input!$K:$K,"NBF3")),0)</f>
        <v>0</v>
      </c>
      <c r="T67" s="70"/>
      <c r="U67" s="69"/>
      <c r="V67" s="47"/>
    </row>
    <row r="68" spans="2:22" s="42" customFormat="1" ht="12.75" x14ac:dyDescent="0.2">
      <c r="B68" s="45">
        <v>47</v>
      </c>
      <c r="C68" s="67"/>
      <c r="D68" s="76" t="s">
        <v>16</v>
      </c>
      <c r="E68" s="85">
        <f>ROUND(SUM(SUMIFS(Input!$G:$G,Input!$E:$E,'2.CC Trans-BB.RE collateral'!E$3,Input!$C:$C,'2.CC Trans-BB.RE collateral'!$A$10,Input!$L:$L,"PEPS4",Input!$K:$K,"NBF3")),0)</f>
        <v>0</v>
      </c>
      <c r="F68" s="85">
        <f>ROUND(SUM(SUMIFS(Input!$G:$G,Input!$E:$E,'2.CC Trans-BB.RE collateral'!F$3,Input!$C:$C,'2.CC Trans-BB.RE collateral'!$A$10,Input!$L:$L,"PEPS4",Input!$K:$K,"NBF3")),0)</f>
        <v>0</v>
      </c>
      <c r="G68" s="85">
        <f>ROUND(SUM(SUMIFS(Input!$G:$G,Input!$E:$E,'2.CC Trans-BB.RE collateral'!G$3,Input!$C:$C,'2.CC Trans-BB.RE collateral'!$A$10,Input!$L:$L,"PEPS4",Input!$K:$K,"NBF3")),0)</f>
        <v>0</v>
      </c>
      <c r="H68" s="85">
        <f>ROUND(SUM(SUMIFS(Input!$G:$G,Input!$E:$E,'2.CC Trans-BB.RE collateral'!H$3,Input!$C:$C,'2.CC Trans-BB.RE collateral'!$A$10,Input!$L:$L,"PEPS4",Input!$K:$K,"NBF3")),0)</f>
        <v>0</v>
      </c>
      <c r="I68" s="85">
        <f>ROUND(SUM(SUMIFS(Input!$G:$G,Input!$E:$E,'2.CC Trans-BB.RE collateral'!I$3,Input!$C:$C,'2.CC Trans-BB.RE collateral'!$A$10,Input!$L:$L,"PEPS4",Input!$K:$K,"NBF3")),0)</f>
        <v>0</v>
      </c>
      <c r="J68" s="85">
        <f>ROUND(SUM(SUMIFS(Input!$G:$G,Input!$E:$E,'2.CC Trans-BB.RE collateral'!J$3,Input!$C:$C,'2.CC Trans-BB.RE collateral'!$A$10,Input!$L:$L,"PEPS4",Input!$K:$K,"NBF3")),0)</f>
        <v>0</v>
      </c>
      <c r="K68" s="68"/>
      <c r="L68" s="76" t="s">
        <v>22</v>
      </c>
      <c r="M68" s="85">
        <f>ROUND(SUM(SUMIFS(Input!$G:$G,Input!$D:$D,'2.CC Trans-BB.RE collateral'!M$7&amp;"*",Input!$C:$C,'2.CC Trans-BB.RE collateral'!$A$10,Input!$M:$M,"PEPC4",Input!$H:$H,{"1-REAL";"SANTANDER"},Input!$K:$K,"NBF3")),0)</f>
        <v>0</v>
      </c>
      <c r="N68" s="85">
        <f>ROUND(SUM(SUMIFS(Input!$G:$G,Input!$D:$D,'2.CC Trans-BB.RE collateral'!N$7&amp;"*",Input!$C:$C,'2.CC Trans-BB.RE collateral'!$A$10,Input!$M:$M,"PEPC4",Input!$H:$H,{"1-REAL";"SANTANDER"},Input!$K:$K,"NBF3")),0)</f>
        <v>0</v>
      </c>
      <c r="O68" s="85">
        <f>ROUND(SUM(SUMIFS(Input!$G:$G,Input!$D:$D,'2.CC Trans-BB.RE collateral'!O$7&amp;"*",Input!$C:$C,'2.CC Trans-BB.RE collateral'!$A$10,Input!$M:$M,"PEPC4",Input!$H:$H,{"1-REAL";"SANTANDER"},Input!$K:$K,"NBF3")),0)</f>
        <v>0</v>
      </c>
      <c r="P68" s="85">
        <f>ROUND(SUM(SUMIFS(Input!$G:$G,Input!$D:$D,'2.CC Trans-BB.RE collateral'!P$7&amp;"*",Input!$C:$C,'2.CC Trans-BB.RE collateral'!$A$10,Input!$M:$M,"PEPC4",Input!$H:$H,{"1-REAL";"SANTANDER"},Input!$K:$K,"NBF3")),0)</f>
        <v>0</v>
      </c>
      <c r="Q68" s="85">
        <f>ROUND(SUM(SUMIFS(Input!$G:$G,Input!$D:$D,'2.CC Trans-BB.RE collateral'!Q$7&amp;"*",Input!$C:$C,'2.CC Trans-BB.RE collateral'!$A$10,Input!$M:$M,"PEPC4",Input!$H:$H,{"1-REAL";"SANTANDER"},Input!$K:$K,"NBF3")),0)</f>
        <v>0</v>
      </c>
      <c r="R68" s="85">
        <f>ROUND(SUM(SUMIFS(Input!$G:$G,Input!$D:$D,'2.CC Trans-BB.RE collateral'!R$7&amp;"*",Input!$C:$C,'2.CC Trans-BB.RE collateral'!$A$10,Input!$M:$M,"PEPC4",Input!$H:$H,{"1-REAL";"SANTANDER"},Input!$K:$K,"NBF3")),0)</f>
        <v>0</v>
      </c>
      <c r="S68" s="85">
        <f>ROUND(SUM(SUMIFS(Input!$G:$G,Input!$D:$D,'2.CC Trans-BB.RE collateral'!S$7&amp;"*",Input!$C:$C,'2.CC Trans-BB.RE collateral'!$A$10,Input!$M:$M,"PEPC4",Input!$H:$H,{"1-REAL";"SANTANDER"},Input!$K:$K,"NBF3")),0)</f>
        <v>0</v>
      </c>
      <c r="T68" s="70"/>
      <c r="U68" s="69"/>
      <c r="V68" s="47"/>
    </row>
    <row r="69" spans="2:22" s="42" customFormat="1" ht="12.75" x14ac:dyDescent="0.2">
      <c r="B69" s="45">
        <v>48</v>
      </c>
      <c r="C69" s="67"/>
      <c r="D69" s="76" t="s">
        <v>17</v>
      </c>
      <c r="E69" s="85">
        <f>ROUND(SUM(SUMIFS(Input!$G:$G,Input!$E:$E,'2.CC Trans-BB.RE collateral'!E$3,Input!$C:$C,'2.CC Trans-BB.RE collateral'!$A$10,Input!$L:$L,"PEPS5",Input!$K:$K,"NBF3")),0)</f>
        <v>0</v>
      </c>
      <c r="F69" s="85">
        <f>ROUND(SUM(SUMIFS(Input!$G:$G,Input!$E:$E,'2.CC Trans-BB.RE collateral'!F$3,Input!$C:$C,'2.CC Trans-BB.RE collateral'!$A$10,Input!$L:$L,"PEPS5",Input!$K:$K,"NBF3")),0)</f>
        <v>0</v>
      </c>
      <c r="G69" s="85">
        <f>ROUND(SUM(SUMIFS(Input!$G:$G,Input!$E:$E,'2.CC Trans-BB.RE collateral'!G$3,Input!$C:$C,'2.CC Trans-BB.RE collateral'!$A$10,Input!$L:$L,"PEPS5",Input!$K:$K,"NBF3")),0)</f>
        <v>0</v>
      </c>
      <c r="H69" s="85">
        <f>ROUND(SUM(SUMIFS(Input!$G:$G,Input!$E:$E,'2.CC Trans-BB.RE collateral'!H$3,Input!$C:$C,'2.CC Trans-BB.RE collateral'!$A$10,Input!$L:$L,"PEPS5",Input!$K:$K,"NBF3")),0)</f>
        <v>0</v>
      </c>
      <c r="I69" s="85">
        <f>ROUND(SUM(SUMIFS(Input!$G:$G,Input!$E:$E,'2.CC Trans-BB.RE collateral'!I$3,Input!$C:$C,'2.CC Trans-BB.RE collateral'!$A$10,Input!$L:$L,"PEPS5",Input!$K:$K,"NBF3")),0)</f>
        <v>0</v>
      </c>
      <c r="J69" s="85">
        <f>ROUND(SUM(SUMIFS(Input!$G:$G,Input!$E:$E,'2.CC Trans-BB.RE collateral'!J$3,Input!$C:$C,'2.CC Trans-BB.RE collateral'!$A$10,Input!$L:$L,"PEPS5",Input!$K:$K,"NBF3")),0)</f>
        <v>0</v>
      </c>
      <c r="K69" s="68"/>
      <c r="L69" s="76" t="s">
        <v>23</v>
      </c>
      <c r="M69" s="85">
        <f>ROUND(SUM(SUMIFS(Input!$G:$G,Input!$D:$D,'2.CC Trans-BB.RE collateral'!M$7&amp;"*",Input!$C:$C,'2.CC Trans-BB.RE collateral'!$A$10,Input!$M:$M,"PEPC5",Input!$H:$H,{"1-REAL";"SANTANDER"},Input!$K:$K,"NBF3")),0)</f>
        <v>0</v>
      </c>
      <c r="N69" s="85">
        <f>ROUND(SUM(SUMIFS(Input!$G:$G,Input!$D:$D,'2.CC Trans-BB.RE collateral'!N$7&amp;"*",Input!$C:$C,'2.CC Trans-BB.RE collateral'!$A$10,Input!$M:$M,"PEPC5",Input!$H:$H,{"1-REAL";"SANTANDER"},Input!$K:$K,"NBF3")),0)</f>
        <v>0</v>
      </c>
      <c r="O69" s="85">
        <f>ROUND(SUM(SUMIFS(Input!$G:$G,Input!$D:$D,'2.CC Trans-BB.RE collateral'!O$7&amp;"*",Input!$C:$C,'2.CC Trans-BB.RE collateral'!$A$10,Input!$M:$M,"PEPC5",Input!$H:$H,{"1-REAL";"SANTANDER"},Input!$K:$K,"NBF3")),0)</f>
        <v>0</v>
      </c>
      <c r="P69" s="85">
        <f>ROUND(SUM(SUMIFS(Input!$G:$G,Input!$D:$D,'2.CC Trans-BB.RE collateral'!P$7&amp;"*",Input!$C:$C,'2.CC Trans-BB.RE collateral'!$A$10,Input!$M:$M,"PEPC5",Input!$H:$H,{"1-REAL";"SANTANDER"},Input!$K:$K,"NBF3")),0)</f>
        <v>0</v>
      </c>
      <c r="Q69" s="85">
        <f>ROUND(SUM(SUMIFS(Input!$G:$G,Input!$D:$D,'2.CC Trans-BB.RE collateral'!Q$7&amp;"*",Input!$C:$C,'2.CC Trans-BB.RE collateral'!$A$10,Input!$M:$M,"PEPC5",Input!$H:$H,{"1-REAL";"SANTANDER"},Input!$K:$K,"NBF3")),0)</f>
        <v>0</v>
      </c>
      <c r="R69" s="85">
        <f>ROUND(SUM(SUMIFS(Input!$G:$G,Input!$D:$D,'2.CC Trans-BB.RE collateral'!R$7&amp;"*",Input!$C:$C,'2.CC Trans-BB.RE collateral'!$A$10,Input!$M:$M,"PEPC5",Input!$H:$H,{"1-REAL";"SANTANDER"},Input!$K:$K,"NBF3")),0)</f>
        <v>0</v>
      </c>
      <c r="S69" s="85">
        <f>ROUND(SUM(SUMIFS(Input!$G:$G,Input!$D:$D,'2.CC Trans-BB.RE collateral'!S$7&amp;"*",Input!$C:$C,'2.CC Trans-BB.RE collateral'!$A$10,Input!$M:$M,"PEPC5",Input!$H:$H,{"1-REAL";"SANTANDER"},Input!$K:$K,"NBF3")),0)</f>
        <v>0</v>
      </c>
      <c r="T69" s="70"/>
      <c r="U69" s="69"/>
      <c r="V69" s="47"/>
    </row>
    <row r="70" spans="2:22" s="42" customFormat="1" ht="12.75" x14ac:dyDescent="0.2">
      <c r="B70" s="45">
        <v>49</v>
      </c>
      <c r="C70" s="67"/>
      <c r="D70" s="76" t="s">
        <v>18</v>
      </c>
      <c r="E70" s="85">
        <f>ROUND(SUM(SUMIFS(Input!$G:$G,Input!$E:$E,'2.CC Trans-BB.RE collateral'!E$3,Input!$C:$C,'2.CC Trans-BB.RE collateral'!$A$10,Input!$L:$L,"PEPS6",Input!$K:$K,"NBF3")),0)</f>
        <v>0</v>
      </c>
      <c r="F70" s="85">
        <f>ROUND(SUM(SUMIFS(Input!$G:$G,Input!$E:$E,'2.CC Trans-BB.RE collateral'!F$3,Input!$C:$C,'2.CC Trans-BB.RE collateral'!$A$10,Input!$L:$L,"PEPS6",Input!$K:$K,"NBF3")),0)</f>
        <v>0</v>
      </c>
      <c r="G70" s="85">
        <f>ROUND(SUM(SUMIFS(Input!$G:$G,Input!$E:$E,'2.CC Trans-BB.RE collateral'!G$3,Input!$C:$C,'2.CC Trans-BB.RE collateral'!$A$10,Input!$L:$L,"PEPS6",Input!$K:$K,"NBF3")),0)</f>
        <v>0</v>
      </c>
      <c r="H70" s="85">
        <f>ROUND(SUM(SUMIFS(Input!$G:$G,Input!$E:$E,'2.CC Trans-BB.RE collateral'!H$3,Input!$C:$C,'2.CC Trans-BB.RE collateral'!$A$10,Input!$L:$L,"PEPS6",Input!$K:$K,"NBF3")),0)</f>
        <v>0</v>
      </c>
      <c r="I70" s="85">
        <f>ROUND(SUM(SUMIFS(Input!$G:$G,Input!$E:$E,'2.CC Trans-BB.RE collateral'!I$3,Input!$C:$C,'2.CC Trans-BB.RE collateral'!$A$10,Input!$L:$L,"PEPS6",Input!$K:$K,"NBF3")),0)</f>
        <v>0</v>
      </c>
      <c r="J70" s="85">
        <f>ROUND(SUM(SUMIFS(Input!$G:$G,Input!$E:$E,'2.CC Trans-BB.RE collateral'!J$3,Input!$C:$C,'2.CC Trans-BB.RE collateral'!$A$10,Input!$L:$L,"PEPS6",Input!$K:$K,"NBF3")),0)</f>
        <v>0</v>
      </c>
      <c r="K70" s="68"/>
      <c r="L70" s="76" t="s">
        <v>24</v>
      </c>
      <c r="M70" s="85">
        <f>ROUND(SUM(SUMIFS(Input!$G:$G,Input!$D:$D,'2.CC Trans-BB.RE collateral'!M$7&amp;"*",Input!$C:$C,'2.CC Trans-BB.RE collateral'!$A$10,Input!$M:$M,"PEPC6",Input!$H:$H,{"1-REAL";"SANTANDER"},Input!$K:$K,"NBF3")),0)</f>
        <v>0</v>
      </c>
      <c r="N70" s="85">
        <f>ROUND(SUM(SUMIFS(Input!$G:$G,Input!$D:$D,'2.CC Trans-BB.RE collateral'!N$7&amp;"*",Input!$C:$C,'2.CC Trans-BB.RE collateral'!$A$10,Input!$M:$M,"PEPC6",Input!$H:$H,{"1-REAL";"SANTANDER"},Input!$K:$K,"NBF3")),0)</f>
        <v>0</v>
      </c>
      <c r="O70" s="85">
        <f>ROUND(SUM(SUMIFS(Input!$G:$G,Input!$D:$D,'2.CC Trans-BB.RE collateral'!O$7&amp;"*",Input!$C:$C,'2.CC Trans-BB.RE collateral'!$A$10,Input!$M:$M,"PEPC6",Input!$H:$H,{"1-REAL";"SANTANDER"},Input!$K:$K,"NBF3")),0)</f>
        <v>0</v>
      </c>
      <c r="P70" s="85">
        <f>ROUND(SUM(SUMIFS(Input!$G:$G,Input!$D:$D,'2.CC Trans-BB.RE collateral'!P$7&amp;"*",Input!$C:$C,'2.CC Trans-BB.RE collateral'!$A$10,Input!$M:$M,"PEPC6",Input!$H:$H,{"1-REAL";"SANTANDER"},Input!$K:$K,"NBF3")),0)</f>
        <v>0</v>
      </c>
      <c r="Q70" s="85">
        <f>ROUND(SUM(SUMIFS(Input!$G:$G,Input!$D:$D,'2.CC Trans-BB.RE collateral'!Q$7&amp;"*",Input!$C:$C,'2.CC Trans-BB.RE collateral'!$A$10,Input!$M:$M,"PEPC6",Input!$H:$H,{"1-REAL";"SANTANDER"},Input!$K:$K,"NBF3")),0)</f>
        <v>0</v>
      </c>
      <c r="R70" s="85">
        <f>ROUND(SUM(SUMIFS(Input!$G:$G,Input!$D:$D,'2.CC Trans-BB.RE collateral'!R$7&amp;"*",Input!$C:$C,'2.CC Trans-BB.RE collateral'!$A$10,Input!$M:$M,"PEPC6",Input!$H:$H,{"1-REAL";"SANTANDER"},Input!$K:$K,"NBF3")),0)</f>
        <v>0</v>
      </c>
      <c r="S70" s="85">
        <f>ROUND(SUM(SUMIFS(Input!$G:$G,Input!$D:$D,'2.CC Trans-BB.RE collateral'!S$7&amp;"*",Input!$C:$C,'2.CC Trans-BB.RE collateral'!$A$10,Input!$M:$M,"PEPC6",Input!$H:$H,{"1-REAL";"SANTANDER"},Input!$K:$K,"NBF3")),0)</f>
        <v>0</v>
      </c>
      <c r="T70" s="70"/>
      <c r="U70" s="69"/>
      <c r="V70" s="47"/>
    </row>
    <row r="71" spans="2:22" s="42" customFormat="1" ht="15" x14ac:dyDescent="0.25">
      <c r="B71" s="45">
        <v>50</v>
      </c>
      <c r="C71" s="64"/>
      <c r="D71" s="64"/>
      <c r="E71" s="64"/>
      <c r="F71" s="64"/>
      <c r="G71" s="64"/>
      <c r="H71" s="64"/>
      <c r="I71" s="64"/>
      <c r="J71" s="68"/>
      <c r="K71" s="68"/>
      <c r="L71" s="76" t="s">
        <v>25</v>
      </c>
      <c r="M71" s="85">
        <f>ROUND(SUM(SUMIFS(Input!$G:$G,Input!$D:$D,'2.CC Trans-BB.RE collateral'!M$7&amp;"*",Input!$C:$C,'2.CC Trans-BB.RE collateral'!$A$10,Input!$M:$M,"PEPC7",Input!$H:$H,{"1-REAL";"SANTANDER"},Input!$K:$K,"NBF3")),0)</f>
        <v>0</v>
      </c>
      <c r="N71" s="85">
        <f>ROUND(SUM(SUMIFS(Input!$G:$G,Input!$D:$D,'2.CC Trans-BB.RE collateral'!N$7&amp;"*",Input!$C:$C,'2.CC Trans-BB.RE collateral'!$A$10,Input!$M:$M,"PEPC7",Input!$H:$H,{"1-REAL";"SANTANDER"},Input!$K:$K,"NBF3")),0)</f>
        <v>0</v>
      </c>
      <c r="O71" s="85">
        <f>ROUND(SUM(SUMIFS(Input!$G:$G,Input!$D:$D,'2.CC Trans-BB.RE collateral'!O$7&amp;"*",Input!$C:$C,'2.CC Trans-BB.RE collateral'!$A$10,Input!$M:$M,"PEPC7",Input!$H:$H,{"1-REAL";"SANTANDER"},Input!$K:$K,"NBF3")),0)</f>
        <v>0</v>
      </c>
      <c r="P71" s="85">
        <f>ROUND(SUM(SUMIFS(Input!$G:$G,Input!$D:$D,'2.CC Trans-BB.RE collateral'!P$7&amp;"*",Input!$C:$C,'2.CC Trans-BB.RE collateral'!$A$10,Input!$M:$M,"PEPC7",Input!$H:$H,{"1-REAL";"SANTANDER"},Input!$K:$K,"NBF3")),0)</f>
        <v>0</v>
      </c>
      <c r="Q71" s="85">
        <f>ROUND(SUM(SUMIFS(Input!$G:$G,Input!$D:$D,'2.CC Trans-BB.RE collateral'!Q$7&amp;"*",Input!$C:$C,'2.CC Trans-BB.RE collateral'!$A$10,Input!$M:$M,"PEPC7",Input!$H:$H,{"1-REAL";"SANTANDER"},Input!$K:$K,"NBF3")),0)</f>
        <v>0</v>
      </c>
      <c r="R71" s="85">
        <f>ROUND(SUM(SUMIFS(Input!$G:$G,Input!$D:$D,'2.CC Trans-BB.RE collateral'!R$7&amp;"*",Input!$C:$C,'2.CC Trans-BB.RE collateral'!$A$10,Input!$M:$M,"PEPC7",Input!$H:$H,{"1-REAL";"SANTANDER"},Input!$K:$K,"NBF3")),0)</f>
        <v>0</v>
      </c>
      <c r="S71" s="85">
        <f>ROUND(SUM(SUMIFS(Input!$G:$G,Input!$D:$D,'2.CC Trans-BB.RE collateral'!S$7&amp;"*",Input!$C:$C,'2.CC Trans-BB.RE collateral'!$A$10,Input!$M:$M,"PEPC7",Input!$H:$H,{"1-REAL";"SANTANDER"},Input!$K:$K,"NBF3")),0)</f>
        <v>0</v>
      </c>
      <c r="T71" s="70"/>
      <c r="U71" s="69"/>
      <c r="V71" s="47"/>
    </row>
    <row r="72" spans="2:22" ht="15" x14ac:dyDescent="0.25"/>
    <row r="81" ht="15" hidden="1" x14ac:dyDescent="0.25"/>
    <row r="82" ht="15" hidden="1" x14ac:dyDescent="0.25"/>
    <row r="83" ht="15" hidden="1" x14ac:dyDescent="0.25"/>
    <row r="84" ht="15" hidden="1" x14ac:dyDescent="0.25"/>
    <row r="85" ht="15" hidden="1" x14ac:dyDescent="0.25"/>
  </sheetData>
  <mergeCells count="13">
    <mergeCell ref="E61:J61"/>
    <mergeCell ref="M61:S61"/>
    <mergeCell ref="D5:U5"/>
    <mergeCell ref="E6:J6"/>
    <mergeCell ref="K6:L6"/>
    <mergeCell ref="M6:S6"/>
    <mergeCell ref="T6:U6"/>
    <mergeCell ref="C13:U13"/>
    <mergeCell ref="C20:U20"/>
    <mergeCell ref="C32:U32"/>
    <mergeCell ref="C39:U39"/>
    <mergeCell ref="E48:J48"/>
    <mergeCell ref="M48:S48"/>
  </mergeCells>
  <dataValidations count="3">
    <dataValidation type="decimal" allowBlank="1" showInputMessage="1" showErrorMessage="1" error="Numeric values &gt;=0 formatted in percentage." sqref="D33:K33 D40:K40 D14:K14 D21:K21 M21:T21 M40:T40 M33:T33 M14:T14" xr:uid="{00000000-0002-0000-0300-000000000000}">
      <formula1>0</formula1>
      <formula2>5</formula2>
    </dataValidation>
    <dataValidation type="decimal" allowBlank="1" showInputMessage="1" showErrorMessage="1" error="Input value should be between 0&lt;=X&lt;=1 formatted as percentage." sqref="U60:U71 L60 L40:L47 U40:U58 L21:L31 L14:L19 U14:U19 L8:L12 U21:U31 L33:L38 U33:U38 U8:U12" xr:uid="{00000000-0002-0000-0300-000001000000}">
      <formula1>0</formula1>
      <formula2>1</formula2>
    </dataValidation>
    <dataValidation type="decimal" operator="greaterThanOrEqual" allowBlank="1" showInputMessage="1" showErrorMessage="1" error="Only numeric values." sqref="J58:K58 K60:K70 J71:K71 K46:K57 K8:K12 K27:K31" xr:uid="{00000000-0002-0000-0300-000002000000}">
      <formula1>-1000000000000000000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31c357d3320844a5f2610cbf3834eaa2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01488c391752b06d336738650b54da81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schemas.openxmlformats.org/package/2006/metadata/core-properties"/>
    <ds:schemaRef ds:uri="http://schemas.microsoft.com/sharepoint/v3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691f81de-e01a-4b25-b573-c3f90f157691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1789C4-D4A7-4CCC-B8DB-2C68722B27B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Hélder Filipe Felicidade Fernandes</cp:lastModifiedBy>
  <dcterms:created xsi:type="dcterms:W3CDTF">2021-09-06T12:20:44Z</dcterms:created>
  <dcterms:modified xsi:type="dcterms:W3CDTF">2026-02-06T19:37:41Z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