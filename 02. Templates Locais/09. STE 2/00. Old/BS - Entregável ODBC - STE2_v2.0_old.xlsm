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4781\Santander Office 365\BS Implementação Templates Locais &amp; Satélites Corporativos Solução Estrutural - Geral\Templates Locais\09. STE 2\"/>
    </mc:Choice>
  </mc:AlternateContent>
  <bookViews>
    <workbookView xWindow="-110" yWindow="-110" windowWidth="23260" windowHeight="10900"/>
  </bookViews>
  <sheets>
    <sheet name="Instruções" sheetId="30" r:id="rId1"/>
    <sheet name="Menu" sheetId="29" r:id="rId2"/>
    <sheet name="Input" sheetId="27" r:id="rId3"/>
    <sheet name="2.CC Trans-BB.RE collateral" sheetId="34" r:id="rId4"/>
  </sheets>
  <externalReferences>
    <externalReference r:id="rId5"/>
  </externalReferences>
  <definedNames>
    <definedName name="_xlnm._FilterDatabase" localSheetId="2" hidden="1">Input!$C$6:$R$5348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4" i="34" l="1"/>
  <c r="O14" i="34"/>
  <c r="P14" i="34"/>
  <c r="Q14" i="34"/>
  <c r="R14" i="34"/>
  <c r="S14" i="34"/>
  <c r="N15" i="34"/>
  <c r="O15" i="34"/>
  <c r="P15" i="34"/>
  <c r="Q15" i="34"/>
  <c r="R15" i="34"/>
  <c r="S15" i="34"/>
  <c r="N16" i="34"/>
  <c r="O16" i="34"/>
  <c r="P16" i="34"/>
  <c r="Q16" i="34"/>
  <c r="R16" i="34"/>
  <c r="S16" i="34"/>
  <c r="N17" i="34"/>
  <c r="O17" i="34"/>
  <c r="P17" i="34"/>
  <c r="Q17" i="34"/>
  <c r="R17" i="34"/>
  <c r="S17" i="34"/>
  <c r="N18" i="34"/>
  <c r="O18" i="34"/>
  <c r="P18" i="34"/>
  <c r="Q18" i="34"/>
  <c r="R18" i="34"/>
  <c r="S18" i="34"/>
  <c r="N19" i="34"/>
  <c r="O19" i="34"/>
  <c r="P19" i="34"/>
  <c r="Q19" i="34"/>
  <c r="R19" i="34"/>
  <c r="S19" i="34"/>
  <c r="N21" i="34"/>
  <c r="O21" i="34"/>
  <c r="P21" i="34"/>
  <c r="Q21" i="34"/>
  <c r="R21" i="34"/>
  <c r="S21" i="34"/>
  <c r="N22" i="34"/>
  <c r="O22" i="34"/>
  <c r="P22" i="34"/>
  <c r="Q22" i="34"/>
  <c r="R22" i="34"/>
  <c r="S22" i="34"/>
  <c r="N23" i="34"/>
  <c r="O23" i="34"/>
  <c r="P23" i="34"/>
  <c r="Q23" i="34"/>
  <c r="R23" i="34"/>
  <c r="S23" i="34"/>
  <c r="N24" i="34"/>
  <c r="O24" i="34"/>
  <c r="P24" i="34"/>
  <c r="Q24" i="34"/>
  <c r="R24" i="34"/>
  <c r="S24" i="34"/>
  <c r="N25" i="34"/>
  <c r="O25" i="34"/>
  <c r="P25" i="34"/>
  <c r="Q25" i="34"/>
  <c r="R25" i="34"/>
  <c r="S25" i="34"/>
  <c r="N26" i="34"/>
  <c r="O26" i="34"/>
  <c r="P26" i="34"/>
  <c r="Q26" i="34"/>
  <c r="R26" i="34"/>
  <c r="S26" i="34"/>
  <c r="N33" i="34"/>
  <c r="O33" i="34"/>
  <c r="P33" i="34"/>
  <c r="Q33" i="34"/>
  <c r="R33" i="34"/>
  <c r="S33" i="34"/>
  <c r="N34" i="34"/>
  <c r="O34" i="34"/>
  <c r="P34" i="34"/>
  <c r="Q34" i="34"/>
  <c r="R34" i="34"/>
  <c r="S34" i="34"/>
  <c r="N35" i="34"/>
  <c r="O35" i="34"/>
  <c r="P35" i="34"/>
  <c r="Q35" i="34"/>
  <c r="R35" i="34"/>
  <c r="S35" i="34"/>
  <c r="N36" i="34"/>
  <c r="O36" i="34"/>
  <c r="P36" i="34"/>
  <c r="Q36" i="34"/>
  <c r="R36" i="34"/>
  <c r="S36" i="34"/>
  <c r="N37" i="34"/>
  <c r="O37" i="34"/>
  <c r="P37" i="34"/>
  <c r="Q37" i="34"/>
  <c r="R37" i="34"/>
  <c r="S37" i="34"/>
  <c r="N38" i="34"/>
  <c r="O38" i="34"/>
  <c r="P38" i="34"/>
  <c r="Q38" i="34"/>
  <c r="R38" i="34"/>
  <c r="S38" i="34"/>
  <c r="N40" i="34"/>
  <c r="O40" i="34"/>
  <c r="P40" i="34"/>
  <c r="Q40" i="34"/>
  <c r="R40" i="34"/>
  <c r="S40" i="34"/>
  <c r="N41" i="34"/>
  <c r="O41" i="34"/>
  <c r="P41" i="34"/>
  <c r="Q41" i="34"/>
  <c r="R41" i="34"/>
  <c r="S41" i="34"/>
  <c r="N42" i="34"/>
  <c r="O42" i="34"/>
  <c r="P42" i="34"/>
  <c r="Q42" i="34"/>
  <c r="R42" i="34"/>
  <c r="S42" i="34"/>
  <c r="N43" i="34"/>
  <c r="O43" i="34"/>
  <c r="P43" i="34"/>
  <c r="Q43" i="34"/>
  <c r="R43" i="34"/>
  <c r="S43" i="34"/>
  <c r="N44" i="34"/>
  <c r="O44" i="34"/>
  <c r="P44" i="34"/>
  <c r="Q44" i="34"/>
  <c r="R44" i="34"/>
  <c r="S44" i="34"/>
  <c r="N45" i="34"/>
  <c r="O45" i="34"/>
  <c r="P45" i="34"/>
  <c r="Q45" i="34"/>
  <c r="R45" i="34"/>
  <c r="S45" i="34"/>
  <c r="M44" i="34"/>
  <c r="M43" i="34"/>
  <c r="M42" i="34"/>
  <c r="M41" i="34"/>
  <c r="M40" i="34"/>
  <c r="M37" i="34"/>
  <c r="M36" i="34"/>
  <c r="M35" i="34"/>
  <c r="M34" i="34"/>
  <c r="M33" i="34"/>
  <c r="M25" i="34"/>
  <c r="M24" i="34"/>
  <c r="M23" i="34"/>
  <c r="M22" i="34"/>
  <c r="M45" i="34"/>
  <c r="M38" i="34"/>
  <c r="M26" i="34"/>
  <c r="M19" i="34"/>
  <c r="M21" i="34"/>
  <c r="M18" i="34"/>
  <c r="M17" i="34"/>
  <c r="M16" i="34"/>
  <c r="M15" i="34"/>
  <c r="M14" i="34"/>
  <c r="N31" i="34" l="1"/>
  <c r="O31" i="34"/>
  <c r="P31" i="34"/>
  <c r="Q31" i="34"/>
  <c r="R31" i="34"/>
  <c r="S31" i="34"/>
  <c r="M31" i="34"/>
  <c r="K38" i="34" l="1"/>
  <c r="K37" i="34"/>
  <c r="K36" i="34"/>
  <c r="K35" i="34"/>
  <c r="K34" i="34"/>
  <c r="K33" i="34"/>
  <c r="K26" i="34"/>
  <c r="K25" i="34"/>
  <c r="K24" i="34"/>
  <c r="K23" i="34"/>
  <c r="K22" i="34"/>
  <c r="K21" i="34"/>
  <c r="K19" i="34"/>
  <c r="K18" i="34"/>
  <c r="K17" i="34"/>
  <c r="K16" i="34"/>
  <c r="K15" i="34"/>
  <c r="K14" i="34"/>
  <c r="K45" i="34"/>
  <c r="K44" i="34"/>
  <c r="K43" i="34"/>
  <c r="K42" i="34"/>
  <c r="K41" i="34"/>
  <c r="K40" i="34"/>
  <c r="K31" i="34"/>
  <c r="L31" i="34" s="1"/>
  <c r="K29" i="34"/>
  <c r="L29" i="34" s="1"/>
  <c r="K28" i="34"/>
  <c r="L28" i="34" s="1"/>
  <c r="K10" i="34"/>
  <c r="K12" i="34"/>
  <c r="L12" i="34" s="1"/>
  <c r="K11" i="34"/>
  <c r="L11" i="34" s="1"/>
  <c r="K9" i="34"/>
  <c r="U31" i="34"/>
  <c r="U12" i="34"/>
  <c r="M12" i="34" l="1"/>
  <c r="S12" i="34"/>
  <c r="R12" i="34"/>
  <c r="Q12" i="34"/>
  <c r="P12" i="34"/>
  <c r="O12" i="34"/>
  <c r="N12" i="34"/>
  <c r="T19" i="34" l="1"/>
  <c r="T18" i="34"/>
  <c r="T17" i="34"/>
  <c r="T16" i="34"/>
  <c r="T15" i="34"/>
  <c r="T14" i="34"/>
  <c r="T26" i="34"/>
  <c r="T25" i="34"/>
  <c r="T24" i="34"/>
  <c r="T23" i="34"/>
  <c r="T22" i="34"/>
  <c r="T21" i="34"/>
  <c r="T38" i="34"/>
  <c r="T37" i="34"/>
  <c r="T36" i="34"/>
  <c r="T35" i="34"/>
  <c r="T34" i="34"/>
  <c r="T33" i="34"/>
  <c r="T45" i="34"/>
  <c r="T44" i="34"/>
  <c r="T43" i="34"/>
  <c r="T42" i="34"/>
  <c r="T41" i="34"/>
  <c r="T40" i="34"/>
  <c r="U30" i="34"/>
  <c r="U29" i="34"/>
  <c r="U28" i="34"/>
  <c r="U27" i="34"/>
  <c r="U11" i="34"/>
  <c r="U10" i="34"/>
  <c r="U9" i="34"/>
  <c r="U8" i="34"/>
  <c r="S71" i="34" l="1"/>
  <c r="R71" i="34"/>
  <c r="Q71" i="34"/>
  <c r="P71" i="34"/>
  <c r="O71" i="34"/>
  <c r="N71" i="34"/>
  <c r="M71" i="34"/>
  <c r="S70" i="34"/>
  <c r="R70" i="34"/>
  <c r="Q70" i="34"/>
  <c r="P70" i="34"/>
  <c r="O70" i="34"/>
  <c r="N70" i="34"/>
  <c r="M70" i="34"/>
  <c r="J70" i="34"/>
  <c r="I70" i="34"/>
  <c r="H70" i="34"/>
  <c r="G70" i="34"/>
  <c r="F70" i="34"/>
  <c r="E70" i="34"/>
  <c r="S69" i="34"/>
  <c r="R69" i="34"/>
  <c r="Q69" i="34"/>
  <c r="P69" i="34"/>
  <c r="O69" i="34"/>
  <c r="N69" i="34"/>
  <c r="M69" i="34"/>
  <c r="J69" i="34"/>
  <c r="I69" i="34"/>
  <c r="H69" i="34"/>
  <c r="G69" i="34"/>
  <c r="F69" i="34"/>
  <c r="E69" i="34"/>
  <c r="S68" i="34"/>
  <c r="R68" i="34"/>
  <c r="Q68" i="34"/>
  <c r="P68" i="34"/>
  <c r="O68" i="34"/>
  <c r="N68" i="34"/>
  <c r="M68" i="34"/>
  <c r="J68" i="34"/>
  <c r="I68" i="34"/>
  <c r="H68" i="34"/>
  <c r="G68" i="34"/>
  <c r="F68" i="34"/>
  <c r="E68" i="34"/>
  <c r="S67" i="34"/>
  <c r="R67" i="34"/>
  <c r="Q67" i="34"/>
  <c r="P67" i="34"/>
  <c r="O67" i="34"/>
  <c r="N67" i="34"/>
  <c r="M67" i="34"/>
  <c r="J67" i="34"/>
  <c r="I67" i="34"/>
  <c r="H67" i="34"/>
  <c r="G67" i="34"/>
  <c r="F67" i="34"/>
  <c r="E67" i="34"/>
  <c r="S66" i="34"/>
  <c r="R66" i="34"/>
  <c r="Q66" i="34"/>
  <c r="P66" i="34"/>
  <c r="O66" i="34"/>
  <c r="N66" i="34"/>
  <c r="M66" i="34"/>
  <c r="J66" i="34"/>
  <c r="I66" i="34"/>
  <c r="H66" i="34"/>
  <c r="G66" i="34"/>
  <c r="F66" i="34"/>
  <c r="E66" i="34"/>
  <c r="S65" i="34"/>
  <c r="R65" i="34"/>
  <c r="Q65" i="34"/>
  <c r="P65" i="34"/>
  <c r="O65" i="34"/>
  <c r="N65" i="34"/>
  <c r="M65" i="34"/>
  <c r="J65" i="34"/>
  <c r="I65" i="34"/>
  <c r="H65" i="34"/>
  <c r="G65" i="34"/>
  <c r="F65" i="34"/>
  <c r="E65" i="34"/>
  <c r="S63" i="34"/>
  <c r="R63" i="34"/>
  <c r="Q63" i="34"/>
  <c r="P63" i="34"/>
  <c r="O63" i="34"/>
  <c r="N63" i="34"/>
  <c r="M63" i="34"/>
  <c r="J63" i="34"/>
  <c r="I63" i="34"/>
  <c r="H63" i="34"/>
  <c r="G63" i="34"/>
  <c r="F63" i="34"/>
  <c r="E63" i="34"/>
  <c r="S58" i="34"/>
  <c r="R58" i="34"/>
  <c r="Q58" i="34"/>
  <c r="P58" i="34"/>
  <c r="O58" i="34"/>
  <c r="N58" i="34"/>
  <c r="M58" i="34"/>
  <c r="S57" i="34"/>
  <c r="R57" i="34"/>
  <c r="Q57" i="34"/>
  <c r="P57" i="34"/>
  <c r="O57" i="34"/>
  <c r="N57" i="34"/>
  <c r="M57" i="34"/>
  <c r="J57" i="34"/>
  <c r="I57" i="34"/>
  <c r="H57" i="34"/>
  <c r="G57" i="34"/>
  <c r="F57" i="34"/>
  <c r="E57" i="34"/>
  <c r="S56" i="34"/>
  <c r="R56" i="34"/>
  <c r="Q56" i="34"/>
  <c r="P56" i="34"/>
  <c r="O56" i="34"/>
  <c r="N56" i="34"/>
  <c r="M56" i="34"/>
  <c r="J56" i="34"/>
  <c r="I56" i="34"/>
  <c r="H56" i="34"/>
  <c r="G56" i="34"/>
  <c r="F56" i="34"/>
  <c r="E56" i="34"/>
  <c r="S55" i="34"/>
  <c r="R55" i="34"/>
  <c r="Q55" i="34"/>
  <c r="P55" i="34"/>
  <c r="O55" i="34"/>
  <c r="N55" i="34"/>
  <c r="M55" i="34"/>
  <c r="J55" i="34"/>
  <c r="I55" i="34"/>
  <c r="H55" i="34"/>
  <c r="G55" i="34"/>
  <c r="F55" i="34"/>
  <c r="E55" i="34"/>
  <c r="S54" i="34"/>
  <c r="R54" i="34"/>
  <c r="Q54" i="34"/>
  <c r="P54" i="34"/>
  <c r="O54" i="34"/>
  <c r="N54" i="34"/>
  <c r="M54" i="34"/>
  <c r="J54" i="34"/>
  <c r="I54" i="34"/>
  <c r="H54" i="34"/>
  <c r="G54" i="34"/>
  <c r="F54" i="34"/>
  <c r="E54" i="34"/>
  <c r="S53" i="34"/>
  <c r="R53" i="34"/>
  <c r="Q53" i="34"/>
  <c r="P53" i="34"/>
  <c r="O53" i="34"/>
  <c r="N53" i="34"/>
  <c r="M53" i="34"/>
  <c r="J53" i="34"/>
  <c r="I53" i="34"/>
  <c r="H53" i="34"/>
  <c r="G53" i="34"/>
  <c r="F53" i="34"/>
  <c r="E53" i="34"/>
  <c r="S52" i="34"/>
  <c r="R52" i="34"/>
  <c r="Q52" i="34"/>
  <c r="P52" i="34"/>
  <c r="O52" i="34"/>
  <c r="N52" i="34"/>
  <c r="M52" i="34"/>
  <c r="J52" i="34"/>
  <c r="I52" i="34"/>
  <c r="H52" i="34"/>
  <c r="G52" i="34"/>
  <c r="F52" i="34"/>
  <c r="E52" i="34"/>
  <c r="S50" i="34"/>
  <c r="R50" i="34"/>
  <c r="Q50" i="34"/>
  <c r="P50" i="34"/>
  <c r="O50" i="34"/>
  <c r="N50" i="34"/>
  <c r="M50" i="34"/>
  <c r="J50" i="34"/>
  <c r="I50" i="34"/>
  <c r="H50" i="34"/>
  <c r="G50" i="34"/>
  <c r="F50" i="34"/>
  <c r="E50" i="34"/>
  <c r="J45" i="34"/>
  <c r="I45" i="34"/>
  <c r="H45" i="34"/>
  <c r="G45" i="34"/>
  <c r="F45" i="34"/>
  <c r="E45" i="34"/>
  <c r="D45" i="34"/>
  <c r="J44" i="34"/>
  <c r="I44" i="34"/>
  <c r="H44" i="34"/>
  <c r="G44" i="34"/>
  <c r="F44" i="34"/>
  <c r="E44" i="34"/>
  <c r="D44" i="34"/>
  <c r="J43" i="34"/>
  <c r="I43" i="34"/>
  <c r="H43" i="34"/>
  <c r="G43" i="34"/>
  <c r="F43" i="34"/>
  <c r="E43" i="34"/>
  <c r="D43" i="34"/>
  <c r="J42" i="34"/>
  <c r="I42" i="34"/>
  <c r="H42" i="34"/>
  <c r="G42" i="34"/>
  <c r="F42" i="34"/>
  <c r="E42" i="34"/>
  <c r="D42" i="34"/>
  <c r="J41" i="34"/>
  <c r="I41" i="34"/>
  <c r="H41" i="34"/>
  <c r="G41" i="34"/>
  <c r="F41" i="34"/>
  <c r="E41" i="34"/>
  <c r="D41" i="34"/>
  <c r="J40" i="34"/>
  <c r="I40" i="34"/>
  <c r="H40" i="34"/>
  <c r="G40" i="34"/>
  <c r="F40" i="34"/>
  <c r="E40" i="34"/>
  <c r="D40" i="34"/>
  <c r="J38" i="34"/>
  <c r="I38" i="34"/>
  <c r="H38" i="34"/>
  <c r="G38" i="34"/>
  <c r="F38" i="34"/>
  <c r="E38" i="34"/>
  <c r="D38" i="34"/>
  <c r="J37" i="34"/>
  <c r="I37" i="34"/>
  <c r="H37" i="34"/>
  <c r="G37" i="34"/>
  <c r="F37" i="34"/>
  <c r="E37" i="34"/>
  <c r="D37" i="34"/>
  <c r="J36" i="34"/>
  <c r="I36" i="34"/>
  <c r="H36" i="34"/>
  <c r="G36" i="34"/>
  <c r="F36" i="34"/>
  <c r="E36" i="34"/>
  <c r="D36" i="34"/>
  <c r="J35" i="34"/>
  <c r="I35" i="34"/>
  <c r="H35" i="34"/>
  <c r="G35" i="34"/>
  <c r="F35" i="34"/>
  <c r="E35" i="34"/>
  <c r="D35" i="34"/>
  <c r="J34" i="34"/>
  <c r="I34" i="34"/>
  <c r="H34" i="34"/>
  <c r="G34" i="34"/>
  <c r="F34" i="34"/>
  <c r="E34" i="34"/>
  <c r="D34" i="34"/>
  <c r="J33" i="34"/>
  <c r="I33" i="34"/>
  <c r="H33" i="34"/>
  <c r="G33" i="34"/>
  <c r="F33" i="34"/>
  <c r="E33" i="34"/>
  <c r="D33" i="34"/>
  <c r="K30" i="34"/>
  <c r="L30" i="34" s="1"/>
  <c r="J26" i="34"/>
  <c r="I26" i="34"/>
  <c r="H26" i="34"/>
  <c r="G26" i="34"/>
  <c r="F26" i="34"/>
  <c r="E26" i="34"/>
  <c r="D26" i="34"/>
  <c r="J25" i="34"/>
  <c r="I25" i="34"/>
  <c r="H25" i="34"/>
  <c r="G25" i="34"/>
  <c r="F25" i="34"/>
  <c r="E25" i="34"/>
  <c r="D25" i="34"/>
  <c r="J24" i="34"/>
  <c r="I24" i="34"/>
  <c r="H24" i="34"/>
  <c r="G24" i="34"/>
  <c r="F24" i="34"/>
  <c r="E24" i="34"/>
  <c r="D24" i="34"/>
  <c r="J23" i="34"/>
  <c r="I23" i="34"/>
  <c r="H23" i="34"/>
  <c r="G23" i="34"/>
  <c r="F23" i="34"/>
  <c r="E23" i="34"/>
  <c r="D23" i="34"/>
  <c r="J22" i="34"/>
  <c r="I22" i="34"/>
  <c r="H22" i="34"/>
  <c r="G22" i="34"/>
  <c r="F22" i="34"/>
  <c r="E22" i="34"/>
  <c r="D22" i="34"/>
  <c r="J21" i="34"/>
  <c r="I21" i="34"/>
  <c r="H21" i="34"/>
  <c r="G21" i="34"/>
  <c r="F21" i="34"/>
  <c r="E21" i="34"/>
  <c r="D21" i="34"/>
  <c r="J19" i="34"/>
  <c r="I19" i="34"/>
  <c r="H19" i="34"/>
  <c r="G19" i="34"/>
  <c r="F19" i="34"/>
  <c r="E19" i="34"/>
  <c r="D19" i="34"/>
  <c r="J18" i="34"/>
  <c r="I18" i="34"/>
  <c r="H18" i="34"/>
  <c r="G18" i="34"/>
  <c r="F18" i="34"/>
  <c r="E18" i="34"/>
  <c r="D18" i="34"/>
  <c r="J17" i="34"/>
  <c r="I17" i="34"/>
  <c r="H17" i="34"/>
  <c r="G17" i="34"/>
  <c r="F17" i="34"/>
  <c r="E17" i="34"/>
  <c r="D17" i="34"/>
  <c r="J16" i="34"/>
  <c r="I16" i="34"/>
  <c r="H16" i="34"/>
  <c r="G16" i="34"/>
  <c r="F16" i="34"/>
  <c r="E16" i="34"/>
  <c r="D16" i="34"/>
  <c r="J15" i="34"/>
  <c r="I15" i="34"/>
  <c r="H15" i="34"/>
  <c r="G15" i="34"/>
  <c r="F15" i="34"/>
  <c r="E15" i="34"/>
  <c r="D15" i="34"/>
  <c r="J14" i="34"/>
  <c r="I14" i="34"/>
  <c r="H14" i="34"/>
  <c r="G14" i="34"/>
  <c r="F14" i="34"/>
  <c r="E14" i="34"/>
  <c r="D14" i="34"/>
  <c r="L10" i="34"/>
  <c r="L9" i="34"/>
  <c r="K27" i="34" l="1"/>
  <c r="L27" i="34" s="1"/>
  <c r="K8" i="34"/>
  <c r="L8" i="34" s="1"/>
  <c r="F10" i="29" l="1"/>
</calcChain>
</file>

<file path=xl/sharedStrings.xml><?xml version="1.0" encoding="utf-8"?>
<sst xmlns="http://schemas.openxmlformats.org/spreadsheetml/2006/main" count="54021" uniqueCount="161">
  <si>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</si>
  <si>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</si>
  <si>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</si>
  <si>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</si>
  <si>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</si>
  <si>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</si>
  <si>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</si>
  <si>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</si>
  <si>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</si>
  <si>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</si>
  <si>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</si>
  <si>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</si>
  <si>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Counterparty sector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</si>
  <si>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</si>
  <si>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</si>
  <si>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</si>
  <si>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</si>
  <si>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</si>
  <si>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</si>
  <si>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A</t>
  </si>
  <si>
    <t>B</t>
  </si>
  <si>
    <t>C</t>
  </si>
  <si>
    <t>D</t>
  </si>
  <si>
    <t>E</t>
  </si>
  <si>
    <t>F</t>
  </si>
  <si>
    <t>G</t>
  </si>
  <si>
    <t>Level of energy efficiency (EPC label of collateral)</t>
  </si>
  <si>
    <t>m</t>
  </si>
  <si>
    <t>n</t>
  </si>
  <si>
    <t>o</t>
  </si>
  <si>
    <t>p</t>
  </si>
  <si>
    <t>Of which Loans collateralised by commercial immovable property</t>
  </si>
  <si>
    <t>Of which Loans collateralised by residential immovable property</t>
  </si>
  <si>
    <t xml:space="preserve">Of which Collateral obtained by taking possession: residential and commercial immovable properties </t>
  </si>
  <si>
    <t>Total EU area</t>
  </si>
  <si>
    <t>Total non-EU area</t>
  </si>
  <si>
    <t>Without EPC label of collateral</t>
  </si>
  <si>
    <t>Level of energy efficiency (EP score in kWh/m² of collateral)</t>
  </si>
  <si>
    <t>Template 2: Banking book - Climate change transition risk: Loans collateralised by immovable property - Energy efficiency of the collateral</t>
  </si>
  <si>
    <t>tipo_colateral</t>
  </si>
  <si>
    <t>epc_label</t>
  </si>
  <si>
    <t>ep_score</t>
  </si>
  <si>
    <t>european_union</t>
  </si>
  <si>
    <t>amount</t>
  </si>
  <si>
    <t>Stock</t>
  </si>
  <si>
    <t>menor_200</t>
  </si>
  <si>
    <t>EU-area</t>
  </si>
  <si>
    <t>4-MEDIA</t>
  </si>
  <si>
    <t>1-REAL</t>
  </si>
  <si>
    <t>menor_100</t>
  </si>
  <si>
    <t>menor_400</t>
  </si>
  <si>
    <t>Garantia Residencial</t>
  </si>
  <si>
    <t>menor_500</t>
  </si>
  <si>
    <t>Garantia Comercial</t>
  </si>
  <si>
    <t>5-MEDIA BAJA</t>
  </si>
  <si>
    <t>menor_300</t>
  </si>
  <si>
    <t>2-MUY ALTA</t>
  </si>
  <si>
    <t>SANTANDER</t>
  </si>
  <si>
    <t>6-BAJA</t>
  </si>
  <si>
    <t>3-ALTA</t>
  </si>
  <si>
    <t>Sem dados</t>
  </si>
  <si>
    <t>7-SIN DATO</t>
  </si>
  <si>
    <t>maior_500</t>
  </si>
  <si>
    <t>quality_score</t>
  </si>
  <si>
    <t>Non EU-area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</si>
  <si>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</si>
  <si>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</si>
  <si>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</si>
  <si>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</si>
  <si>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</si>
  <si>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</si>
  <si>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</si>
  <si>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</si>
  <si>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</si>
  <si>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</si>
  <si>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</si>
  <si>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</si>
  <si>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</si>
  <si>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</si>
  <si>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</si>
  <si>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</si>
  <si>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</si>
  <si>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</si>
  <si>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</si>
  <si>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</si>
  <si>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</si>
  <si>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</si>
  <si>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</si>
  <si>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"2.CC Trans-BB.RE collateral"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</si>
  <si>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</si>
  <si>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NULO</t>
  </si>
  <si>
    <t>A+</t>
  </si>
  <si>
    <t>B-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</si>
  <si>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"bu_esg_work.ag02_ste_cto_gra".</t>
    </r>
  </si>
  <si>
    <t>- As datas deverão respeitar o seguinte formato: YYYY/MM/DD.</t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</si>
  <si>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2 (</t>
    </r>
    <r>
      <rPr>
        <i/>
        <sz val="9"/>
        <color theme="1"/>
        <rFont val="Calibri"/>
        <family val="2"/>
        <scheme val="minor"/>
      </rPr>
      <t xml:space="preserve">SREP </t>
    </r>
    <r>
      <rPr>
        <sz val="9"/>
        <color theme="1"/>
        <rFont val="Calibri"/>
        <family val="2"/>
        <scheme val="minor"/>
      </rPr>
      <t xml:space="preserve">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"2.CC Trans-BB.RE collateral".</t>
    </r>
  </si>
  <si>
    <t>maturity_esg</t>
  </si>
  <si>
    <t>aveg_aux</t>
  </si>
  <si>
    <t>new_business_flow</t>
  </si>
  <si>
    <t>previous_year_ep_score</t>
  </si>
  <si>
    <t>previous_year_epc_label</t>
  </si>
  <si>
    <t>flag_maturity</t>
  </si>
  <si>
    <t>interest_aux</t>
  </si>
  <si>
    <t>ltv_aux</t>
  </si>
  <si>
    <t>collateral_ltv</t>
  </si>
  <si>
    <t>MESG1</t>
  </si>
  <si>
    <t>NBF3</t>
  </si>
  <si>
    <t>LTV1</t>
  </si>
  <si>
    <t>MESG4</t>
  </si>
  <si>
    <t>PEPS4</t>
  </si>
  <si>
    <t>LTV5</t>
  </si>
  <si>
    <t>MESG3</t>
  </si>
  <si>
    <t>NBF2</t>
  </si>
  <si>
    <t>LTV2</t>
  </si>
  <si>
    <t>PEPS3</t>
  </si>
  <si>
    <t>PEPC4</t>
  </si>
  <si>
    <t>PEPS7</t>
  </si>
  <si>
    <t>PEPC7</t>
  </si>
  <si>
    <t>LTV3</t>
  </si>
  <si>
    <t>MESG2</t>
  </si>
  <si>
    <t>PEPS2</t>
  </si>
  <si>
    <t>PEPC6</t>
  </si>
  <si>
    <t>PEPC1</t>
  </si>
  <si>
    <t>PEPC2</t>
  </si>
  <si>
    <t>PEPS1</t>
  </si>
  <si>
    <t>PEPC5</t>
  </si>
  <si>
    <t>PEPC3</t>
  </si>
  <si>
    <t>LTV4</t>
  </si>
  <si>
    <t>MESG5</t>
  </si>
  <si>
    <t>PEPC8</t>
  </si>
  <si>
    <t>PEPS5</t>
  </si>
  <si>
    <t>PEPS6</t>
  </si>
  <si>
    <t>q</t>
  </si>
  <si>
    <t>r</t>
  </si>
  <si>
    <t xml:space="preserve">Total gross carrying amount (EUR) - except averages </t>
  </si>
  <si>
    <t>Without EP score in kWh/m² of collateral</t>
  </si>
  <si>
    <t>Of which level of energy efficiency (EP score in kWh/m² of collateral) estimated [%]</t>
  </si>
  <si>
    <t>Of which level of energy efficiency (EPC label of collateral) estimated [%]</t>
  </si>
  <si>
    <t>Of which Level of energy efficiency (EP score in kWh/m² and EPC label of collateral) estimated</t>
  </si>
  <si>
    <t>Commercial immovable property</t>
  </si>
  <si>
    <t>Average loan-to-value of loans collateralised by commercial immovable property, weighted by gross carrying amount</t>
  </si>
  <si>
    <t>GCA of loans collateralised by commercial immovable property with 80% &lt; loan-to-value &lt; 100%, weighted by GCA</t>
  </si>
  <si>
    <t>GCA of loans collateralised by commercial immovable property with loan-to-value &gt;= 100%, weighted by GCA</t>
  </si>
  <si>
    <t>Average residual maturity in years of loans collateralised by commercial immovable property, weighted by gross carrying amount</t>
  </si>
  <si>
    <t>GCA of loans collateralised by commercial immovable property with Residual maturity &lt; 5 years, weighted by GCA</t>
  </si>
  <si>
    <t>Average interest rate of new business flow on commercial immovable property, weighted by gross carrying amount</t>
  </si>
  <si>
    <t>Residential immovable property</t>
  </si>
  <si>
    <t>Average loan-to-value of loans collateralised by residential immovable property, weighted by gross carrying amount</t>
  </si>
  <si>
    <t>GCA of loans collateralised by residential immovable property with 80% &lt; loan-to-value &lt; 100%, weighted by GCA</t>
  </si>
  <si>
    <t>GCA of loans collateralised by residential immovable property with loan-to-value &gt;= 100%, weighted by GCA</t>
  </si>
  <si>
    <t>Average residual maturity in years of loans collateralised by residential immovable property, weighted by gross carrying amount</t>
  </si>
  <si>
    <t>GCA of loans collateralised by residential immovable property with Residual maturity &lt; 5 years, weighted by GCA</t>
  </si>
  <si>
    <t>Average interest rate of new business flow on residential immovable property, weighted by gross carrying amount</t>
  </si>
  <si>
    <t>Migration of performance of loans collateralised by commercial immovable properties in EU + non-EU (reporting year t vs reporting year t-1, total gross carrying amount, reporting year values)</t>
  </si>
  <si>
    <t>Reporting year t</t>
  </si>
  <si>
    <t>New business flow</t>
  </si>
  <si>
    <t>Migration of performance of loans collateralised by residential immovable properties in EU + non-EU (reporting year t vs reporting year t-1, total gross carrying amount, reporting year values)</t>
  </si>
  <si>
    <t>source_code</t>
  </si>
  <si>
    <t>ESTIMADO</t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</si>
  <si>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STE 2 Granular_v2.0.sql" e </t>
    </r>
    <r>
      <rPr>
        <i/>
        <sz val="9"/>
        <color theme="1"/>
        <rFont val="Calibri"/>
        <family val="2"/>
        <scheme val="minor"/>
      </rPr>
      <t>"BS_Geracao Template STE 2 Agregado_v2.0.sql".</t>
    </r>
  </si>
  <si>
    <t>- A query está dependente da introdução da data de referência dos dados (campo 'ref_date'), data de inicio do ano de reporte (campo 'ref_date_ini') e data de referência do ano de reporte anterior (campo 'ref_date_ant'), pelo que antes da corrida da query deverão 
ser definidas as datas de referência nas caixas de conteúdo apresentadas abaixo: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</si>
</sst>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sz val="6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0" fillId="0" borderId="0" xfId="0"/>
    <xf numFmtId="0" fontId="0" fillId="4" borderId="0" xfId="0" applyFill="1"/>
    <xf numFmtId="0" fontId="7" fillId="4" borderId="0" xfId="0" applyFont="1" applyFill="1"/>
    <xf numFmtId="0" fontId="7" fillId="4" borderId="1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3" borderId="0" xfId="0" applyFont="1" applyFill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7" borderId="0" xfId="0" applyFont="1" applyFill="1" applyAlignment="1">
      <alignment horizontal="center" vertical="center" wrapText="1"/>
    </xf>
    <xf numFmtId="0" fontId="8" fillId="4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4" borderId="0" xfId="0" quotePrefix="1" applyFont="1" applyFill="1" applyAlignment="1">
      <alignment horizontal="left" indent="1"/>
    </xf>
    <xf numFmtId="0" fontId="22" fillId="6" borderId="24" xfId="0" applyFont="1" applyFill="1" applyBorder="1" applyAlignment="1">
      <alignment vertical="center"/>
    </xf>
    <xf numFmtId="0" fontId="6" fillId="6" borderId="24" xfId="0" applyFont="1" applyFill="1" applyBorder="1"/>
    <xf numFmtId="0" fontId="23" fillId="6" borderId="24" xfId="0" applyFont="1" applyFill="1" applyBorder="1"/>
    <xf numFmtId="0" fontId="12" fillId="4" borderId="0" xfId="0" applyFont="1" applyFill="1" applyBorder="1" applyProtection="1"/>
    <xf numFmtId="0" fontId="0" fillId="4" borderId="0" xfId="0" applyFill="1" applyProtection="1">
      <protection locked="0"/>
    </xf>
    <xf numFmtId="0" fontId="7" fillId="4" borderId="0" xfId="0" applyFont="1" applyFill="1" applyProtection="1">
      <protection locked="0"/>
    </xf>
    <xf numFmtId="0" fontId="7" fillId="4" borderId="1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12" xfId="0" applyFont="1" applyFill="1" applyBorder="1" applyProtection="1">
      <protection locked="0"/>
    </xf>
    <xf numFmtId="0" fontId="8" fillId="0" borderId="1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8" fillId="4" borderId="1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4" borderId="16" xfId="0" applyFont="1" applyFill="1" applyBorder="1" applyProtection="1">
      <protection locked="0"/>
    </xf>
    <xf numFmtId="0" fontId="11" fillId="4" borderId="0" xfId="0" applyFont="1" applyFill="1" applyBorder="1" applyAlignment="1" applyProtection="1">
      <alignment horizontal="left"/>
      <protection locked="0"/>
    </xf>
    <xf numFmtId="0" fontId="6" fillId="4" borderId="0" xfId="0" applyFont="1" applyFill="1" applyBorder="1" applyAlignment="1" applyProtection="1">
      <alignment horizontal="centerContinuous"/>
      <protection locked="0"/>
    </xf>
    <xf numFmtId="14" fontId="11" fillId="5" borderId="17" xfId="0" applyNumberFormat="1" applyFont="1" applyFill="1" applyBorder="1" applyAlignment="1" applyProtection="1">
      <alignment horizontal="centerContinuous" wrapText="1"/>
      <protection locked="0"/>
    </xf>
    <xf numFmtId="0" fontId="0" fillId="4" borderId="1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4" fillId="4" borderId="0" xfId="0" applyFont="1" applyFill="1" applyBorder="1" applyProtection="1">
      <protection locked="0"/>
    </xf>
    <xf numFmtId="0" fontId="0" fillId="4" borderId="0" xfId="0" applyFont="1" applyFill="1" applyBorder="1" applyProtection="1">
      <protection locked="0"/>
    </xf>
    <xf numFmtId="0" fontId="0" fillId="4" borderId="19" xfId="0" applyFont="1" applyFill="1" applyBorder="1" applyProtection="1">
      <protection locked="0"/>
    </xf>
    <xf numFmtId="0" fontId="0" fillId="4" borderId="20" xfId="0" applyFont="1" applyFill="1" applyBorder="1" applyProtection="1">
      <protection locked="0"/>
    </xf>
    <xf numFmtId="0" fontId="0" fillId="4" borderId="2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4" borderId="0" xfId="0" applyFont="1" applyFill="1" applyBorder="1" applyProtection="1"/>
    <xf numFmtId="0" fontId="0" fillId="4" borderId="18" xfId="0" applyFont="1" applyFill="1" applyBorder="1" applyProtection="1"/>
    <xf numFmtId="0" fontId="6" fillId="6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4" fontId="6" fillId="6" borderId="22" xfId="0" applyNumberFormat="1" applyFont="1" applyFill="1" applyBorder="1" applyAlignment="1">
      <alignment horizontal="center" vertical="center"/>
    </xf>
    <xf numFmtId="4" fontId="0" fillId="0" borderId="0" xfId="0" applyNumberFormat="1"/>
    <xf numFmtId="0" fontId="1" fillId="2" borderId="0" xfId="0" applyFont="1" applyFill="1" applyProtection="1"/>
    <xf numFmtId="0" fontId="1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left"/>
    </xf>
    <xf numFmtId="0" fontId="1" fillId="2" borderId="2" xfId="0" applyFont="1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vertical="center" wrapText="1"/>
    </xf>
    <xf numFmtId="0" fontId="3" fillId="2" borderId="0" xfId="0" applyFont="1" applyFill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vertical="center" wrapText="1"/>
    </xf>
    <xf numFmtId="0" fontId="3" fillId="2" borderId="3" xfId="0" applyFont="1" applyFill="1" applyBorder="1" applyAlignment="1" applyProtection="1">
      <alignment horizontal="center" vertical="center" wrapText="1"/>
    </xf>
    <xf numFmtId="0" fontId="1" fillId="2" borderId="8" xfId="0" applyFont="1" applyFill="1" applyBorder="1" applyAlignment="1" applyProtection="1">
      <alignment vertical="center" wrapText="1"/>
    </xf>
    <xf numFmtId="0" fontId="3" fillId="2" borderId="8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 wrapText="1"/>
    </xf>
    <xf numFmtId="0" fontId="3" fillId="2" borderId="8" xfId="0" applyFont="1" applyFill="1" applyBorder="1" applyAlignment="1" applyProtection="1">
      <alignment horizontal="left" vertical="center" wrapText="1"/>
    </xf>
    <xf numFmtId="0" fontId="3" fillId="2" borderId="8" xfId="0" applyFont="1" applyFill="1" applyBorder="1" applyAlignment="1" applyProtection="1">
      <alignment vertical="center" wrapText="1"/>
    </xf>
    <xf numFmtId="0" fontId="1" fillId="2" borderId="2" xfId="0" applyFont="1" applyFill="1" applyBorder="1" applyAlignment="1" applyProtection="1">
      <alignment vertical="center" wrapText="1"/>
    </xf>
    <xf numFmtId="0" fontId="25" fillId="2" borderId="8" xfId="0" applyFont="1" applyFill="1" applyBorder="1" applyAlignment="1" applyProtection="1">
      <alignment vertical="center" wrapText="1"/>
    </xf>
    <xf numFmtId="0" fontId="1" fillId="2" borderId="2" xfId="0" applyFont="1" applyFill="1" applyBorder="1" applyAlignment="1" applyProtection="1">
      <alignment horizontal="left" indent="1"/>
    </xf>
    <xf numFmtId="0" fontId="1" fillId="2" borderId="3" xfId="0" applyFont="1" applyFill="1" applyBorder="1" applyAlignment="1" applyProtection="1">
      <alignment horizontal="left" indent="1"/>
    </xf>
    <xf numFmtId="0" fontId="1" fillId="0" borderId="25" xfId="0" applyFont="1" applyFill="1" applyBorder="1" applyAlignment="1" applyProtection="1">
      <alignment horizontal="left" indent="1"/>
    </xf>
    <xf numFmtId="10" fontId="3" fillId="9" borderId="2" xfId="0" applyNumberFormat="1" applyFont="1" applyFill="1" applyBorder="1" applyAlignment="1" applyProtection="1">
      <alignment horizontal="center" vertical="center" wrapText="1"/>
    </xf>
    <xf numFmtId="0" fontId="1" fillId="0" borderId="26" xfId="0" applyFont="1" applyFill="1" applyBorder="1" applyAlignment="1" applyProtection="1">
      <alignment horizontal="left" indent="1"/>
    </xf>
    <xf numFmtId="0" fontId="25" fillId="0" borderId="8" xfId="0" applyFont="1" applyFill="1" applyBorder="1" applyAlignment="1" applyProtection="1">
      <alignment vertical="center" wrapText="1"/>
    </xf>
    <xf numFmtId="0" fontId="1" fillId="0" borderId="2" xfId="0" applyFont="1" applyFill="1" applyBorder="1" applyAlignment="1" applyProtection="1">
      <alignment horizontal="left" indent="1"/>
    </xf>
    <xf numFmtId="0" fontId="27" fillId="2" borderId="0" xfId="0" applyFont="1" applyFill="1" applyProtection="1"/>
    <xf numFmtId="0" fontId="1" fillId="0" borderId="8" xfId="0" applyFont="1" applyFill="1" applyBorder="1" applyAlignment="1" applyProtection="1">
      <alignment horizontal="left" indent="1"/>
    </xf>
    <xf numFmtId="0" fontId="1" fillId="2" borderId="0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left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10" fontId="3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0" fontId="25" fillId="2" borderId="0" xfId="0" applyFont="1" applyFill="1" applyBorder="1" applyAlignment="1" applyProtection="1">
      <alignment horizontal="left"/>
    </xf>
    <xf numFmtId="3" fontId="28" fillId="2" borderId="0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top"/>
    </xf>
    <xf numFmtId="0" fontId="3" fillId="2" borderId="1" xfId="0" applyFont="1" applyFill="1" applyBorder="1" applyAlignment="1" applyProtection="1">
      <alignment horizontal="center" vertical="center" wrapText="1"/>
    </xf>
    <xf numFmtId="0" fontId="1" fillId="2" borderId="10" xfId="0" applyFont="1" applyFill="1" applyBorder="1" applyAlignment="1" applyProtection="1">
      <alignment horizontal="center"/>
    </xf>
    <xf numFmtId="0" fontId="3" fillId="2" borderId="9" xfId="0" applyFont="1" applyFill="1" applyBorder="1" applyAlignment="1" applyProtection="1">
      <alignment horizontal="center" vertical="center" wrapText="1"/>
    </xf>
    <xf numFmtId="3" fontId="27" fillId="2" borderId="0" xfId="0" applyNumberFormat="1" applyFont="1" applyFill="1" applyProtection="1"/>
    <xf numFmtId="4" fontId="6" fillId="6" borderId="22" xfId="0" applyNumberFormat="1" applyFont="1" applyFill="1" applyBorder="1" applyAlignment="1">
      <alignment horizontal="left" vertical="center"/>
    </xf>
    <xf numFmtId="0" fontId="15" fillId="2" borderId="0" xfId="0" applyFont="1" applyFill="1" applyProtection="1"/>
    <xf numFmtId="0" fontId="15" fillId="2" borderId="0" xfId="0" applyFont="1" applyFill="1" applyAlignment="1" applyProtection="1">
      <alignment vertical="center"/>
    </xf>
    <xf numFmtId="3" fontId="3" fillId="0" borderId="8" xfId="0" applyNumberFormat="1" applyFont="1" applyFill="1" applyBorder="1" applyAlignment="1" applyProtection="1">
      <alignment horizontal="center" vertical="center" wrapText="1"/>
    </xf>
    <xf numFmtId="9" fontId="3" fillId="0" borderId="8" xfId="0" applyNumberFormat="1" applyFont="1" applyFill="1" applyBorder="1" applyAlignment="1" applyProtection="1">
      <alignment horizontal="center" vertical="center" wrapText="1"/>
    </xf>
    <xf numFmtId="3" fontId="3" fillId="0" borderId="3" xfId="0" applyNumberFormat="1" applyFont="1" applyFill="1" applyBorder="1" applyAlignment="1" applyProtection="1">
      <alignment horizontal="center" vertical="center" wrapText="1"/>
    </xf>
    <xf numFmtId="9" fontId="3" fillId="0" borderId="3" xfId="0" applyNumberFormat="1" applyFont="1" applyFill="1" applyBorder="1" applyAlignment="1" applyProtection="1">
      <alignment horizontal="center" vertical="center" wrapText="1"/>
    </xf>
    <xf numFmtId="3" fontId="3" fillId="0" borderId="8" xfId="0" applyNumberFormat="1" applyFont="1" applyFill="1" applyBorder="1" applyAlignment="1">
      <alignment horizontal="center" vertical="center" wrapText="1"/>
    </xf>
    <xf numFmtId="10" fontId="3" fillId="0" borderId="2" xfId="0" applyNumberFormat="1" applyFont="1" applyFill="1" applyBorder="1" applyAlignment="1" applyProtection="1">
      <alignment horizontal="center" vertical="center" wrapText="1"/>
    </xf>
    <xf numFmtId="3" fontId="3" fillId="0" borderId="2" xfId="0" applyNumberFormat="1" applyFont="1" applyFill="1" applyBorder="1" applyAlignment="1" applyProtection="1">
      <alignment horizontal="center" vertical="center" wrapText="1"/>
    </xf>
    <xf numFmtId="2" fontId="3" fillId="0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3" fontId="3" fillId="9" borderId="2" xfId="0" applyNumberFormat="1" applyFont="1" applyFill="1" applyBorder="1" applyAlignment="1" applyProtection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left" vertical="center" wrapText="1" indent="1"/>
    </xf>
    <xf numFmtId="0" fontId="8" fillId="4" borderId="0" xfId="0" applyFont="1" applyFill="1" applyAlignment="1">
      <alignment horizontal="left" vertical="center" indent="1"/>
    </xf>
    <xf numFmtId="0" fontId="15" fillId="6" borderId="0" xfId="0" applyFont="1" applyFill="1" applyAlignment="1">
      <alignment horizontal="left" vertical="center" wrapText="1" indent="1"/>
    </xf>
    <xf numFmtId="0" fontId="8" fillId="4" borderId="0" xfId="0" applyFont="1" applyFill="1" applyAlignment="1">
      <alignment horizontal="left" vertical="center" wrapText="1" indent="1"/>
    </xf>
    <xf numFmtId="0" fontId="8" fillId="4" borderId="0" xfId="0" quotePrefix="1" applyFont="1" applyFill="1" applyAlignment="1">
      <alignment horizontal="left" vertical="center" wrapText="1" indent="1"/>
    </xf>
    <xf numFmtId="0" fontId="8" fillId="4" borderId="0" xfId="0" quotePrefix="1" applyFont="1" applyFill="1" applyAlignment="1">
      <alignment horizontal="left" vertical="center" indent="1"/>
    </xf>
    <xf numFmtId="0" fontId="3" fillId="2" borderId="27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</xf>
    <xf numFmtId="0" fontId="3" fillId="2" borderId="5" xfId="0" applyFont="1" applyFill="1" applyBorder="1" applyAlignment="1" applyProtection="1">
      <alignment horizontal="center" vertical="center" wrapText="1"/>
    </xf>
    <xf numFmtId="0" fontId="3" fillId="2" borderId="6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3" fillId="2" borderId="7" xfId="0" applyFont="1" applyFill="1" applyBorder="1" applyAlignment="1" applyProtection="1">
      <alignment horizontal="center" vertical="center" wrapText="1"/>
    </xf>
    <xf numFmtId="4" fontId="26" fillId="2" borderId="9" xfId="0" applyNumberFormat="1" applyFont="1" applyFill="1" applyBorder="1" applyAlignment="1" applyProtection="1">
      <alignment horizontal="left" vertical="center"/>
    </xf>
    <xf numFmtId="4" fontId="26" fillId="2" borderId="10" xfId="0" applyNumberFormat="1" applyFont="1" applyFill="1" applyBorder="1" applyAlignment="1" applyProtection="1">
      <alignment horizontal="left" vertical="center"/>
    </xf>
    <xf numFmtId="4" fontId="26" fillId="2" borderId="7" xfId="0" applyNumberFormat="1" applyFont="1" applyFill="1" applyBorder="1" applyAlignment="1" applyProtection="1">
      <alignment horizontal="left" vertical="center"/>
    </xf>
    <xf numFmtId="0" fontId="26" fillId="0" borderId="9" xfId="0" applyFont="1" applyFill="1" applyBorder="1" applyAlignment="1" applyProtection="1">
      <alignment horizontal="left" vertical="center"/>
    </xf>
    <xf numFmtId="0" fontId="26" fillId="0" borderId="10" xfId="0" applyFont="1" applyFill="1" applyBorder="1" applyAlignment="1" applyProtection="1">
      <alignment horizontal="left" vertical="center"/>
    </xf>
    <xf numFmtId="0" fontId="26" fillId="0" borderId="7" xfId="0" applyFont="1" applyFill="1" applyBorder="1" applyAlignment="1" applyProtection="1">
      <alignment horizontal="left" vertical="center"/>
    </xf>
    <xf numFmtId="0" fontId="26" fillId="2" borderId="9" xfId="0" applyFont="1" applyFill="1" applyBorder="1" applyAlignment="1" applyProtection="1">
      <alignment horizontal="left" vertical="center"/>
    </xf>
    <xf numFmtId="0" fontId="26" fillId="2" borderId="10" xfId="0" applyFont="1" applyFill="1" applyBorder="1" applyAlignment="1" applyProtection="1">
      <alignment horizontal="left" vertical="center"/>
    </xf>
    <xf numFmtId="0" fontId="26" fillId="2" borderId="7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microsoft.com/office/2007/relationships/hdphoto" Target="../media/hdphoto1.wdp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8972" y="1567720"/>
          <a:ext cx="1781709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801753" y="1567720"/>
          <a:ext cx="1790533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823358" y="1567720"/>
          <a:ext cx="1789352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85250" y="1758950"/>
          <a:ext cx="1623540" cy="20533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5642" y="2509132"/>
          <a:ext cx="1608370" cy="13031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913849" y="1758366"/>
          <a:ext cx="1608370" cy="20539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0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75469" y="1750054"/>
          <a:ext cx="610683" cy="6119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347028" y="1287233"/>
          <a:ext cx="823686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96885" y="1287233"/>
          <a:ext cx="824593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167640</xdr:colOff>
      <xdr:row>32</xdr:row>
      <xdr:rowOff>91440</xdr:rowOff>
    </xdr:from>
    <xdr:to>
      <xdr:col>16</xdr:col>
      <xdr:colOff>384614</xdr:colOff>
      <xdr:row>34</xdr:row>
      <xdr:rowOff>147900</xdr:rowOff>
    </xdr:to>
    <xdr:pic>
      <xdr:nvPicPr>
        <xdr:cNvPr id="59" name="Picture 58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08860" y="5471160"/>
          <a:ext cx="6800654" cy="3612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8046997</xdr:colOff>
      <xdr:row>47</xdr:row>
      <xdr:rowOff>79376</xdr:rowOff>
    </xdr:from>
    <xdr:to>
      <xdr:col>2</xdr:col>
      <xdr:colOff>8318094</xdr:colOff>
      <xdr:row>57</xdr:row>
      <xdr:rowOff>64722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8D33C7-FF81-AE65-5AA0-E8EAE183E0A1}"/>
            </a:ext>
          </a:extLst>
        </xdr:cNvPr>
        <xdr:cNvSpPr txBox="1"/>
      </xdr:nvSpPr>
      <xdr:spPr>
        <a:xfrm rot="16200000">
          <a:off x="8227973" y="9987280"/>
          <a:ext cx="1600786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10</xdr:col>
      <xdr:colOff>285751</xdr:colOff>
      <xdr:row>48</xdr:row>
      <xdr:rowOff>43961</xdr:rowOff>
    </xdr:from>
    <xdr:to>
      <xdr:col>10</xdr:col>
      <xdr:colOff>556848</xdr:colOff>
      <xdr:row>57</xdr:row>
      <xdr:rowOff>190499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7174858-FB4C-4FFB-BF42-F0AEAB2872FF}"/>
            </a:ext>
          </a:extLst>
        </xdr:cNvPr>
        <xdr:cNvSpPr txBox="1"/>
      </xdr:nvSpPr>
      <xdr:spPr>
        <a:xfrm rot="16200000">
          <a:off x="16540531" y="10116281"/>
          <a:ext cx="1579098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2</xdr:col>
      <xdr:colOff>8078746</xdr:colOff>
      <xdr:row>60</xdr:row>
      <xdr:rowOff>79376</xdr:rowOff>
    </xdr:from>
    <xdr:to>
      <xdr:col>2</xdr:col>
      <xdr:colOff>8349843</xdr:colOff>
      <xdr:row>70</xdr:row>
      <xdr:rowOff>64722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9663194-DA58-46DC-9C7F-75E75A3B6115}"/>
            </a:ext>
          </a:extLst>
        </xdr:cNvPr>
        <xdr:cNvSpPr txBox="1"/>
      </xdr:nvSpPr>
      <xdr:spPr>
        <a:xfrm rot="16200000">
          <a:off x="8259722" y="12143740"/>
          <a:ext cx="1600786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10</xdr:col>
      <xdr:colOff>285751</xdr:colOff>
      <xdr:row>61</xdr:row>
      <xdr:rowOff>43961</xdr:rowOff>
    </xdr:from>
    <xdr:to>
      <xdr:col>10</xdr:col>
      <xdr:colOff>556848</xdr:colOff>
      <xdr:row>70</xdr:row>
      <xdr:rowOff>190499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4AE9023-45FC-4DC9-8885-1F0072B996B3}"/>
            </a:ext>
          </a:extLst>
        </xdr:cNvPr>
        <xdr:cNvSpPr txBox="1"/>
      </xdr:nvSpPr>
      <xdr:spPr>
        <a:xfrm rot="16200000">
          <a:off x="16540531" y="12272741"/>
          <a:ext cx="1579098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XFD64"/>
  <sheetViews>
    <sheetView showGridLines="0" tabSelected="1" topLeftCell="B1" zoomScaleNormal="100" workbookViewId="0">
      <pane ySplit="4" topLeftCell="A25" activePane="bottomLeft" state="frozen"/>
      <selection pane="bottomLeft" activeCell="H30" sqref="H30:T31"/>
    </sheetView>
  </sheetViews>
  <sheetFormatPr defaultColWidth="0" defaultRowHeight="14.75" customHeight="1" zeroHeight="1" x14ac:dyDescent="0.35"/>
  <cols>
    <col min="1" max="2" width="3.6328125" style="1" customWidth="1"/>
    <col min="3" max="4" width="7.6328125" style="1" customWidth="1"/>
    <col min="5" max="5" width="0.453125" style="1" customWidth="1"/>
    <col min="6" max="6" width="7.6328125" style="1" customWidth="1"/>
    <col min="7" max="7" width="0.453125" style="1" customWidth="1"/>
    <col min="8" max="20" width="10.6328125" style="1" customWidth="1"/>
    <col min="21" max="21" width="8.6328125" style="1" customWidth="1"/>
    <col min="22" max="22" width="3.6328125" style="1" customWidth="1"/>
    <col min="23" max="16384" width="0" style="1" hidden="1"/>
  </cols>
  <sheetData>
    <row r="1" spans="1:16384" s="2" customFormat="1" ht="14.5" x14ac:dyDescent="0.35"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  <c r="XFC1" s="1"/>
      <c r="XFD1" s="1"/>
    </row>
    <row r="2" spans="1:16384" s="2" customFormat="1" ht="14.5" x14ac:dyDescent="0.35"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  <c r="BNX2" s="1"/>
      <c r="BNY2" s="1"/>
      <c r="BNZ2" s="1"/>
      <c r="BOA2" s="1"/>
      <c r="BOB2" s="1"/>
      <c r="BOC2" s="1"/>
      <c r="BOD2" s="1"/>
      <c r="BOE2" s="1"/>
      <c r="BOF2" s="1"/>
      <c r="BOG2" s="1"/>
      <c r="BOH2" s="1"/>
      <c r="BOI2" s="1"/>
      <c r="BOJ2" s="1"/>
      <c r="BOK2" s="1"/>
      <c r="BOL2" s="1"/>
      <c r="BOM2" s="1"/>
      <c r="BON2" s="1"/>
      <c r="BOO2" s="1"/>
      <c r="BOP2" s="1"/>
      <c r="BOQ2" s="1"/>
      <c r="BOR2" s="1"/>
      <c r="BOS2" s="1"/>
      <c r="BOT2" s="1"/>
      <c r="BOU2" s="1"/>
      <c r="BOV2" s="1"/>
      <c r="BOW2" s="1"/>
      <c r="BOX2" s="1"/>
      <c r="BOY2" s="1"/>
      <c r="BOZ2" s="1"/>
      <c r="BPA2" s="1"/>
      <c r="BPB2" s="1"/>
      <c r="BPC2" s="1"/>
      <c r="BPD2" s="1"/>
      <c r="BPE2" s="1"/>
      <c r="BPF2" s="1"/>
      <c r="BPG2" s="1"/>
      <c r="BPH2" s="1"/>
      <c r="BPI2" s="1"/>
      <c r="BPJ2" s="1"/>
      <c r="BPK2" s="1"/>
      <c r="BPL2" s="1"/>
      <c r="BPM2" s="1"/>
      <c r="BPN2" s="1"/>
      <c r="BPO2" s="1"/>
      <c r="BPP2" s="1"/>
      <c r="BPQ2" s="1"/>
      <c r="BPR2" s="1"/>
      <c r="BPS2" s="1"/>
      <c r="BPT2" s="1"/>
      <c r="BPU2" s="1"/>
      <c r="BPV2" s="1"/>
      <c r="BPW2" s="1"/>
      <c r="BPX2" s="1"/>
      <c r="BPY2" s="1"/>
      <c r="BPZ2" s="1"/>
      <c r="BQA2" s="1"/>
      <c r="BQB2" s="1"/>
      <c r="BQC2" s="1"/>
      <c r="BQD2" s="1"/>
      <c r="BQE2" s="1"/>
      <c r="BQF2" s="1"/>
      <c r="BQG2" s="1"/>
      <c r="BQH2" s="1"/>
      <c r="BQI2" s="1"/>
      <c r="BQJ2" s="1"/>
      <c r="BQK2" s="1"/>
      <c r="BQL2" s="1"/>
      <c r="BQM2" s="1"/>
      <c r="BQN2" s="1"/>
      <c r="BQO2" s="1"/>
      <c r="BQP2" s="1"/>
      <c r="BQQ2" s="1"/>
      <c r="BQR2" s="1"/>
      <c r="BQS2" s="1"/>
      <c r="BQT2" s="1"/>
      <c r="BQU2" s="1"/>
      <c r="BQV2" s="1"/>
      <c r="BQW2" s="1"/>
      <c r="BQX2" s="1"/>
      <c r="BQY2" s="1"/>
      <c r="BQZ2" s="1"/>
      <c r="BRA2" s="1"/>
      <c r="BRB2" s="1"/>
      <c r="BRC2" s="1"/>
      <c r="BRD2" s="1"/>
      <c r="BRE2" s="1"/>
      <c r="BRF2" s="1"/>
      <c r="BRG2" s="1"/>
      <c r="BRH2" s="1"/>
      <c r="BRI2" s="1"/>
      <c r="BRJ2" s="1"/>
      <c r="BRK2" s="1"/>
      <c r="BRL2" s="1"/>
      <c r="BRM2" s="1"/>
      <c r="BRN2" s="1"/>
      <c r="BRO2" s="1"/>
      <c r="BRP2" s="1"/>
      <c r="BRQ2" s="1"/>
      <c r="BRR2" s="1"/>
      <c r="BRS2" s="1"/>
      <c r="BRT2" s="1"/>
      <c r="BRU2" s="1"/>
      <c r="BRV2" s="1"/>
      <c r="BRW2" s="1"/>
      <c r="BRX2" s="1"/>
      <c r="BRY2" s="1"/>
      <c r="BRZ2" s="1"/>
      <c r="BSA2" s="1"/>
      <c r="BSB2" s="1"/>
      <c r="BSC2" s="1"/>
      <c r="BSD2" s="1"/>
      <c r="BSE2" s="1"/>
      <c r="BSF2" s="1"/>
      <c r="BSG2" s="1"/>
      <c r="BSH2" s="1"/>
      <c r="BSI2" s="1"/>
      <c r="BSJ2" s="1"/>
      <c r="BSK2" s="1"/>
      <c r="BSL2" s="1"/>
      <c r="BSM2" s="1"/>
      <c r="BSN2" s="1"/>
      <c r="BSO2" s="1"/>
      <c r="BSP2" s="1"/>
      <c r="BSQ2" s="1"/>
      <c r="BSR2" s="1"/>
      <c r="BSS2" s="1"/>
      <c r="BST2" s="1"/>
      <c r="BSU2" s="1"/>
      <c r="BSV2" s="1"/>
      <c r="BSW2" s="1"/>
      <c r="BSX2" s="1"/>
      <c r="BSY2" s="1"/>
      <c r="BSZ2" s="1"/>
      <c r="BTA2" s="1"/>
      <c r="BTB2" s="1"/>
      <c r="BTC2" s="1"/>
      <c r="BTD2" s="1"/>
      <c r="BTE2" s="1"/>
      <c r="BTF2" s="1"/>
      <c r="BTG2" s="1"/>
      <c r="BTH2" s="1"/>
      <c r="BTI2" s="1"/>
      <c r="BTJ2" s="1"/>
      <c r="BTK2" s="1"/>
      <c r="BTL2" s="1"/>
      <c r="BTM2" s="1"/>
      <c r="BTN2" s="1"/>
      <c r="BTO2" s="1"/>
      <c r="BTP2" s="1"/>
      <c r="BTQ2" s="1"/>
      <c r="BTR2" s="1"/>
      <c r="BTS2" s="1"/>
      <c r="BTT2" s="1"/>
      <c r="BTU2" s="1"/>
      <c r="BTV2" s="1"/>
      <c r="BTW2" s="1"/>
      <c r="BTX2" s="1"/>
      <c r="BTY2" s="1"/>
      <c r="BTZ2" s="1"/>
      <c r="BUA2" s="1"/>
      <c r="BUB2" s="1"/>
      <c r="BUC2" s="1"/>
      <c r="BUD2" s="1"/>
      <c r="BUE2" s="1"/>
      <c r="BUF2" s="1"/>
      <c r="BUG2" s="1"/>
      <c r="BUH2" s="1"/>
      <c r="BUI2" s="1"/>
      <c r="BUJ2" s="1"/>
      <c r="BUK2" s="1"/>
      <c r="BUL2" s="1"/>
      <c r="BUM2" s="1"/>
      <c r="BUN2" s="1"/>
      <c r="BUO2" s="1"/>
      <c r="BUP2" s="1"/>
      <c r="BUQ2" s="1"/>
      <c r="BUR2" s="1"/>
      <c r="BUS2" s="1"/>
      <c r="BUT2" s="1"/>
      <c r="BUU2" s="1"/>
      <c r="BUV2" s="1"/>
      <c r="BUW2" s="1"/>
      <c r="BUX2" s="1"/>
      <c r="BUY2" s="1"/>
      <c r="BUZ2" s="1"/>
      <c r="BVA2" s="1"/>
      <c r="BVB2" s="1"/>
      <c r="BVC2" s="1"/>
      <c r="BVD2" s="1"/>
      <c r="BVE2" s="1"/>
      <c r="BVF2" s="1"/>
      <c r="BVG2" s="1"/>
      <c r="BVH2" s="1"/>
      <c r="BVI2" s="1"/>
      <c r="BVJ2" s="1"/>
      <c r="BVK2" s="1"/>
      <c r="BVL2" s="1"/>
      <c r="BVM2" s="1"/>
      <c r="BVN2" s="1"/>
      <c r="BVO2" s="1"/>
      <c r="BVP2" s="1"/>
      <c r="BVQ2" s="1"/>
      <c r="BVR2" s="1"/>
      <c r="BVS2" s="1"/>
      <c r="BVT2" s="1"/>
      <c r="BVU2" s="1"/>
      <c r="BVV2" s="1"/>
      <c r="BVW2" s="1"/>
      <c r="BVX2" s="1"/>
      <c r="BVY2" s="1"/>
      <c r="BVZ2" s="1"/>
      <c r="BWA2" s="1"/>
      <c r="BWB2" s="1"/>
      <c r="BWC2" s="1"/>
      <c r="BWD2" s="1"/>
      <c r="BWE2" s="1"/>
      <c r="BWF2" s="1"/>
      <c r="BWG2" s="1"/>
      <c r="BWH2" s="1"/>
      <c r="BWI2" s="1"/>
      <c r="BWJ2" s="1"/>
      <c r="BWK2" s="1"/>
      <c r="BWL2" s="1"/>
      <c r="BWM2" s="1"/>
      <c r="BWN2" s="1"/>
      <c r="BWO2" s="1"/>
      <c r="BWP2" s="1"/>
      <c r="BWQ2" s="1"/>
      <c r="BWR2" s="1"/>
      <c r="BWS2" s="1"/>
      <c r="BWT2" s="1"/>
      <c r="BWU2" s="1"/>
      <c r="BWV2" s="1"/>
      <c r="BWW2" s="1"/>
      <c r="BWX2" s="1"/>
      <c r="BWY2" s="1"/>
      <c r="BWZ2" s="1"/>
      <c r="BXA2" s="1"/>
      <c r="BXB2" s="1"/>
      <c r="BXC2" s="1"/>
      <c r="BXD2" s="1"/>
      <c r="BXE2" s="1"/>
      <c r="BXF2" s="1"/>
      <c r="BXG2" s="1"/>
      <c r="BXH2" s="1"/>
      <c r="BXI2" s="1"/>
      <c r="BXJ2" s="1"/>
      <c r="BXK2" s="1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1"/>
      <c r="BXZ2" s="1"/>
      <c r="BYA2" s="1"/>
      <c r="BYB2" s="1"/>
      <c r="BYC2" s="1"/>
      <c r="BYD2" s="1"/>
      <c r="BYE2" s="1"/>
      <c r="BYF2" s="1"/>
      <c r="BYG2" s="1"/>
      <c r="BYH2" s="1"/>
      <c r="BYI2" s="1"/>
      <c r="BYJ2" s="1"/>
      <c r="BYK2" s="1"/>
      <c r="BYL2" s="1"/>
      <c r="BYM2" s="1"/>
      <c r="BYN2" s="1"/>
      <c r="BYO2" s="1"/>
      <c r="BYP2" s="1"/>
      <c r="BYQ2" s="1"/>
      <c r="BYR2" s="1"/>
      <c r="BYS2" s="1"/>
      <c r="BYT2" s="1"/>
      <c r="BYU2" s="1"/>
      <c r="BYV2" s="1"/>
      <c r="BYW2" s="1"/>
      <c r="BYX2" s="1"/>
      <c r="BYY2" s="1"/>
      <c r="BYZ2" s="1"/>
      <c r="BZA2" s="1"/>
      <c r="BZB2" s="1"/>
      <c r="BZC2" s="1"/>
      <c r="BZD2" s="1"/>
      <c r="BZE2" s="1"/>
      <c r="BZF2" s="1"/>
      <c r="BZG2" s="1"/>
      <c r="BZH2" s="1"/>
      <c r="BZI2" s="1"/>
      <c r="BZJ2" s="1"/>
      <c r="BZK2" s="1"/>
      <c r="BZL2" s="1"/>
      <c r="BZM2" s="1"/>
      <c r="BZN2" s="1"/>
      <c r="BZO2" s="1"/>
      <c r="BZP2" s="1"/>
      <c r="BZQ2" s="1"/>
      <c r="BZR2" s="1"/>
      <c r="BZS2" s="1"/>
      <c r="BZT2" s="1"/>
      <c r="BZU2" s="1"/>
      <c r="BZV2" s="1"/>
      <c r="BZW2" s="1"/>
      <c r="BZX2" s="1"/>
      <c r="BZY2" s="1"/>
      <c r="BZZ2" s="1"/>
      <c r="CAA2" s="1"/>
      <c r="CAB2" s="1"/>
      <c r="CAC2" s="1"/>
      <c r="CAD2" s="1"/>
      <c r="CAE2" s="1"/>
      <c r="CAF2" s="1"/>
      <c r="CAG2" s="1"/>
      <c r="CAH2" s="1"/>
      <c r="CAI2" s="1"/>
      <c r="CAJ2" s="1"/>
      <c r="CAK2" s="1"/>
      <c r="CAL2" s="1"/>
      <c r="CAM2" s="1"/>
      <c r="CAN2" s="1"/>
      <c r="CAO2" s="1"/>
      <c r="CAP2" s="1"/>
      <c r="CAQ2" s="1"/>
      <c r="CAR2" s="1"/>
      <c r="CAS2" s="1"/>
      <c r="CAT2" s="1"/>
      <c r="CAU2" s="1"/>
      <c r="CAV2" s="1"/>
      <c r="CAW2" s="1"/>
      <c r="CAX2" s="1"/>
      <c r="CAY2" s="1"/>
      <c r="CAZ2" s="1"/>
      <c r="CBA2" s="1"/>
      <c r="CBB2" s="1"/>
      <c r="CBC2" s="1"/>
      <c r="CBD2" s="1"/>
      <c r="CBE2" s="1"/>
      <c r="CBF2" s="1"/>
      <c r="CBG2" s="1"/>
      <c r="CBH2" s="1"/>
      <c r="CBI2" s="1"/>
      <c r="CBJ2" s="1"/>
      <c r="CBK2" s="1"/>
      <c r="CBL2" s="1"/>
      <c r="CBM2" s="1"/>
      <c r="CBN2" s="1"/>
      <c r="CBO2" s="1"/>
      <c r="CBP2" s="1"/>
      <c r="CBQ2" s="1"/>
      <c r="CBR2" s="1"/>
      <c r="CBS2" s="1"/>
      <c r="CBT2" s="1"/>
      <c r="CBU2" s="1"/>
      <c r="CBV2" s="1"/>
      <c r="CBW2" s="1"/>
      <c r="CBX2" s="1"/>
      <c r="CBY2" s="1"/>
      <c r="CBZ2" s="1"/>
      <c r="CCA2" s="1"/>
      <c r="CCB2" s="1"/>
      <c r="CCC2" s="1"/>
      <c r="CCD2" s="1"/>
      <c r="CCE2" s="1"/>
      <c r="CCF2" s="1"/>
      <c r="CCG2" s="1"/>
      <c r="CCH2" s="1"/>
      <c r="CCI2" s="1"/>
      <c r="CCJ2" s="1"/>
      <c r="CCK2" s="1"/>
      <c r="CCL2" s="1"/>
      <c r="CCM2" s="1"/>
      <c r="CCN2" s="1"/>
      <c r="CCO2" s="1"/>
      <c r="CCP2" s="1"/>
      <c r="CCQ2" s="1"/>
      <c r="CCR2" s="1"/>
      <c r="CCS2" s="1"/>
      <c r="CCT2" s="1"/>
      <c r="CCU2" s="1"/>
      <c r="CCV2" s="1"/>
      <c r="CCW2" s="1"/>
      <c r="CCX2" s="1"/>
      <c r="CCY2" s="1"/>
      <c r="CCZ2" s="1"/>
      <c r="CDA2" s="1"/>
      <c r="CDB2" s="1"/>
      <c r="CDC2" s="1"/>
      <c r="CDD2" s="1"/>
      <c r="CDE2" s="1"/>
      <c r="CDF2" s="1"/>
      <c r="CDG2" s="1"/>
      <c r="CDH2" s="1"/>
      <c r="CDI2" s="1"/>
      <c r="CDJ2" s="1"/>
      <c r="CDK2" s="1"/>
      <c r="CDL2" s="1"/>
      <c r="CDM2" s="1"/>
      <c r="CDN2" s="1"/>
      <c r="CDO2" s="1"/>
      <c r="CDP2" s="1"/>
      <c r="CDQ2" s="1"/>
      <c r="CDR2" s="1"/>
      <c r="CDS2" s="1"/>
      <c r="CDT2" s="1"/>
      <c r="CDU2" s="1"/>
      <c r="CDV2" s="1"/>
      <c r="CDW2" s="1"/>
      <c r="CDX2" s="1"/>
      <c r="CDY2" s="1"/>
      <c r="CDZ2" s="1"/>
      <c r="CEA2" s="1"/>
      <c r="CEB2" s="1"/>
      <c r="CEC2" s="1"/>
      <c r="CED2" s="1"/>
      <c r="CEE2" s="1"/>
      <c r="CEF2" s="1"/>
      <c r="CEG2" s="1"/>
      <c r="CEH2" s="1"/>
      <c r="CEI2" s="1"/>
      <c r="CEJ2" s="1"/>
      <c r="CEK2" s="1"/>
      <c r="CEL2" s="1"/>
      <c r="CEM2" s="1"/>
      <c r="CEN2" s="1"/>
      <c r="CEO2" s="1"/>
      <c r="CEP2" s="1"/>
      <c r="CEQ2" s="1"/>
      <c r="CER2" s="1"/>
      <c r="CES2" s="1"/>
      <c r="CET2" s="1"/>
      <c r="CEU2" s="1"/>
      <c r="CEV2" s="1"/>
      <c r="CEW2" s="1"/>
      <c r="CEX2" s="1"/>
      <c r="CEY2" s="1"/>
      <c r="CEZ2" s="1"/>
      <c r="CFA2" s="1"/>
      <c r="CFB2" s="1"/>
      <c r="CFC2" s="1"/>
      <c r="CFD2" s="1"/>
      <c r="CFE2" s="1"/>
      <c r="CFF2" s="1"/>
      <c r="CFG2" s="1"/>
      <c r="CFH2" s="1"/>
      <c r="CFI2" s="1"/>
      <c r="CFJ2" s="1"/>
      <c r="CFK2" s="1"/>
      <c r="CFL2" s="1"/>
      <c r="CFM2" s="1"/>
      <c r="CFN2" s="1"/>
      <c r="CFO2" s="1"/>
      <c r="CFP2" s="1"/>
      <c r="CFQ2" s="1"/>
      <c r="CFR2" s="1"/>
      <c r="CFS2" s="1"/>
      <c r="CFT2" s="1"/>
      <c r="CFU2" s="1"/>
      <c r="CFV2" s="1"/>
      <c r="CFW2" s="1"/>
      <c r="CFX2" s="1"/>
      <c r="CFY2" s="1"/>
      <c r="CFZ2" s="1"/>
      <c r="CGA2" s="1"/>
      <c r="CGB2" s="1"/>
      <c r="CGC2" s="1"/>
      <c r="CGD2" s="1"/>
      <c r="CGE2" s="1"/>
      <c r="CGF2" s="1"/>
      <c r="CGG2" s="1"/>
      <c r="CGH2" s="1"/>
      <c r="CGI2" s="1"/>
      <c r="CGJ2" s="1"/>
      <c r="CGK2" s="1"/>
      <c r="CGL2" s="1"/>
      <c r="CGM2" s="1"/>
      <c r="CGN2" s="1"/>
      <c r="CGO2" s="1"/>
      <c r="CGP2" s="1"/>
      <c r="CGQ2" s="1"/>
      <c r="CGR2" s="1"/>
      <c r="CGS2" s="1"/>
      <c r="CGT2" s="1"/>
      <c r="CGU2" s="1"/>
      <c r="CGV2" s="1"/>
      <c r="CGW2" s="1"/>
      <c r="CGX2" s="1"/>
      <c r="CGY2" s="1"/>
      <c r="CGZ2" s="1"/>
      <c r="CHA2" s="1"/>
      <c r="CHB2" s="1"/>
      <c r="CHC2" s="1"/>
      <c r="CHD2" s="1"/>
      <c r="CHE2" s="1"/>
      <c r="CHF2" s="1"/>
      <c r="CHG2" s="1"/>
      <c r="CHH2" s="1"/>
      <c r="CHI2" s="1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1"/>
      <c r="CIE2" s="1"/>
      <c r="CIF2" s="1"/>
      <c r="CIG2" s="1"/>
      <c r="CIH2" s="1"/>
      <c r="CII2" s="1"/>
      <c r="CIJ2" s="1"/>
      <c r="CIK2" s="1"/>
      <c r="CIL2" s="1"/>
      <c r="CIM2" s="1"/>
      <c r="CIN2" s="1"/>
      <c r="CIO2" s="1"/>
      <c r="CIP2" s="1"/>
      <c r="CIQ2" s="1"/>
      <c r="CIR2" s="1"/>
      <c r="CIS2" s="1"/>
      <c r="CIT2" s="1"/>
      <c r="CIU2" s="1"/>
      <c r="CIV2" s="1"/>
      <c r="CIW2" s="1"/>
      <c r="CIX2" s="1"/>
      <c r="CIY2" s="1"/>
      <c r="CIZ2" s="1"/>
      <c r="CJA2" s="1"/>
      <c r="CJB2" s="1"/>
      <c r="CJC2" s="1"/>
      <c r="CJD2" s="1"/>
      <c r="CJE2" s="1"/>
      <c r="CJF2" s="1"/>
      <c r="CJG2" s="1"/>
      <c r="CJH2" s="1"/>
      <c r="CJI2" s="1"/>
      <c r="CJJ2" s="1"/>
      <c r="CJK2" s="1"/>
      <c r="CJL2" s="1"/>
      <c r="CJM2" s="1"/>
      <c r="CJN2" s="1"/>
      <c r="CJO2" s="1"/>
      <c r="CJP2" s="1"/>
      <c r="CJQ2" s="1"/>
      <c r="CJR2" s="1"/>
      <c r="CJS2" s="1"/>
      <c r="CJT2" s="1"/>
      <c r="CJU2" s="1"/>
      <c r="CJV2" s="1"/>
      <c r="CJW2" s="1"/>
      <c r="CJX2" s="1"/>
      <c r="CJY2" s="1"/>
      <c r="CJZ2" s="1"/>
      <c r="CKA2" s="1"/>
      <c r="CKB2" s="1"/>
      <c r="CKC2" s="1"/>
      <c r="CKD2" s="1"/>
      <c r="CKE2" s="1"/>
      <c r="CKF2" s="1"/>
      <c r="CKG2" s="1"/>
      <c r="CKH2" s="1"/>
      <c r="CKI2" s="1"/>
      <c r="CKJ2" s="1"/>
      <c r="CKK2" s="1"/>
      <c r="CKL2" s="1"/>
      <c r="CKM2" s="1"/>
      <c r="CKN2" s="1"/>
      <c r="CKO2" s="1"/>
      <c r="CKP2" s="1"/>
      <c r="CKQ2" s="1"/>
      <c r="CKR2" s="1"/>
      <c r="CKS2" s="1"/>
      <c r="CKT2" s="1"/>
      <c r="CKU2" s="1"/>
      <c r="CKV2" s="1"/>
      <c r="CKW2" s="1"/>
      <c r="CKX2" s="1"/>
      <c r="CKY2" s="1"/>
      <c r="CKZ2" s="1"/>
      <c r="CLA2" s="1"/>
      <c r="CLB2" s="1"/>
      <c r="CLC2" s="1"/>
      <c r="CLD2" s="1"/>
      <c r="CLE2" s="1"/>
      <c r="CLF2" s="1"/>
      <c r="CLG2" s="1"/>
      <c r="CLH2" s="1"/>
      <c r="CLI2" s="1"/>
      <c r="CLJ2" s="1"/>
      <c r="CLK2" s="1"/>
      <c r="CLL2" s="1"/>
      <c r="CLM2" s="1"/>
      <c r="CLN2" s="1"/>
      <c r="CLO2" s="1"/>
      <c r="CLP2" s="1"/>
      <c r="CLQ2" s="1"/>
      <c r="CLR2" s="1"/>
      <c r="CLS2" s="1"/>
      <c r="CLT2" s="1"/>
      <c r="CLU2" s="1"/>
      <c r="CLV2" s="1"/>
      <c r="CLW2" s="1"/>
      <c r="CLX2" s="1"/>
      <c r="CLY2" s="1"/>
      <c r="CLZ2" s="1"/>
      <c r="CMA2" s="1"/>
      <c r="CMB2" s="1"/>
      <c r="CMC2" s="1"/>
      <c r="CMD2" s="1"/>
      <c r="CME2" s="1"/>
      <c r="CMF2" s="1"/>
      <c r="CMG2" s="1"/>
      <c r="CMH2" s="1"/>
      <c r="CMI2" s="1"/>
      <c r="CMJ2" s="1"/>
      <c r="CMK2" s="1"/>
      <c r="CML2" s="1"/>
      <c r="CMM2" s="1"/>
      <c r="CMN2" s="1"/>
      <c r="CMO2" s="1"/>
      <c r="CMP2" s="1"/>
      <c r="CMQ2" s="1"/>
      <c r="CMR2" s="1"/>
      <c r="CMS2" s="1"/>
      <c r="CMT2" s="1"/>
      <c r="CMU2" s="1"/>
      <c r="CMV2" s="1"/>
      <c r="CMW2" s="1"/>
      <c r="CMX2" s="1"/>
      <c r="CMY2" s="1"/>
      <c r="CMZ2" s="1"/>
      <c r="CNA2" s="1"/>
      <c r="CNB2" s="1"/>
      <c r="CNC2" s="1"/>
      <c r="CND2" s="1"/>
      <c r="CNE2" s="1"/>
      <c r="CNF2" s="1"/>
      <c r="CNG2" s="1"/>
      <c r="CNH2" s="1"/>
      <c r="CNI2" s="1"/>
      <c r="CNJ2" s="1"/>
      <c r="CNK2" s="1"/>
      <c r="CNL2" s="1"/>
      <c r="CNM2" s="1"/>
      <c r="CNN2" s="1"/>
      <c r="CNO2" s="1"/>
      <c r="CNP2" s="1"/>
      <c r="CNQ2" s="1"/>
      <c r="CNR2" s="1"/>
      <c r="CNS2" s="1"/>
      <c r="CNT2" s="1"/>
      <c r="CNU2" s="1"/>
      <c r="CNV2" s="1"/>
      <c r="CNW2" s="1"/>
      <c r="CNX2" s="1"/>
      <c r="CNY2" s="1"/>
      <c r="CNZ2" s="1"/>
      <c r="COA2" s="1"/>
      <c r="COB2" s="1"/>
      <c r="COC2" s="1"/>
      <c r="COD2" s="1"/>
      <c r="COE2" s="1"/>
      <c r="COF2" s="1"/>
      <c r="COG2" s="1"/>
      <c r="COH2" s="1"/>
      <c r="COI2" s="1"/>
      <c r="COJ2" s="1"/>
      <c r="COK2" s="1"/>
      <c r="COL2" s="1"/>
      <c r="COM2" s="1"/>
      <c r="CON2" s="1"/>
      <c r="COO2" s="1"/>
      <c r="COP2" s="1"/>
      <c r="COQ2" s="1"/>
      <c r="COR2" s="1"/>
      <c r="COS2" s="1"/>
      <c r="COT2" s="1"/>
      <c r="COU2" s="1"/>
      <c r="COV2" s="1"/>
      <c r="COW2" s="1"/>
      <c r="COX2" s="1"/>
      <c r="COY2" s="1"/>
      <c r="COZ2" s="1"/>
      <c r="CPA2" s="1"/>
      <c r="CPB2" s="1"/>
      <c r="CPC2" s="1"/>
      <c r="CPD2" s="1"/>
      <c r="CPE2" s="1"/>
      <c r="CPF2" s="1"/>
      <c r="CPG2" s="1"/>
      <c r="CPH2" s="1"/>
      <c r="CPI2" s="1"/>
      <c r="CPJ2" s="1"/>
      <c r="CPK2" s="1"/>
      <c r="CPL2" s="1"/>
      <c r="CPM2" s="1"/>
      <c r="CPN2" s="1"/>
      <c r="CPO2" s="1"/>
      <c r="CPP2" s="1"/>
      <c r="CPQ2" s="1"/>
      <c r="CPR2" s="1"/>
      <c r="CPS2" s="1"/>
      <c r="CPT2" s="1"/>
      <c r="CPU2" s="1"/>
      <c r="CPV2" s="1"/>
      <c r="CPW2" s="1"/>
      <c r="CPX2" s="1"/>
      <c r="CPY2" s="1"/>
      <c r="CPZ2" s="1"/>
      <c r="CQA2" s="1"/>
      <c r="CQB2" s="1"/>
      <c r="CQC2" s="1"/>
      <c r="CQD2" s="1"/>
      <c r="CQE2" s="1"/>
      <c r="CQF2" s="1"/>
      <c r="CQG2" s="1"/>
      <c r="CQH2" s="1"/>
      <c r="CQI2" s="1"/>
      <c r="CQJ2" s="1"/>
      <c r="CQK2" s="1"/>
      <c r="CQL2" s="1"/>
      <c r="CQM2" s="1"/>
      <c r="CQN2" s="1"/>
      <c r="CQO2" s="1"/>
      <c r="CQP2" s="1"/>
      <c r="CQQ2" s="1"/>
      <c r="CQR2" s="1"/>
      <c r="CQS2" s="1"/>
      <c r="CQT2" s="1"/>
      <c r="CQU2" s="1"/>
      <c r="CQV2" s="1"/>
      <c r="CQW2" s="1"/>
      <c r="CQX2" s="1"/>
      <c r="CQY2" s="1"/>
      <c r="CQZ2" s="1"/>
      <c r="CRA2" s="1"/>
      <c r="CRB2" s="1"/>
      <c r="CRC2" s="1"/>
      <c r="CRD2" s="1"/>
      <c r="CRE2" s="1"/>
      <c r="CRF2" s="1"/>
      <c r="CRG2" s="1"/>
      <c r="CRH2" s="1"/>
      <c r="CRI2" s="1"/>
      <c r="CRJ2" s="1"/>
      <c r="CRK2" s="1"/>
      <c r="CRL2" s="1"/>
      <c r="CRM2" s="1"/>
      <c r="CRN2" s="1"/>
      <c r="CRO2" s="1"/>
      <c r="CRP2" s="1"/>
      <c r="CRQ2" s="1"/>
      <c r="CRR2" s="1"/>
      <c r="CRS2" s="1"/>
      <c r="CRT2" s="1"/>
      <c r="CRU2" s="1"/>
      <c r="CRV2" s="1"/>
      <c r="CRW2" s="1"/>
      <c r="CRX2" s="1"/>
      <c r="CRY2" s="1"/>
      <c r="CRZ2" s="1"/>
      <c r="CSA2" s="1"/>
      <c r="CSB2" s="1"/>
      <c r="CSC2" s="1"/>
      <c r="CSD2" s="1"/>
      <c r="CSE2" s="1"/>
      <c r="CSF2" s="1"/>
      <c r="CSG2" s="1"/>
      <c r="CSH2" s="1"/>
      <c r="CSI2" s="1"/>
      <c r="CSJ2" s="1"/>
      <c r="CSK2" s="1"/>
      <c r="CSL2" s="1"/>
      <c r="CSM2" s="1"/>
      <c r="CSN2" s="1"/>
      <c r="CSO2" s="1"/>
      <c r="CSP2" s="1"/>
      <c r="CSQ2" s="1"/>
      <c r="CSR2" s="1"/>
      <c r="CSS2" s="1"/>
      <c r="CST2" s="1"/>
      <c r="CSU2" s="1"/>
      <c r="CSV2" s="1"/>
      <c r="CSW2" s="1"/>
      <c r="CSX2" s="1"/>
      <c r="CSY2" s="1"/>
      <c r="CSZ2" s="1"/>
      <c r="CTA2" s="1"/>
      <c r="CTB2" s="1"/>
      <c r="CTC2" s="1"/>
      <c r="CTD2" s="1"/>
      <c r="CTE2" s="1"/>
      <c r="CTF2" s="1"/>
      <c r="CTG2" s="1"/>
      <c r="CTH2" s="1"/>
      <c r="CTI2" s="1"/>
      <c r="CTJ2" s="1"/>
      <c r="CTK2" s="1"/>
      <c r="CTL2" s="1"/>
      <c r="CTM2" s="1"/>
      <c r="CTN2" s="1"/>
      <c r="CTO2" s="1"/>
      <c r="CTP2" s="1"/>
      <c r="CTQ2" s="1"/>
      <c r="CTR2" s="1"/>
      <c r="CTS2" s="1"/>
      <c r="CTT2" s="1"/>
      <c r="CTU2" s="1"/>
      <c r="CTV2" s="1"/>
      <c r="CTW2" s="1"/>
      <c r="CTX2" s="1"/>
      <c r="CTY2" s="1"/>
      <c r="CTZ2" s="1"/>
      <c r="CUA2" s="1"/>
      <c r="CUB2" s="1"/>
      <c r="CUC2" s="1"/>
      <c r="CUD2" s="1"/>
      <c r="CUE2" s="1"/>
      <c r="CUF2" s="1"/>
      <c r="CUG2" s="1"/>
      <c r="CUH2" s="1"/>
      <c r="CUI2" s="1"/>
      <c r="CUJ2" s="1"/>
      <c r="CUK2" s="1"/>
      <c r="CUL2" s="1"/>
      <c r="CUM2" s="1"/>
      <c r="CUN2" s="1"/>
      <c r="CUO2" s="1"/>
      <c r="CUP2" s="1"/>
      <c r="CUQ2" s="1"/>
      <c r="CUR2" s="1"/>
      <c r="CUS2" s="1"/>
      <c r="CUT2" s="1"/>
      <c r="CUU2" s="1"/>
      <c r="CUV2" s="1"/>
      <c r="CUW2" s="1"/>
      <c r="CUX2" s="1"/>
      <c r="CUY2" s="1"/>
      <c r="CUZ2" s="1"/>
      <c r="CVA2" s="1"/>
      <c r="CVB2" s="1"/>
      <c r="CVC2" s="1"/>
      <c r="CVD2" s="1"/>
      <c r="CVE2" s="1"/>
      <c r="CVF2" s="1"/>
      <c r="CVG2" s="1"/>
      <c r="CVH2" s="1"/>
      <c r="CVI2" s="1"/>
      <c r="CVJ2" s="1"/>
      <c r="CVK2" s="1"/>
      <c r="CVL2" s="1"/>
      <c r="CVM2" s="1"/>
      <c r="CVN2" s="1"/>
      <c r="CVO2" s="1"/>
      <c r="CVP2" s="1"/>
      <c r="CVQ2" s="1"/>
      <c r="CVR2" s="1"/>
      <c r="CVS2" s="1"/>
      <c r="CVT2" s="1"/>
      <c r="CVU2" s="1"/>
      <c r="CVV2" s="1"/>
      <c r="CVW2" s="1"/>
      <c r="CVX2" s="1"/>
      <c r="CVY2" s="1"/>
      <c r="CVZ2" s="1"/>
      <c r="CWA2" s="1"/>
      <c r="CWB2" s="1"/>
      <c r="CWC2" s="1"/>
      <c r="CWD2" s="1"/>
      <c r="CWE2" s="1"/>
      <c r="CWF2" s="1"/>
      <c r="CWG2" s="1"/>
      <c r="CWH2" s="1"/>
      <c r="CWI2" s="1"/>
      <c r="CWJ2" s="1"/>
      <c r="CWK2" s="1"/>
      <c r="CWL2" s="1"/>
      <c r="CWM2" s="1"/>
      <c r="CWN2" s="1"/>
      <c r="CWO2" s="1"/>
      <c r="CWP2" s="1"/>
      <c r="CWQ2" s="1"/>
      <c r="CWR2" s="1"/>
      <c r="CWS2" s="1"/>
      <c r="CWT2" s="1"/>
      <c r="CWU2" s="1"/>
      <c r="CWV2" s="1"/>
      <c r="CWW2" s="1"/>
      <c r="CWX2" s="1"/>
      <c r="CWY2" s="1"/>
      <c r="CWZ2" s="1"/>
      <c r="CXA2" s="1"/>
      <c r="CXB2" s="1"/>
      <c r="CXC2" s="1"/>
      <c r="CXD2" s="1"/>
      <c r="CXE2" s="1"/>
      <c r="CXF2" s="1"/>
      <c r="CXG2" s="1"/>
      <c r="CXH2" s="1"/>
      <c r="CXI2" s="1"/>
      <c r="CXJ2" s="1"/>
      <c r="CXK2" s="1"/>
      <c r="CXL2" s="1"/>
      <c r="CXM2" s="1"/>
      <c r="CXN2" s="1"/>
      <c r="CXO2" s="1"/>
      <c r="CXP2" s="1"/>
      <c r="CXQ2" s="1"/>
      <c r="CXR2" s="1"/>
      <c r="CXS2" s="1"/>
      <c r="CXT2" s="1"/>
      <c r="CXU2" s="1"/>
      <c r="CXV2" s="1"/>
      <c r="CXW2" s="1"/>
      <c r="CXX2" s="1"/>
      <c r="CXY2" s="1"/>
      <c r="CXZ2" s="1"/>
      <c r="CYA2" s="1"/>
      <c r="CYB2" s="1"/>
      <c r="CYC2" s="1"/>
      <c r="CYD2" s="1"/>
      <c r="CYE2" s="1"/>
      <c r="CYF2" s="1"/>
      <c r="CYG2" s="1"/>
      <c r="CYH2" s="1"/>
      <c r="CYI2" s="1"/>
      <c r="CYJ2" s="1"/>
      <c r="CYK2" s="1"/>
      <c r="CYL2" s="1"/>
      <c r="CYM2" s="1"/>
      <c r="CYN2" s="1"/>
      <c r="CYO2" s="1"/>
      <c r="CYP2" s="1"/>
      <c r="CYQ2" s="1"/>
      <c r="CYR2" s="1"/>
      <c r="CYS2" s="1"/>
      <c r="CYT2" s="1"/>
      <c r="CYU2" s="1"/>
      <c r="CYV2" s="1"/>
      <c r="CYW2" s="1"/>
      <c r="CYX2" s="1"/>
      <c r="CYY2" s="1"/>
      <c r="CYZ2" s="1"/>
      <c r="CZA2" s="1"/>
      <c r="CZB2" s="1"/>
      <c r="CZC2" s="1"/>
      <c r="CZD2" s="1"/>
      <c r="CZE2" s="1"/>
      <c r="CZF2" s="1"/>
      <c r="CZG2" s="1"/>
      <c r="CZH2" s="1"/>
      <c r="CZI2" s="1"/>
      <c r="CZJ2" s="1"/>
      <c r="CZK2" s="1"/>
      <c r="CZL2" s="1"/>
      <c r="CZM2" s="1"/>
      <c r="CZN2" s="1"/>
      <c r="CZO2" s="1"/>
      <c r="CZP2" s="1"/>
      <c r="CZQ2" s="1"/>
      <c r="CZR2" s="1"/>
      <c r="CZS2" s="1"/>
      <c r="CZT2" s="1"/>
      <c r="CZU2" s="1"/>
      <c r="CZV2" s="1"/>
      <c r="CZW2" s="1"/>
      <c r="CZX2" s="1"/>
      <c r="CZY2" s="1"/>
      <c r="CZZ2" s="1"/>
      <c r="DAA2" s="1"/>
      <c r="DAB2" s="1"/>
      <c r="DAC2" s="1"/>
      <c r="DAD2" s="1"/>
      <c r="DAE2" s="1"/>
      <c r="DAF2" s="1"/>
      <c r="DAG2" s="1"/>
      <c r="DAH2" s="1"/>
      <c r="DAI2" s="1"/>
      <c r="DAJ2" s="1"/>
      <c r="DAK2" s="1"/>
      <c r="DAL2" s="1"/>
      <c r="DAM2" s="1"/>
      <c r="DAN2" s="1"/>
      <c r="DAO2" s="1"/>
      <c r="DAP2" s="1"/>
      <c r="DAQ2" s="1"/>
      <c r="DAR2" s="1"/>
      <c r="DAS2" s="1"/>
      <c r="DAT2" s="1"/>
      <c r="DAU2" s="1"/>
      <c r="DAV2" s="1"/>
      <c r="DAW2" s="1"/>
      <c r="DAX2" s="1"/>
      <c r="DAY2" s="1"/>
      <c r="DAZ2" s="1"/>
      <c r="DBA2" s="1"/>
      <c r="DBB2" s="1"/>
      <c r="DBC2" s="1"/>
      <c r="DBD2" s="1"/>
      <c r="DBE2" s="1"/>
      <c r="DBF2" s="1"/>
      <c r="DBG2" s="1"/>
      <c r="DBH2" s="1"/>
      <c r="DBI2" s="1"/>
      <c r="DBJ2" s="1"/>
      <c r="DBK2" s="1"/>
      <c r="DBL2" s="1"/>
      <c r="DBM2" s="1"/>
      <c r="DBN2" s="1"/>
      <c r="DBO2" s="1"/>
      <c r="DBP2" s="1"/>
      <c r="DBQ2" s="1"/>
      <c r="DBR2" s="1"/>
      <c r="DBS2" s="1"/>
      <c r="DBT2" s="1"/>
      <c r="DBU2" s="1"/>
      <c r="DBV2" s="1"/>
      <c r="DBW2" s="1"/>
      <c r="DBX2" s="1"/>
      <c r="DBY2" s="1"/>
      <c r="DBZ2" s="1"/>
      <c r="DCA2" s="1"/>
      <c r="DCB2" s="1"/>
      <c r="DCC2" s="1"/>
      <c r="DCD2" s="1"/>
      <c r="DCE2" s="1"/>
      <c r="DCF2" s="1"/>
      <c r="DCG2" s="1"/>
      <c r="DCH2" s="1"/>
      <c r="DCI2" s="1"/>
      <c r="DCJ2" s="1"/>
      <c r="DCK2" s="1"/>
      <c r="DCL2" s="1"/>
      <c r="DCM2" s="1"/>
      <c r="DCN2" s="1"/>
      <c r="DCO2" s="1"/>
      <c r="DCP2" s="1"/>
      <c r="DCQ2" s="1"/>
      <c r="DCR2" s="1"/>
      <c r="DCS2" s="1"/>
      <c r="DCT2" s="1"/>
      <c r="DCU2" s="1"/>
      <c r="DCV2" s="1"/>
      <c r="DCW2" s="1"/>
      <c r="DCX2" s="1"/>
      <c r="DCY2" s="1"/>
      <c r="DCZ2" s="1"/>
      <c r="DDA2" s="1"/>
      <c r="DDB2" s="1"/>
      <c r="DDC2" s="1"/>
      <c r="DDD2" s="1"/>
      <c r="DDE2" s="1"/>
      <c r="DDF2" s="1"/>
      <c r="DDG2" s="1"/>
      <c r="DDH2" s="1"/>
      <c r="DDI2" s="1"/>
      <c r="DDJ2" s="1"/>
      <c r="DDK2" s="1"/>
      <c r="DDL2" s="1"/>
      <c r="DDM2" s="1"/>
      <c r="DDN2" s="1"/>
      <c r="DDO2" s="1"/>
      <c r="DDP2" s="1"/>
      <c r="DDQ2" s="1"/>
      <c r="DDR2" s="1"/>
      <c r="DDS2" s="1"/>
      <c r="DDT2" s="1"/>
      <c r="DDU2" s="1"/>
      <c r="DDV2" s="1"/>
      <c r="DDW2" s="1"/>
      <c r="DDX2" s="1"/>
      <c r="DDY2" s="1"/>
      <c r="DDZ2" s="1"/>
      <c r="DEA2" s="1"/>
      <c r="DEB2" s="1"/>
      <c r="DEC2" s="1"/>
      <c r="DED2" s="1"/>
      <c r="DEE2" s="1"/>
      <c r="DEF2" s="1"/>
      <c r="DEG2" s="1"/>
      <c r="DEH2" s="1"/>
      <c r="DEI2" s="1"/>
      <c r="DEJ2" s="1"/>
      <c r="DEK2" s="1"/>
      <c r="DEL2" s="1"/>
      <c r="DEM2" s="1"/>
      <c r="DEN2" s="1"/>
      <c r="DEO2" s="1"/>
      <c r="DEP2" s="1"/>
      <c r="DEQ2" s="1"/>
      <c r="DER2" s="1"/>
      <c r="DES2" s="1"/>
      <c r="DET2" s="1"/>
      <c r="DEU2" s="1"/>
      <c r="DEV2" s="1"/>
      <c r="DEW2" s="1"/>
      <c r="DEX2" s="1"/>
      <c r="DEY2" s="1"/>
      <c r="DEZ2" s="1"/>
      <c r="DFA2" s="1"/>
      <c r="DFB2" s="1"/>
      <c r="DFC2" s="1"/>
      <c r="DFD2" s="1"/>
      <c r="DFE2" s="1"/>
      <c r="DFF2" s="1"/>
      <c r="DFG2" s="1"/>
      <c r="DFH2" s="1"/>
      <c r="DFI2" s="1"/>
      <c r="DFJ2" s="1"/>
      <c r="DFK2" s="1"/>
      <c r="DFL2" s="1"/>
      <c r="DFM2" s="1"/>
      <c r="DFN2" s="1"/>
      <c r="DFO2" s="1"/>
      <c r="DFP2" s="1"/>
      <c r="DFQ2" s="1"/>
      <c r="DFR2" s="1"/>
      <c r="DFS2" s="1"/>
      <c r="DFT2" s="1"/>
      <c r="DFU2" s="1"/>
      <c r="DFV2" s="1"/>
      <c r="DFW2" s="1"/>
      <c r="DFX2" s="1"/>
      <c r="DFY2" s="1"/>
      <c r="DFZ2" s="1"/>
      <c r="DGA2" s="1"/>
      <c r="DGB2" s="1"/>
      <c r="DGC2" s="1"/>
      <c r="DGD2" s="1"/>
      <c r="DGE2" s="1"/>
      <c r="DGF2" s="1"/>
      <c r="DGG2" s="1"/>
      <c r="DGH2" s="1"/>
      <c r="DGI2" s="1"/>
      <c r="DGJ2" s="1"/>
      <c r="DGK2" s="1"/>
      <c r="DGL2" s="1"/>
      <c r="DGM2" s="1"/>
      <c r="DGN2" s="1"/>
      <c r="DGO2" s="1"/>
      <c r="DGP2" s="1"/>
      <c r="DGQ2" s="1"/>
      <c r="DGR2" s="1"/>
      <c r="DGS2" s="1"/>
      <c r="DGT2" s="1"/>
      <c r="DGU2" s="1"/>
      <c r="DGV2" s="1"/>
      <c r="DGW2" s="1"/>
      <c r="DGX2" s="1"/>
      <c r="DGY2" s="1"/>
      <c r="DGZ2" s="1"/>
      <c r="DHA2" s="1"/>
      <c r="DHB2" s="1"/>
      <c r="DHC2" s="1"/>
      <c r="DHD2" s="1"/>
      <c r="DHE2" s="1"/>
      <c r="DHF2" s="1"/>
      <c r="DHG2" s="1"/>
      <c r="DHH2" s="1"/>
      <c r="DHI2" s="1"/>
      <c r="DHJ2" s="1"/>
      <c r="DHK2" s="1"/>
      <c r="DHL2" s="1"/>
      <c r="DHM2" s="1"/>
      <c r="DHN2" s="1"/>
      <c r="DHO2" s="1"/>
      <c r="DHP2" s="1"/>
      <c r="DHQ2" s="1"/>
      <c r="DHR2" s="1"/>
      <c r="DHS2" s="1"/>
      <c r="DHT2" s="1"/>
      <c r="DHU2" s="1"/>
      <c r="DHV2" s="1"/>
      <c r="DHW2" s="1"/>
      <c r="DHX2" s="1"/>
      <c r="DHY2" s="1"/>
      <c r="DHZ2" s="1"/>
      <c r="DIA2" s="1"/>
      <c r="DIB2" s="1"/>
      <c r="DIC2" s="1"/>
      <c r="DID2" s="1"/>
      <c r="DIE2" s="1"/>
      <c r="DIF2" s="1"/>
      <c r="DIG2" s="1"/>
      <c r="DIH2" s="1"/>
      <c r="DII2" s="1"/>
      <c r="DIJ2" s="1"/>
      <c r="DIK2" s="1"/>
      <c r="DIL2" s="1"/>
      <c r="DIM2" s="1"/>
      <c r="DIN2" s="1"/>
      <c r="DIO2" s="1"/>
      <c r="DIP2" s="1"/>
      <c r="DIQ2" s="1"/>
      <c r="DIR2" s="1"/>
      <c r="DIS2" s="1"/>
      <c r="DIT2" s="1"/>
      <c r="DIU2" s="1"/>
      <c r="DIV2" s="1"/>
      <c r="DIW2" s="1"/>
      <c r="DIX2" s="1"/>
      <c r="DIY2" s="1"/>
      <c r="DIZ2" s="1"/>
      <c r="DJA2" s="1"/>
      <c r="DJB2" s="1"/>
      <c r="DJC2" s="1"/>
      <c r="DJD2" s="1"/>
      <c r="DJE2" s="1"/>
      <c r="DJF2" s="1"/>
      <c r="DJG2" s="1"/>
      <c r="DJH2" s="1"/>
      <c r="DJI2" s="1"/>
      <c r="DJJ2" s="1"/>
      <c r="DJK2" s="1"/>
      <c r="DJL2" s="1"/>
      <c r="DJM2" s="1"/>
      <c r="DJN2" s="1"/>
      <c r="DJO2" s="1"/>
      <c r="DJP2" s="1"/>
      <c r="DJQ2" s="1"/>
      <c r="DJR2" s="1"/>
      <c r="DJS2" s="1"/>
      <c r="DJT2" s="1"/>
      <c r="DJU2" s="1"/>
      <c r="DJV2" s="1"/>
      <c r="DJW2" s="1"/>
      <c r="DJX2" s="1"/>
      <c r="DJY2" s="1"/>
      <c r="DJZ2" s="1"/>
      <c r="DKA2" s="1"/>
      <c r="DKB2" s="1"/>
      <c r="DKC2" s="1"/>
      <c r="DKD2" s="1"/>
      <c r="DKE2" s="1"/>
      <c r="DKF2" s="1"/>
      <c r="DKG2" s="1"/>
      <c r="DKH2" s="1"/>
      <c r="DKI2" s="1"/>
      <c r="DKJ2" s="1"/>
      <c r="DKK2" s="1"/>
      <c r="DKL2" s="1"/>
      <c r="DKM2" s="1"/>
      <c r="DKN2" s="1"/>
      <c r="DKO2" s="1"/>
      <c r="DKP2" s="1"/>
      <c r="DKQ2" s="1"/>
      <c r="DKR2" s="1"/>
      <c r="DKS2" s="1"/>
      <c r="DKT2" s="1"/>
      <c r="DKU2" s="1"/>
      <c r="DKV2" s="1"/>
      <c r="DKW2" s="1"/>
      <c r="DKX2" s="1"/>
      <c r="DKY2" s="1"/>
      <c r="DKZ2" s="1"/>
      <c r="DLA2" s="1"/>
      <c r="DLB2" s="1"/>
      <c r="DLC2" s="1"/>
      <c r="DLD2" s="1"/>
      <c r="DLE2" s="1"/>
      <c r="DLF2" s="1"/>
      <c r="DLG2" s="1"/>
      <c r="DLH2" s="1"/>
      <c r="DLI2" s="1"/>
      <c r="DLJ2" s="1"/>
      <c r="DLK2" s="1"/>
      <c r="DLL2" s="1"/>
      <c r="DLM2" s="1"/>
      <c r="DLN2" s="1"/>
      <c r="DLO2" s="1"/>
      <c r="DLP2" s="1"/>
      <c r="DLQ2" s="1"/>
      <c r="DLR2" s="1"/>
      <c r="DLS2" s="1"/>
      <c r="DLT2" s="1"/>
      <c r="DLU2" s="1"/>
      <c r="DLV2" s="1"/>
      <c r="DLW2" s="1"/>
      <c r="DLX2" s="1"/>
      <c r="DLY2" s="1"/>
      <c r="DLZ2" s="1"/>
      <c r="DMA2" s="1"/>
      <c r="DMB2" s="1"/>
      <c r="DMC2" s="1"/>
      <c r="DMD2" s="1"/>
      <c r="DME2" s="1"/>
      <c r="DMF2" s="1"/>
      <c r="DMG2" s="1"/>
      <c r="DMH2" s="1"/>
      <c r="DMI2" s="1"/>
      <c r="DMJ2" s="1"/>
      <c r="DMK2" s="1"/>
      <c r="DML2" s="1"/>
      <c r="DMM2" s="1"/>
      <c r="DMN2" s="1"/>
      <c r="DMO2" s="1"/>
      <c r="DMP2" s="1"/>
      <c r="DMQ2" s="1"/>
      <c r="DMR2" s="1"/>
      <c r="DMS2" s="1"/>
      <c r="DMT2" s="1"/>
      <c r="DMU2" s="1"/>
      <c r="DMV2" s="1"/>
      <c r="DMW2" s="1"/>
      <c r="DMX2" s="1"/>
      <c r="DMY2" s="1"/>
      <c r="DMZ2" s="1"/>
      <c r="DNA2" s="1"/>
      <c r="DNB2" s="1"/>
      <c r="DNC2" s="1"/>
      <c r="DND2" s="1"/>
      <c r="DNE2" s="1"/>
      <c r="DNF2" s="1"/>
      <c r="DNG2" s="1"/>
      <c r="DNH2" s="1"/>
      <c r="DNI2" s="1"/>
      <c r="DNJ2" s="1"/>
      <c r="DNK2" s="1"/>
      <c r="DNL2" s="1"/>
      <c r="DNM2" s="1"/>
      <c r="DNN2" s="1"/>
      <c r="DNO2" s="1"/>
      <c r="DNP2" s="1"/>
      <c r="DNQ2" s="1"/>
      <c r="DNR2" s="1"/>
      <c r="DNS2" s="1"/>
      <c r="DNT2" s="1"/>
      <c r="DNU2" s="1"/>
      <c r="DNV2" s="1"/>
      <c r="DNW2" s="1"/>
      <c r="DNX2" s="1"/>
      <c r="DNY2" s="1"/>
      <c r="DNZ2" s="1"/>
      <c r="DOA2" s="1"/>
      <c r="DOB2" s="1"/>
      <c r="DOC2" s="1"/>
      <c r="DOD2" s="1"/>
      <c r="DOE2" s="1"/>
      <c r="DOF2" s="1"/>
      <c r="DOG2" s="1"/>
      <c r="DOH2" s="1"/>
      <c r="DOI2" s="1"/>
      <c r="DOJ2" s="1"/>
      <c r="DOK2" s="1"/>
      <c r="DOL2" s="1"/>
      <c r="DOM2" s="1"/>
      <c r="DON2" s="1"/>
      <c r="DOO2" s="1"/>
      <c r="DOP2" s="1"/>
      <c r="DOQ2" s="1"/>
      <c r="DOR2" s="1"/>
      <c r="DOS2" s="1"/>
      <c r="DOT2" s="1"/>
      <c r="DOU2" s="1"/>
      <c r="DOV2" s="1"/>
      <c r="DOW2" s="1"/>
      <c r="DOX2" s="1"/>
      <c r="DOY2" s="1"/>
      <c r="DOZ2" s="1"/>
      <c r="DPA2" s="1"/>
      <c r="DPB2" s="1"/>
      <c r="DPC2" s="1"/>
      <c r="DPD2" s="1"/>
      <c r="DPE2" s="1"/>
      <c r="DPF2" s="1"/>
      <c r="DPG2" s="1"/>
      <c r="DPH2" s="1"/>
      <c r="DPI2" s="1"/>
      <c r="DPJ2" s="1"/>
      <c r="DPK2" s="1"/>
      <c r="DPL2" s="1"/>
      <c r="DPM2" s="1"/>
      <c r="DPN2" s="1"/>
      <c r="DPO2" s="1"/>
      <c r="DPP2" s="1"/>
      <c r="DPQ2" s="1"/>
      <c r="DPR2" s="1"/>
      <c r="DPS2" s="1"/>
      <c r="DPT2" s="1"/>
      <c r="DPU2" s="1"/>
      <c r="DPV2" s="1"/>
      <c r="DPW2" s="1"/>
      <c r="DPX2" s="1"/>
      <c r="DPY2" s="1"/>
      <c r="DPZ2" s="1"/>
      <c r="DQA2" s="1"/>
      <c r="DQB2" s="1"/>
      <c r="DQC2" s="1"/>
      <c r="DQD2" s="1"/>
      <c r="DQE2" s="1"/>
      <c r="DQF2" s="1"/>
      <c r="DQG2" s="1"/>
      <c r="DQH2" s="1"/>
      <c r="DQI2" s="1"/>
      <c r="DQJ2" s="1"/>
      <c r="DQK2" s="1"/>
      <c r="DQL2" s="1"/>
      <c r="DQM2" s="1"/>
      <c r="DQN2" s="1"/>
      <c r="DQO2" s="1"/>
      <c r="DQP2" s="1"/>
      <c r="DQQ2" s="1"/>
      <c r="DQR2" s="1"/>
      <c r="DQS2" s="1"/>
      <c r="DQT2" s="1"/>
      <c r="DQU2" s="1"/>
      <c r="DQV2" s="1"/>
      <c r="DQW2" s="1"/>
      <c r="DQX2" s="1"/>
      <c r="DQY2" s="1"/>
      <c r="DQZ2" s="1"/>
      <c r="DRA2" s="1"/>
      <c r="DRB2" s="1"/>
      <c r="DRC2" s="1"/>
      <c r="DRD2" s="1"/>
      <c r="DRE2" s="1"/>
      <c r="DRF2" s="1"/>
      <c r="DRG2" s="1"/>
      <c r="DRH2" s="1"/>
      <c r="DRI2" s="1"/>
      <c r="DRJ2" s="1"/>
      <c r="DRK2" s="1"/>
      <c r="DRL2" s="1"/>
      <c r="DRM2" s="1"/>
      <c r="DRN2" s="1"/>
      <c r="DRO2" s="1"/>
      <c r="DRP2" s="1"/>
      <c r="DRQ2" s="1"/>
      <c r="DRR2" s="1"/>
      <c r="DRS2" s="1"/>
      <c r="DRT2" s="1"/>
      <c r="DRU2" s="1"/>
      <c r="DRV2" s="1"/>
      <c r="DRW2" s="1"/>
      <c r="DRX2" s="1"/>
      <c r="DRY2" s="1"/>
      <c r="DRZ2" s="1"/>
      <c r="DSA2" s="1"/>
      <c r="DSB2" s="1"/>
      <c r="DSC2" s="1"/>
      <c r="DSD2" s="1"/>
      <c r="DSE2" s="1"/>
      <c r="DSF2" s="1"/>
      <c r="DSG2" s="1"/>
      <c r="DSH2" s="1"/>
      <c r="DSI2" s="1"/>
      <c r="DSJ2" s="1"/>
      <c r="DSK2" s="1"/>
      <c r="DSL2" s="1"/>
      <c r="DSM2" s="1"/>
      <c r="DSN2" s="1"/>
      <c r="DSO2" s="1"/>
      <c r="DSP2" s="1"/>
      <c r="DSQ2" s="1"/>
      <c r="DSR2" s="1"/>
      <c r="DSS2" s="1"/>
      <c r="DST2" s="1"/>
      <c r="DSU2" s="1"/>
      <c r="DSV2" s="1"/>
      <c r="DSW2" s="1"/>
      <c r="DSX2" s="1"/>
      <c r="DSY2" s="1"/>
      <c r="DSZ2" s="1"/>
      <c r="DTA2" s="1"/>
      <c r="DTB2" s="1"/>
      <c r="DTC2" s="1"/>
      <c r="DTD2" s="1"/>
      <c r="DTE2" s="1"/>
      <c r="DTF2" s="1"/>
      <c r="DTG2" s="1"/>
      <c r="DTH2" s="1"/>
      <c r="DTI2" s="1"/>
      <c r="DTJ2" s="1"/>
      <c r="DTK2" s="1"/>
      <c r="DTL2" s="1"/>
      <c r="DTM2" s="1"/>
      <c r="DTN2" s="1"/>
      <c r="DTO2" s="1"/>
      <c r="DTP2" s="1"/>
      <c r="DTQ2" s="1"/>
      <c r="DTR2" s="1"/>
      <c r="DTS2" s="1"/>
      <c r="DTT2" s="1"/>
      <c r="DTU2" s="1"/>
      <c r="DTV2" s="1"/>
      <c r="DTW2" s="1"/>
      <c r="DTX2" s="1"/>
      <c r="DTY2" s="1"/>
      <c r="DTZ2" s="1"/>
      <c r="DUA2" s="1"/>
      <c r="DUB2" s="1"/>
      <c r="DUC2" s="1"/>
      <c r="DUD2" s="1"/>
      <c r="DUE2" s="1"/>
      <c r="DUF2" s="1"/>
      <c r="DUG2" s="1"/>
      <c r="DUH2" s="1"/>
      <c r="DUI2" s="1"/>
      <c r="DUJ2" s="1"/>
      <c r="DUK2" s="1"/>
      <c r="DUL2" s="1"/>
      <c r="DUM2" s="1"/>
      <c r="DUN2" s="1"/>
      <c r="DUO2" s="1"/>
      <c r="DUP2" s="1"/>
      <c r="DUQ2" s="1"/>
      <c r="DUR2" s="1"/>
      <c r="DUS2" s="1"/>
      <c r="DUT2" s="1"/>
      <c r="DUU2" s="1"/>
      <c r="DUV2" s="1"/>
      <c r="DUW2" s="1"/>
      <c r="DUX2" s="1"/>
      <c r="DUY2" s="1"/>
      <c r="DUZ2" s="1"/>
      <c r="DVA2" s="1"/>
      <c r="DVB2" s="1"/>
      <c r="DVC2" s="1"/>
      <c r="DVD2" s="1"/>
      <c r="DVE2" s="1"/>
      <c r="DVF2" s="1"/>
      <c r="DVG2" s="1"/>
      <c r="DVH2" s="1"/>
      <c r="DVI2" s="1"/>
      <c r="DVJ2" s="1"/>
      <c r="DVK2" s="1"/>
      <c r="DVL2" s="1"/>
      <c r="DVM2" s="1"/>
      <c r="DVN2" s="1"/>
      <c r="DVO2" s="1"/>
      <c r="DVP2" s="1"/>
      <c r="DVQ2" s="1"/>
      <c r="DVR2" s="1"/>
      <c r="DVS2" s="1"/>
      <c r="DVT2" s="1"/>
      <c r="DVU2" s="1"/>
      <c r="DVV2" s="1"/>
      <c r="DVW2" s="1"/>
      <c r="DVX2" s="1"/>
      <c r="DVY2" s="1"/>
      <c r="DVZ2" s="1"/>
      <c r="DWA2" s="1"/>
      <c r="DWB2" s="1"/>
      <c r="DWC2" s="1"/>
      <c r="DWD2" s="1"/>
      <c r="DWE2" s="1"/>
      <c r="DWF2" s="1"/>
      <c r="DWG2" s="1"/>
      <c r="DWH2" s="1"/>
      <c r="DWI2" s="1"/>
      <c r="DWJ2" s="1"/>
      <c r="DWK2" s="1"/>
      <c r="DWL2" s="1"/>
      <c r="DWM2" s="1"/>
      <c r="DWN2" s="1"/>
      <c r="DWO2" s="1"/>
      <c r="DWP2" s="1"/>
      <c r="DWQ2" s="1"/>
      <c r="DWR2" s="1"/>
      <c r="DWS2" s="1"/>
      <c r="DWT2" s="1"/>
      <c r="DWU2" s="1"/>
      <c r="DWV2" s="1"/>
      <c r="DWW2" s="1"/>
      <c r="DWX2" s="1"/>
      <c r="DWY2" s="1"/>
      <c r="DWZ2" s="1"/>
      <c r="DXA2" s="1"/>
      <c r="DXB2" s="1"/>
      <c r="DXC2" s="1"/>
      <c r="DXD2" s="1"/>
      <c r="DXE2" s="1"/>
      <c r="DXF2" s="1"/>
      <c r="DXG2" s="1"/>
      <c r="DXH2" s="1"/>
      <c r="DXI2" s="1"/>
      <c r="DXJ2" s="1"/>
      <c r="DXK2" s="1"/>
      <c r="DXL2" s="1"/>
      <c r="DXM2" s="1"/>
      <c r="DXN2" s="1"/>
      <c r="DXO2" s="1"/>
      <c r="DXP2" s="1"/>
      <c r="DXQ2" s="1"/>
      <c r="DXR2" s="1"/>
      <c r="DXS2" s="1"/>
      <c r="DXT2" s="1"/>
      <c r="DXU2" s="1"/>
      <c r="DXV2" s="1"/>
      <c r="DXW2" s="1"/>
      <c r="DXX2" s="1"/>
      <c r="DXY2" s="1"/>
      <c r="DXZ2" s="1"/>
      <c r="DYA2" s="1"/>
      <c r="DYB2" s="1"/>
      <c r="DYC2" s="1"/>
      <c r="DYD2" s="1"/>
      <c r="DYE2" s="1"/>
      <c r="DYF2" s="1"/>
      <c r="DYG2" s="1"/>
      <c r="DYH2" s="1"/>
      <c r="DYI2" s="1"/>
      <c r="DYJ2" s="1"/>
      <c r="DYK2" s="1"/>
      <c r="DYL2" s="1"/>
      <c r="DYM2" s="1"/>
      <c r="DYN2" s="1"/>
      <c r="DYO2" s="1"/>
      <c r="DYP2" s="1"/>
      <c r="DYQ2" s="1"/>
      <c r="DYR2" s="1"/>
      <c r="DYS2" s="1"/>
      <c r="DYT2" s="1"/>
      <c r="DYU2" s="1"/>
      <c r="DYV2" s="1"/>
      <c r="DYW2" s="1"/>
      <c r="DYX2" s="1"/>
      <c r="DYY2" s="1"/>
      <c r="DYZ2" s="1"/>
      <c r="DZA2" s="1"/>
      <c r="DZB2" s="1"/>
      <c r="DZC2" s="1"/>
      <c r="DZD2" s="1"/>
      <c r="DZE2" s="1"/>
      <c r="DZF2" s="1"/>
      <c r="DZG2" s="1"/>
      <c r="DZH2" s="1"/>
      <c r="DZI2" s="1"/>
      <c r="DZJ2" s="1"/>
      <c r="DZK2" s="1"/>
      <c r="DZL2" s="1"/>
      <c r="DZM2" s="1"/>
      <c r="DZN2" s="1"/>
      <c r="DZO2" s="1"/>
      <c r="DZP2" s="1"/>
      <c r="DZQ2" s="1"/>
      <c r="DZR2" s="1"/>
      <c r="DZS2" s="1"/>
      <c r="DZT2" s="1"/>
      <c r="DZU2" s="1"/>
      <c r="DZV2" s="1"/>
      <c r="DZW2" s="1"/>
      <c r="DZX2" s="1"/>
      <c r="DZY2" s="1"/>
      <c r="DZZ2" s="1"/>
      <c r="EAA2" s="1"/>
      <c r="EAB2" s="1"/>
      <c r="EAC2" s="1"/>
      <c r="EAD2" s="1"/>
      <c r="EAE2" s="1"/>
      <c r="EAF2" s="1"/>
      <c r="EAG2" s="1"/>
      <c r="EAH2" s="1"/>
      <c r="EAI2" s="1"/>
      <c r="EAJ2" s="1"/>
      <c r="EAK2" s="1"/>
      <c r="EAL2" s="1"/>
      <c r="EAM2" s="1"/>
      <c r="EAN2" s="1"/>
      <c r="EAO2" s="1"/>
      <c r="EAP2" s="1"/>
      <c r="EAQ2" s="1"/>
      <c r="EAR2" s="1"/>
      <c r="EAS2" s="1"/>
      <c r="EAT2" s="1"/>
      <c r="EAU2" s="1"/>
      <c r="EAV2" s="1"/>
      <c r="EAW2" s="1"/>
      <c r="EAX2" s="1"/>
      <c r="EAY2" s="1"/>
      <c r="EAZ2" s="1"/>
      <c r="EBA2" s="1"/>
      <c r="EBB2" s="1"/>
      <c r="EBC2" s="1"/>
      <c r="EBD2" s="1"/>
      <c r="EBE2" s="1"/>
      <c r="EBF2" s="1"/>
      <c r="EBG2" s="1"/>
      <c r="EBH2" s="1"/>
      <c r="EBI2" s="1"/>
      <c r="EBJ2" s="1"/>
      <c r="EBK2" s="1"/>
      <c r="EBL2" s="1"/>
      <c r="EBM2" s="1"/>
      <c r="EBN2" s="1"/>
      <c r="EBO2" s="1"/>
      <c r="EBP2" s="1"/>
      <c r="EBQ2" s="1"/>
      <c r="EBR2" s="1"/>
      <c r="EBS2" s="1"/>
      <c r="EBT2" s="1"/>
      <c r="EBU2" s="1"/>
      <c r="EBV2" s="1"/>
      <c r="EBW2" s="1"/>
      <c r="EBX2" s="1"/>
      <c r="EBY2" s="1"/>
      <c r="EBZ2" s="1"/>
      <c r="ECA2" s="1"/>
      <c r="ECB2" s="1"/>
      <c r="ECC2" s="1"/>
      <c r="ECD2" s="1"/>
      <c r="ECE2" s="1"/>
      <c r="ECF2" s="1"/>
      <c r="ECG2" s="1"/>
      <c r="ECH2" s="1"/>
      <c r="ECI2" s="1"/>
      <c r="ECJ2" s="1"/>
      <c r="ECK2" s="1"/>
      <c r="ECL2" s="1"/>
      <c r="ECM2" s="1"/>
      <c r="ECN2" s="1"/>
      <c r="ECO2" s="1"/>
      <c r="ECP2" s="1"/>
      <c r="ECQ2" s="1"/>
      <c r="ECR2" s="1"/>
      <c r="ECS2" s="1"/>
      <c r="ECT2" s="1"/>
      <c r="ECU2" s="1"/>
      <c r="ECV2" s="1"/>
      <c r="ECW2" s="1"/>
      <c r="ECX2" s="1"/>
      <c r="ECY2" s="1"/>
      <c r="ECZ2" s="1"/>
      <c r="EDA2" s="1"/>
      <c r="EDB2" s="1"/>
      <c r="EDC2" s="1"/>
      <c r="EDD2" s="1"/>
      <c r="EDE2" s="1"/>
      <c r="EDF2" s="1"/>
      <c r="EDG2" s="1"/>
      <c r="EDH2" s="1"/>
      <c r="EDI2" s="1"/>
      <c r="EDJ2" s="1"/>
      <c r="EDK2" s="1"/>
      <c r="EDL2" s="1"/>
      <c r="EDM2" s="1"/>
      <c r="EDN2" s="1"/>
      <c r="EDO2" s="1"/>
      <c r="EDP2" s="1"/>
      <c r="EDQ2" s="1"/>
      <c r="EDR2" s="1"/>
      <c r="EDS2" s="1"/>
      <c r="EDT2" s="1"/>
      <c r="EDU2" s="1"/>
      <c r="EDV2" s="1"/>
      <c r="EDW2" s="1"/>
      <c r="EDX2" s="1"/>
      <c r="EDY2" s="1"/>
      <c r="EDZ2" s="1"/>
      <c r="EEA2" s="1"/>
      <c r="EEB2" s="1"/>
      <c r="EEC2" s="1"/>
      <c r="EED2" s="1"/>
      <c r="EEE2" s="1"/>
      <c r="EEF2" s="1"/>
      <c r="EEG2" s="1"/>
      <c r="EEH2" s="1"/>
      <c r="EEI2" s="1"/>
      <c r="EEJ2" s="1"/>
      <c r="EEK2" s="1"/>
      <c r="EEL2" s="1"/>
      <c r="EEM2" s="1"/>
      <c r="EEN2" s="1"/>
      <c r="EEO2" s="1"/>
      <c r="EEP2" s="1"/>
      <c r="EEQ2" s="1"/>
      <c r="EER2" s="1"/>
      <c r="EES2" s="1"/>
      <c r="EET2" s="1"/>
      <c r="EEU2" s="1"/>
      <c r="EEV2" s="1"/>
      <c r="EEW2" s="1"/>
      <c r="EEX2" s="1"/>
      <c r="EEY2" s="1"/>
      <c r="EEZ2" s="1"/>
      <c r="EFA2" s="1"/>
      <c r="EFB2" s="1"/>
      <c r="EFC2" s="1"/>
      <c r="EFD2" s="1"/>
      <c r="EFE2" s="1"/>
      <c r="EFF2" s="1"/>
      <c r="EFG2" s="1"/>
      <c r="EFH2" s="1"/>
      <c r="EFI2" s="1"/>
      <c r="EFJ2" s="1"/>
      <c r="EFK2" s="1"/>
      <c r="EFL2" s="1"/>
      <c r="EFM2" s="1"/>
      <c r="EFN2" s="1"/>
      <c r="EFO2" s="1"/>
      <c r="EFP2" s="1"/>
      <c r="EFQ2" s="1"/>
      <c r="EFR2" s="1"/>
      <c r="EFS2" s="1"/>
      <c r="EFT2" s="1"/>
      <c r="EFU2" s="1"/>
      <c r="EFV2" s="1"/>
      <c r="EFW2" s="1"/>
      <c r="EFX2" s="1"/>
      <c r="EFY2" s="1"/>
      <c r="EFZ2" s="1"/>
      <c r="EGA2" s="1"/>
      <c r="EGB2" s="1"/>
      <c r="EGC2" s="1"/>
      <c r="EGD2" s="1"/>
      <c r="EGE2" s="1"/>
      <c r="EGF2" s="1"/>
      <c r="EGG2" s="1"/>
      <c r="EGH2" s="1"/>
      <c r="EGI2" s="1"/>
      <c r="EGJ2" s="1"/>
      <c r="EGK2" s="1"/>
      <c r="EGL2" s="1"/>
      <c r="EGM2" s="1"/>
      <c r="EGN2" s="1"/>
      <c r="EGO2" s="1"/>
      <c r="EGP2" s="1"/>
      <c r="EGQ2" s="1"/>
      <c r="EGR2" s="1"/>
      <c r="EGS2" s="1"/>
      <c r="EGT2" s="1"/>
      <c r="EGU2" s="1"/>
      <c r="EGV2" s="1"/>
      <c r="EGW2" s="1"/>
      <c r="EGX2" s="1"/>
      <c r="EGY2" s="1"/>
      <c r="EGZ2" s="1"/>
      <c r="EHA2" s="1"/>
      <c r="EHB2" s="1"/>
      <c r="EHC2" s="1"/>
      <c r="EHD2" s="1"/>
      <c r="EHE2" s="1"/>
      <c r="EHF2" s="1"/>
      <c r="EHG2" s="1"/>
      <c r="EHH2" s="1"/>
      <c r="EHI2" s="1"/>
      <c r="EHJ2" s="1"/>
      <c r="EHK2" s="1"/>
      <c r="EHL2" s="1"/>
      <c r="EHM2" s="1"/>
      <c r="EHN2" s="1"/>
      <c r="EHO2" s="1"/>
      <c r="EHP2" s="1"/>
      <c r="EHQ2" s="1"/>
      <c r="EHR2" s="1"/>
      <c r="EHS2" s="1"/>
      <c r="EHT2" s="1"/>
      <c r="EHU2" s="1"/>
      <c r="EHV2" s="1"/>
      <c r="EHW2" s="1"/>
      <c r="EHX2" s="1"/>
      <c r="EHY2" s="1"/>
      <c r="EHZ2" s="1"/>
      <c r="EIA2" s="1"/>
      <c r="EIB2" s="1"/>
      <c r="EIC2" s="1"/>
      <c r="EID2" s="1"/>
      <c r="EIE2" s="1"/>
      <c r="EIF2" s="1"/>
      <c r="EIG2" s="1"/>
      <c r="EIH2" s="1"/>
      <c r="EII2" s="1"/>
      <c r="EIJ2" s="1"/>
      <c r="EIK2" s="1"/>
      <c r="EIL2" s="1"/>
      <c r="EIM2" s="1"/>
      <c r="EIN2" s="1"/>
      <c r="EIO2" s="1"/>
      <c r="EIP2" s="1"/>
      <c r="EIQ2" s="1"/>
      <c r="EIR2" s="1"/>
      <c r="EIS2" s="1"/>
      <c r="EIT2" s="1"/>
      <c r="EIU2" s="1"/>
      <c r="EIV2" s="1"/>
      <c r="EIW2" s="1"/>
      <c r="EIX2" s="1"/>
      <c r="EIY2" s="1"/>
      <c r="EIZ2" s="1"/>
      <c r="EJA2" s="1"/>
      <c r="EJB2" s="1"/>
      <c r="EJC2" s="1"/>
      <c r="EJD2" s="1"/>
      <c r="EJE2" s="1"/>
      <c r="EJF2" s="1"/>
      <c r="EJG2" s="1"/>
      <c r="EJH2" s="1"/>
      <c r="EJI2" s="1"/>
      <c r="EJJ2" s="1"/>
      <c r="EJK2" s="1"/>
      <c r="EJL2" s="1"/>
      <c r="EJM2" s="1"/>
      <c r="EJN2" s="1"/>
      <c r="EJO2" s="1"/>
      <c r="EJP2" s="1"/>
      <c r="EJQ2" s="1"/>
      <c r="EJR2" s="1"/>
      <c r="EJS2" s="1"/>
      <c r="EJT2" s="1"/>
      <c r="EJU2" s="1"/>
      <c r="EJV2" s="1"/>
      <c r="EJW2" s="1"/>
      <c r="EJX2" s="1"/>
      <c r="EJY2" s="1"/>
      <c r="EJZ2" s="1"/>
      <c r="EKA2" s="1"/>
      <c r="EKB2" s="1"/>
      <c r="EKC2" s="1"/>
      <c r="EKD2" s="1"/>
      <c r="EKE2" s="1"/>
      <c r="EKF2" s="1"/>
      <c r="EKG2" s="1"/>
      <c r="EKH2" s="1"/>
      <c r="EKI2" s="1"/>
      <c r="EKJ2" s="1"/>
      <c r="EKK2" s="1"/>
      <c r="EKL2" s="1"/>
      <c r="EKM2" s="1"/>
      <c r="EKN2" s="1"/>
      <c r="EKO2" s="1"/>
      <c r="EKP2" s="1"/>
      <c r="EKQ2" s="1"/>
      <c r="EKR2" s="1"/>
      <c r="EKS2" s="1"/>
      <c r="EKT2" s="1"/>
      <c r="EKU2" s="1"/>
      <c r="EKV2" s="1"/>
      <c r="EKW2" s="1"/>
      <c r="EKX2" s="1"/>
      <c r="EKY2" s="1"/>
      <c r="EKZ2" s="1"/>
      <c r="ELA2" s="1"/>
      <c r="ELB2" s="1"/>
      <c r="ELC2" s="1"/>
      <c r="ELD2" s="1"/>
      <c r="ELE2" s="1"/>
      <c r="ELF2" s="1"/>
      <c r="ELG2" s="1"/>
      <c r="ELH2" s="1"/>
      <c r="ELI2" s="1"/>
      <c r="ELJ2" s="1"/>
      <c r="ELK2" s="1"/>
      <c r="ELL2" s="1"/>
      <c r="ELM2" s="1"/>
      <c r="ELN2" s="1"/>
      <c r="ELO2" s="1"/>
      <c r="ELP2" s="1"/>
      <c r="ELQ2" s="1"/>
      <c r="ELR2" s="1"/>
      <c r="ELS2" s="1"/>
      <c r="ELT2" s="1"/>
      <c r="ELU2" s="1"/>
      <c r="ELV2" s="1"/>
      <c r="ELW2" s="1"/>
      <c r="ELX2" s="1"/>
      <c r="ELY2" s="1"/>
      <c r="ELZ2" s="1"/>
      <c r="EMA2" s="1"/>
      <c r="EMB2" s="1"/>
      <c r="EMC2" s="1"/>
      <c r="EMD2" s="1"/>
      <c r="EME2" s="1"/>
      <c r="EMF2" s="1"/>
      <c r="EMG2" s="1"/>
      <c r="EMH2" s="1"/>
      <c r="EMI2" s="1"/>
      <c r="EMJ2" s="1"/>
      <c r="EMK2" s="1"/>
      <c r="EML2" s="1"/>
      <c r="EMM2" s="1"/>
      <c r="EMN2" s="1"/>
      <c r="EMO2" s="1"/>
      <c r="EMP2" s="1"/>
      <c r="EMQ2" s="1"/>
      <c r="EMR2" s="1"/>
      <c r="EMS2" s="1"/>
      <c r="EMT2" s="1"/>
      <c r="EMU2" s="1"/>
      <c r="EMV2" s="1"/>
      <c r="EMW2" s="1"/>
      <c r="EMX2" s="1"/>
      <c r="EMY2" s="1"/>
      <c r="EMZ2" s="1"/>
      <c r="ENA2" s="1"/>
      <c r="ENB2" s="1"/>
      <c r="ENC2" s="1"/>
      <c r="END2" s="1"/>
      <c r="ENE2" s="1"/>
      <c r="ENF2" s="1"/>
      <c r="ENG2" s="1"/>
      <c r="ENH2" s="1"/>
      <c r="ENI2" s="1"/>
      <c r="ENJ2" s="1"/>
      <c r="ENK2" s="1"/>
      <c r="ENL2" s="1"/>
      <c r="ENM2" s="1"/>
      <c r="ENN2" s="1"/>
      <c r="ENO2" s="1"/>
      <c r="ENP2" s="1"/>
      <c r="ENQ2" s="1"/>
      <c r="ENR2" s="1"/>
      <c r="ENS2" s="1"/>
      <c r="ENT2" s="1"/>
      <c r="ENU2" s="1"/>
      <c r="ENV2" s="1"/>
      <c r="ENW2" s="1"/>
      <c r="ENX2" s="1"/>
      <c r="ENY2" s="1"/>
      <c r="ENZ2" s="1"/>
      <c r="EOA2" s="1"/>
      <c r="EOB2" s="1"/>
      <c r="EOC2" s="1"/>
      <c r="EOD2" s="1"/>
      <c r="EOE2" s="1"/>
      <c r="EOF2" s="1"/>
      <c r="EOG2" s="1"/>
      <c r="EOH2" s="1"/>
      <c r="EOI2" s="1"/>
      <c r="EOJ2" s="1"/>
      <c r="EOK2" s="1"/>
      <c r="EOL2" s="1"/>
      <c r="EOM2" s="1"/>
      <c r="EON2" s="1"/>
      <c r="EOO2" s="1"/>
      <c r="EOP2" s="1"/>
      <c r="EOQ2" s="1"/>
      <c r="EOR2" s="1"/>
      <c r="EOS2" s="1"/>
      <c r="EOT2" s="1"/>
      <c r="EOU2" s="1"/>
      <c r="EOV2" s="1"/>
      <c r="EOW2" s="1"/>
      <c r="EOX2" s="1"/>
      <c r="EOY2" s="1"/>
      <c r="EOZ2" s="1"/>
      <c r="EPA2" s="1"/>
      <c r="EPB2" s="1"/>
      <c r="EPC2" s="1"/>
      <c r="EPD2" s="1"/>
      <c r="EPE2" s="1"/>
      <c r="EPF2" s="1"/>
      <c r="EPG2" s="1"/>
      <c r="EPH2" s="1"/>
      <c r="EPI2" s="1"/>
      <c r="EPJ2" s="1"/>
      <c r="EPK2" s="1"/>
      <c r="EPL2" s="1"/>
      <c r="EPM2" s="1"/>
      <c r="EPN2" s="1"/>
      <c r="EPO2" s="1"/>
      <c r="EPP2" s="1"/>
      <c r="EPQ2" s="1"/>
      <c r="EPR2" s="1"/>
      <c r="EPS2" s="1"/>
      <c r="EPT2" s="1"/>
      <c r="EPU2" s="1"/>
      <c r="EPV2" s="1"/>
      <c r="EPW2" s="1"/>
      <c r="EPX2" s="1"/>
      <c r="EPY2" s="1"/>
      <c r="EPZ2" s="1"/>
      <c r="EQA2" s="1"/>
      <c r="EQB2" s="1"/>
      <c r="EQC2" s="1"/>
      <c r="EQD2" s="1"/>
      <c r="EQE2" s="1"/>
      <c r="EQF2" s="1"/>
      <c r="EQG2" s="1"/>
      <c r="EQH2" s="1"/>
      <c r="EQI2" s="1"/>
      <c r="EQJ2" s="1"/>
      <c r="EQK2" s="1"/>
      <c r="EQL2" s="1"/>
      <c r="EQM2" s="1"/>
      <c r="EQN2" s="1"/>
      <c r="EQO2" s="1"/>
      <c r="EQP2" s="1"/>
      <c r="EQQ2" s="1"/>
      <c r="EQR2" s="1"/>
      <c r="EQS2" s="1"/>
      <c r="EQT2" s="1"/>
      <c r="EQU2" s="1"/>
      <c r="EQV2" s="1"/>
      <c r="EQW2" s="1"/>
      <c r="EQX2" s="1"/>
      <c r="EQY2" s="1"/>
      <c r="EQZ2" s="1"/>
      <c r="ERA2" s="1"/>
      <c r="ERB2" s="1"/>
      <c r="ERC2" s="1"/>
      <c r="ERD2" s="1"/>
      <c r="ERE2" s="1"/>
      <c r="ERF2" s="1"/>
      <c r="ERG2" s="1"/>
      <c r="ERH2" s="1"/>
      <c r="ERI2" s="1"/>
      <c r="ERJ2" s="1"/>
      <c r="ERK2" s="1"/>
      <c r="ERL2" s="1"/>
      <c r="ERM2" s="1"/>
      <c r="ERN2" s="1"/>
      <c r="ERO2" s="1"/>
      <c r="ERP2" s="1"/>
      <c r="ERQ2" s="1"/>
      <c r="ERR2" s="1"/>
      <c r="ERS2" s="1"/>
      <c r="ERT2" s="1"/>
      <c r="ERU2" s="1"/>
      <c r="ERV2" s="1"/>
      <c r="ERW2" s="1"/>
      <c r="ERX2" s="1"/>
      <c r="ERY2" s="1"/>
      <c r="ERZ2" s="1"/>
      <c r="ESA2" s="1"/>
      <c r="ESB2" s="1"/>
      <c r="ESC2" s="1"/>
      <c r="ESD2" s="1"/>
      <c r="ESE2" s="1"/>
      <c r="ESF2" s="1"/>
      <c r="ESG2" s="1"/>
      <c r="ESH2" s="1"/>
      <c r="ESI2" s="1"/>
      <c r="ESJ2" s="1"/>
      <c r="ESK2" s="1"/>
      <c r="ESL2" s="1"/>
      <c r="ESM2" s="1"/>
      <c r="ESN2" s="1"/>
      <c r="ESO2" s="1"/>
      <c r="ESP2" s="1"/>
      <c r="ESQ2" s="1"/>
      <c r="ESR2" s="1"/>
      <c r="ESS2" s="1"/>
      <c r="EST2" s="1"/>
      <c r="ESU2" s="1"/>
      <c r="ESV2" s="1"/>
      <c r="ESW2" s="1"/>
      <c r="ESX2" s="1"/>
      <c r="ESY2" s="1"/>
      <c r="ESZ2" s="1"/>
      <c r="ETA2" s="1"/>
      <c r="ETB2" s="1"/>
      <c r="ETC2" s="1"/>
      <c r="ETD2" s="1"/>
      <c r="ETE2" s="1"/>
      <c r="ETF2" s="1"/>
      <c r="ETG2" s="1"/>
      <c r="ETH2" s="1"/>
      <c r="ETI2" s="1"/>
      <c r="ETJ2" s="1"/>
      <c r="ETK2" s="1"/>
      <c r="ETL2" s="1"/>
      <c r="ETM2" s="1"/>
      <c r="ETN2" s="1"/>
      <c r="ETO2" s="1"/>
      <c r="ETP2" s="1"/>
      <c r="ETQ2" s="1"/>
      <c r="ETR2" s="1"/>
      <c r="ETS2" s="1"/>
      <c r="ETT2" s="1"/>
      <c r="ETU2" s="1"/>
      <c r="ETV2" s="1"/>
      <c r="ETW2" s="1"/>
      <c r="ETX2" s="1"/>
      <c r="ETY2" s="1"/>
      <c r="ETZ2" s="1"/>
      <c r="EUA2" s="1"/>
      <c r="EUB2" s="1"/>
      <c r="EUC2" s="1"/>
      <c r="EUD2" s="1"/>
      <c r="EUE2" s="1"/>
      <c r="EUF2" s="1"/>
      <c r="EUG2" s="1"/>
      <c r="EUH2" s="1"/>
      <c r="EUI2" s="1"/>
      <c r="EUJ2" s="1"/>
      <c r="EUK2" s="1"/>
      <c r="EUL2" s="1"/>
      <c r="EUM2" s="1"/>
      <c r="EUN2" s="1"/>
      <c r="EUO2" s="1"/>
      <c r="EUP2" s="1"/>
      <c r="EUQ2" s="1"/>
      <c r="EUR2" s="1"/>
      <c r="EUS2" s="1"/>
      <c r="EUT2" s="1"/>
      <c r="EUU2" s="1"/>
      <c r="EUV2" s="1"/>
      <c r="EUW2" s="1"/>
      <c r="EUX2" s="1"/>
      <c r="EUY2" s="1"/>
      <c r="EUZ2" s="1"/>
      <c r="EVA2" s="1"/>
      <c r="EVB2" s="1"/>
      <c r="EVC2" s="1"/>
      <c r="EVD2" s="1"/>
      <c r="EVE2" s="1"/>
      <c r="EVF2" s="1"/>
      <c r="EVG2" s="1"/>
      <c r="EVH2" s="1"/>
      <c r="EVI2" s="1"/>
      <c r="EVJ2" s="1"/>
      <c r="EVK2" s="1"/>
      <c r="EVL2" s="1"/>
      <c r="EVM2" s="1"/>
      <c r="EVN2" s="1"/>
      <c r="EVO2" s="1"/>
      <c r="EVP2" s="1"/>
      <c r="EVQ2" s="1"/>
      <c r="EVR2" s="1"/>
      <c r="EVS2" s="1"/>
      <c r="EVT2" s="1"/>
      <c r="EVU2" s="1"/>
      <c r="EVV2" s="1"/>
      <c r="EVW2" s="1"/>
      <c r="EVX2" s="1"/>
      <c r="EVY2" s="1"/>
      <c r="EVZ2" s="1"/>
      <c r="EWA2" s="1"/>
      <c r="EWB2" s="1"/>
      <c r="EWC2" s="1"/>
      <c r="EWD2" s="1"/>
      <c r="EWE2" s="1"/>
      <c r="EWF2" s="1"/>
      <c r="EWG2" s="1"/>
      <c r="EWH2" s="1"/>
      <c r="EWI2" s="1"/>
      <c r="EWJ2" s="1"/>
      <c r="EWK2" s="1"/>
      <c r="EWL2" s="1"/>
      <c r="EWM2" s="1"/>
      <c r="EWN2" s="1"/>
      <c r="EWO2" s="1"/>
      <c r="EWP2" s="1"/>
      <c r="EWQ2" s="1"/>
      <c r="EWR2" s="1"/>
      <c r="EWS2" s="1"/>
      <c r="EWT2" s="1"/>
      <c r="EWU2" s="1"/>
      <c r="EWV2" s="1"/>
      <c r="EWW2" s="1"/>
      <c r="EWX2" s="1"/>
      <c r="EWY2" s="1"/>
      <c r="EWZ2" s="1"/>
      <c r="EXA2" s="1"/>
      <c r="EXB2" s="1"/>
      <c r="EXC2" s="1"/>
      <c r="EXD2" s="1"/>
      <c r="EXE2" s="1"/>
      <c r="EXF2" s="1"/>
      <c r="EXG2" s="1"/>
      <c r="EXH2" s="1"/>
      <c r="EXI2" s="1"/>
      <c r="EXJ2" s="1"/>
      <c r="EXK2" s="1"/>
      <c r="EXL2" s="1"/>
      <c r="EXM2" s="1"/>
      <c r="EXN2" s="1"/>
      <c r="EXO2" s="1"/>
      <c r="EXP2" s="1"/>
      <c r="EXQ2" s="1"/>
      <c r="EXR2" s="1"/>
      <c r="EXS2" s="1"/>
      <c r="EXT2" s="1"/>
      <c r="EXU2" s="1"/>
      <c r="EXV2" s="1"/>
      <c r="EXW2" s="1"/>
      <c r="EXX2" s="1"/>
      <c r="EXY2" s="1"/>
      <c r="EXZ2" s="1"/>
      <c r="EYA2" s="1"/>
      <c r="EYB2" s="1"/>
      <c r="EYC2" s="1"/>
      <c r="EYD2" s="1"/>
      <c r="EYE2" s="1"/>
      <c r="EYF2" s="1"/>
      <c r="EYG2" s="1"/>
      <c r="EYH2" s="1"/>
      <c r="EYI2" s="1"/>
      <c r="EYJ2" s="1"/>
      <c r="EYK2" s="1"/>
      <c r="EYL2" s="1"/>
      <c r="EYM2" s="1"/>
      <c r="EYN2" s="1"/>
      <c r="EYO2" s="1"/>
      <c r="EYP2" s="1"/>
      <c r="EYQ2" s="1"/>
      <c r="EYR2" s="1"/>
      <c r="EYS2" s="1"/>
      <c r="EYT2" s="1"/>
      <c r="EYU2" s="1"/>
      <c r="EYV2" s="1"/>
      <c r="EYW2" s="1"/>
      <c r="EYX2" s="1"/>
      <c r="EYY2" s="1"/>
      <c r="EYZ2" s="1"/>
      <c r="EZA2" s="1"/>
      <c r="EZB2" s="1"/>
      <c r="EZC2" s="1"/>
      <c r="EZD2" s="1"/>
      <c r="EZE2" s="1"/>
      <c r="EZF2" s="1"/>
      <c r="EZG2" s="1"/>
      <c r="EZH2" s="1"/>
      <c r="EZI2" s="1"/>
      <c r="EZJ2" s="1"/>
      <c r="EZK2" s="1"/>
      <c r="EZL2" s="1"/>
      <c r="EZM2" s="1"/>
      <c r="EZN2" s="1"/>
      <c r="EZO2" s="1"/>
      <c r="EZP2" s="1"/>
      <c r="EZQ2" s="1"/>
      <c r="EZR2" s="1"/>
      <c r="EZS2" s="1"/>
      <c r="EZT2" s="1"/>
      <c r="EZU2" s="1"/>
      <c r="EZV2" s="1"/>
      <c r="EZW2" s="1"/>
      <c r="EZX2" s="1"/>
      <c r="EZY2" s="1"/>
      <c r="EZZ2" s="1"/>
      <c r="FAA2" s="1"/>
      <c r="FAB2" s="1"/>
      <c r="FAC2" s="1"/>
      <c r="FAD2" s="1"/>
      <c r="FAE2" s="1"/>
      <c r="FAF2" s="1"/>
      <c r="FAG2" s="1"/>
      <c r="FAH2" s="1"/>
      <c r="FAI2" s="1"/>
      <c r="FAJ2" s="1"/>
      <c r="FAK2" s="1"/>
      <c r="FAL2" s="1"/>
      <c r="FAM2" s="1"/>
      <c r="FAN2" s="1"/>
      <c r="FAO2" s="1"/>
      <c r="FAP2" s="1"/>
      <c r="FAQ2" s="1"/>
      <c r="FAR2" s="1"/>
      <c r="FAS2" s="1"/>
      <c r="FAT2" s="1"/>
      <c r="FAU2" s="1"/>
      <c r="FAV2" s="1"/>
      <c r="FAW2" s="1"/>
      <c r="FAX2" s="1"/>
      <c r="FAY2" s="1"/>
      <c r="FAZ2" s="1"/>
      <c r="FBA2" s="1"/>
      <c r="FBB2" s="1"/>
      <c r="FBC2" s="1"/>
      <c r="FBD2" s="1"/>
      <c r="FBE2" s="1"/>
      <c r="FBF2" s="1"/>
      <c r="FBG2" s="1"/>
      <c r="FBH2" s="1"/>
      <c r="FBI2" s="1"/>
      <c r="FBJ2" s="1"/>
      <c r="FBK2" s="1"/>
      <c r="FBL2" s="1"/>
      <c r="FBM2" s="1"/>
      <c r="FBN2" s="1"/>
      <c r="FBO2" s="1"/>
      <c r="FBP2" s="1"/>
      <c r="FBQ2" s="1"/>
      <c r="FBR2" s="1"/>
      <c r="FBS2" s="1"/>
      <c r="FBT2" s="1"/>
      <c r="FBU2" s="1"/>
      <c r="FBV2" s="1"/>
      <c r="FBW2" s="1"/>
      <c r="FBX2" s="1"/>
      <c r="FBY2" s="1"/>
      <c r="FBZ2" s="1"/>
      <c r="FCA2" s="1"/>
      <c r="FCB2" s="1"/>
      <c r="FCC2" s="1"/>
      <c r="FCD2" s="1"/>
      <c r="FCE2" s="1"/>
      <c r="FCF2" s="1"/>
      <c r="FCG2" s="1"/>
      <c r="FCH2" s="1"/>
      <c r="FCI2" s="1"/>
      <c r="FCJ2" s="1"/>
      <c r="FCK2" s="1"/>
      <c r="FCL2" s="1"/>
      <c r="FCM2" s="1"/>
      <c r="FCN2" s="1"/>
      <c r="FCO2" s="1"/>
      <c r="FCP2" s="1"/>
      <c r="FCQ2" s="1"/>
      <c r="FCR2" s="1"/>
      <c r="FCS2" s="1"/>
      <c r="FCT2" s="1"/>
      <c r="FCU2" s="1"/>
      <c r="FCV2" s="1"/>
      <c r="FCW2" s="1"/>
      <c r="FCX2" s="1"/>
      <c r="FCY2" s="1"/>
      <c r="FCZ2" s="1"/>
      <c r="FDA2" s="1"/>
      <c r="FDB2" s="1"/>
      <c r="FDC2" s="1"/>
      <c r="FDD2" s="1"/>
      <c r="FDE2" s="1"/>
      <c r="FDF2" s="1"/>
      <c r="FDG2" s="1"/>
      <c r="FDH2" s="1"/>
      <c r="FDI2" s="1"/>
      <c r="FDJ2" s="1"/>
      <c r="FDK2" s="1"/>
      <c r="FDL2" s="1"/>
      <c r="FDM2" s="1"/>
      <c r="FDN2" s="1"/>
      <c r="FDO2" s="1"/>
      <c r="FDP2" s="1"/>
      <c r="FDQ2" s="1"/>
      <c r="FDR2" s="1"/>
      <c r="FDS2" s="1"/>
      <c r="FDT2" s="1"/>
      <c r="FDU2" s="1"/>
      <c r="FDV2" s="1"/>
      <c r="FDW2" s="1"/>
      <c r="FDX2" s="1"/>
      <c r="FDY2" s="1"/>
      <c r="FDZ2" s="1"/>
      <c r="FEA2" s="1"/>
      <c r="FEB2" s="1"/>
      <c r="FEC2" s="1"/>
      <c r="FED2" s="1"/>
      <c r="FEE2" s="1"/>
      <c r="FEF2" s="1"/>
      <c r="FEG2" s="1"/>
      <c r="FEH2" s="1"/>
      <c r="FEI2" s="1"/>
      <c r="FEJ2" s="1"/>
      <c r="FEK2" s="1"/>
      <c r="FEL2" s="1"/>
      <c r="FEM2" s="1"/>
      <c r="FEN2" s="1"/>
      <c r="FEO2" s="1"/>
      <c r="FEP2" s="1"/>
      <c r="FEQ2" s="1"/>
      <c r="FER2" s="1"/>
      <c r="FES2" s="1"/>
      <c r="FET2" s="1"/>
      <c r="FEU2" s="1"/>
      <c r="FEV2" s="1"/>
      <c r="FEW2" s="1"/>
      <c r="FEX2" s="1"/>
      <c r="FEY2" s="1"/>
      <c r="FEZ2" s="1"/>
      <c r="FFA2" s="1"/>
      <c r="FFB2" s="1"/>
      <c r="FFC2" s="1"/>
      <c r="FFD2" s="1"/>
      <c r="FFE2" s="1"/>
      <c r="FFF2" s="1"/>
      <c r="FFG2" s="1"/>
      <c r="FFH2" s="1"/>
      <c r="FFI2" s="1"/>
      <c r="FFJ2" s="1"/>
      <c r="FFK2" s="1"/>
      <c r="FFL2" s="1"/>
      <c r="FFM2" s="1"/>
      <c r="FFN2" s="1"/>
      <c r="FFO2" s="1"/>
      <c r="FFP2" s="1"/>
      <c r="FFQ2" s="1"/>
      <c r="FFR2" s="1"/>
      <c r="FFS2" s="1"/>
      <c r="FFT2" s="1"/>
      <c r="FFU2" s="1"/>
      <c r="FFV2" s="1"/>
      <c r="FFW2" s="1"/>
      <c r="FFX2" s="1"/>
      <c r="FFY2" s="1"/>
      <c r="FFZ2" s="1"/>
      <c r="FGA2" s="1"/>
      <c r="FGB2" s="1"/>
      <c r="FGC2" s="1"/>
      <c r="FGD2" s="1"/>
      <c r="FGE2" s="1"/>
      <c r="FGF2" s="1"/>
      <c r="FGG2" s="1"/>
      <c r="FGH2" s="1"/>
      <c r="FGI2" s="1"/>
      <c r="FGJ2" s="1"/>
      <c r="FGK2" s="1"/>
      <c r="FGL2" s="1"/>
      <c r="FGM2" s="1"/>
      <c r="FGN2" s="1"/>
      <c r="FGO2" s="1"/>
      <c r="FGP2" s="1"/>
      <c r="FGQ2" s="1"/>
      <c r="FGR2" s="1"/>
      <c r="FGS2" s="1"/>
      <c r="FGT2" s="1"/>
      <c r="FGU2" s="1"/>
      <c r="FGV2" s="1"/>
      <c r="FGW2" s="1"/>
      <c r="FGX2" s="1"/>
      <c r="FGY2" s="1"/>
      <c r="FGZ2" s="1"/>
      <c r="FHA2" s="1"/>
      <c r="FHB2" s="1"/>
      <c r="FHC2" s="1"/>
      <c r="FHD2" s="1"/>
      <c r="FHE2" s="1"/>
      <c r="FHF2" s="1"/>
      <c r="FHG2" s="1"/>
      <c r="FHH2" s="1"/>
      <c r="FHI2" s="1"/>
      <c r="FHJ2" s="1"/>
      <c r="FHK2" s="1"/>
      <c r="FHL2" s="1"/>
      <c r="FHM2" s="1"/>
      <c r="FHN2" s="1"/>
      <c r="FHO2" s="1"/>
      <c r="FHP2" s="1"/>
      <c r="FHQ2" s="1"/>
      <c r="FHR2" s="1"/>
      <c r="FHS2" s="1"/>
      <c r="FHT2" s="1"/>
      <c r="FHU2" s="1"/>
      <c r="FHV2" s="1"/>
      <c r="FHW2" s="1"/>
      <c r="FHX2" s="1"/>
      <c r="FHY2" s="1"/>
      <c r="FHZ2" s="1"/>
      <c r="FIA2" s="1"/>
      <c r="FIB2" s="1"/>
      <c r="FIC2" s="1"/>
      <c r="FID2" s="1"/>
      <c r="FIE2" s="1"/>
      <c r="FIF2" s="1"/>
      <c r="FIG2" s="1"/>
      <c r="FIH2" s="1"/>
      <c r="FII2" s="1"/>
      <c r="FIJ2" s="1"/>
      <c r="FIK2" s="1"/>
      <c r="FIL2" s="1"/>
      <c r="FIM2" s="1"/>
      <c r="FIN2" s="1"/>
      <c r="FIO2" s="1"/>
      <c r="FIP2" s="1"/>
      <c r="FIQ2" s="1"/>
      <c r="FIR2" s="1"/>
      <c r="FIS2" s="1"/>
      <c r="FIT2" s="1"/>
      <c r="FIU2" s="1"/>
      <c r="FIV2" s="1"/>
      <c r="FIW2" s="1"/>
      <c r="FIX2" s="1"/>
      <c r="FIY2" s="1"/>
      <c r="FIZ2" s="1"/>
      <c r="FJA2" s="1"/>
      <c r="FJB2" s="1"/>
      <c r="FJC2" s="1"/>
      <c r="FJD2" s="1"/>
      <c r="FJE2" s="1"/>
      <c r="FJF2" s="1"/>
      <c r="FJG2" s="1"/>
      <c r="FJH2" s="1"/>
      <c r="FJI2" s="1"/>
      <c r="FJJ2" s="1"/>
      <c r="FJK2" s="1"/>
      <c r="FJL2" s="1"/>
      <c r="FJM2" s="1"/>
      <c r="FJN2" s="1"/>
      <c r="FJO2" s="1"/>
      <c r="FJP2" s="1"/>
      <c r="FJQ2" s="1"/>
      <c r="FJR2" s="1"/>
      <c r="FJS2" s="1"/>
      <c r="FJT2" s="1"/>
      <c r="FJU2" s="1"/>
      <c r="FJV2" s="1"/>
      <c r="FJW2" s="1"/>
      <c r="FJX2" s="1"/>
      <c r="FJY2" s="1"/>
      <c r="FJZ2" s="1"/>
      <c r="FKA2" s="1"/>
      <c r="FKB2" s="1"/>
      <c r="FKC2" s="1"/>
      <c r="FKD2" s="1"/>
      <c r="FKE2" s="1"/>
      <c r="FKF2" s="1"/>
      <c r="FKG2" s="1"/>
      <c r="FKH2" s="1"/>
      <c r="FKI2" s="1"/>
      <c r="FKJ2" s="1"/>
      <c r="FKK2" s="1"/>
      <c r="FKL2" s="1"/>
      <c r="FKM2" s="1"/>
      <c r="FKN2" s="1"/>
      <c r="FKO2" s="1"/>
      <c r="FKP2" s="1"/>
      <c r="FKQ2" s="1"/>
      <c r="FKR2" s="1"/>
      <c r="FKS2" s="1"/>
      <c r="FKT2" s="1"/>
      <c r="FKU2" s="1"/>
      <c r="FKV2" s="1"/>
      <c r="FKW2" s="1"/>
      <c r="FKX2" s="1"/>
      <c r="FKY2" s="1"/>
      <c r="FKZ2" s="1"/>
      <c r="FLA2" s="1"/>
      <c r="FLB2" s="1"/>
      <c r="FLC2" s="1"/>
      <c r="FLD2" s="1"/>
      <c r="FLE2" s="1"/>
      <c r="FLF2" s="1"/>
      <c r="FLG2" s="1"/>
      <c r="FLH2" s="1"/>
      <c r="FLI2" s="1"/>
      <c r="FLJ2" s="1"/>
      <c r="FLK2" s="1"/>
      <c r="FLL2" s="1"/>
      <c r="FLM2" s="1"/>
      <c r="FLN2" s="1"/>
      <c r="FLO2" s="1"/>
      <c r="FLP2" s="1"/>
      <c r="FLQ2" s="1"/>
      <c r="FLR2" s="1"/>
      <c r="FLS2" s="1"/>
      <c r="FLT2" s="1"/>
      <c r="FLU2" s="1"/>
      <c r="FLV2" s="1"/>
      <c r="FLW2" s="1"/>
      <c r="FLX2" s="1"/>
      <c r="FLY2" s="1"/>
      <c r="FLZ2" s="1"/>
      <c r="FMA2" s="1"/>
      <c r="FMB2" s="1"/>
      <c r="FMC2" s="1"/>
      <c r="FMD2" s="1"/>
      <c r="FME2" s="1"/>
      <c r="FMF2" s="1"/>
      <c r="FMG2" s="1"/>
      <c r="FMH2" s="1"/>
      <c r="FMI2" s="1"/>
      <c r="FMJ2" s="1"/>
      <c r="FMK2" s="1"/>
      <c r="FML2" s="1"/>
      <c r="FMM2" s="1"/>
      <c r="FMN2" s="1"/>
      <c r="FMO2" s="1"/>
      <c r="FMP2" s="1"/>
      <c r="FMQ2" s="1"/>
      <c r="FMR2" s="1"/>
      <c r="FMS2" s="1"/>
      <c r="FMT2" s="1"/>
      <c r="FMU2" s="1"/>
      <c r="FMV2" s="1"/>
      <c r="FMW2" s="1"/>
      <c r="FMX2" s="1"/>
      <c r="FMY2" s="1"/>
      <c r="FMZ2" s="1"/>
      <c r="FNA2" s="1"/>
      <c r="FNB2" s="1"/>
      <c r="FNC2" s="1"/>
      <c r="FND2" s="1"/>
      <c r="FNE2" s="1"/>
      <c r="FNF2" s="1"/>
      <c r="FNG2" s="1"/>
      <c r="FNH2" s="1"/>
      <c r="FNI2" s="1"/>
      <c r="FNJ2" s="1"/>
      <c r="FNK2" s="1"/>
      <c r="FNL2" s="1"/>
      <c r="FNM2" s="1"/>
      <c r="FNN2" s="1"/>
      <c r="FNO2" s="1"/>
      <c r="FNP2" s="1"/>
      <c r="FNQ2" s="1"/>
      <c r="FNR2" s="1"/>
      <c r="FNS2" s="1"/>
      <c r="FNT2" s="1"/>
      <c r="FNU2" s="1"/>
      <c r="FNV2" s="1"/>
      <c r="FNW2" s="1"/>
      <c r="FNX2" s="1"/>
      <c r="FNY2" s="1"/>
      <c r="FNZ2" s="1"/>
      <c r="FOA2" s="1"/>
      <c r="FOB2" s="1"/>
      <c r="FOC2" s="1"/>
      <c r="FOD2" s="1"/>
      <c r="FOE2" s="1"/>
      <c r="FOF2" s="1"/>
      <c r="FOG2" s="1"/>
      <c r="FOH2" s="1"/>
      <c r="FOI2" s="1"/>
      <c r="FOJ2" s="1"/>
      <c r="FOK2" s="1"/>
      <c r="FOL2" s="1"/>
      <c r="FOM2" s="1"/>
      <c r="FON2" s="1"/>
      <c r="FOO2" s="1"/>
      <c r="FOP2" s="1"/>
      <c r="FOQ2" s="1"/>
      <c r="FOR2" s="1"/>
      <c r="FOS2" s="1"/>
      <c r="FOT2" s="1"/>
      <c r="FOU2" s="1"/>
      <c r="FOV2" s="1"/>
      <c r="FOW2" s="1"/>
      <c r="FOX2" s="1"/>
      <c r="FOY2" s="1"/>
      <c r="FOZ2" s="1"/>
      <c r="FPA2" s="1"/>
      <c r="FPB2" s="1"/>
      <c r="FPC2" s="1"/>
      <c r="FPD2" s="1"/>
      <c r="FPE2" s="1"/>
      <c r="FPF2" s="1"/>
      <c r="FPG2" s="1"/>
      <c r="FPH2" s="1"/>
      <c r="FPI2" s="1"/>
      <c r="FPJ2" s="1"/>
      <c r="FPK2" s="1"/>
      <c r="FPL2" s="1"/>
      <c r="FPM2" s="1"/>
      <c r="FPN2" s="1"/>
      <c r="FPO2" s="1"/>
      <c r="FPP2" s="1"/>
      <c r="FPQ2" s="1"/>
      <c r="FPR2" s="1"/>
      <c r="FPS2" s="1"/>
      <c r="FPT2" s="1"/>
      <c r="FPU2" s="1"/>
      <c r="FPV2" s="1"/>
      <c r="FPW2" s="1"/>
      <c r="FPX2" s="1"/>
      <c r="FPY2" s="1"/>
      <c r="FPZ2" s="1"/>
      <c r="FQA2" s="1"/>
      <c r="FQB2" s="1"/>
      <c r="FQC2" s="1"/>
      <c r="FQD2" s="1"/>
      <c r="FQE2" s="1"/>
      <c r="FQF2" s="1"/>
      <c r="FQG2" s="1"/>
      <c r="FQH2" s="1"/>
      <c r="FQI2" s="1"/>
      <c r="FQJ2" s="1"/>
      <c r="FQK2" s="1"/>
      <c r="FQL2" s="1"/>
      <c r="FQM2" s="1"/>
      <c r="FQN2" s="1"/>
      <c r="FQO2" s="1"/>
      <c r="FQP2" s="1"/>
      <c r="FQQ2" s="1"/>
      <c r="FQR2" s="1"/>
      <c r="FQS2" s="1"/>
      <c r="FQT2" s="1"/>
      <c r="FQU2" s="1"/>
      <c r="FQV2" s="1"/>
      <c r="FQW2" s="1"/>
      <c r="FQX2" s="1"/>
      <c r="FQY2" s="1"/>
      <c r="FQZ2" s="1"/>
      <c r="FRA2" s="1"/>
      <c r="FRB2" s="1"/>
      <c r="FRC2" s="1"/>
      <c r="FRD2" s="1"/>
      <c r="FRE2" s="1"/>
      <c r="FRF2" s="1"/>
      <c r="FRG2" s="1"/>
      <c r="FRH2" s="1"/>
      <c r="FRI2" s="1"/>
      <c r="FRJ2" s="1"/>
      <c r="FRK2" s="1"/>
      <c r="FRL2" s="1"/>
      <c r="FRM2" s="1"/>
      <c r="FRN2" s="1"/>
      <c r="FRO2" s="1"/>
      <c r="FRP2" s="1"/>
      <c r="FRQ2" s="1"/>
      <c r="FRR2" s="1"/>
      <c r="FRS2" s="1"/>
      <c r="FRT2" s="1"/>
      <c r="FRU2" s="1"/>
      <c r="FRV2" s="1"/>
      <c r="FRW2" s="1"/>
      <c r="FRX2" s="1"/>
      <c r="FRY2" s="1"/>
      <c r="FRZ2" s="1"/>
      <c r="FSA2" s="1"/>
      <c r="FSB2" s="1"/>
      <c r="FSC2" s="1"/>
      <c r="FSD2" s="1"/>
      <c r="FSE2" s="1"/>
      <c r="FSF2" s="1"/>
      <c r="FSG2" s="1"/>
      <c r="FSH2" s="1"/>
      <c r="FSI2" s="1"/>
      <c r="FSJ2" s="1"/>
      <c r="FSK2" s="1"/>
      <c r="FSL2" s="1"/>
      <c r="FSM2" s="1"/>
      <c r="FSN2" s="1"/>
      <c r="FSO2" s="1"/>
      <c r="FSP2" s="1"/>
      <c r="FSQ2" s="1"/>
      <c r="FSR2" s="1"/>
      <c r="FSS2" s="1"/>
      <c r="FST2" s="1"/>
      <c r="FSU2" s="1"/>
      <c r="FSV2" s="1"/>
      <c r="FSW2" s="1"/>
      <c r="FSX2" s="1"/>
      <c r="FSY2" s="1"/>
      <c r="FSZ2" s="1"/>
      <c r="FTA2" s="1"/>
      <c r="FTB2" s="1"/>
      <c r="FTC2" s="1"/>
      <c r="FTD2" s="1"/>
      <c r="FTE2" s="1"/>
      <c r="FTF2" s="1"/>
      <c r="FTG2" s="1"/>
      <c r="FTH2" s="1"/>
      <c r="FTI2" s="1"/>
      <c r="FTJ2" s="1"/>
      <c r="FTK2" s="1"/>
      <c r="FTL2" s="1"/>
      <c r="FTM2" s="1"/>
      <c r="FTN2" s="1"/>
      <c r="FTO2" s="1"/>
      <c r="FTP2" s="1"/>
      <c r="FTQ2" s="1"/>
      <c r="FTR2" s="1"/>
      <c r="FTS2" s="1"/>
      <c r="FTT2" s="1"/>
      <c r="FTU2" s="1"/>
      <c r="FTV2" s="1"/>
      <c r="FTW2" s="1"/>
      <c r="FTX2" s="1"/>
      <c r="FTY2" s="1"/>
      <c r="FTZ2" s="1"/>
      <c r="FUA2" s="1"/>
      <c r="FUB2" s="1"/>
      <c r="FUC2" s="1"/>
      <c r="FUD2" s="1"/>
      <c r="FUE2" s="1"/>
      <c r="FUF2" s="1"/>
      <c r="FUG2" s="1"/>
      <c r="FUH2" s="1"/>
      <c r="FUI2" s="1"/>
      <c r="FUJ2" s="1"/>
      <c r="FUK2" s="1"/>
      <c r="FUL2" s="1"/>
      <c r="FUM2" s="1"/>
      <c r="FUN2" s="1"/>
      <c r="FUO2" s="1"/>
      <c r="FUP2" s="1"/>
      <c r="FUQ2" s="1"/>
      <c r="FUR2" s="1"/>
      <c r="FUS2" s="1"/>
      <c r="FUT2" s="1"/>
      <c r="FUU2" s="1"/>
      <c r="FUV2" s="1"/>
      <c r="FUW2" s="1"/>
      <c r="FUX2" s="1"/>
      <c r="FUY2" s="1"/>
      <c r="FUZ2" s="1"/>
      <c r="FVA2" s="1"/>
      <c r="FVB2" s="1"/>
      <c r="FVC2" s="1"/>
      <c r="FVD2" s="1"/>
      <c r="FVE2" s="1"/>
      <c r="FVF2" s="1"/>
      <c r="FVG2" s="1"/>
      <c r="FVH2" s="1"/>
      <c r="FVI2" s="1"/>
      <c r="FVJ2" s="1"/>
      <c r="FVK2" s="1"/>
      <c r="FVL2" s="1"/>
      <c r="FVM2" s="1"/>
      <c r="FVN2" s="1"/>
      <c r="FVO2" s="1"/>
      <c r="FVP2" s="1"/>
      <c r="FVQ2" s="1"/>
      <c r="FVR2" s="1"/>
      <c r="FVS2" s="1"/>
      <c r="FVT2" s="1"/>
      <c r="FVU2" s="1"/>
      <c r="FVV2" s="1"/>
      <c r="FVW2" s="1"/>
      <c r="FVX2" s="1"/>
      <c r="FVY2" s="1"/>
      <c r="FVZ2" s="1"/>
      <c r="FWA2" s="1"/>
      <c r="FWB2" s="1"/>
      <c r="FWC2" s="1"/>
      <c r="FWD2" s="1"/>
      <c r="FWE2" s="1"/>
      <c r="FWF2" s="1"/>
      <c r="FWG2" s="1"/>
      <c r="FWH2" s="1"/>
      <c r="FWI2" s="1"/>
      <c r="FWJ2" s="1"/>
      <c r="FWK2" s="1"/>
      <c r="FWL2" s="1"/>
      <c r="FWM2" s="1"/>
      <c r="FWN2" s="1"/>
      <c r="FWO2" s="1"/>
      <c r="FWP2" s="1"/>
      <c r="FWQ2" s="1"/>
      <c r="FWR2" s="1"/>
      <c r="FWS2" s="1"/>
      <c r="FWT2" s="1"/>
      <c r="FWU2" s="1"/>
      <c r="FWV2" s="1"/>
      <c r="FWW2" s="1"/>
      <c r="FWX2" s="1"/>
      <c r="FWY2" s="1"/>
      <c r="FWZ2" s="1"/>
      <c r="FXA2" s="1"/>
      <c r="FXB2" s="1"/>
      <c r="FXC2" s="1"/>
      <c r="FXD2" s="1"/>
      <c r="FXE2" s="1"/>
      <c r="FXF2" s="1"/>
      <c r="FXG2" s="1"/>
      <c r="FXH2" s="1"/>
      <c r="FXI2" s="1"/>
      <c r="FXJ2" s="1"/>
      <c r="FXK2" s="1"/>
      <c r="FXL2" s="1"/>
      <c r="FXM2" s="1"/>
      <c r="FXN2" s="1"/>
      <c r="FXO2" s="1"/>
      <c r="FXP2" s="1"/>
      <c r="FXQ2" s="1"/>
      <c r="FXR2" s="1"/>
      <c r="FXS2" s="1"/>
      <c r="FXT2" s="1"/>
      <c r="FXU2" s="1"/>
      <c r="FXV2" s="1"/>
      <c r="FXW2" s="1"/>
      <c r="FXX2" s="1"/>
      <c r="FXY2" s="1"/>
      <c r="FXZ2" s="1"/>
      <c r="FYA2" s="1"/>
      <c r="FYB2" s="1"/>
      <c r="FYC2" s="1"/>
      <c r="FYD2" s="1"/>
      <c r="FYE2" s="1"/>
      <c r="FYF2" s="1"/>
      <c r="FYG2" s="1"/>
      <c r="FYH2" s="1"/>
      <c r="FYI2" s="1"/>
      <c r="FYJ2" s="1"/>
      <c r="FYK2" s="1"/>
      <c r="FYL2" s="1"/>
      <c r="FYM2" s="1"/>
      <c r="FYN2" s="1"/>
      <c r="FYO2" s="1"/>
      <c r="FYP2" s="1"/>
      <c r="FYQ2" s="1"/>
      <c r="FYR2" s="1"/>
      <c r="FYS2" s="1"/>
      <c r="FYT2" s="1"/>
      <c r="FYU2" s="1"/>
      <c r="FYV2" s="1"/>
      <c r="FYW2" s="1"/>
      <c r="FYX2" s="1"/>
      <c r="FYY2" s="1"/>
      <c r="FYZ2" s="1"/>
      <c r="FZA2" s="1"/>
      <c r="FZB2" s="1"/>
      <c r="FZC2" s="1"/>
      <c r="FZD2" s="1"/>
      <c r="FZE2" s="1"/>
      <c r="FZF2" s="1"/>
      <c r="FZG2" s="1"/>
      <c r="FZH2" s="1"/>
      <c r="FZI2" s="1"/>
      <c r="FZJ2" s="1"/>
      <c r="FZK2" s="1"/>
      <c r="FZL2" s="1"/>
      <c r="FZM2" s="1"/>
      <c r="FZN2" s="1"/>
      <c r="FZO2" s="1"/>
      <c r="FZP2" s="1"/>
      <c r="FZQ2" s="1"/>
      <c r="FZR2" s="1"/>
      <c r="FZS2" s="1"/>
      <c r="FZT2" s="1"/>
      <c r="FZU2" s="1"/>
      <c r="FZV2" s="1"/>
      <c r="FZW2" s="1"/>
      <c r="FZX2" s="1"/>
      <c r="FZY2" s="1"/>
      <c r="FZZ2" s="1"/>
      <c r="GAA2" s="1"/>
      <c r="GAB2" s="1"/>
      <c r="GAC2" s="1"/>
      <c r="GAD2" s="1"/>
      <c r="GAE2" s="1"/>
      <c r="GAF2" s="1"/>
      <c r="GAG2" s="1"/>
      <c r="GAH2" s="1"/>
      <c r="GAI2" s="1"/>
      <c r="GAJ2" s="1"/>
      <c r="GAK2" s="1"/>
      <c r="GAL2" s="1"/>
      <c r="GAM2" s="1"/>
      <c r="GAN2" s="1"/>
      <c r="GAO2" s="1"/>
      <c r="GAP2" s="1"/>
      <c r="GAQ2" s="1"/>
      <c r="GAR2" s="1"/>
      <c r="GAS2" s="1"/>
      <c r="GAT2" s="1"/>
      <c r="GAU2" s="1"/>
      <c r="GAV2" s="1"/>
      <c r="GAW2" s="1"/>
      <c r="GAX2" s="1"/>
      <c r="GAY2" s="1"/>
      <c r="GAZ2" s="1"/>
      <c r="GBA2" s="1"/>
      <c r="GBB2" s="1"/>
      <c r="GBC2" s="1"/>
      <c r="GBD2" s="1"/>
      <c r="GBE2" s="1"/>
      <c r="GBF2" s="1"/>
      <c r="GBG2" s="1"/>
      <c r="GBH2" s="1"/>
      <c r="GBI2" s="1"/>
      <c r="GBJ2" s="1"/>
      <c r="GBK2" s="1"/>
      <c r="GBL2" s="1"/>
      <c r="GBM2" s="1"/>
      <c r="GBN2" s="1"/>
      <c r="GBO2" s="1"/>
      <c r="GBP2" s="1"/>
      <c r="GBQ2" s="1"/>
      <c r="GBR2" s="1"/>
      <c r="GBS2" s="1"/>
      <c r="GBT2" s="1"/>
      <c r="GBU2" s="1"/>
      <c r="GBV2" s="1"/>
      <c r="GBW2" s="1"/>
      <c r="GBX2" s="1"/>
      <c r="GBY2" s="1"/>
      <c r="GBZ2" s="1"/>
      <c r="GCA2" s="1"/>
      <c r="GCB2" s="1"/>
      <c r="GCC2" s="1"/>
      <c r="GCD2" s="1"/>
      <c r="GCE2" s="1"/>
      <c r="GCF2" s="1"/>
      <c r="GCG2" s="1"/>
      <c r="GCH2" s="1"/>
      <c r="GCI2" s="1"/>
      <c r="GCJ2" s="1"/>
      <c r="GCK2" s="1"/>
      <c r="GCL2" s="1"/>
      <c r="GCM2" s="1"/>
      <c r="GCN2" s="1"/>
      <c r="GCO2" s="1"/>
      <c r="GCP2" s="1"/>
      <c r="GCQ2" s="1"/>
      <c r="GCR2" s="1"/>
      <c r="GCS2" s="1"/>
      <c r="GCT2" s="1"/>
      <c r="GCU2" s="1"/>
      <c r="GCV2" s="1"/>
      <c r="GCW2" s="1"/>
      <c r="GCX2" s="1"/>
      <c r="GCY2" s="1"/>
      <c r="GCZ2" s="1"/>
      <c r="GDA2" s="1"/>
      <c r="GDB2" s="1"/>
      <c r="GDC2" s="1"/>
      <c r="GDD2" s="1"/>
      <c r="GDE2" s="1"/>
      <c r="GDF2" s="1"/>
      <c r="GDG2" s="1"/>
      <c r="GDH2" s="1"/>
      <c r="GDI2" s="1"/>
      <c r="GDJ2" s="1"/>
      <c r="GDK2" s="1"/>
      <c r="GDL2" s="1"/>
      <c r="GDM2" s="1"/>
      <c r="GDN2" s="1"/>
      <c r="GDO2" s="1"/>
      <c r="GDP2" s="1"/>
      <c r="GDQ2" s="1"/>
      <c r="GDR2" s="1"/>
      <c r="GDS2" s="1"/>
      <c r="GDT2" s="1"/>
      <c r="GDU2" s="1"/>
      <c r="GDV2" s="1"/>
      <c r="GDW2" s="1"/>
      <c r="GDX2" s="1"/>
      <c r="GDY2" s="1"/>
      <c r="GDZ2" s="1"/>
      <c r="GEA2" s="1"/>
      <c r="GEB2" s="1"/>
      <c r="GEC2" s="1"/>
      <c r="GED2" s="1"/>
      <c r="GEE2" s="1"/>
      <c r="GEF2" s="1"/>
      <c r="GEG2" s="1"/>
      <c r="GEH2" s="1"/>
      <c r="GEI2" s="1"/>
      <c r="GEJ2" s="1"/>
      <c r="GEK2" s="1"/>
      <c r="GEL2" s="1"/>
      <c r="GEM2" s="1"/>
      <c r="GEN2" s="1"/>
      <c r="GEO2" s="1"/>
      <c r="GEP2" s="1"/>
      <c r="GEQ2" s="1"/>
      <c r="GER2" s="1"/>
      <c r="GES2" s="1"/>
      <c r="GET2" s="1"/>
      <c r="GEU2" s="1"/>
      <c r="GEV2" s="1"/>
      <c r="GEW2" s="1"/>
      <c r="GEX2" s="1"/>
      <c r="GEY2" s="1"/>
      <c r="GEZ2" s="1"/>
      <c r="GFA2" s="1"/>
      <c r="GFB2" s="1"/>
      <c r="GFC2" s="1"/>
      <c r="GFD2" s="1"/>
      <c r="GFE2" s="1"/>
      <c r="GFF2" s="1"/>
      <c r="GFG2" s="1"/>
      <c r="GFH2" s="1"/>
      <c r="GFI2" s="1"/>
      <c r="GFJ2" s="1"/>
      <c r="GFK2" s="1"/>
      <c r="GFL2" s="1"/>
      <c r="GFM2" s="1"/>
      <c r="GFN2" s="1"/>
      <c r="GFO2" s="1"/>
      <c r="GFP2" s="1"/>
      <c r="GFQ2" s="1"/>
      <c r="GFR2" s="1"/>
      <c r="GFS2" s="1"/>
      <c r="GFT2" s="1"/>
      <c r="GFU2" s="1"/>
      <c r="GFV2" s="1"/>
      <c r="GFW2" s="1"/>
      <c r="GFX2" s="1"/>
      <c r="GFY2" s="1"/>
      <c r="GFZ2" s="1"/>
      <c r="GGA2" s="1"/>
      <c r="GGB2" s="1"/>
      <c r="GGC2" s="1"/>
      <c r="GGD2" s="1"/>
      <c r="GGE2" s="1"/>
      <c r="GGF2" s="1"/>
      <c r="GGG2" s="1"/>
      <c r="GGH2" s="1"/>
      <c r="GGI2" s="1"/>
      <c r="GGJ2" s="1"/>
      <c r="GGK2" s="1"/>
      <c r="GGL2" s="1"/>
      <c r="GGM2" s="1"/>
      <c r="GGN2" s="1"/>
      <c r="GGO2" s="1"/>
      <c r="GGP2" s="1"/>
      <c r="GGQ2" s="1"/>
      <c r="GGR2" s="1"/>
      <c r="GGS2" s="1"/>
      <c r="GGT2" s="1"/>
      <c r="GGU2" s="1"/>
      <c r="GGV2" s="1"/>
      <c r="GGW2" s="1"/>
      <c r="GGX2" s="1"/>
      <c r="GGY2" s="1"/>
      <c r="GGZ2" s="1"/>
      <c r="GHA2" s="1"/>
      <c r="GHB2" s="1"/>
      <c r="GHC2" s="1"/>
      <c r="GHD2" s="1"/>
      <c r="GHE2" s="1"/>
      <c r="GHF2" s="1"/>
      <c r="GHG2" s="1"/>
      <c r="GHH2" s="1"/>
      <c r="GHI2" s="1"/>
      <c r="GHJ2" s="1"/>
      <c r="GHK2" s="1"/>
      <c r="GHL2" s="1"/>
      <c r="GHM2" s="1"/>
      <c r="GHN2" s="1"/>
      <c r="GHO2" s="1"/>
      <c r="GHP2" s="1"/>
      <c r="GHQ2" s="1"/>
      <c r="GHR2" s="1"/>
      <c r="GHS2" s="1"/>
      <c r="GHT2" s="1"/>
      <c r="GHU2" s="1"/>
      <c r="GHV2" s="1"/>
      <c r="GHW2" s="1"/>
      <c r="GHX2" s="1"/>
      <c r="GHY2" s="1"/>
      <c r="GHZ2" s="1"/>
      <c r="GIA2" s="1"/>
      <c r="GIB2" s="1"/>
      <c r="GIC2" s="1"/>
      <c r="GID2" s="1"/>
      <c r="GIE2" s="1"/>
      <c r="GIF2" s="1"/>
      <c r="GIG2" s="1"/>
      <c r="GIH2" s="1"/>
      <c r="GII2" s="1"/>
      <c r="GIJ2" s="1"/>
      <c r="GIK2" s="1"/>
      <c r="GIL2" s="1"/>
      <c r="GIM2" s="1"/>
      <c r="GIN2" s="1"/>
      <c r="GIO2" s="1"/>
      <c r="GIP2" s="1"/>
      <c r="GIQ2" s="1"/>
      <c r="GIR2" s="1"/>
      <c r="GIS2" s="1"/>
      <c r="GIT2" s="1"/>
      <c r="GIU2" s="1"/>
      <c r="GIV2" s="1"/>
      <c r="GIW2" s="1"/>
      <c r="GIX2" s="1"/>
      <c r="GIY2" s="1"/>
      <c r="GIZ2" s="1"/>
      <c r="GJA2" s="1"/>
      <c r="GJB2" s="1"/>
      <c r="GJC2" s="1"/>
      <c r="GJD2" s="1"/>
      <c r="GJE2" s="1"/>
      <c r="GJF2" s="1"/>
      <c r="GJG2" s="1"/>
      <c r="GJH2" s="1"/>
      <c r="GJI2" s="1"/>
      <c r="GJJ2" s="1"/>
      <c r="GJK2" s="1"/>
      <c r="GJL2" s="1"/>
      <c r="GJM2" s="1"/>
      <c r="GJN2" s="1"/>
      <c r="GJO2" s="1"/>
      <c r="GJP2" s="1"/>
      <c r="GJQ2" s="1"/>
      <c r="GJR2" s="1"/>
      <c r="GJS2" s="1"/>
      <c r="GJT2" s="1"/>
      <c r="GJU2" s="1"/>
      <c r="GJV2" s="1"/>
      <c r="GJW2" s="1"/>
      <c r="GJX2" s="1"/>
      <c r="GJY2" s="1"/>
      <c r="GJZ2" s="1"/>
      <c r="GKA2" s="1"/>
      <c r="GKB2" s="1"/>
      <c r="GKC2" s="1"/>
      <c r="GKD2" s="1"/>
      <c r="GKE2" s="1"/>
      <c r="GKF2" s="1"/>
      <c r="GKG2" s="1"/>
      <c r="GKH2" s="1"/>
      <c r="GKI2" s="1"/>
      <c r="GKJ2" s="1"/>
      <c r="GKK2" s="1"/>
      <c r="GKL2" s="1"/>
      <c r="GKM2" s="1"/>
      <c r="GKN2" s="1"/>
      <c r="GKO2" s="1"/>
      <c r="GKP2" s="1"/>
      <c r="GKQ2" s="1"/>
      <c r="GKR2" s="1"/>
      <c r="GKS2" s="1"/>
      <c r="GKT2" s="1"/>
      <c r="GKU2" s="1"/>
      <c r="GKV2" s="1"/>
      <c r="GKW2" s="1"/>
      <c r="GKX2" s="1"/>
      <c r="GKY2" s="1"/>
      <c r="GKZ2" s="1"/>
      <c r="GLA2" s="1"/>
      <c r="GLB2" s="1"/>
      <c r="GLC2" s="1"/>
      <c r="GLD2" s="1"/>
      <c r="GLE2" s="1"/>
      <c r="GLF2" s="1"/>
      <c r="GLG2" s="1"/>
      <c r="GLH2" s="1"/>
      <c r="GLI2" s="1"/>
      <c r="GLJ2" s="1"/>
      <c r="GLK2" s="1"/>
      <c r="GLL2" s="1"/>
      <c r="GLM2" s="1"/>
      <c r="GLN2" s="1"/>
      <c r="GLO2" s="1"/>
      <c r="GLP2" s="1"/>
      <c r="GLQ2" s="1"/>
      <c r="GLR2" s="1"/>
      <c r="GLS2" s="1"/>
      <c r="GLT2" s="1"/>
      <c r="GLU2" s="1"/>
      <c r="GLV2" s="1"/>
      <c r="GLW2" s="1"/>
      <c r="GLX2" s="1"/>
      <c r="GLY2" s="1"/>
      <c r="GLZ2" s="1"/>
      <c r="GMA2" s="1"/>
      <c r="GMB2" s="1"/>
      <c r="GMC2" s="1"/>
      <c r="GMD2" s="1"/>
      <c r="GME2" s="1"/>
      <c r="GMF2" s="1"/>
      <c r="GMG2" s="1"/>
      <c r="GMH2" s="1"/>
      <c r="GMI2" s="1"/>
      <c r="GMJ2" s="1"/>
      <c r="GMK2" s="1"/>
      <c r="GML2" s="1"/>
      <c r="GMM2" s="1"/>
      <c r="GMN2" s="1"/>
      <c r="GMO2" s="1"/>
      <c r="GMP2" s="1"/>
      <c r="GMQ2" s="1"/>
      <c r="GMR2" s="1"/>
      <c r="GMS2" s="1"/>
      <c r="GMT2" s="1"/>
      <c r="GMU2" s="1"/>
      <c r="GMV2" s="1"/>
      <c r="GMW2" s="1"/>
      <c r="GMX2" s="1"/>
      <c r="GMY2" s="1"/>
      <c r="GMZ2" s="1"/>
      <c r="GNA2" s="1"/>
      <c r="GNB2" s="1"/>
      <c r="GNC2" s="1"/>
      <c r="GND2" s="1"/>
      <c r="GNE2" s="1"/>
      <c r="GNF2" s="1"/>
      <c r="GNG2" s="1"/>
      <c r="GNH2" s="1"/>
      <c r="GNI2" s="1"/>
      <c r="GNJ2" s="1"/>
      <c r="GNK2" s="1"/>
      <c r="GNL2" s="1"/>
      <c r="GNM2" s="1"/>
      <c r="GNN2" s="1"/>
      <c r="GNO2" s="1"/>
      <c r="GNP2" s="1"/>
      <c r="GNQ2" s="1"/>
      <c r="GNR2" s="1"/>
      <c r="GNS2" s="1"/>
      <c r="GNT2" s="1"/>
      <c r="GNU2" s="1"/>
      <c r="GNV2" s="1"/>
      <c r="GNW2" s="1"/>
      <c r="GNX2" s="1"/>
      <c r="GNY2" s="1"/>
      <c r="GNZ2" s="1"/>
      <c r="GOA2" s="1"/>
      <c r="GOB2" s="1"/>
      <c r="GOC2" s="1"/>
      <c r="GOD2" s="1"/>
      <c r="GOE2" s="1"/>
      <c r="GOF2" s="1"/>
      <c r="GOG2" s="1"/>
      <c r="GOH2" s="1"/>
      <c r="GOI2" s="1"/>
      <c r="GOJ2" s="1"/>
      <c r="GOK2" s="1"/>
      <c r="GOL2" s="1"/>
      <c r="GOM2" s="1"/>
      <c r="GON2" s="1"/>
      <c r="GOO2" s="1"/>
      <c r="GOP2" s="1"/>
      <c r="GOQ2" s="1"/>
      <c r="GOR2" s="1"/>
      <c r="GOS2" s="1"/>
      <c r="GOT2" s="1"/>
      <c r="GOU2" s="1"/>
      <c r="GOV2" s="1"/>
      <c r="GOW2" s="1"/>
      <c r="GOX2" s="1"/>
      <c r="GOY2" s="1"/>
      <c r="GOZ2" s="1"/>
      <c r="GPA2" s="1"/>
      <c r="GPB2" s="1"/>
      <c r="GPC2" s="1"/>
      <c r="GPD2" s="1"/>
      <c r="GPE2" s="1"/>
      <c r="GPF2" s="1"/>
      <c r="GPG2" s="1"/>
      <c r="GPH2" s="1"/>
      <c r="GPI2" s="1"/>
      <c r="GPJ2" s="1"/>
      <c r="GPK2" s="1"/>
      <c r="GPL2" s="1"/>
      <c r="GPM2" s="1"/>
      <c r="GPN2" s="1"/>
      <c r="GPO2" s="1"/>
      <c r="GPP2" s="1"/>
      <c r="GPQ2" s="1"/>
      <c r="GPR2" s="1"/>
      <c r="GPS2" s="1"/>
      <c r="GPT2" s="1"/>
      <c r="GPU2" s="1"/>
      <c r="GPV2" s="1"/>
      <c r="GPW2" s="1"/>
      <c r="GPX2" s="1"/>
      <c r="GPY2" s="1"/>
      <c r="GPZ2" s="1"/>
      <c r="GQA2" s="1"/>
      <c r="GQB2" s="1"/>
      <c r="GQC2" s="1"/>
      <c r="GQD2" s="1"/>
      <c r="GQE2" s="1"/>
      <c r="GQF2" s="1"/>
      <c r="GQG2" s="1"/>
      <c r="GQH2" s="1"/>
      <c r="GQI2" s="1"/>
      <c r="GQJ2" s="1"/>
      <c r="GQK2" s="1"/>
      <c r="GQL2" s="1"/>
      <c r="GQM2" s="1"/>
      <c r="GQN2" s="1"/>
      <c r="GQO2" s="1"/>
      <c r="GQP2" s="1"/>
      <c r="GQQ2" s="1"/>
      <c r="GQR2" s="1"/>
      <c r="GQS2" s="1"/>
      <c r="GQT2" s="1"/>
      <c r="GQU2" s="1"/>
      <c r="GQV2" s="1"/>
      <c r="GQW2" s="1"/>
      <c r="GQX2" s="1"/>
      <c r="GQY2" s="1"/>
      <c r="GQZ2" s="1"/>
      <c r="GRA2" s="1"/>
      <c r="GRB2" s="1"/>
      <c r="GRC2" s="1"/>
      <c r="GRD2" s="1"/>
      <c r="GRE2" s="1"/>
      <c r="GRF2" s="1"/>
      <c r="GRG2" s="1"/>
      <c r="GRH2" s="1"/>
      <c r="GRI2" s="1"/>
      <c r="GRJ2" s="1"/>
      <c r="GRK2" s="1"/>
      <c r="GRL2" s="1"/>
      <c r="GRM2" s="1"/>
      <c r="GRN2" s="1"/>
      <c r="GRO2" s="1"/>
      <c r="GRP2" s="1"/>
      <c r="GRQ2" s="1"/>
      <c r="GRR2" s="1"/>
      <c r="GRS2" s="1"/>
      <c r="GRT2" s="1"/>
      <c r="GRU2" s="1"/>
      <c r="GRV2" s="1"/>
      <c r="GRW2" s="1"/>
      <c r="GRX2" s="1"/>
      <c r="GRY2" s="1"/>
      <c r="GRZ2" s="1"/>
      <c r="GSA2" s="1"/>
      <c r="GSB2" s="1"/>
      <c r="GSC2" s="1"/>
      <c r="GSD2" s="1"/>
      <c r="GSE2" s="1"/>
      <c r="GSF2" s="1"/>
      <c r="GSG2" s="1"/>
      <c r="GSH2" s="1"/>
      <c r="GSI2" s="1"/>
      <c r="GSJ2" s="1"/>
      <c r="GSK2" s="1"/>
      <c r="GSL2" s="1"/>
      <c r="GSM2" s="1"/>
      <c r="GSN2" s="1"/>
      <c r="GSO2" s="1"/>
      <c r="GSP2" s="1"/>
      <c r="GSQ2" s="1"/>
      <c r="GSR2" s="1"/>
      <c r="GSS2" s="1"/>
      <c r="GST2" s="1"/>
      <c r="GSU2" s="1"/>
      <c r="GSV2" s="1"/>
      <c r="GSW2" s="1"/>
      <c r="GSX2" s="1"/>
      <c r="GSY2" s="1"/>
      <c r="GSZ2" s="1"/>
      <c r="GTA2" s="1"/>
      <c r="GTB2" s="1"/>
      <c r="GTC2" s="1"/>
      <c r="GTD2" s="1"/>
      <c r="GTE2" s="1"/>
      <c r="GTF2" s="1"/>
      <c r="GTG2" s="1"/>
      <c r="GTH2" s="1"/>
      <c r="GTI2" s="1"/>
      <c r="GTJ2" s="1"/>
      <c r="GTK2" s="1"/>
      <c r="GTL2" s="1"/>
      <c r="GTM2" s="1"/>
      <c r="GTN2" s="1"/>
      <c r="GTO2" s="1"/>
      <c r="GTP2" s="1"/>
      <c r="GTQ2" s="1"/>
      <c r="GTR2" s="1"/>
      <c r="GTS2" s="1"/>
      <c r="GTT2" s="1"/>
      <c r="GTU2" s="1"/>
      <c r="GTV2" s="1"/>
      <c r="GTW2" s="1"/>
      <c r="GTX2" s="1"/>
      <c r="GTY2" s="1"/>
      <c r="GTZ2" s="1"/>
      <c r="GUA2" s="1"/>
      <c r="GUB2" s="1"/>
      <c r="GUC2" s="1"/>
      <c r="GUD2" s="1"/>
      <c r="GUE2" s="1"/>
      <c r="GUF2" s="1"/>
      <c r="GUG2" s="1"/>
      <c r="GUH2" s="1"/>
      <c r="GUI2" s="1"/>
      <c r="GUJ2" s="1"/>
      <c r="GUK2" s="1"/>
      <c r="GUL2" s="1"/>
      <c r="GUM2" s="1"/>
      <c r="GUN2" s="1"/>
      <c r="GUO2" s="1"/>
      <c r="GUP2" s="1"/>
      <c r="GUQ2" s="1"/>
      <c r="GUR2" s="1"/>
      <c r="GUS2" s="1"/>
      <c r="GUT2" s="1"/>
      <c r="GUU2" s="1"/>
      <c r="GUV2" s="1"/>
      <c r="GUW2" s="1"/>
      <c r="GUX2" s="1"/>
      <c r="GUY2" s="1"/>
      <c r="GUZ2" s="1"/>
      <c r="GVA2" s="1"/>
      <c r="GVB2" s="1"/>
      <c r="GVC2" s="1"/>
      <c r="GVD2" s="1"/>
      <c r="GVE2" s="1"/>
      <c r="GVF2" s="1"/>
      <c r="GVG2" s="1"/>
      <c r="GVH2" s="1"/>
      <c r="GVI2" s="1"/>
      <c r="GVJ2" s="1"/>
      <c r="GVK2" s="1"/>
      <c r="GVL2" s="1"/>
      <c r="GVM2" s="1"/>
      <c r="GVN2" s="1"/>
      <c r="GVO2" s="1"/>
      <c r="GVP2" s="1"/>
      <c r="GVQ2" s="1"/>
      <c r="GVR2" s="1"/>
      <c r="GVS2" s="1"/>
      <c r="GVT2" s="1"/>
      <c r="GVU2" s="1"/>
      <c r="GVV2" s="1"/>
      <c r="GVW2" s="1"/>
      <c r="GVX2" s="1"/>
      <c r="GVY2" s="1"/>
      <c r="GVZ2" s="1"/>
      <c r="GWA2" s="1"/>
      <c r="GWB2" s="1"/>
      <c r="GWC2" s="1"/>
      <c r="GWD2" s="1"/>
      <c r="GWE2" s="1"/>
      <c r="GWF2" s="1"/>
      <c r="GWG2" s="1"/>
      <c r="GWH2" s="1"/>
      <c r="GWI2" s="1"/>
      <c r="GWJ2" s="1"/>
      <c r="GWK2" s="1"/>
      <c r="GWL2" s="1"/>
      <c r="GWM2" s="1"/>
      <c r="GWN2" s="1"/>
      <c r="GWO2" s="1"/>
      <c r="GWP2" s="1"/>
      <c r="GWQ2" s="1"/>
      <c r="GWR2" s="1"/>
      <c r="GWS2" s="1"/>
      <c r="GWT2" s="1"/>
      <c r="GWU2" s="1"/>
      <c r="GWV2" s="1"/>
      <c r="GWW2" s="1"/>
      <c r="GWX2" s="1"/>
      <c r="GWY2" s="1"/>
      <c r="GWZ2" s="1"/>
      <c r="GXA2" s="1"/>
      <c r="GXB2" s="1"/>
      <c r="GXC2" s="1"/>
      <c r="GXD2" s="1"/>
      <c r="GXE2" s="1"/>
      <c r="GXF2" s="1"/>
      <c r="GXG2" s="1"/>
      <c r="GXH2" s="1"/>
      <c r="GXI2" s="1"/>
      <c r="GXJ2" s="1"/>
      <c r="GXK2" s="1"/>
      <c r="GXL2" s="1"/>
      <c r="GXM2" s="1"/>
      <c r="GXN2" s="1"/>
      <c r="GXO2" s="1"/>
      <c r="GXP2" s="1"/>
      <c r="GXQ2" s="1"/>
      <c r="GXR2" s="1"/>
      <c r="GXS2" s="1"/>
      <c r="GXT2" s="1"/>
      <c r="GXU2" s="1"/>
      <c r="GXV2" s="1"/>
      <c r="GXW2" s="1"/>
      <c r="GXX2" s="1"/>
      <c r="GXY2" s="1"/>
      <c r="GXZ2" s="1"/>
      <c r="GYA2" s="1"/>
      <c r="GYB2" s="1"/>
      <c r="GYC2" s="1"/>
      <c r="GYD2" s="1"/>
      <c r="GYE2" s="1"/>
      <c r="GYF2" s="1"/>
      <c r="GYG2" s="1"/>
      <c r="GYH2" s="1"/>
      <c r="GYI2" s="1"/>
      <c r="GYJ2" s="1"/>
      <c r="GYK2" s="1"/>
      <c r="GYL2" s="1"/>
      <c r="GYM2" s="1"/>
      <c r="GYN2" s="1"/>
      <c r="GYO2" s="1"/>
      <c r="GYP2" s="1"/>
      <c r="GYQ2" s="1"/>
      <c r="GYR2" s="1"/>
      <c r="GYS2" s="1"/>
      <c r="GYT2" s="1"/>
      <c r="GYU2" s="1"/>
      <c r="GYV2" s="1"/>
      <c r="GYW2" s="1"/>
      <c r="GYX2" s="1"/>
      <c r="GYY2" s="1"/>
      <c r="GYZ2" s="1"/>
      <c r="GZA2" s="1"/>
      <c r="GZB2" s="1"/>
      <c r="GZC2" s="1"/>
      <c r="GZD2" s="1"/>
      <c r="GZE2" s="1"/>
      <c r="GZF2" s="1"/>
      <c r="GZG2" s="1"/>
      <c r="GZH2" s="1"/>
      <c r="GZI2" s="1"/>
      <c r="GZJ2" s="1"/>
      <c r="GZK2" s="1"/>
      <c r="GZL2" s="1"/>
      <c r="GZM2" s="1"/>
      <c r="GZN2" s="1"/>
      <c r="GZO2" s="1"/>
      <c r="GZP2" s="1"/>
      <c r="GZQ2" s="1"/>
      <c r="GZR2" s="1"/>
      <c r="GZS2" s="1"/>
      <c r="GZT2" s="1"/>
      <c r="GZU2" s="1"/>
      <c r="GZV2" s="1"/>
      <c r="GZW2" s="1"/>
      <c r="GZX2" s="1"/>
      <c r="GZY2" s="1"/>
      <c r="GZZ2" s="1"/>
      <c r="HAA2" s="1"/>
      <c r="HAB2" s="1"/>
      <c r="HAC2" s="1"/>
      <c r="HAD2" s="1"/>
      <c r="HAE2" s="1"/>
      <c r="HAF2" s="1"/>
      <c r="HAG2" s="1"/>
      <c r="HAH2" s="1"/>
      <c r="HAI2" s="1"/>
      <c r="HAJ2" s="1"/>
      <c r="HAK2" s="1"/>
      <c r="HAL2" s="1"/>
      <c r="HAM2" s="1"/>
      <c r="HAN2" s="1"/>
      <c r="HAO2" s="1"/>
      <c r="HAP2" s="1"/>
      <c r="HAQ2" s="1"/>
      <c r="HAR2" s="1"/>
      <c r="HAS2" s="1"/>
      <c r="HAT2" s="1"/>
      <c r="HAU2" s="1"/>
      <c r="HAV2" s="1"/>
      <c r="HAW2" s="1"/>
      <c r="HAX2" s="1"/>
      <c r="HAY2" s="1"/>
      <c r="HAZ2" s="1"/>
      <c r="HBA2" s="1"/>
      <c r="HBB2" s="1"/>
      <c r="HBC2" s="1"/>
      <c r="HBD2" s="1"/>
      <c r="HBE2" s="1"/>
      <c r="HBF2" s="1"/>
      <c r="HBG2" s="1"/>
      <c r="HBH2" s="1"/>
      <c r="HBI2" s="1"/>
      <c r="HBJ2" s="1"/>
      <c r="HBK2" s="1"/>
      <c r="HBL2" s="1"/>
      <c r="HBM2" s="1"/>
      <c r="HBN2" s="1"/>
      <c r="HBO2" s="1"/>
      <c r="HBP2" s="1"/>
      <c r="HBQ2" s="1"/>
      <c r="HBR2" s="1"/>
      <c r="HBS2" s="1"/>
      <c r="HBT2" s="1"/>
      <c r="HBU2" s="1"/>
      <c r="HBV2" s="1"/>
      <c r="HBW2" s="1"/>
      <c r="HBX2" s="1"/>
      <c r="HBY2" s="1"/>
      <c r="HBZ2" s="1"/>
      <c r="HCA2" s="1"/>
      <c r="HCB2" s="1"/>
      <c r="HCC2" s="1"/>
      <c r="HCD2" s="1"/>
      <c r="HCE2" s="1"/>
      <c r="HCF2" s="1"/>
      <c r="HCG2" s="1"/>
      <c r="HCH2" s="1"/>
      <c r="HCI2" s="1"/>
      <c r="HCJ2" s="1"/>
      <c r="HCK2" s="1"/>
      <c r="HCL2" s="1"/>
      <c r="HCM2" s="1"/>
      <c r="HCN2" s="1"/>
      <c r="HCO2" s="1"/>
      <c r="HCP2" s="1"/>
      <c r="HCQ2" s="1"/>
      <c r="HCR2" s="1"/>
      <c r="HCS2" s="1"/>
      <c r="HCT2" s="1"/>
      <c r="HCU2" s="1"/>
      <c r="HCV2" s="1"/>
      <c r="HCW2" s="1"/>
      <c r="HCX2" s="1"/>
      <c r="HCY2" s="1"/>
      <c r="HCZ2" s="1"/>
      <c r="HDA2" s="1"/>
      <c r="HDB2" s="1"/>
      <c r="HDC2" s="1"/>
      <c r="HDD2" s="1"/>
      <c r="HDE2" s="1"/>
      <c r="HDF2" s="1"/>
      <c r="HDG2" s="1"/>
      <c r="HDH2" s="1"/>
      <c r="HDI2" s="1"/>
      <c r="HDJ2" s="1"/>
      <c r="HDK2" s="1"/>
      <c r="HDL2" s="1"/>
      <c r="HDM2" s="1"/>
      <c r="HDN2" s="1"/>
      <c r="HDO2" s="1"/>
      <c r="HDP2" s="1"/>
      <c r="HDQ2" s="1"/>
      <c r="HDR2" s="1"/>
      <c r="HDS2" s="1"/>
      <c r="HDT2" s="1"/>
      <c r="HDU2" s="1"/>
      <c r="HDV2" s="1"/>
      <c r="HDW2" s="1"/>
      <c r="HDX2" s="1"/>
      <c r="HDY2" s="1"/>
      <c r="HDZ2" s="1"/>
      <c r="HEA2" s="1"/>
      <c r="HEB2" s="1"/>
      <c r="HEC2" s="1"/>
      <c r="HED2" s="1"/>
      <c r="HEE2" s="1"/>
      <c r="HEF2" s="1"/>
      <c r="HEG2" s="1"/>
      <c r="HEH2" s="1"/>
      <c r="HEI2" s="1"/>
      <c r="HEJ2" s="1"/>
      <c r="HEK2" s="1"/>
      <c r="HEL2" s="1"/>
      <c r="HEM2" s="1"/>
      <c r="HEN2" s="1"/>
      <c r="HEO2" s="1"/>
      <c r="HEP2" s="1"/>
      <c r="HEQ2" s="1"/>
      <c r="HER2" s="1"/>
      <c r="HES2" s="1"/>
      <c r="HET2" s="1"/>
      <c r="HEU2" s="1"/>
      <c r="HEV2" s="1"/>
      <c r="HEW2" s="1"/>
      <c r="HEX2" s="1"/>
      <c r="HEY2" s="1"/>
      <c r="HEZ2" s="1"/>
      <c r="HFA2" s="1"/>
      <c r="HFB2" s="1"/>
      <c r="HFC2" s="1"/>
      <c r="HFD2" s="1"/>
      <c r="HFE2" s="1"/>
      <c r="HFF2" s="1"/>
      <c r="HFG2" s="1"/>
      <c r="HFH2" s="1"/>
      <c r="HFI2" s="1"/>
      <c r="HFJ2" s="1"/>
      <c r="HFK2" s="1"/>
      <c r="HFL2" s="1"/>
      <c r="HFM2" s="1"/>
      <c r="HFN2" s="1"/>
      <c r="HFO2" s="1"/>
      <c r="HFP2" s="1"/>
      <c r="HFQ2" s="1"/>
      <c r="HFR2" s="1"/>
      <c r="HFS2" s="1"/>
      <c r="HFT2" s="1"/>
      <c r="HFU2" s="1"/>
      <c r="HFV2" s="1"/>
      <c r="HFW2" s="1"/>
      <c r="HFX2" s="1"/>
      <c r="HFY2" s="1"/>
      <c r="HFZ2" s="1"/>
      <c r="HGA2" s="1"/>
      <c r="HGB2" s="1"/>
      <c r="HGC2" s="1"/>
      <c r="HGD2" s="1"/>
      <c r="HGE2" s="1"/>
      <c r="HGF2" s="1"/>
      <c r="HGG2" s="1"/>
      <c r="HGH2" s="1"/>
      <c r="HGI2" s="1"/>
      <c r="HGJ2" s="1"/>
      <c r="HGK2" s="1"/>
      <c r="HGL2" s="1"/>
      <c r="HGM2" s="1"/>
      <c r="HGN2" s="1"/>
      <c r="HGO2" s="1"/>
      <c r="HGP2" s="1"/>
      <c r="HGQ2" s="1"/>
      <c r="HGR2" s="1"/>
      <c r="HGS2" s="1"/>
      <c r="HGT2" s="1"/>
      <c r="HGU2" s="1"/>
      <c r="HGV2" s="1"/>
      <c r="HGW2" s="1"/>
      <c r="HGX2" s="1"/>
      <c r="HGY2" s="1"/>
      <c r="HGZ2" s="1"/>
      <c r="HHA2" s="1"/>
      <c r="HHB2" s="1"/>
      <c r="HHC2" s="1"/>
      <c r="HHD2" s="1"/>
      <c r="HHE2" s="1"/>
      <c r="HHF2" s="1"/>
      <c r="HHG2" s="1"/>
      <c r="HHH2" s="1"/>
      <c r="HHI2" s="1"/>
      <c r="HHJ2" s="1"/>
      <c r="HHK2" s="1"/>
      <c r="HHL2" s="1"/>
      <c r="HHM2" s="1"/>
      <c r="HHN2" s="1"/>
      <c r="HHO2" s="1"/>
      <c r="HHP2" s="1"/>
      <c r="HHQ2" s="1"/>
      <c r="HHR2" s="1"/>
      <c r="HHS2" s="1"/>
      <c r="HHT2" s="1"/>
      <c r="HHU2" s="1"/>
      <c r="HHV2" s="1"/>
      <c r="HHW2" s="1"/>
      <c r="HHX2" s="1"/>
      <c r="HHY2" s="1"/>
      <c r="HHZ2" s="1"/>
      <c r="HIA2" s="1"/>
      <c r="HIB2" s="1"/>
      <c r="HIC2" s="1"/>
      <c r="HID2" s="1"/>
      <c r="HIE2" s="1"/>
      <c r="HIF2" s="1"/>
      <c r="HIG2" s="1"/>
      <c r="HIH2" s="1"/>
      <c r="HII2" s="1"/>
      <c r="HIJ2" s="1"/>
      <c r="HIK2" s="1"/>
      <c r="HIL2" s="1"/>
      <c r="HIM2" s="1"/>
      <c r="HIN2" s="1"/>
      <c r="HIO2" s="1"/>
      <c r="HIP2" s="1"/>
      <c r="HIQ2" s="1"/>
      <c r="HIR2" s="1"/>
      <c r="HIS2" s="1"/>
      <c r="HIT2" s="1"/>
      <c r="HIU2" s="1"/>
      <c r="HIV2" s="1"/>
      <c r="HIW2" s="1"/>
      <c r="HIX2" s="1"/>
      <c r="HIY2" s="1"/>
      <c r="HIZ2" s="1"/>
      <c r="HJA2" s="1"/>
      <c r="HJB2" s="1"/>
      <c r="HJC2" s="1"/>
      <c r="HJD2" s="1"/>
      <c r="HJE2" s="1"/>
      <c r="HJF2" s="1"/>
      <c r="HJG2" s="1"/>
      <c r="HJH2" s="1"/>
      <c r="HJI2" s="1"/>
      <c r="HJJ2" s="1"/>
      <c r="HJK2" s="1"/>
      <c r="HJL2" s="1"/>
      <c r="HJM2" s="1"/>
      <c r="HJN2" s="1"/>
      <c r="HJO2" s="1"/>
      <c r="HJP2" s="1"/>
      <c r="HJQ2" s="1"/>
      <c r="HJR2" s="1"/>
      <c r="HJS2" s="1"/>
      <c r="HJT2" s="1"/>
      <c r="HJU2" s="1"/>
      <c r="HJV2" s="1"/>
      <c r="HJW2" s="1"/>
      <c r="HJX2" s="1"/>
      <c r="HJY2" s="1"/>
      <c r="HJZ2" s="1"/>
      <c r="HKA2" s="1"/>
      <c r="HKB2" s="1"/>
      <c r="HKC2" s="1"/>
      <c r="HKD2" s="1"/>
      <c r="HKE2" s="1"/>
      <c r="HKF2" s="1"/>
      <c r="HKG2" s="1"/>
      <c r="HKH2" s="1"/>
      <c r="HKI2" s="1"/>
      <c r="HKJ2" s="1"/>
      <c r="HKK2" s="1"/>
      <c r="HKL2" s="1"/>
      <c r="HKM2" s="1"/>
      <c r="HKN2" s="1"/>
      <c r="HKO2" s="1"/>
      <c r="HKP2" s="1"/>
      <c r="HKQ2" s="1"/>
      <c r="HKR2" s="1"/>
      <c r="HKS2" s="1"/>
      <c r="HKT2" s="1"/>
      <c r="HKU2" s="1"/>
      <c r="HKV2" s="1"/>
      <c r="HKW2" s="1"/>
      <c r="HKX2" s="1"/>
      <c r="HKY2" s="1"/>
      <c r="HKZ2" s="1"/>
      <c r="HLA2" s="1"/>
      <c r="HLB2" s="1"/>
      <c r="HLC2" s="1"/>
      <c r="HLD2" s="1"/>
      <c r="HLE2" s="1"/>
      <c r="HLF2" s="1"/>
      <c r="HLG2" s="1"/>
      <c r="HLH2" s="1"/>
      <c r="HLI2" s="1"/>
      <c r="HLJ2" s="1"/>
      <c r="HLK2" s="1"/>
      <c r="HLL2" s="1"/>
      <c r="HLM2" s="1"/>
      <c r="HLN2" s="1"/>
      <c r="HLO2" s="1"/>
      <c r="HLP2" s="1"/>
      <c r="HLQ2" s="1"/>
      <c r="HLR2" s="1"/>
      <c r="HLS2" s="1"/>
      <c r="HLT2" s="1"/>
      <c r="HLU2" s="1"/>
      <c r="HLV2" s="1"/>
      <c r="HLW2" s="1"/>
      <c r="HLX2" s="1"/>
      <c r="HLY2" s="1"/>
      <c r="HLZ2" s="1"/>
      <c r="HMA2" s="1"/>
      <c r="HMB2" s="1"/>
      <c r="HMC2" s="1"/>
      <c r="HMD2" s="1"/>
      <c r="HME2" s="1"/>
      <c r="HMF2" s="1"/>
      <c r="HMG2" s="1"/>
      <c r="HMH2" s="1"/>
      <c r="HMI2" s="1"/>
      <c r="HMJ2" s="1"/>
      <c r="HMK2" s="1"/>
      <c r="HML2" s="1"/>
      <c r="HMM2" s="1"/>
      <c r="HMN2" s="1"/>
      <c r="HMO2" s="1"/>
      <c r="HMP2" s="1"/>
      <c r="HMQ2" s="1"/>
      <c r="HMR2" s="1"/>
      <c r="HMS2" s="1"/>
      <c r="HMT2" s="1"/>
      <c r="HMU2" s="1"/>
      <c r="HMV2" s="1"/>
      <c r="HMW2" s="1"/>
      <c r="HMX2" s="1"/>
      <c r="HMY2" s="1"/>
      <c r="HMZ2" s="1"/>
      <c r="HNA2" s="1"/>
      <c r="HNB2" s="1"/>
      <c r="HNC2" s="1"/>
      <c r="HND2" s="1"/>
      <c r="HNE2" s="1"/>
      <c r="HNF2" s="1"/>
      <c r="HNG2" s="1"/>
      <c r="HNH2" s="1"/>
      <c r="HNI2" s="1"/>
      <c r="HNJ2" s="1"/>
      <c r="HNK2" s="1"/>
      <c r="HNL2" s="1"/>
      <c r="HNM2" s="1"/>
      <c r="HNN2" s="1"/>
      <c r="HNO2" s="1"/>
      <c r="HNP2" s="1"/>
      <c r="HNQ2" s="1"/>
      <c r="HNR2" s="1"/>
      <c r="HNS2" s="1"/>
      <c r="HNT2" s="1"/>
      <c r="HNU2" s="1"/>
      <c r="HNV2" s="1"/>
      <c r="HNW2" s="1"/>
      <c r="HNX2" s="1"/>
      <c r="HNY2" s="1"/>
      <c r="HNZ2" s="1"/>
      <c r="HOA2" s="1"/>
      <c r="HOB2" s="1"/>
      <c r="HOC2" s="1"/>
      <c r="HOD2" s="1"/>
      <c r="HOE2" s="1"/>
      <c r="HOF2" s="1"/>
      <c r="HOG2" s="1"/>
      <c r="HOH2" s="1"/>
      <c r="HOI2" s="1"/>
      <c r="HOJ2" s="1"/>
      <c r="HOK2" s="1"/>
      <c r="HOL2" s="1"/>
      <c r="HOM2" s="1"/>
      <c r="HON2" s="1"/>
      <c r="HOO2" s="1"/>
      <c r="HOP2" s="1"/>
      <c r="HOQ2" s="1"/>
      <c r="HOR2" s="1"/>
      <c r="HOS2" s="1"/>
      <c r="HOT2" s="1"/>
      <c r="HOU2" s="1"/>
      <c r="HOV2" s="1"/>
      <c r="HOW2" s="1"/>
      <c r="HOX2" s="1"/>
      <c r="HOY2" s="1"/>
      <c r="HOZ2" s="1"/>
      <c r="HPA2" s="1"/>
      <c r="HPB2" s="1"/>
      <c r="HPC2" s="1"/>
      <c r="HPD2" s="1"/>
      <c r="HPE2" s="1"/>
      <c r="HPF2" s="1"/>
      <c r="HPG2" s="1"/>
      <c r="HPH2" s="1"/>
      <c r="HPI2" s="1"/>
      <c r="HPJ2" s="1"/>
      <c r="HPK2" s="1"/>
      <c r="HPL2" s="1"/>
      <c r="HPM2" s="1"/>
      <c r="HPN2" s="1"/>
      <c r="HPO2" s="1"/>
      <c r="HPP2" s="1"/>
      <c r="HPQ2" s="1"/>
      <c r="HPR2" s="1"/>
      <c r="HPS2" s="1"/>
      <c r="HPT2" s="1"/>
      <c r="HPU2" s="1"/>
      <c r="HPV2" s="1"/>
      <c r="HPW2" s="1"/>
      <c r="HPX2" s="1"/>
      <c r="HPY2" s="1"/>
      <c r="HPZ2" s="1"/>
      <c r="HQA2" s="1"/>
      <c r="HQB2" s="1"/>
      <c r="HQC2" s="1"/>
      <c r="HQD2" s="1"/>
      <c r="HQE2" s="1"/>
      <c r="HQF2" s="1"/>
      <c r="HQG2" s="1"/>
      <c r="HQH2" s="1"/>
      <c r="HQI2" s="1"/>
      <c r="HQJ2" s="1"/>
      <c r="HQK2" s="1"/>
      <c r="HQL2" s="1"/>
      <c r="HQM2" s="1"/>
      <c r="HQN2" s="1"/>
      <c r="HQO2" s="1"/>
      <c r="HQP2" s="1"/>
      <c r="HQQ2" s="1"/>
      <c r="HQR2" s="1"/>
      <c r="HQS2" s="1"/>
      <c r="HQT2" s="1"/>
      <c r="HQU2" s="1"/>
      <c r="HQV2" s="1"/>
      <c r="HQW2" s="1"/>
      <c r="HQX2" s="1"/>
      <c r="HQY2" s="1"/>
      <c r="HQZ2" s="1"/>
      <c r="HRA2" s="1"/>
      <c r="HRB2" s="1"/>
      <c r="HRC2" s="1"/>
      <c r="HRD2" s="1"/>
      <c r="HRE2" s="1"/>
      <c r="HRF2" s="1"/>
      <c r="HRG2" s="1"/>
      <c r="HRH2" s="1"/>
      <c r="HRI2" s="1"/>
      <c r="HRJ2" s="1"/>
      <c r="HRK2" s="1"/>
      <c r="HRL2" s="1"/>
      <c r="HRM2" s="1"/>
      <c r="HRN2" s="1"/>
      <c r="HRO2" s="1"/>
      <c r="HRP2" s="1"/>
      <c r="HRQ2" s="1"/>
      <c r="HRR2" s="1"/>
      <c r="HRS2" s="1"/>
      <c r="HRT2" s="1"/>
      <c r="HRU2" s="1"/>
      <c r="HRV2" s="1"/>
      <c r="HRW2" s="1"/>
      <c r="HRX2" s="1"/>
      <c r="HRY2" s="1"/>
      <c r="HRZ2" s="1"/>
      <c r="HSA2" s="1"/>
      <c r="HSB2" s="1"/>
      <c r="HSC2" s="1"/>
      <c r="HSD2" s="1"/>
      <c r="HSE2" s="1"/>
      <c r="HSF2" s="1"/>
      <c r="HSG2" s="1"/>
      <c r="HSH2" s="1"/>
      <c r="HSI2" s="1"/>
      <c r="HSJ2" s="1"/>
      <c r="HSK2" s="1"/>
      <c r="HSL2" s="1"/>
      <c r="HSM2" s="1"/>
      <c r="HSN2" s="1"/>
      <c r="HSO2" s="1"/>
      <c r="HSP2" s="1"/>
      <c r="HSQ2" s="1"/>
      <c r="HSR2" s="1"/>
      <c r="HSS2" s="1"/>
      <c r="HST2" s="1"/>
      <c r="HSU2" s="1"/>
      <c r="HSV2" s="1"/>
      <c r="HSW2" s="1"/>
      <c r="HSX2" s="1"/>
      <c r="HSY2" s="1"/>
      <c r="HSZ2" s="1"/>
      <c r="HTA2" s="1"/>
      <c r="HTB2" s="1"/>
      <c r="HTC2" s="1"/>
      <c r="HTD2" s="1"/>
      <c r="HTE2" s="1"/>
      <c r="HTF2" s="1"/>
      <c r="HTG2" s="1"/>
      <c r="HTH2" s="1"/>
      <c r="HTI2" s="1"/>
      <c r="HTJ2" s="1"/>
      <c r="HTK2" s="1"/>
      <c r="HTL2" s="1"/>
      <c r="HTM2" s="1"/>
      <c r="HTN2" s="1"/>
      <c r="HTO2" s="1"/>
      <c r="HTP2" s="1"/>
      <c r="HTQ2" s="1"/>
      <c r="HTR2" s="1"/>
      <c r="HTS2" s="1"/>
      <c r="HTT2" s="1"/>
      <c r="HTU2" s="1"/>
      <c r="HTV2" s="1"/>
      <c r="HTW2" s="1"/>
      <c r="HTX2" s="1"/>
      <c r="HTY2" s="1"/>
      <c r="HTZ2" s="1"/>
      <c r="HUA2" s="1"/>
      <c r="HUB2" s="1"/>
      <c r="HUC2" s="1"/>
      <c r="HUD2" s="1"/>
      <c r="HUE2" s="1"/>
      <c r="HUF2" s="1"/>
      <c r="HUG2" s="1"/>
      <c r="HUH2" s="1"/>
      <c r="HUI2" s="1"/>
      <c r="HUJ2" s="1"/>
      <c r="HUK2" s="1"/>
      <c r="HUL2" s="1"/>
      <c r="HUM2" s="1"/>
      <c r="HUN2" s="1"/>
      <c r="HUO2" s="1"/>
      <c r="HUP2" s="1"/>
      <c r="HUQ2" s="1"/>
      <c r="HUR2" s="1"/>
      <c r="HUS2" s="1"/>
      <c r="HUT2" s="1"/>
      <c r="HUU2" s="1"/>
      <c r="HUV2" s="1"/>
      <c r="HUW2" s="1"/>
      <c r="HUX2" s="1"/>
      <c r="HUY2" s="1"/>
      <c r="HUZ2" s="1"/>
      <c r="HVA2" s="1"/>
      <c r="HVB2" s="1"/>
      <c r="HVC2" s="1"/>
      <c r="HVD2" s="1"/>
      <c r="HVE2" s="1"/>
      <c r="HVF2" s="1"/>
      <c r="HVG2" s="1"/>
      <c r="HVH2" s="1"/>
      <c r="HVI2" s="1"/>
      <c r="HVJ2" s="1"/>
      <c r="HVK2" s="1"/>
      <c r="HVL2" s="1"/>
      <c r="HVM2" s="1"/>
      <c r="HVN2" s="1"/>
      <c r="HVO2" s="1"/>
      <c r="HVP2" s="1"/>
      <c r="HVQ2" s="1"/>
      <c r="HVR2" s="1"/>
      <c r="HVS2" s="1"/>
      <c r="HVT2" s="1"/>
      <c r="HVU2" s="1"/>
      <c r="HVV2" s="1"/>
      <c r="HVW2" s="1"/>
      <c r="HVX2" s="1"/>
      <c r="HVY2" s="1"/>
      <c r="HVZ2" s="1"/>
      <c r="HWA2" s="1"/>
      <c r="HWB2" s="1"/>
      <c r="HWC2" s="1"/>
      <c r="HWD2" s="1"/>
      <c r="HWE2" s="1"/>
      <c r="HWF2" s="1"/>
      <c r="HWG2" s="1"/>
      <c r="HWH2" s="1"/>
      <c r="HWI2" s="1"/>
      <c r="HWJ2" s="1"/>
      <c r="HWK2" s="1"/>
      <c r="HWL2" s="1"/>
      <c r="HWM2" s="1"/>
      <c r="HWN2" s="1"/>
      <c r="HWO2" s="1"/>
      <c r="HWP2" s="1"/>
      <c r="HWQ2" s="1"/>
      <c r="HWR2" s="1"/>
      <c r="HWS2" s="1"/>
      <c r="HWT2" s="1"/>
      <c r="HWU2" s="1"/>
      <c r="HWV2" s="1"/>
      <c r="HWW2" s="1"/>
      <c r="HWX2" s="1"/>
      <c r="HWY2" s="1"/>
      <c r="HWZ2" s="1"/>
      <c r="HXA2" s="1"/>
      <c r="HXB2" s="1"/>
      <c r="HXC2" s="1"/>
      <c r="HXD2" s="1"/>
      <c r="HXE2" s="1"/>
      <c r="HXF2" s="1"/>
      <c r="HXG2" s="1"/>
      <c r="HXH2" s="1"/>
      <c r="HXI2" s="1"/>
      <c r="HXJ2" s="1"/>
      <c r="HXK2" s="1"/>
      <c r="HXL2" s="1"/>
      <c r="HXM2" s="1"/>
      <c r="HXN2" s="1"/>
      <c r="HXO2" s="1"/>
      <c r="HXP2" s="1"/>
      <c r="HXQ2" s="1"/>
      <c r="HXR2" s="1"/>
      <c r="HXS2" s="1"/>
      <c r="HXT2" s="1"/>
      <c r="HXU2" s="1"/>
      <c r="HXV2" s="1"/>
      <c r="HXW2" s="1"/>
      <c r="HXX2" s="1"/>
      <c r="HXY2" s="1"/>
      <c r="HXZ2" s="1"/>
      <c r="HYA2" s="1"/>
      <c r="HYB2" s="1"/>
      <c r="HYC2" s="1"/>
      <c r="HYD2" s="1"/>
      <c r="HYE2" s="1"/>
      <c r="HYF2" s="1"/>
      <c r="HYG2" s="1"/>
      <c r="HYH2" s="1"/>
      <c r="HYI2" s="1"/>
      <c r="HYJ2" s="1"/>
      <c r="HYK2" s="1"/>
      <c r="HYL2" s="1"/>
      <c r="HYM2" s="1"/>
      <c r="HYN2" s="1"/>
      <c r="HYO2" s="1"/>
      <c r="HYP2" s="1"/>
      <c r="HYQ2" s="1"/>
      <c r="HYR2" s="1"/>
      <c r="HYS2" s="1"/>
      <c r="HYT2" s="1"/>
      <c r="HYU2" s="1"/>
      <c r="HYV2" s="1"/>
      <c r="HYW2" s="1"/>
      <c r="HYX2" s="1"/>
      <c r="HYY2" s="1"/>
      <c r="HYZ2" s="1"/>
      <c r="HZA2" s="1"/>
      <c r="HZB2" s="1"/>
      <c r="HZC2" s="1"/>
      <c r="HZD2" s="1"/>
      <c r="HZE2" s="1"/>
      <c r="HZF2" s="1"/>
      <c r="HZG2" s="1"/>
      <c r="HZH2" s="1"/>
      <c r="HZI2" s="1"/>
      <c r="HZJ2" s="1"/>
      <c r="HZK2" s="1"/>
      <c r="HZL2" s="1"/>
      <c r="HZM2" s="1"/>
      <c r="HZN2" s="1"/>
      <c r="HZO2" s="1"/>
      <c r="HZP2" s="1"/>
      <c r="HZQ2" s="1"/>
      <c r="HZR2" s="1"/>
      <c r="HZS2" s="1"/>
      <c r="HZT2" s="1"/>
      <c r="HZU2" s="1"/>
      <c r="HZV2" s="1"/>
      <c r="HZW2" s="1"/>
      <c r="HZX2" s="1"/>
      <c r="HZY2" s="1"/>
      <c r="HZZ2" s="1"/>
      <c r="IAA2" s="1"/>
      <c r="IAB2" s="1"/>
      <c r="IAC2" s="1"/>
      <c r="IAD2" s="1"/>
      <c r="IAE2" s="1"/>
      <c r="IAF2" s="1"/>
      <c r="IAG2" s="1"/>
      <c r="IAH2" s="1"/>
      <c r="IAI2" s="1"/>
      <c r="IAJ2" s="1"/>
      <c r="IAK2" s="1"/>
      <c r="IAL2" s="1"/>
      <c r="IAM2" s="1"/>
      <c r="IAN2" s="1"/>
      <c r="IAO2" s="1"/>
      <c r="IAP2" s="1"/>
      <c r="IAQ2" s="1"/>
      <c r="IAR2" s="1"/>
      <c r="IAS2" s="1"/>
      <c r="IAT2" s="1"/>
      <c r="IAU2" s="1"/>
      <c r="IAV2" s="1"/>
      <c r="IAW2" s="1"/>
      <c r="IAX2" s="1"/>
      <c r="IAY2" s="1"/>
      <c r="IAZ2" s="1"/>
      <c r="IBA2" s="1"/>
      <c r="IBB2" s="1"/>
      <c r="IBC2" s="1"/>
      <c r="IBD2" s="1"/>
      <c r="IBE2" s="1"/>
      <c r="IBF2" s="1"/>
      <c r="IBG2" s="1"/>
      <c r="IBH2" s="1"/>
      <c r="IBI2" s="1"/>
      <c r="IBJ2" s="1"/>
      <c r="IBK2" s="1"/>
      <c r="IBL2" s="1"/>
      <c r="IBM2" s="1"/>
      <c r="IBN2" s="1"/>
      <c r="IBO2" s="1"/>
      <c r="IBP2" s="1"/>
      <c r="IBQ2" s="1"/>
      <c r="IBR2" s="1"/>
      <c r="IBS2" s="1"/>
      <c r="IBT2" s="1"/>
      <c r="IBU2" s="1"/>
      <c r="IBV2" s="1"/>
      <c r="IBW2" s="1"/>
      <c r="IBX2" s="1"/>
      <c r="IBY2" s="1"/>
      <c r="IBZ2" s="1"/>
      <c r="ICA2" s="1"/>
      <c r="ICB2" s="1"/>
      <c r="ICC2" s="1"/>
      <c r="ICD2" s="1"/>
      <c r="ICE2" s="1"/>
      <c r="ICF2" s="1"/>
      <c r="ICG2" s="1"/>
      <c r="ICH2" s="1"/>
      <c r="ICI2" s="1"/>
      <c r="ICJ2" s="1"/>
      <c r="ICK2" s="1"/>
      <c r="ICL2" s="1"/>
      <c r="ICM2" s="1"/>
      <c r="ICN2" s="1"/>
      <c r="ICO2" s="1"/>
      <c r="ICP2" s="1"/>
      <c r="ICQ2" s="1"/>
      <c r="ICR2" s="1"/>
      <c r="ICS2" s="1"/>
      <c r="ICT2" s="1"/>
      <c r="ICU2" s="1"/>
      <c r="ICV2" s="1"/>
      <c r="ICW2" s="1"/>
      <c r="ICX2" s="1"/>
      <c r="ICY2" s="1"/>
      <c r="ICZ2" s="1"/>
      <c r="IDA2" s="1"/>
      <c r="IDB2" s="1"/>
      <c r="IDC2" s="1"/>
      <c r="IDD2" s="1"/>
      <c r="IDE2" s="1"/>
      <c r="IDF2" s="1"/>
      <c r="IDG2" s="1"/>
      <c r="IDH2" s="1"/>
      <c r="IDI2" s="1"/>
      <c r="IDJ2" s="1"/>
      <c r="IDK2" s="1"/>
      <c r="IDL2" s="1"/>
      <c r="IDM2" s="1"/>
      <c r="IDN2" s="1"/>
      <c r="IDO2" s="1"/>
      <c r="IDP2" s="1"/>
      <c r="IDQ2" s="1"/>
      <c r="IDR2" s="1"/>
      <c r="IDS2" s="1"/>
      <c r="IDT2" s="1"/>
      <c r="IDU2" s="1"/>
      <c r="IDV2" s="1"/>
      <c r="IDW2" s="1"/>
      <c r="IDX2" s="1"/>
      <c r="IDY2" s="1"/>
      <c r="IDZ2" s="1"/>
      <c r="IEA2" s="1"/>
      <c r="IEB2" s="1"/>
      <c r="IEC2" s="1"/>
      <c r="IED2" s="1"/>
      <c r="IEE2" s="1"/>
      <c r="IEF2" s="1"/>
      <c r="IEG2" s="1"/>
      <c r="IEH2" s="1"/>
      <c r="IEI2" s="1"/>
      <c r="IEJ2" s="1"/>
      <c r="IEK2" s="1"/>
      <c r="IEL2" s="1"/>
      <c r="IEM2" s="1"/>
      <c r="IEN2" s="1"/>
      <c r="IEO2" s="1"/>
      <c r="IEP2" s="1"/>
      <c r="IEQ2" s="1"/>
      <c r="IER2" s="1"/>
      <c r="IES2" s="1"/>
      <c r="IET2" s="1"/>
      <c r="IEU2" s="1"/>
      <c r="IEV2" s="1"/>
      <c r="IEW2" s="1"/>
      <c r="IEX2" s="1"/>
      <c r="IEY2" s="1"/>
      <c r="IEZ2" s="1"/>
      <c r="IFA2" s="1"/>
      <c r="IFB2" s="1"/>
      <c r="IFC2" s="1"/>
      <c r="IFD2" s="1"/>
      <c r="IFE2" s="1"/>
      <c r="IFF2" s="1"/>
      <c r="IFG2" s="1"/>
      <c r="IFH2" s="1"/>
      <c r="IFI2" s="1"/>
      <c r="IFJ2" s="1"/>
      <c r="IFK2" s="1"/>
      <c r="IFL2" s="1"/>
      <c r="IFM2" s="1"/>
      <c r="IFN2" s="1"/>
      <c r="IFO2" s="1"/>
      <c r="IFP2" s="1"/>
      <c r="IFQ2" s="1"/>
      <c r="IFR2" s="1"/>
      <c r="IFS2" s="1"/>
      <c r="IFT2" s="1"/>
      <c r="IFU2" s="1"/>
      <c r="IFV2" s="1"/>
      <c r="IFW2" s="1"/>
      <c r="IFX2" s="1"/>
      <c r="IFY2" s="1"/>
      <c r="IFZ2" s="1"/>
      <c r="IGA2" s="1"/>
      <c r="IGB2" s="1"/>
      <c r="IGC2" s="1"/>
      <c r="IGD2" s="1"/>
      <c r="IGE2" s="1"/>
      <c r="IGF2" s="1"/>
      <c r="IGG2" s="1"/>
      <c r="IGH2" s="1"/>
      <c r="IGI2" s="1"/>
      <c r="IGJ2" s="1"/>
      <c r="IGK2" s="1"/>
      <c r="IGL2" s="1"/>
      <c r="IGM2" s="1"/>
      <c r="IGN2" s="1"/>
      <c r="IGO2" s="1"/>
      <c r="IGP2" s="1"/>
      <c r="IGQ2" s="1"/>
      <c r="IGR2" s="1"/>
      <c r="IGS2" s="1"/>
      <c r="IGT2" s="1"/>
      <c r="IGU2" s="1"/>
      <c r="IGV2" s="1"/>
      <c r="IGW2" s="1"/>
      <c r="IGX2" s="1"/>
      <c r="IGY2" s="1"/>
      <c r="IGZ2" s="1"/>
      <c r="IHA2" s="1"/>
      <c r="IHB2" s="1"/>
      <c r="IHC2" s="1"/>
      <c r="IHD2" s="1"/>
      <c r="IHE2" s="1"/>
      <c r="IHF2" s="1"/>
      <c r="IHG2" s="1"/>
      <c r="IHH2" s="1"/>
      <c r="IHI2" s="1"/>
      <c r="IHJ2" s="1"/>
      <c r="IHK2" s="1"/>
      <c r="IHL2" s="1"/>
      <c r="IHM2" s="1"/>
      <c r="IHN2" s="1"/>
      <c r="IHO2" s="1"/>
      <c r="IHP2" s="1"/>
      <c r="IHQ2" s="1"/>
      <c r="IHR2" s="1"/>
      <c r="IHS2" s="1"/>
      <c r="IHT2" s="1"/>
      <c r="IHU2" s="1"/>
      <c r="IHV2" s="1"/>
      <c r="IHW2" s="1"/>
      <c r="IHX2" s="1"/>
      <c r="IHY2" s="1"/>
      <c r="IHZ2" s="1"/>
      <c r="IIA2" s="1"/>
      <c r="IIB2" s="1"/>
      <c r="IIC2" s="1"/>
      <c r="IID2" s="1"/>
      <c r="IIE2" s="1"/>
      <c r="IIF2" s="1"/>
      <c r="IIG2" s="1"/>
      <c r="IIH2" s="1"/>
      <c r="III2" s="1"/>
      <c r="IIJ2" s="1"/>
      <c r="IIK2" s="1"/>
      <c r="IIL2" s="1"/>
      <c r="IIM2" s="1"/>
      <c r="IIN2" s="1"/>
      <c r="IIO2" s="1"/>
      <c r="IIP2" s="1"/>
      <c r="IIQ2" s="1"/>
      <c r="IIR2" s="1"/>
      <c r="IIS2" s="1"/>
      <c r="IIT2" s="1"/>
      <c r="IIU2" s="1"/>
      <c r="IIV2" s="1"/>
      <c r="IIW2" s="1"/>
      <c r="IIX2" s="1"/>
      <c r="IIY2" s="1"/>
      <c r="IIZ2" s="1"/>
      <c r="IJA2" s="1"/>
      <c r="IJB2" s="1"/>
      <c r="IJC2" s="1"/>
      <c r="IJD2" s="1"/>
      <c r="IJE2" s="1"/>
      <c r="IJF2" s="1"/>
      <c r="IJG2" s="1"/>
      <c r="IJH2" s="1"/>
      <c r="IJI2" s="1"/>
      <c r="IJJ2" s="1"/>
      <c r="IJK2" s="1"/>
      <c r="IJL2" s="1"/>
      <c r="IJM2" s="1"/>
      <c r="IJN2" s="1"/>
      <c r="IJO2" s="1"/>
      <c r="IJP2" s="1"/>
      <c r="IJQ2" s="1"/>
      <c r="IJR2" s="1"/>
      <c r="IJS2" s="1"/>
      <c r="IJT2" s="1"/>
      <c r="IJU2" s="1"/>
      <c r="IJV2" s="1"/>
      <c r="IJW2" s="1"/>
      <c r="IJX2" s="1"/>
      <c r="IJY2" s="1"/>
      <c r="IJZ2" s="1"/>
      <c r="IKA2" s="1"/>
      <c r="IKB2" s="1"/>
      <c r="IKC2" s="1"/>
      <c r="IKD2" s="1"/>
      <c r="IKE2" s="1"/>
      <c r="IKF2" s="1"/>
      <c r="IKG2" s="1"/>
      <c r="IKH2" s="1"/>
      <c r="IKI2" s="1"/>
      <c r="IKJ2" s="1"/>
      <c r="IKK2" s="1"/>
      <c r="IKL2" s="1"/>
      <c r="IKM2" s="1"/>
      <c r="IKN2" s="1"/>
      <c r="IKO2" s="1"/>
      <c r="IKP2" s="1"/>
      <c r="IKQ2" s="1"/>
      <c r="IKR2" s="1"/>
      <c r="IKS2" s="1"/>
      <c r="IKT2" s="1"/>
      <c r="IKU2" s="1"/>
      <c r="IKV2" s="1"/>
      <c r="IKW2" s="1"/>
      <c r="IKX2" s="1"/>
      <c r="IKY2" s="1"/>
      <c r="IKZ2" s="1"/>
      <c r="ILA2" s="1"/>
      <c r="ILB2" s="1"/>
      <c r="ILC2" s="1"/>
      <c r="ILD2" s="1"/>
      <c r="ILE2" s="1"/>
      <c r="ILF2" s="1"/>
      <c r="ILG2" s="1"/>
      <c r="ILH2" s="1"/>
      <c r="ILI2" s="1"/>
      <c r="ILJ2" s="1"/>
      <c r="ILK2" s="1"/>
      <c r="ILL2" s="1"/>
      <c r="ILM2" s="1"/>
      <c r="ILN2" s="1"/>
      <c r="ILO2" s="1"/>
      <c r="ILP2" s="1"/>
      <c r="ILQ2" s="1"/>
      <c r="ILR2" s="1"/>
      <c r="ILS2" s="1"/>
      <c r="ILT2" s="1"/>
      <c r="ILU2" s="1"/>
      <c r="ILV2" s="1"/>
      <c r="ILW2" s="1"/>
      <c r="ILX2" s="1"/>
      <c r="ILY2" s="1"/>
      <c r="ILZ2" s="1"/>
      <c r="IMA2" s="1"/>
      <c r="IMB2" s="1"/>
      <c r="IMC2" s="1"/>
      <c r="IMD2" s="1"/>
      <c r="IME2" s="1"/>
      <c r="IMF2" s="1"/>
      <c r="IMG2" s="1"/>
      <c r="IMH2" s="1"/>
      <c r="IMI2" s="1"/>
      <c r="IMJ2" s="1"/>
      <c r="IMK2" s="1"/>
      <c r="IML2" s="1"/>
      <c r="IMM2" s="1"/>
      <c r="IMN2" s="1"/>
      <c r="IMO2" s="1"/>
      <c r="IMP2" s="1"/>
      <c r="IMQ2" s="1"/>
      <c r="IMR2" s="1"/>
      <c r="IMS2" s="1"/>
      <c r="IMT2" s="1"/>
      <c r="IMU2" s="1"/>
      <c r="IMV2" s="1"/>
      <c r="IMW2" s="1"/>
      <c r="IMX2" s="1"/>
      <c r="IMY2" s="1"/>
      <c r="IMZ2" s="1"/>
      <c r="INA2" s="1"/>
      <c r="INB2" s="1"/>
      <c r="INC2" s="1"/>
      <c r="IND2" s="1"/>
      <c r="INE2" s="1"/>
      <c r="INF2" s="1"/>
      <c r="ING2" s="1"/>
      <c r="INH2" s="1"/>
      <c r="INI2" s="1"/>
      <c r="INJ2" s="1"/>
      <c r="INK2" s="1"/>
      <c r="INL2" s="1"/>
      <c r="INM2" s="1"/>
      <c r="INN2" s="1"/>
      <c r="INO2" s="1"/>
      <c r="INP2" s="1"/>
      <c r="INQ2" s="1"/>
      <c r="INR2" s="1"/>
      <c r="INS2" s="1"/>
      <c r="INT2" s="1"/>
      <c r="INU2" s="1"/>
      <c r="INV2" s="1"/>
      <c r="INW2" s="1"/>
      <c r="INX2" s="1"/>
      <c r="INY2" s="1"/>
      <c r="INZ2" s="1"/>
      <c r="IOA2" s="1"/>
      <c r="IOB2" s="1"/>
      <c r="IOC2" s="1"/>
      <c r="IOD2" s="1"/>
      <c r="IOE2" s="1"/>
      <c r="IOF2" s="1"/>
      <c r="IOG2" s="1"/>
      <c r="IOH2" s="1"/>
      <c r="IOI2" s="1"/>
      <c r="IOJ2" s="1"/>
      <c r="IOK2" s="1"/>
      <c r="IOL2" s="1"/>
      <c r="IOM2" s="1"/>
      <c r="ION2" s="1"/>
      <c r="IOO2" s="1"/>
      <c r="IOP2" s="1"/>
      <c r="IOQ2" s="1"/>
      <c r="IOR2" s="1"/>
      <c r="IOS2" s="1"/>
      <c r="IOT2" s="1"/>
      <c r="IOU2" s="1"/>
      <c r="IOV2" s="1"/>
      <c r="IOW2" s="1"/>
      <c r="IOX2" s="1"/>
      <c r="IOY2" s="1"/>
      <c r="IOZ2" s="1"/>
      <c r="IPA2" s="1"/>
      <c r="IPB2" s="1"/>
      <c r="IPC2" s="1"/>
      <c r="IPD2" s="1"/>
      <c r="IPE2" s="1"/>
      <c r="IPF2" s="1"/>
      <c r="IPG2" s="1"/>
      <c r="IPH2" s="1"/>
      <c r="IPI2" s="1"/>
      <c r="IPJ2" s="1"/>
      <c r="IPK2" s="1"/>
      <c r="IPL2" s="1"/>
      <c r="IPM2" s="1"/>
      <c r="IPN2" s="1"/>
      <c r="IPO2" s="1"/>
      <c r="IPP2" s="1"/>
      <c r="IPQ2" s="1"/>
      <c r="IPR2" s="1"/>
      <c r="IPS2" s="1"/>
      <c r="IPT2" s="1"/>
      <c r="IPU2" s="1"/>
      <c r="IPV2" s="1"/>
      <c r="IPW2" s="1"/>
      <c r="IPX2" s="1"/>
      <c r="IPY2" s="1"/>
      <c r="IPZ2" s="1"/>
      <c r="IQA2" s="1"/>
      <c r="IQB2" s="1"/>
      <c r="IQC2" s="1"/>
      <c r="IQD2" s="1"/>
      <c r="IQE2" s="1"/>
      <c r="IQF2" s="1"/>
      <c r="IQG2" s="1"/>
      <c r="IQH2" s="1"/>
      <c r="IQI2" s="1"/>
      <c r="IQJ2" s="1"/>
      <c r="IQK2" s="1"/>
      <c r="IQL2" s="1"/>
      <c r="IQM2" s="1"/>
      <c r="IQN2" s="1"/>
      <c r="IQO2" s="1"/>
      <c r="IQP2" s="1"/>
      <c r="IQQ2" s="1"/>
      <c r="IQR2" s="1"/>
      <c r="IQS2" s="1"/>
      <c r="IQT2" s="1"/>
      <c r="IQU2" s="1"/>
      <c r="IQV2" s="1"/>
      <c r="IQW2" s="1"/>
      <c r="IQX2" s="1"/>
      <c r="IQY2" s="1"/>
      <c r="IQZ2" s="1"/>
      <c r="IRA2" s="1"/>
      <c r="IRB2" s="1"/>
      <c r="IRC2" s="1"/>
      <c r="IRD2" s="1"/>
      <c r="IRE2" s="1"/>
      <c r="IRF2" s="1"/>
      <c r="IRG2" s="1"/>
      <c r="IRH2" s="1"/>
      <c r="IRI2" s="1"/>
      <c r="IRJ2" s="1"/>
      <c r="IRK2" s="1"/>
      <c r="IRL2" s="1"/>
      <c r="IRM2" s="1"/>
      <c r="IRN2" s="1"/>
      <c r="IRO2" s="1"/>
      <c r="IRP2" s="1"/>
      <c r="IRQ2" s="1"/>
      <c r="IRR2" s="1"/>
      <c r="IRS2" s="1"/>
      <c r="IRT2" s="1"/>
      <c r="IRU2" s="1"/>
      <c r="IRV2" s="1"/>
      <c r="IRW2" s="1"/>
      <c r="IRX2" s="1"/>
      <c r="IRY2" s="1"/>
      <c r="IRZ2" s="1"/>
      <c r="ISA2" s="1"/>
      <c r="ISB2" s="1"/>
      <c r="ISC2" s="1"/>
      <c r="ISD2" s="1"/>
      <c r="ISE2" s="1"/>
      <c r="ISF2" s="1"/>
      <c r="ISG2" s="1"/>
      <c r="ISH2" s="1"/>
      <c r="ISI2" s="1"/>
      <c r="ISJ2" s="1"/>
      <c r="ISK2" s="1"/>
      <c r="ISL2" s="1"/>
      <c r="ISM2" s="1"/>
      <c r="ISN2" s="1"/>
      <c r="ISO2" s="1"/>
      <c r="ISP2" s="1"/>
      <c r="ISQ2" s="1"/>
      <c r="ISR2" s="1"/>
      <c r="ISS2" s="1"/>
      <c r="IST2" s="1"/>
      <c r="ISU2" s="1"/>
      <c r="ISV2" s="1"/>
      <c r="ISW2" s="1"/>
      <c r="ISX2" s="1"/>
      <c r="ISY2" s="1"/>
      <c r="ISZ2" s="1"/>
      <c r="ITA2" s="1"/>
      <c r="ITB2" s="1"/>
      <c r="ITC2" s="1"/>
      <c r="ITD2" s="1"/>
      <c r="ITE2" s="1"/>
      <c r="ITF2" s="1"/>
      <c r="ITG2" s="1"/>
      <c r="ITH2" s="1"/>
      <c r="ITI2" s="1"/>
      <c r="ITJ2" s="1"/>
      <c r="ITK2" s="1"/>
      <c r="ITL2" s="1"/>
      <c r="ITM2" s="1"/>
      <c r="ITN2" s="1"/>
      <c r="ITO2" s="1"/>
      <c r="ITP2" s="1"/>
      <c r="ITQ2" s="1"/>
      <c r="ITR2" s="1"/>
      <c r="ITS2" s="1"/>
      <c r="ITT2" s="1"/>
      <c r="ITU2" s="1"/>
      <c r="ITV2" s="1"/>
      <c r="ITW2" s="1"/>
      <c r="ITX2" s="1"/>
      <c r="ITY2" s="1"/>
      <c r="ITZ2" s="1"/>
      <c r="IUA2" s="1"/>
      <c r="IUB2" s="1"/>
      <c r="IUC2" s="1"/>
      <c r="IUD2" s="1"/>
      <c r="IUE2" s="1"/>
      <c r="IUF2" s="1"/>
      <c r="IUG2" s="1"/>
      <c r="IUH2" s="1"/>
      <c r="IUI2" s="1"/>
      <c r="IUJ2" s="1"/>
      <c r="IUK2" s="1"/>
      <c r="IUL2" s="1"/>
      <c r="IUM2" s="1"/>
      <c r="IUN2" s="1"/>
      <c r="IUO2" s="1"/>
      <c r="IUP2" s="1"/>
      <c r="IUQ2" s="1"/>
      <c r="IUR2" s="1"/>
      <c r="IUS2" s="1"/>
      <c r="IUT2" s="1"/>
      <c r="IUU2" s="1"/>
      <c r="IUV2" s="1"/>
      <c r="IUW2" s="1"/>
      <c r="IUX2" s="1"/>
      <c r="IUY2" s="1"/>
      <c r="IUZ2" s="1"/>
      <c r="IVA2" s="1"/>
      <c r="IVB2" s="1"/>
      <c r="IVC2" s="1"/>
      <c r="IVD2" s="1"/>
      <c r="IVE2" s="1"/>
      <c r="IVF2" s="1"/>
      <c r="IVG2" s="1"/>
      <c r="IVH2" s="1"/>
      <c r="IVI2" s="1"/>
      <c r="IVJ2" s="1"/>
      <c r="IVK2" s="1"/>
      <c r="IVL2" s="1"/>
      <c r="IVM2" s="1"/>
      <c r="IVN2" s="1"/>
      <c r="IVO2" s="1"/>
      <c r="IVP2" s="1"/>
      <c r="IVQ2" s="1"/>
      <c r="IVR2" s="1"/>
      <c r="IVS2" s="1"/>
      <c r="IVT2" s="1"/>
      <c r="IVU2" s="1"/>
      <c r="IVV2" s="1"/>
      <c r="IVW2" s="1"/>
      <c r="IVX2" s="1"/>
      <c r="IVY2" s="1"/>
      <c r="IVZ2" s="1"/>
      <c r="IWA2" s="1"/>
      <c r="IWB2" s="1"/>
      <c r="IWC2" s="1"/>
      <c r="IWD2" s="1"/>
      <c r="IWE2" s="1"/>
      <c r="IWF2" s="1"/>
      <c r="IWG2" s="1"/>
      <c r="IWH2" s="1"/>
      <c r="IWI2" s="1"/>
      <c r="IWJ2" s="1"/>
      <c r="IWK2" s="1"/>
      <c r="IWL2" s="1"/>
      <c r="IWM2" s="1"/>
      <c r="IWN2" s="1"/>
      <c r="IWO2" s="1"/>
      <c r="IWP2" s="1"/>
      <c r="IWQ2" s="1"/>
      <c r="IWR2" s="1"/>
      <c r="IWS2" s="1"/>
      <c r="IWT2" s="1"/>
      <c r="IWU2" s="1"/>
      <c r="IWV2" s="1"/>
      <c r="IWW2" s="1"/>
      <c r="IWX2" s="1"/>
      <c r="IWY2" s="1"/>
      <c r="IWZ2" s="1"/>
      <c r="IXA2" s="1"/>
      <c r="IXB2" s="1"/>
      <c r="IXC2" s="1"/>
      <c r="IXD2" s="1"/>
      <c r="IXE2" s="1"/>
      <c r="IXF2" s="1"/>
      <c r="IXG2" s="1"/>
      <c r="IXH2" s="1"/>
      <c r="IXI2" s="1"/>
      <c r="IXJ2" s="1"/>
      <c r="IXK2" s="1"/>
      <c r="IXL2" s="1"/>
      <c r="IXM2" s="1"/>
      <c r="IXN2" s="1"/>
      <c r="IXO2" s="1"/>
      <c r="IXP2" s="1"/>
      <c r="IXQ2" s="1"/>
      <c r="IXR2" s="1"/>
      <c r="IXS2" s="1"/>
      <c r="IXT2" s="1"/>
      <c r="IXU2" s="1"/>
      <c r="IXV2" s="1"/>
      <c r="IXW2" s="1"/>
      <c r="IXX2" s="1"/>
      <c r="IXY2" s="1"/>
      <c r="IXZ2" s="1"/>
      <c r="IYA2" s="1"/>
      <c r="IYB2" s="1"/>
      <c r="IYC2" s="1"/>
      <c r="IYD2" s="1"/>
      <c r="IYE2" s="1"/>
      <c r="IYF2" s="1"/>
      <c r="IYG2" s="1"/>
      <c r="IYH2" s="1"/>
      <c r="IYI2" s="1"/>
      <c r="IYJ2" s="1"/>
      <c r="IYK2" s="1"/>
      <c r="IYL2" s="1"/>
      <c r="IYM2" s="1"/>
      <c r="IYN2" s="1"/>
      <c r="IYO2" s="1"/>
      <c r="IYP2" s="1"/>
      <c r="IYQ2" s="1"/>
      <c r="IYR2" s="1"/>
      <c r="IYS2" s="1"/>
      <c r="IYT2" s="1"/>
      <c r="IYU2" s="1"/>
      <c r="IYV2" s="1"/>
      <c r="IYW2" s="1"/>
      <c r="IYX2" s="1"/>
      <c r="IYY2" s="1"/>
      <c r="IYZ2" s="1"/>
      <c r="IZA2" s="1"/>
      <c r="IZB2" s="1"/>
      <c r="IZC2" s="1"/>
      <c r="IZD2" s="1"/>
      <c r="IZE2" s="1"/>
      <c r="IZF2" s="1"/>
      <c r="IZG2" s="1"/>
      <c r="IZH2" s="1"/>
      <c r="IZI2" s="1"/>
      <c r="IZJ2" s="1"/>
      <c r="IZK2" s="1"/>
      <c r="IZL2" s="1"/>
      <c r="IZM2" s="1"/>
      <c r="IZN2" s="1"/>
      <c r="IZO2" s="1"/>
      <c r="IZP2" s="1"/>
      <c r="IZQ2" s="1"/>
      <c r="IZR2" s="1"/>
      <c r="IZS2" s="1"/>
      <c r="IZT2" s="1"/>
      <c r="IZU2" s="1"/>
      <c r="IZV2" s="1"/>
      <c r="IZW2" s="1"/>
      <c r="IZX2" s="1"/>
      <c r="IZY2" s="1"/>
      <c r="IZZ2" s="1"/>
      <c r="JAA2" s="1"/>
      <c r="JAB2" s="1"/>
      <c r="JAC2" s="1"/>
      <c r="JAD2" s="1"/>
      <c r="JAE2" s="1"/>
      <c r="JAF2" s="1"/>
      <c r="JAG2" s="1"/>
      <c r="JAH2" s="1"/>
      <c r="JAI2" s="1"/>
      <c r="JAJ2" s="1"/>
      <c r="JAK2" s="1"/>
      <c r="JAL2" s="1"/>
      <c r="JAM2" s="1"/>
      <c r="JAN2" s="1"/>
      <c r="JAO2" s="1"/>
      <c r="JAP2" s="1"/>
      <c r="JAQ2" s="1"/>
      <c r="JAR2" s="1"/>
      <c r="JAS2" s="1"/>
      <c r="JAT2" s="1"/>
      <c r="JAU2" s="1"/>
      <c r="JAV2" s="1"/>
      <c r="JAW2" s="1"/>
      <c r="JAX2" s="1"/>
      <c r="JAY2" s="1"/>
      <c r="JAZ2" s="1"/>
      <c r="JBA2" s="1"/>
      <c r="JBB2" s="1"/>
      <c r="JBC2" s="1"/>
      <c r="JBD2" s="1"/>
      <c r="JBE2" s="1"/>
      <c r="JBF2" s="1"/>
      <c r="JBG2" s="1"/>
      <c r="JBH2" s="1"/>
      <c r="JBI2" s="1"/>
      <c r="JBJ2" s="1"/>
      <c r="JBK2" s="1"/>
      <c r="JBL2" s="1"/>
      <c r="JBM2" s="1"/>
      <c r="JBN2" s="1"/>
      <c r="JBO2" s="1"/>
      <c r="JBP2" s="1"/>
      <c r="JBQ2" s="1"/>
      <c r="JBR2" s="1"/>
      <c r="JBS2" s="1"/>
      <c r="JBT2" s="1"/>
      <c r="JBU2" s="1"/>
      <c r="JBV2" s="1"/>
      <c r="JBW2" s="1"/>
      <c r="JBX2" s="1"/>
      <c r="JBY2" s="1"/>
      <c r="JBZ2" s="1"/>
      <c r="JCA2" s="1"/>
      <c r="JCB2" s="1"/>
      <c r="JCC2" s="1"/>
      <c r="JCD2" s="1"/>
      <c r="JCE2" s="1"/>
      <c r="JCF2" s="1"/>
      <c r="JCG2" s="1"/>
      <c r="JCH2" s="1"/>
      <c r="JCI2" s="1"/>
      <c r="JCJ2" s="1"/>
      <c r="JCK2" s="1"/>
      <c r="JCL2" s="1"/>
      <c r="JCM2" s="1"/>
      <c r="JCN2" s="1"/>
      <c r="JCO2" s="1"/>
      <c r="JCP2" s="1"/>
      <c r="JCQ2" s="1"/>
      <c r="JCR2" s="1"/>
      <c r="JCS2" s="1"/>
      <c r="JCT2" s="1"/>
      <c r="JCU2" s="1"/>
      <c r="JCV2" s="1"/>
      <c r="JCW2" s="1"/>
      <c r="JCX2" s="1"/>
      <c r="JCY2" s="1"/>
      <c r="JCZ2" s="1"/>
      <c r="JDA2" s="1"/>
      <c r="JDB2" s="1"/>
      <c r="JDC2" s="1"/>
      <c r="JDD2" s="1"/>
      <c r="JDE2" s="1"/>
      <c r="JDF2" s="1"/>
      <c r="JDG2" s="1"/>
      <c r="JDH2" s="1"/>
      <c r="JDI2" s="1"/>
      <c r="JDJ2" s="1"/>
      <c r="JDK2" s="1"/>
      <c r="JDL2" s="1"/>
      <c r="JDM2" s="1"/>
      <c r="JDN2" s="1"/>
      <c r="JDO2" s="1"/>
      <c r="JDP2" s="1"/>
      <c r="JDQ2" s="1"/>
      <c r="JDR2" s="1"/>
      <c r="JDS2" s="1"/>
      <c r="JDT2" s="1"/>
      <c r="JDU2" s="1"/>
      <c r="JDV2" s="1"/>
      <c r="JDW2" s="1"/>
      <c r="JDX2" s="1"/>
      <c r="JDY2" s="1"/>
      <c r="JDZ2" s="1"/>
      <c r="JEA2" s="1"/>
      <c r="JEB2" s="1"/>
      <c r="JEC2" s="1"/>
      <c r="JED2" s="1"/>
      <c r="JEE2" s="1"/>
      <c r="JEF2" s="1"/>
      <c r="JEG2" s="1"/>
      <c r="JEH2" s="1"/>
      <c r="JEI2" s="1"/>
      <c r="JEJ2" s="1"/>
      <c r="JEK2" s="1"/>
      <c r="JEL2" s="1"/>
      <c r="JEM2" s="1"/>
      <c r="JEN2" s="1"/>
      <c r="JEO2" s="1"/>
      <c r="JEP2" s="1"/>
      <c r="JEQ2" s="1"/>
      <c r="JER2" s="1"/>
      <c r="JES2" s="1"/>
      <c r="JET2" s="1"/>
      <c r="JEU2" s="1"/>
      <c r="JEV2" s="1"/>
      <c r="JEW2" s="1"/>
      <c r="JEX2" s="1"/>
      <c r="JEY2" s="1"/>
      <c r="JEZ2" s="1"/>
      <c r="JFA2" s="1"/>
      <c r="JFB2" s="1"/>
      <c r="JFC2" s="1"/>
      <c r="JFD2" s="1"/>
      <c r="JFE2" s="1"/>
      <c r="JFF2" s="1"/>
      <c r="JFG2" s="1"/>
      <c r="JFH2" s="1"/>
      <c r="JFI2" s="1"/>
      <c r="JFJ2" s="1"/>
      <c r="JFK2" s="1"/>
      <c r="JFL2" s="1"/>
      <c r="JFM2" s="1"/>
      <c r="JFN2" s="1"/>
      <c r="JFO2" s="1"/>
      <c r="JFP2" s="1"/>
      <c r="JFQ2" s="1"/>
      <c r="JFR2" s="1"/>
      <c r="JFS2" s="1"/>
      <c r="JFT2" s="1"/>
      <c r="JFU2" s="1"/>
      <c r="JFV2" s="1"/>
      <c r="JFW2" s="1"/>
      <c r="JFX2" s="1"/>
      <c r="JFY2" s="1"/>
      <c r="JFZ2" s="1"/>
      <c r="JGA2" s="1"/>
      <c r="JGB2" s="1"/>
      <c r="JGC2" s="1"/>
      <c r="JGD2" s="1"/>
      <c r="JGE2" s="1"/>
      <c r="JGF2" s="1"/>
      <c r="JGG2" s="1"/>
      <c r="JGH2" s="1"/>
      <c r="JGI2" s="1"/>
      <c r="JGJ2" s="1"/>
      <c r="JGK2" s="1"/>
      <c r="JGL2" s="1"/>
      <c r="JGM2" s="1"/>
      <c r="JGN2" s="1"/>
      <c r="JGO2" s="1"/>
      <c r="JGP2" s="1"/>
      <c r="JGQ2" s="1"/>
      <c r="JGR2" s="1"/>
      <c r="JGS2" s="1"/>
      <c r="JGT2" s="1"/>
      <c r="JGU2" s="1"/>
      <c r="JGV2" s="1"/>
      <c r="JGW2" s="1"/>
      <c r="JGX2" s="1"/>
      <c r="JGY2" s="1"/>
      <c r="JGZ2" s="1"/>
      <c r="JHA2" s="1"/>
      <c r="JHB2" s="1"/>
      <c r="JHC2" s="1"/>
      <c r="JHD2" s="1"/>
      <c r="JHE2" s="1"/>
      <c r="JHF2" s="1"/>
      <c r="JHG2" s="1"/>
      <c r="JHH2" s="1"/>
      <c r="JHI2" s="1"/>
      <c r="JHJ2" s="1"/>
      <c r="JHK2" s="1"/>
      <c r="JHL2" s="1"/>
      <c r="JHM2" s="1"/>
      <c r="JHN2" s="1"/>
      <c r="JHO2" s="1"/>
      <c r="JHP2" s="1"/>
      <c r="JHQ2" s="1"/>
      <c r="JHR2" s="1"/>
      <c r="JHS2" s="1"/>
      <c r="JHT2" s="1"/>
      <c r="JHU2" s="1"/>
      <c r="JHV2" s="1"/>
      <c r="JHW2" s="1"/>
      <c r="JHX2" s="1"/>
      <c r="JHY2" s="1"/>
      <c r="JHZ2" s="1"/>
      <c r="JIA2" s="1"/>
      <c r="JIB2" s="1"/>
      <c r="JIC2" s="1"/>
      <c r="JID2" s="1"/>
      <c r="JIE2" s="1"/>
      <c r="JIF2" s="1"/>
      <c r="JIG2" s="1"/>
      <c r="JIH2" s="1"/>
      <c r="JII2" s="1"/>
      <c r="JIJ2" s="1"/>
      <c r="JIK2" s="1"/>
      <c r="JIL2" s="1"/>
      <c r="JIM2" s="1"/>
      <c r="JIN2" s="1"/>
      <c r="JIO2" s="1"/>
      <c r="JIP2" s="1"/>
      <c r="JIQ2" s="1"/>
      <c r="JIR2" s="1"/>
      <c r="JIS2" s="1"/>
      <c r="JIT2" s="1"/>
      <c r="JIU2" s="1"/>
      <c r="JIV2" s="1"/>
      <c r="JIW2" s="1"/>
      <c r="JIX2" s="1"/>
      <c r="JIY2" s="1"/>
      <c r="JIZ2" s="1"/>
      <c r="JJA2" s="1"/>
      <c r="JJB2" s="1"/>
      <c r="JJC2" s="1"/>
      <c r="JJD2" s="1"/>
      <c r="JJE2" s="1"/>
      <c r="JJF2" s="1"/>
      <c r="JJG2" s="1"/>
      <c r="JJH2" s="1"/>
      <c r="JJI2" s="1"/>
      <c r="JJJ2" s="1"/>
      <c r="JJK2" s="1"/>
      <c r="JJL2" s="1"/>
      <c r="JJM2" s="1"/>
      <c r="JJN2" s="1"/>
      <c r="JJO2" s="1"/>
      <c r="JJP2" s="1"/>
      <c r="JJQ2" s="1"/>
      <c r="JJR2" s="1"/>
      <c r="JJS2" s="1"/>
      <c r="JJT2" s="1"/>
      <c r="JJU2" s="1"/>
      <c r="JJV2" s="1"/>
      <c r="JJW2" s="1"/>
      <c r="JJX2" s="1"/>
      <c r="JJY2" s="1"/>
      <c r="JJZ2" s="1"/>
      <c r="JKA2" s="1"/>
      <c r="JKB2" s="1"/>
      <c r="JKC2" s="1"/>
      <c r="JKD2" s="1"/>
      <c r="JKE2" s="1"/>
      <c r="JKF2" s="1"/>
      <c r="JKG2" s="1"/>
      <c r="JKH2" s="1"/>
      <c r="JKI2" s="1"/>
      <c r="JKJ2" s="1"/>
      <c r="JKK2" s="1"/>
      <c r="JKL2" s="1"/>
      <c r="JKM2" s="1"/>
      <c r="JKN2" s="1"/>
      <c r="JKO2" s="1"/>
      <c r="JKP2" s="1"/>
      <c r="JKQ2" s="1"/>
      <c r="JKR2" s="1"/>
      <c r="JKS2" s="1"/>
      <c r="JKT2" s="1"/>
      <c r="JKU2" s="1"/>
      <c r="JKV2" s="1"/>
      <c r="JKW2" s="1"/>
      <c r="JKX2" s="1"/>
      <c r="JKY2" s="1"/>
      <c r="JKZ2" s="1"/>
      <c r="JLA2" s="1"/>
      <c r="JLB2" s="1"/>
      <c r="JLC2" s="1"/>
      <c r="JLD2" s="1"/>
      <c r="JLE2" s="1"/>
      <c r="JLF2" s="1"/>
      <c r="JLG2" s="1"/>
      <c r="JLH2" s="1"/>
      <c r="JLI2" s="1"/>
      <c r="JLJ2" s="1"/>
      <c r="JLK2" s="1"/>
      <c r="JLL2" s="1"/>
      <c r="JLM2" s="1"/>
      <c r="JLN2" s="1"/>
      <c r="JLO2" s="1"/>
      <c r="JLP2" s="1"/>
      <c r="JLQ2" s="1"/>
      <c r="JLR2" s="1"/>
      <c r="JLS2" s="1"/>
      <c r="JLT2" s="1"/>
      <c r="JLU2" s="1"/>
      <c r="JLV2" s="1"/>
      <c r="JLW2" s="1"/>
      <c r="JLX2" s="1"/>
      <c r="JLY2" s="1"/>
      <c r="JLZ2" s="1"/>
      <c r="JMA2" s="1"/>
      <c r="JMB2" s="1"/>
      <c r="JMC2" s="1"/>
      <c r="JMD2" s="1"/>
      <c r="JME2" s="1"/>
      <c r="JMF2" s="1"/>
      <c r="JMG2" s="1"/>
      <c r="JMH2" s="1"/>
      <c r="JMI2" s="1"/>
      <c r="JMJ2" s="1"/>
      <c r="JMK2" s="1"/>
      <c r="JML2" s="1"/>
      <c r="JMM2" s="1"/>
      <c r="JMN2" s="1"/>
      <c r="JMO2" s="1"/>
      <c r="JMP2" s="1"/>
      <c r="JMQ2" s="1"/>
      <c r="JMR2" s="1"/>
      <c r="JMS2" s="1"/>
      <c r="JMT2" s="1"/>
      <c r="JMU2" s="1"/>
      <c r="JMV2" s="1"/>
      <c r="JMW2" s="1"/>
      <c r="JMX2" s="1"/>
      <c r="JMY2" s="1"/>
      <c r="JMZ2" s="1"/>
      <c r="JNA2" s="1"/>
      <c r="JNB2" s="1"/>
      <c r="JNC2" s="1"/>
      <c r="JND2" s="1"/>
      <c r="JNE2" s="1"/>
      <c r="JNF2" s="1"/>
      <c r="JNG2" s="1"/>
      <c r="JNH2" s="1"/>
      <c r="JNI2" s="1"/>
      <c r="JNJ2" s="1"/>
      <c r="JNK2" s="1"/>
      <c r="JNL2" s="1"/>
      <c r="JNM2" s="1"/>
      <c r="JNN2" s="1"/>
      <c r="JNO2" s="1"/>
      <c r="JNP2" s="1"/>
      <c r="JNQ2" s="1"/>
      <c r="JNR2" s="1"/>
      <c r="JNS2" s="1"/>
      <c r="JNT2" s="1"/>
      <c r="JNU2" s="1"/>
      <c r="JNV2" s="1"/>
      <c r="JNW2" s="1"/>
      <c r="JNX2" s="1"/>
      <c r="JNY2" s="1"/>
      <c r="JNZ2" s="1"/>
      <c r="JOA2" s="1"/>
      <c r="JOB2" s="1"/>
      <c r="JOC2" s="1"/>
      <c r="JOD2" s="1"/>
      <c r="JOE2" s="1"/>
      <c r="JOF2" s="1"/>
      <c r="JOG2" s="1"/>
      <c r="JOH2" s="1"/>
      <c r="JOI2" s="1"/>
      <c r="JOJ2" s="1"/>
      <c r="JOK2" s="1"/>
      <c r="JOL2" s="1"/>
      <c r="JOM2" s="1"/>
      <c r="JON2" s="1"/>
      <c r="JOO2" s="1"/>
      <c r="JOP2" s="1"/>
      <c r="JOQ2" s="1"/>
      <c r="JOR2" s="1"/>
      <c r="JOS2" s="1"/>
      <c r="JOT2" s="1"/>
      <c r="JOU2" s="1"/>
      <c r="JOV2" s="1"/>
      <c r="JOW2" s="1"/>
      <c r="JOX2" s="1"/>
      <c r="JOY2" s="1"/>
      <c r="JOZ2" s="1"/>
      <c r="JPA2" s="1"/>
      <c r="JPB2" s="1"/>
      <c r="JPC2" s="1"/>
      <c r="JPD2" s="1"/>
      <c r="JPE2" s="1"/>
      <c r="JPF2" s="1"/>
      <c r="JPG2" s="1"/>
      <c r="JPH2" s="1"/>
      <c r="JPI2" s="1"/>
      <c r="JPJ2" s="1"/>
      <c r="JPK2" s="1"/>
      <c r="JPL2" s="1"/>
      <c r="JPM2" s="1"/>
      <c r="JPN2" s="1"/>
      <c r="JPO2" s="1"/>
      <c r="JPP2" s="1"/>
      <c r="JPQ2" s="1"/>
      <c r="JPR2" s="1"/>
      <c r="JPS2" s="1"/>
      <c r="JPT2" s="1"/>
      <c r="JPU2" s="1"/>
      <c r="JPV2" s="1"/>
      <c r="JPW2" s="1"/>
      <c r="JPX2" s="1"/>
      <c r="JPY2" s="1"/>
      <c r="JPZ2" s="1"/>
      <c r="JQA2" s="1"/>
      <c r="JQB2" s="1"/>
      <c r="JQC2" s="1"/>
      <c r="JQD2" s="1"/>
      <c r="JQE2" s="1"/>
      <c r="JQF2" s="1"/>
      <c r="JQG2" s="1"/>
      <c r="JQH2" s="1"/>
      <c r="JQI2" s="1"/>
      <c r="JQJ2" s="1"/>
      <c r="JQK2" s="1"/>
      <c r="JQL2" s="1"/>
      <c r="JQM2" s="1"/>
      <c r="JQN2" s="1"/>
      <c r="JQO2" s="1"/>
      <c r="JQP2" s="1"/>
      <c r="JQQ2" s="1"/>
      <c r="JQR2" s="1"/>
      <c r="JQS2" s="1"/>
      <c r="JQT2" s="1"/>
      <c r="JQU2" s="1"/>
      <c r="JQV2" s="1"/>
      <c r="JQW2" s="1"/>
      <c r="JQX2" s="1"/>
      <c r="JQY2" s="1"/>
      <c r="JQZ2" s="1"/>
      <c r="JRA2" s="1"/>
      <c r="JRB2" s="1"/>
      <c r="JRC2" s="1"/>
      <c r="JRD2" s="1"/>
      <c r="JRE2" s="1"/>
      <c r="JRF2" s="1"/>
      <c r="JRG2" s="1"/>
      <c r="JRH2" s="1"/>
      <c r="JRI2" s="1"/>
      <c r="JRJ2" s="1"/>
      <c r="JRK2" s="1"/>
      <c r="JRL2" s="1"/>
      <c r="JRM2" s="1"/>
      <c r="JRN2" s="1"/>
      <c r="JRO2" s="1"/>
      <c r="JRP2" s="1"/>
      <c r="JRQ2" s="1"/>
      <c r="JRR2" s="1"/>
      <c r="JRS2" s="1"/>
      <c r="JRT2" s="1"/>
      <c r="JRU2" s="1"/>
      <c r="JRV2" s="1"/>
      <c r="JRW2" s="1"/>
      <c r="JRX2" s="1"/>
      <c r="JRY2" s="1"/>
      <c r="JRZ2" s="1"/>
      <c r="JSA2" s="1"/>
      <c r="JSB2" s="1"/>
      <c r="JSC2" s="1"/>
      <c r="JSD2" s="1"/>
      <c r="JSE2" s="1"/>
      <c r="JSF2" s="1"/>
      <c r="JSG2" s="1"/>
      <c r="JSH2" s="1"/>
      <c r="JSI2" s="1"/>
      <c r="JSJ2" s="1"/>
      <c r="JSK2" s="1"/>
      <c r="JSL2" s="1"/>
      <c r="JSM2" s="1"/>
      <c r="JSN2" s="1"/>
      <c r="JSO2" s="1"/>
      <c r="JSP2" s="1"/>
      <c r="JSQ2" s="1"/>
      <c r="JSR2" s="1"/>
      <c r="JSS2" s="1"/>
      <c r="JST2" s="1"/>
      <c r="JSU2" s="1"/>
      <c r="JSV2" s="1"/>
      <c r="JSW2" s="1"/>
      <c r="JSX2" s="1"/>
      <c r="JSY2" s="1"/>
      <c r="JSZ2" s="1"/>
      <c r="JTA2" s="1"/>
      <c r="JTB2" s="1"/>
      <c r="JTC2" s="1"/>
      <c r="JTD2" s="1"/>
      <c r="JTE2" s="1"/>
      <c r="JTF2" s="1"/>
      <c r="JTG2" s="1"/>
      <c r="JTH2" s="1"/>
      <c r="JTI2" s="1"/>
      <c r="JTJ2" s="1"/>
      <c r="JTK2" s="1"/>
      <c r="JTL2" s="1"/>
      <c r="JTM2" s="1"/>
      <c r="JTN2" s="1"/>
      <c r="JTO2" s="1"/>
      <c r="JTP2" s="1"/>
      <c r="JTQ2" s="1"/>
      <c r="JTR2" s="1"/>
      <c r="JTS2" s="1"/>
      <c r="JTT2" s="1"/>
      <c r="JTU2" s="1"/>
      <c r="JTV2" s="1"/>
      <c r="JTW2" s="1"/>
      <c r="JTX2" s="1"/>
      <c r="JTY2" s="1"/>
      <c r="JTZ2" s="1"/>
      <c r="JUA2" s="1"/>
      <c r="JUB2" s="1"/>
      <c r="JUC2" s="1"/>
      <c r="JUD2" s="1"/>
      <c r="JUE2" s="1"/>
      <c r="JUF2" s="1"/>
      <c r="JUG2" s="1"/>
      <c r="JUH2" s="1"/>
      <c r="JUI2" s="1"/>
      <c r="JUJ2" s="1"/>
      <c r="JUK2" s="1"/>
      <c r="JUL2" s="1"/>
      <c r="JUM2" s="1"/>
      <c r="JUN2" s="1"/>
      <c r="JUO2" s="1"/>
      <c r="JUP2" s="1"/>
      <c r="JUQ2" s="1"/>
      <c r="JUR2" s="1"/>
      <c r="JUS2" s="1"/>
      <c r="JUT2" s="1"/>
      <c r="JUU2" s="1"/>
      <c r="JUV2" s="1"/>
      <c r="JUW2" s="1"/>
      <c r="JUX2" s="1"/>
      <c r="JUY2" s="1"/>
      <c r="JUZ2" s="1"/>
      <c r="JVA2" s="1"/>
      <c r="JVB2" s="1"/>
      <c r="JVC2" s="1"/>
      <c r="JVD2" s="1"/>
      <c r="JVE2" s="1"/>
      <c r="JVF2" s="1"/>
      <c r="JVG2" s="1"/>
      <c r="JVH2" s="1"/>
      <c r="JVI2" s="1"/>
      <c r="JVJ2" s="1"/>
      <c r="JVK2" s="1"/>
      <c r="JVL2" s="1"/>
      <c r="JVM2" s="1"/>
      <c r="JVN2" s="1"/>
      <c r="JVO2" s="1"/>
      <c r="JVP2" s="1"/>
      <c r="JVQ2" s="1"/>
      <c r="JVR2" s="1"/>
      <c r="JVS2" s="1"/>
      <c r="JVT2" s="1"/>
      <c r="JVU2" s="1"/>
      <c r="JVV2" s="1"/>
      <c r="JVW2" s="1"/>
      <c r="JVX2" s="1"/>
      <c r="JVY2" s="1"/>
      <c r="JVZ2" s="1"/>
      <c r="JWA2" s="1"/>
      <c r="JWB2" s="1"/>
      <c r="JWC2" s="1"/>
      <c r="JWD2" s="1"/>
      <c r="JWE2" s="1"/>
      <c r="JWF2" s="1"/>
      <c r="JWG2" s="1"/>
      <c r="JWH2" s="1"/>
      <c r="JWI2" s="1"/>
      <c r="JWJ2" s="1"/>
      <c r="JWK2" s="1"/>
      <c r="JWL2" s="1"/>
      <c r="JWM2" s="1"/>
      <c r="JWN2" s="1"/>
      <c r="JWO2" s="1"/>
      <c r="JWP2" s="1"/>
      <c r="JWQ2" s="1"/>
      <c r="JWR2" s="1"/>
      <c r="JWS2" s="1"/>
      <c r="JWT2" s="1"/>
      <c r="JWU2" s="1"/>
      <c r="JWV2" s="1"/>
      <c r="JWW2" s="1"/>
      <c r="JWX2" s="1"/>
      <c r="JWY2" s="1"/>
      <c r="JWZ2" s="1"/>
      <c r="JXA2" s="1"/>
      <c r="JXB2" s="1"/>
      <c r="JXC2" s="1"/>
      <c r="JXD2" s="1"/>
      <c r="JXE2" s="1"/>
      <c r="JXF2" s="1"/>
      <c r="JXG2" s="1"/>
      <c r="JXH2" s="1"/>
      <c r="JXI2" s="1"/>
      <c r="JXJ2" s="1"/>
      <c r="JXK2" s="1"/>
      <c r="JXL2" s="1"/>
      <c r="JXM2" s="1"/>
      <c r="JXN2" s="1"/>
      <c r="JXO2" s="1"/>
      <c r="JXP2" s="1"/>
      <c r="JXQ2" s="1"/>
      <c r="JXR2" s="1"/>
      <c r="JXS2" s="1"/>
      <c r="JXT2" s="1"/>
      <c r="JXU2" s="1"/>
      <c r="JXV2" s="1"/>
      <c r="JXW2" s="1"/>
      <c r="JXX2" s="1"/>
      <c r="JXY2" s="1"/>
      <c r="JXZ2" s="1"/>
      <c r="JYA2" s="1"/>
      <c r="JYB2" s="1"/>
      <c r="JYC2" s="1"/>
      <c r="JYD2" s="1"/>
      <c r="JYE2" s="1"/>
      <c r="JYF2" s="1"/>
      <c r="JYG2" s="1"/>
      <c r="JYH2" s="1"/>
      <c r="JYI2" s="1"/>
      <c r="JYJ2" s="1"/>
      <c r="JYK2" s="1"/>
      <c r="JYL2" s="1"/>
      <c r="JYM2" s="1"/>
      <c r="JYN2" s="1"/>
      <c r="JYO2" s="1"/>
      <c r="JYP2" s="1"/>
      <c r="JYQ2" s="1"/>
      <c r="JYR2" s="1"/>
      <c r="JYS2" s="1"/>
      <c r="JYT2" s="1"/>
      <c r="JYU2" s="1"/>
      <c r="JYV2" s="1"/>
      <c r="JYW2" s="1"/>
      <c r="JYX2" s="1"/>
      <c r="JYY2" s="1"/>
      <c r="JYZ2" s="1"/>
      <c r="JZA2" s="1"/>
      <c r="JZB2" s="1"/>
      <c r="JZC2" s="1"/>
      <c r="JZD2" s="1"/>
      <c r="JZE2" s="1"/>
      <c r="JZF2" s="1"/>
      <c r="JZG2" s="1"/>
      <c r="JZH2" s="1"/>
      <c r="JZI2" s="1"/>
      <c r="JZJ2" s="1"/>
      <c r="JZK2" s="1"/>
      <c r="JZL2" s="1"/>
      <c r="JZM2" s="1"/>
      <c r="JZN2" s="1"/>
      <c r="JZO2" s="1"/>
      <c r="JZP2" s="1"/>
      <c r="JZQ2" s="1"/>
      <c r="JZR2" s="1"/>
      <c r="JZS2" s="1"/>
      <c r="JZT2" s="1"/>
      <c r="JZU2" s="1"/>
      <c r="JZV2" s="1"/>
      <c r="JZW2" s="1"/>
      <c r="JZX2" s="1"/>
      <c r="JZY2" s="1"/>
      <c r="JZZ2" s="1"/>
      <c r="KAA2" s="1"/>
      <c r="KAB2" s="1"/>
      <c r="KAC2" s="1"/>
      <c r="KAD2" s="1"/>
      <c r="KAE2" s="1"/>
      <c r="KAF2" s="1"/>
      <c r="KAG2" s="1"/>
      <c r="KAH2" s="1"/>
      <c r="KAI2" s="1"/>
      <c r="KAJ2" s="1"/>
      <c r="KAK2" s="1"/>
      <c r="KAL2" s="1"/>
      <c r="KAM2" s="1"/>
      <c r="KAN2" s="1"/>
      <c r="KAO2" s="1"/>
      <c r="KAP2" s="1"/>
      <c r="KAQ2" s="1"/>
      <c r="KAR2" s="1"/>
      <c r="KAS2" s="1"/>
      <c r="KAT2" s="1"/>
      <c r="KAU2" s="1"/>
      <c r="KAV2" s="1"/>
      <c r="KAW2" s="1"/>
      <c r="KAX2" s="1"/>
      <c r="KAY2" s="1"/>
      <c r="KAZ2" s="1"/>
      <c r="KBA2" s="1"/>
      <c r="KBB2" s="1"/>
      <c r="KBC2" s="1"/>
      <c r="KBD2" s="1"/>
      <c r="KBE2" s="1"/>
      <c r="KBF2" s="1"/>
      <c r="KBG2" s="1"/>
      <c r="KBH2" s="1"/>
      <c r="KBI2" s="1"/>
      <c r="KBJ2" s="1"/>
      <c r="KBK2" s="1"/>
      <c r="KBL2" s="1"/>
      <c r="KBM2" s="1"/>
      <c r="KBN2" s="1"/>
      <c r="KBO2" s="1"/>
      <c r="KBP2" s="1"/>
      <c r="KBQ2" s="1"/>
      <c r="KBR2" s="1"/>
      <c r="KBS2" s="1"/>
      <c r="KBT2" s="1"/>
      <c r="KBU2" s="1"/>
      <c r="KBV2" s="1"/>
      <c r="KBW2" s="1"/>
      <c r="KBX2" s="1"/>
      <c r="KBY2" s="1"/>
      <c r="KBZ2" s="1"/>
      <c r="KCA2" s="1"/>
      <c r="KCB2" s="1"/>
      <c r="KCC2" s="1"/>
      <c r="KCD2" s="1"/>
      <c r="KCE2" s="1"/>
      <c r="KCF2" s="1"/>
      <c r="KCG2" s="1"/>
      <c r="KCH2" s="1"/>
      <c r="KCI2" s="1"/>
      <c r="KCJ2" s="1"/>
      <c r="KCK2" s="1"/>
      <c r="KCL2" s="1"/>
      <c r="KCM2" s="1"/>
      <c r="KCN2" s="1"/>
      <c r="KCO2" s="1"/>
      <c r="KCP2" s="1"/>
      <c r="KCQ2" s="1"/>
      <c r="KCR2" s="1"/>
      <c r="KCS2" s="1"/>
      <c r="KCT2" s="1"/>
      <c r="KCU2" s="1"/>
      <c r="KCV2" s="1"/>
      <c r="KCW2" s="1"/>
      <c r="KCX2" s="1"/>
      <c r="KCY2" s="1"/>
      <c r="KCZ2" s="1"/>
      <c r="KDA2" s="1"/>
      <c r="KDB2" s="1"/>
      <c r="KDC2" s="1"/>
      <c r="KDD2" s="1"/>
      <c r="KDE2" s="1"/>
      <c r="KDF2" s="1"/>
      <c r="KDG2" s="1"/>
      <c r="KDH2" s="1"/>
      <c r="KDI2" s="1"/>
      <c r="KDJ2" s="1"/>
      <c r="KDK2" s="1"/>
      <c r="KDL2" s="1"/>
      <c r="KDM2" s="1"/>
      <c r="KDN2" s="1"/>
      <c r="KDO2" s="1"/>
      <c r="KDP2" s="1"/>
      <c r="KDQ2" s="1"/>
      <c r="KDR2" s="1"/>
      <c r="KDS2" s="1"/>
      <c r="KDT2" s="1"/>
      <c r="KDU2" s="1"/>
      <c r="KDV2" s="1"/>
      <c r="KDW2" s="1"/>
      <c r="KDX2" s="1"/>
      <c r="KDY2" s="1"/>
      <c r="KDZ2" s="1"/>
      <c r="KEA2" s="1"/>
      <c r="KEB2" s="1"/>
      <c r="KEC2" s="1"/>
      <c r="KED2" s="1"/>
      <c r="KEE2" s="1"/>
      <c r="KEF2" s="1"/>
      <c r="KEG2" s="1"/>
      <c r="KEH2" s="1"/>
      <c r="KEI2" s="1"/>
      <c r="KEJ2" s="1"/>
      <c r="KEK2" s="1"/>
      <c r="KEL2" s="1"/>
      <c r="KEM2" s="1"/>
      <c r="KEN2" s="1"/>
      <c r="KEO2" s="1"/>
      <c r="KEP2" s="1"/>
      <c r="KEQ2" s="1"/>
      <c r="KER2" s="1"/>
      <c r="KES2" s="1"/>
      <c r="KET2" s="1"/>
      <c r="KEU2" s="1"/>
      <c r="KEV2" s="1"/>
      <c r="KEW2" s="1"/>
      <c r="KEX2" s="1"/>
      <c r="KEY2" s="1"/>
      <c r="KEZ2" s="1"/>
      <c r="KFA2" s="1"/>
      <c r="KFB2" s="1"/>
      <c r="KFC2" s="1"/>
      <c r="KFD2" s="1"/>
      <c r="KFE2" s="1"/>
      <c r="KFF2" s="1"/>
      <c r="KFG2" s="1"/>
      <c r="KFH2" s="1"/>
      <c r="KFI2" s="1"/>
      <c r="KFJ2" s="1"/>
      <c r="KFK2" s="1"/>
      <c r="KFL2" s="1"/>
      <c r="KFM2" s="1"/>
      <c r="KFN2" s="1"/>
      <c r="KFO2" s="1"/>
      <c r="KFP2" s="1"/>
      <c r="KFQ2" s="1"/>
      <c r="KFR2" s="1"/>
      <c r="KFS2" s="1"/>
      <c r="KFT2" s="1"/>
      <c r="KFU2" s="1"/>
      <c r="KFV2" s="1"/>
      <c r="KFW2" s="1"/>
      <c r="KFX2" s="1"/>
      <c r="KFY2" s="1"/>
      <c r="KFZ2" s="1"/>
      <c r="KGA2" s="1"/>
      <c r="KGB2" s="1"/>
      <c r="KGC2" s="1"/>
      <c r="KGD2" s="1"/>
      <c r="KGE2" s="1"/>
      <c r="KGF2" s="1"/>
      <c r="KGG2" s="1"/>
      <c r="KGH2" s="1"/>
      <c r="KGI2" s="1"/>
      <c r="KGJ2" s="1"/>
      <c r="KGK2" s="1"/>
      <c r="KGL2" s="1"/>
      <c r="KGM2" s="1"/>
      <c r="KGN2" s="1"/>
      <c r="KGO2" s="1"/>
      <c r="KGP2" s="1"/>
      <c r="KGQ2" s="1"/>
      <c r="KGR2" s="1"/>
      <c r="KGS2" s="1"/>
      <c r="KGT2" s="1"/>
      <c r="KGU2" s="1"/>
      <c r="KGV2" s="1"/>
      <c r="KGW2" s="1"/>
      <c r="KGX2" s="1"/>
      <c r="KGY2" s="1"/>
      <c r="KGZ2" s="1"/>
      <c r="KHA2" s="1"/>
      <c r="KHB2" s="1"/>
      <c r="KHC2" s="1"/>
      <c r="KHD2" s="1"/>
      <c r="KHE2" s="1"/>
      <c r="KHF2" s="1"/>
      <c r="KHG2" s="1"/>
      <c r="KHH2" s="1"/>
      <c r="KHI2" s="1"/>
      <c r="KHJ2" s="1"/>
      <c r="KHK2" s="1"/>
      <c r="KHL2" s="1"/>
      <c r="KHM2" s="1"/>
      <c r="KHN2" s="1"/>
      <c r="KHO2" s="1"/>
      <c r="KHP2" s="1"/>
      <c r="KHQ2" s="1"/>
      <c r="KHR2" s="1"/>
      <c r="KHS2" s="1"/>
      <c r="KHT2" s="1"/>
      <c r="KHU2" s="1"/>
      <c r="KHV2" s="1"/>
      <c r="KHW2" s="1"/>
      <c r="KHX2" s="1"/>
      <c r="KHY2" s="1"/>
      <c r="KHZ2" s="1"/>
      <c r="KIA2" s="1"/>
      <c r="KIB2" s="1"/>
      <c r="KIC2" s="1"/>
      <c r="KID2" s="1"/>
      <c r="KIE2" s="1"/>
      <c r="KIF2" s="1"/>
      <c r="KIG2" s="1"/>
      <c r="KIH2" s="1"/>
      <c r="KII2" s="1"/>
      <c r="KIJ2" s="1"/>
      <c r="KIK2" s="1"/>
      <c r="KIL2" s="1"/>
      <c r="KIM2" s="1"/>
      <c r="KIN2" s="1"/>
      <c r="KIO2" s="1"/>
      <c r="KIP2" s="1"/>
      <c r="KIQ2" s="1"/>
      <c r="KIR2" s="1"/>
      <c r="KIS2" s="1"/>
      <c r="KIT2" s="1"/>
      <c r="KIU2" s="1"/>
      <c r="KIV2" s="1"/>
      <c r="KIW2" s="1"/>
      <c r="KIX2" s="1"/>
      <c r="KIY2" s="1"/>
      <c r="KIZ2" s="1"/>
      <c r="KJA2" s="1"/>
      <c r="KJB2" s="1"/>
      <c r="KJC2" s="1"/>
      <c r="KJD2" s="1"/>
      <c r="KJE2" s="1"/>
      <c r="KJF2" s="1"/>
      <c r="KJG2" s="1"/>
      <c r="KJH2" s="1"/>
      <c r="KJI2" s="1"/>
      <c r="KJJ2" s="1"/>
      <c r="KJK2" s="1"/>
      <c r="KJL2" s="1"/>
      <c r="KJM2" s="1"/>
      <c r="KJN2" s="1"/>
      <c r="KJO2" s="1"/>
      <c r="KJP2" s="1"/>
      <c r="KJQ2" s="1"/>
      <c r="KJR2" s="1"/>
      <c r="KJS2" s="1"/>
      <c r="KJT2" s="1"/>
      <c r="KJU2" s="1"/>
      <c r="KJV2" s="1"/>
      <c r="KJW2" s="1"/>
      <c r="KJX2" s="1"/>
      <c r="KJY2" s="1"/>
      <c r="KJZ2" s="1"/>
      <c r="KKA2" s="1"/>
      <c r="KKB2" s="1"/>
      <c r="KKC2" s="1"/>
      <c r="KKD2" s="1"/>
      <c r="KKE2" s="1"/>
      <c r="KKF2" s="1"/>
      <c r="KKG2" s="1"/>
      <c r="KKH2" s="1"/>
      <c r="KKI2" s="1"/>
      <c r="KKJ2" s="1"/>
      <c r="KKK2" s="1"/>
      <c r="KKL2" s="1"/>
      <c r="KKM2" s="1"/>
      <c r="KKN2" s="1"/>
      <c r="KKO2" s="1"/>
      <c r="KKP2" s="1"/>
      <c r="KKQ2" s="1"/>
      <c r="KKR2" s="1"/>
      <c r="KKS2" s="1"/>
      <c r="KKT2" s="1"/>
      <c r="KKU2" s="1"/>
      <c r="KKV2" s="1"/>
      <c r="KKW2" s="1"/>
      <c r="KKX2" s="1"/>
      <c r="KKY2" s="1"/>
      <c r="KKZ2" s="1"/>
      <c r="KLA2" s="1"/>
      <c r="KLB2" s="1"/>
      <c r="KLC2" s="1"/>
      <c r="KLD2" s="1"/>
      <c r="KLE2" s="1"/>
      <c r="KLF2" s="1"/>
      <c r="KLG2" s="1"/>
      <c r="KLH2" s="1"/>
      <c r="KLI2" s="1"/>
      <c r="KLJ2" s="1"/>
      <c r="KLK2" s="1"/>
      <c r="KLL2" s="1"/>
      <c r="KLM2" s="1"/>
      <c r="KLN2" s="1"/>
      <c r="KLO2" s="1"/>
      <c r="KLP2" s="1"/>
      <c r="KLQ2" s="1"/>
      <c r="KLR2" s="1"/>
      <c r="KLS2" s="1"/>
      <c r="KLT2" s="1"/>
      <c r="KLU2" s="1"/>
      <c r="KLV2" s="1"/>
      <c r="KLW2" s="1"/>
      <c r="KLX2" s="1"/>
      <c r="KLY2" s="1"/>
      <c r="KLZ2" s="1"/>
      <c r="KMA2" s="1"/>
      <c r="KMB2" s="1"/>
      <c r="KMC2" s="1"/>
      <c r="KMD2" s="1"/>
      <c r="KME2" s="1"/>
      <c r="KMF2" s="1"/>
      <c r="KMG2" s="1"/>
      <c r="KMH2" s="1"/>
      <c r="KMI2" s="1"/>
      <c r="KMJ2" s="1"/>
      <c r="KMK2" s="1"/>
      <c r="KML2" s="1"/>
      <c r="KMM2" s="1"/>
      <c r="KMN2" s="1"/>
      <c r="KMO2" s="1"/>
      <c r="KMP2" s="1"/>
      <c r="KMQ2" s="1"/>
      <c r="KMR2" s="1"/>
      <c r="KMS2" s="1"/>
      <c r="KMT2" s="1"/>
      <c r="KMU2" s="1"/>
      <c r="KMV2" s="1"/>
      <c r="KMW2" s="1"/>
      <c r="KMX2" s="1"/>
      <c r="KMY2" s="1"/>
      <c r="KMZ2" s="1"/>
      <c r="KNA2" s="1"/>
      <c r="KNB2" s="1"/>
      <c r="KNC2" s="1"/>
      <c r="KND2" s="1"/>
      <c r="KNE2" s="1"/>
      <c r="KNF2" s="1"/>
      <c r="KNG2" s="1"/>
      <c r="KNH2" s="1"/>
      <c r="KNI2" s="1"/>
      <c r="KNJ2" s="1"/>
      <c r="KNK2" s="1"/>
      <c r="KNL2" s="1"/>
      <c r="KNM2" s="1"/>
      <c r="KNN2" s="1"/>
      <c r="KNO2" s="1"/>
      <c r="KNP2" s="1"/>
      <c r="KNQ2" s="1"/>
      <c r="KNR2" s="1"/>
      <c r="KNS2" s="1"/>
      <c r="KNT2" s="1"/>
      <c r="KNU2" s="1"/>
      <c r="KNV2" s="1"/>
      <c r="KNW2" s="1"/>
      <c r="KNX2" s="1"/>
      <c r="KNY2" s="1"/>
      <c r="KNZ2" s="1"/>
      <c r="KOA2" s="1"/>
      <c r="KOB2" s="1"/>
      <c r="KOC2" s="1"/>
      <c r="KOD2" s="1"/>
      <c r="KOE2" s="1"/>
      <c r="KOF2" s="1"/>
      <c r="KOG2" s="1"/>
      <c r="KOH2" s="1"/>
      <c r="KOI2" s="1"/>
      <c r="KOJ2" s="1"/>
      <c r="KOK2" s="1"/>
      <c r="KOL2" s="1"/>
      <c r="KOM2" s="1"/>
      <c r="KON2" s="1"/>
      <c r="KOO2" s="1"/>
      <c r="KOP2" s="1"/>
      <c r="KOQ2" s="1"/>
      <c r="KOR2" s="1"/>
      <c r="KOS2" s="1"/>
      <c r="KOT2" s="1"/>
      <c r="KOU2" s="1"/>
      <c r="KOV2" s="1"/>
      <c r="KOW2" s="1"/>
      <c r="KOX2" s="1"/>
      <c r="KOY2" s="1"/>
      <c r="KOZ2" s="1"/>
      <c r="KPA2" s="1"/>
      <c r="KPB2" s="1"/>
      <c r="KPC2" s="1"/>
      <c r="KPD2" s="1"/>
      <c r="KPE2" s="1"/>
      <c r="KPF2" s="1"/>
      <c r="KPG2" s="1"/>
      <c r="KPH2" s="1"/>
      <c r="KPI2" s="1"/>
      <c r="KPJ2" s="1"/>
      <c r="KPK2" s="1"/>
      <c r="KPL2" s="1"/>
      <c r="KPM2" s="1"/>
      <c r="KPN2" s="1"/>
      <c r="KPO2" s="1"/>
      <c r="KPP2" s="1"/>
      <c r="KPQ2" s="1"/>
      <c r="KPR2" s="1"/>
      <c r="KPS2" s="1"/>
      <c r="KPT2" s="1"/>
      <c r="KPU2" s="1"/>
      <c r="KPV2" s="1"/>
      <c r="KPW2" s="1"/>
      <c r="KPX2" s="1"/>
      <c r="KPY2" s="1"/>
      <c r="KPZ2" s="1"/>
      <c r="KQA2" s="1"/>
      <c r="KQB2" s="1"/>
      <c r="KQC2" s="1"/>
      <c r="KQD2" s="1"/>
      <c r="KQE2" s="1"/>
      <c r="KQF2" s="1"/>
      <c r="KQG2" s="1"/>
      <c r="KQH2" s="1"/>
      <c r="KQI2" s="1"/>
      <c r="KQJ2" s="1"/>
      <c r="KQK2" s="1"/>
      <c r="KQL2" s="1"/>
      <c r="KQM2" s="1"/>
      <c r="KQN2" s="1"/>
      <c r="KQO2" s="1"/>
      <c r="KQP2" s="1"/>
      <c r="KQQ2" s="1"/>
      <c r="KQR2" s="1"/>
      <c r="KQS2" s="1"/>
      <c r="KQT2" s="1"/>
      <c r="KQU2" s="1"/>
      <c r="KQV2" s="1"/>
      <c r="KQW2" s="1"/>
      <c r="KQX2" s="1"/>
      <c r="KQY2" s="1"/>
      <c r="KQZ2" s="1"/>
      <c r="KRA2" s="1"/>
      <c r="KRB2" s="1"/>
      <c r="KRC2" s="1"/>
      <c r="KRD2" s="1"/>
      <c r="KRE2" s="1"/>
      <c r="KRF2" s="1"/>
      <c r="KRG2" s="1"/>
      <c r="KRH2" s="1"/>
      <c r="KRI2" s="1"/>
      <c r="KRJ2" s="1"/>
      <c r="KRK2" s="1"/>
      <c r="KRL2" s="1"/>
      <c r="KRM2" s="1"/>
      <c r="KRN2" s="1"/>
      <c r="KRO2" s="1"/>
      <c r="KRP2" s="1"/>
      <c r="KRQ2" s="1"/>
      <c r="KRR2" s="1"/>
      <c r="KRS2" s="1"/>
      <c r="KRT2" s="1"/>
      <c r="KRU2" s="1"/>
      <c r="KRV2" s="1"/>
      <c r="KRW2" s="1"/>
      <c r="KRX2" s="1"/>
      <c r="KRY2" s="1"/>
      <c r="KRZ2" s="1"/>
      <c r="KSA2" s="1"/>
      <c r="KSB2" s="1"/>
      <c r="KSC2" s="1"/>
      <c r="KSD2" s="1"/>
      <c r="KSE2" s="1"/>
      <c r="KSF2" s="1"/>
      <c r="KSG2" s="1"/>
      <c r="KSH2" s="1"/>
      <c r="KSI2" s="1"/>
      <c r="KSJ2" s="1"/>
      <c r="KSK2" s="1"/>
      <c r="KSL2" s="1"/>
      <c r="KSM2" s="1"/>
      <c r="KSN2" s="1"/>
      <c r="KSO2" s="1"/>
      <c r="KSP2" s="1"/>
      <c r="KSQ2" s="1"/>
      <c r="KSR2" s="1"/>
      <c r="KSS2" s="1"/>
      <c r="KST2" s="1"/>
      <c r="KSU2" s="1"/>
      <c r="KSV2" s="1"/>
      <c r="KSW2" s="1"/>
      <c r="KSX2" s="1"/>
      <c r="KSY2" s="1"/>
      <c r="KSZ2" s="1"/>
      <c r="KTA2" s="1"/>
      <c r="KTB2" s="1"/>
      <c r="KTC2" s="1"/>
      <c r="KTD2" s="1"/>
      <c r="KTE2" s="1"/>
      <c r="KTF2" s="1"/>
      <c r="KTG2" s="1"/>
      <c r="KTH2" s="1"/>
      <c r="KTI2" s="1"/>
      <c r="KTJ2" s="1"/>
      <c r="KTK2" s="1"/>
      <c r="KTL2" s="1"/>
      <c r="KTM2" s="1"/>
      <c r="KTN2" s="1"/>
      <c r="KTO2" s="1"/>
      <c r="KTP2" s="1"/>
      <c r="KTQ2" s="1"/>
      <c r="KTR2" s="1"/>
      <c r="KTS2" s="1"/>
      <c r="KTT2" s="1"/>
      <c r="KTU2" s="1"/>
      <c r="KTV2" s="1"/>
      <c r="KTW2" s="1"/>
      <c r="KTX2" s="1"/>
      <c r="KTY2" s="1"/>
      <c r="KTZ2" s="1"/>
      <c r="KUA2" s="1"/>
      <c r="KUB2" s="1"/>
      <c r="KUC2" s="1"/>
      <c r="KUD2" s="1"/>
      <c r="KUE2" s="1"/>
      <c r="KUF2" s="1"/>
      <c r="KUG2" s="1"/>
      <c r="KUH2" s="1"/>
      <c r="KUI2" s="1"/>
      <c r="KUJ2" s="1"/>
      <c r="KUK2" s="1"/>
      <c r="KUL2" s="1"/>
      <c r="KUM2" s="1"/>
      <c r="KUN2" s="1"/>
      <c r="KUO2" s="1"/>
      <c r="KUP2" s="1"/>
      <c r="KUQ2" s="1"/>
      <c r="KUR2" s="1"/>
      <c r="KUS2" s="1"/>
      <c r="KUT2" s="1"/>
      <c r="KUU2" s="1"/>
      <c r="KUV2" s="1"/>
      <c r="KUW2" s="1"/>
      <c r="KUX2" s="1"/>
      <c r="KUY2" s="1"/>
      <c r="KUZ2" s="1"/>
      <c r="KVA2" s="1"/>
      <c r="KVB2" s="1"/>
      <c r="KVC2" s="1"/>
      <c r="KVD2" s="1"/>
      <c r="KVE2" s="1"/>
      <c r="KVF2" s="1"/>
      <c r="KVG2" s="1"/>
      <c r="KVH2" s="1"/>
      <c r="KVI2" s="1"/>
      <c r="KVJ2" s="1"/>
      <c r="KVK2" s="1"/>
      <c r="KVL2" s="1"/>
      <c r="KVM2" s="1"/>
      <c r="KVN2" s="1"/>
      <c r="KVO2" s="1"/>
      <c r="KVP2" s="1"/>
      <c r="KVQ2" s="1"/>
      <c r="KVR2" s="1"/>
      <c r="KVS2" s="1"/>
      <c r="KVT2" s="1"/>
      <c r="KVU2" s="1"/>
      <c r="KVV2" s="1"/>
      <c r="KVW2" s="1"/>
      <c r="KVX2" s="1"/>
      <c r="KVY2" s="1"/>
      <c r="KVZ2" s="1"/>
      <c r="KWA2" s="1"/>
      <c r="KWB2" s="1"/>
      <c r="KWC2" s="1"/>
      <c r="KWD2" s="1"/>
      <c r="KWE2" s="1"/>
      <c r="KWF2" s="1"/>
      <c r="KWG2" s="1"/>
      <c r="KWH2" s="1"/>
      <c r="KWI2" s="1"/>
      <c r="KWJ2" s="1"/>
      <c r="KWK2" s="1"/>
      <c r="KWL2" s="1"/>
      <c r="KWM2" s="1"/>
      <c r="KWN2" s="1"/>
      <c r="KWO2" s="1"/>
      <c r="KWP2" s="1"/>
      <c r="KWQ2" s="1"/>
      <c r="KWR2" s="1"/>
      <c r="KWS2" s="1"/>
      <c r="KWT2" s="1"/>
      <c r="KWU2" s="1"/>
      <c r="KWV2" s="1"/>
      <c r="KWW2" s="1"/>
      <c r="KWX2" s="1"/>
      <c r="KWY2" s="1"/>
      <c r="KWZ2" s="1"/>
      <c r="KXA2" s="1"/>
      <c r="KXB2" s="1"/>
      <c r="KXC2" s="1"/>
      <c r="KXD2" s="1"/>
      <c r="KXE2" s="1"/>
      <c r="KXF2" s="1"/>
      <c r="KXG2" s="1"/>
      <c r="KXH2" s="1"/>
      <c r="KXI2" s="1"/>
      <c r="KXJ2" s="1"/>
      <c r="KXK2" s="1"/>
      <c r="KXL2" s="1"/>
      <c r="KXM2" s="1"/>
      <c r="KXN2" s="1"/>
      <c r="KXO2" s="1"/>
      <c r="KXP2" s="1"/>
      <c r="KXQ2" s="1"/>
      <c r="KXR2" s="1"/>
      <c r="KXS2" s="1"/>
      <c r="KXT2" s="1"/>
      <c r="KXU2" s="1"/>
      <c r="KXV2" s="1"/>
      <c r="KXW2" s="1"/>
      <c r="KXX2" s="1"/>
      <c r="KXY2" s="1"/>
      <c r="KXZ2" s="1"/>
      <c r="KYA2" s="1"/>
      <c r="KYB2" s="1"/>
      <c r="KYC2" s="1"/>
      <c r="KYD2" s="1"/>
      <c r="KYE2" s="1"/>
      <c r="KYF2" s="1"/>
      <c r="KYG2" s="1"/>
      <c r="KYH2" s="1"/>
      <c r="KYI2" s="1"/>
      <c r="KYJ2" s="1"/>
      <c r="KYK2" s="1"/>
      <c r="KYL2" s="1"/>
      <c r="KYM2" s="1"/>
      <c r="KYN2" s="1"/>
      <c r="KYO2" s="1"/>
      <c r="KYP2" s="1"/>
      <c r="KYQ2" s="1"/>
      <c r="KYR2" s="1"/>
      <c r="KYS2" s="1"/>
      <c r="KYT2" s="1"/>
      <c r="KYU2" s="1"/>
      <c r="KYV2" s="1"/>
      <c r="KYW2" s="1"/>
      <c r="KYX2" s="1"/>
      <c r="KYY2" s="1"/>
      <c r="KYZ2" s="1"/>
      <c r="KZA2" s="1"/>
      <c r="KZB2" s="1"/>
      <c r="KZC2" s="1"/>
      <c r="KZD2" s="1"/>
      <c r="KZE2" s="1"/>
      <c r="KZF2" s="1"/>
      <c r="KZG2" s="1"/>
      <c r="KZH2" s="1"/>
      <c r="KZI2" s="1"/>
      <c r="KZJ2" s="1"/>
      <c r="KZK2" s="1"/>
      <c r="KZL2" s="1"/>
      <c r="KZM2" s="1"/>
      <c r="KZN2" s="1"/>
      <c r="KZO2" s="1"/>
      <c r="KZP2" s="1"/>
      <c r="KZQ2" s="1"/>
      <c r="KZR2" s="1"/>
      <c r="KZS2" s="1"/>
      <c r="KZT2" s="1"/>
      <c r="KZU2" s="1"/>
      <c r="KZV2" s="1"/>
      <c r="KZW2" s="1"/>
      <c r="KZX2" s="1"/>
      <c r="KZY2" s="1"/>
      <c r="KZZ2" s="1"/>
      <c r="LAA2" s="1"/>
      <c r="LAB2" s="1"/>
      <c r="LAC2" s="1"/>
      <c r="LAD2" s="1"/>
      <c r="LAE2" s="1"/>
      <c r="LAF2" s="1"/>
      <c r="LAG2" s="1"/>
      <c r="LAH2" s="1"/>
      <c r="LAI2" s="1"/>
      <c r="LAJ2" s="1"/>
      <c r="LAK2" s="1"/>
      <c r="LAL2" s="1"/>
      <c r="LAM2" s="1"/>
      <c r="LAN2" s="1"/>
      <c r="LAO2" s="1"/>
      <c r="LAP2" s="1"/>
      <c r="LAQ2" s="1"/>
      <c r="LAR2" s="1"/>
      <c r="LAS2" s="1"/>
      <c r="LAT2" s="1"/>
      <c r="LAU2" s="1"/>
      <c r="LAV2" s="1"/>
      <c r="LAW2" s="1"/>
      <c r="LAX2" s="1"/>
      <c r="LAY2" s="1"/>
      <c r="LAZ2" s="1"/>
      <c r="LBA2" s="1"/>
      <c r="LBB2" s="1"/>
      <c r="LBC2" s="1"/>
      <c r="LBD2" s="1"/>
      <c r="LBE2" s="1"/>
      <c r="LBF2" s="1"/>
      <c r="LBG2" s="1"/>
      <c r="LBH2" s="1"/>
      <c r="LBI2" s="1"/>
      <c r="LBJ2" s="1"/>
      <c r="LBK2" s="1"/>
      <c r="LBL2" s="1"/>
      <c r="LBM2" s="1"/>
      <c r="LBN2" s="1"/>
      <c r="LBO2" s="1"/>
      <c r="LBP2" s="1"/>
      <c r="LBQ2" s="1"/>
      <c r="LBR2" s="1"/>
      <c r="LBS2" s="1"/>
      <c r="LBT2" s="1"/>
      <c r="LBU2" s="1"/>
      <c r="LBV2" s="1"/>
      <c r="LBW2" s="1"/>
      <c r="LBX2" s="1"/>
      <c r="LBY2" s="1"/>
      <c r="LBZ2" s="1"/>
      <c r="LCA2" s="1"/>
      <c r="LCB2" s="1"/>
      <c r="LCC2" s="1"/>
      <c r="LCD2" s="1"/>
      <c r="LCE2" s="1"/>
      <c r="LCF2" s="1"/>
      <c r="LCG2" s="1"/>
      <c r="LCH2" s="1"/>
      <c r="LCI2" s="1"/>
      <c r="LCJ2" s="1"/>
      <c r="LCK2" s="1"/>
      <c r="LCL2" s="1"/>
      <c r="LCM2" s="1"/>
      <c r="LCN2" s="1"/>
      <c r="LCO2" s="1"/>
      <c r="LCP2" s="1"/>
      <c r="LCQ2" s="1"/>
      <c r="LCR2" s="1"/>
      <c r="LCS2" s="1"/>
      <c r="LCT2" s="1"/>
      <c r="LCU2" s="1"/>
      <c r="LCV2" s="1"/>
      <c r="LCW2" s="1"/>
      <c r="LCX2" s="1"/>
      <c r="LCY2" s="1"/>
      <c r="LCZ2" s="1"/>
      <c r="LDA2" s="1"/>
      <c r="LDB2" s="1"/>
      <c r="LDC2" s="1"/>
      <c r="LDD2" s="1"/>
      <c r="LDE2" s="1"/>
      <c r="LDF2" s="1"/>
      <c r="LDG2" s="1"/>
      <c r="LDH2" s="1"/>
      <c r="LDI2" s="1"/>
      <c r="LDJ2" s="1"/>
      <c r="LDK2" s="1"/>
      <c r="LDL2" s="1"/>
      <c r="LDM2" s="1"/>
      <c r="LDN2" s="1"/>
      <c r="LDO2" s="1"/>
      <c r="LDP2" s="1"/>
      <c r="LDQ2" s="1"/>
      <c r="LDR2" s="1"/>
      <c r="LDS2" s="1"/>
      <c r="LDT2" s="1"/>
      <c r="LDU2" s="1"/>
      <c r="LDV2" s="1"/>
      <c r="LDW2" s="1"/>
      <c r="LDX2" s="1"/>
      <c r="LDY2" s="1"/>
      <c r="LDZ2" s="1"/>
      <c r="LEA2" s="1"/>
      <c r="LEB2" s="1"/>
      <c r="LEC2" s="1"/>
      <c r="LED2" s="1"/>
      <c r="LEE2" s="1"/>
      <c r="LEF2" s="1"/>
      <c r="LEG2" s="1"/>
      <c r="LEH2" s="1"/>
      <c r="LEI2" s="1"/>
      <c r="LEJ2" s="1"/>
      <c r="LEK2" s="1"/>
      <c r="LEL2" s="1"/>
      <c r="LEM2" s="1"/>
      <c r="LEN2" s="1"/>
      <c r="LEO2" s="1"/>
      <c r="LEP2" s="1"/>
      <c r="LEQ2" s="1"/>
      <c r="LER2" s="1"/>
      <c r="LES2" s="1"/>
      <c r="LET2" s="1"/>
      <c r="LEU2" s="1"/>
      <c r="LEV2" s="1"/>
      <c r="LEW2" s="1"/>
      <c r="LEX2" s="1"/>
      <c r="LEY2" s="1"/>
      <c r="LEZ2" s="1"/>
      <c r="LFA2" s="1"/>
      <c r="LFB2" s="1"/>
      <c r="LFC2" s="1"/>
      <c r="LFD2" s="1"/>
      <c r="LFE2" s="1"/>
      <c r="LFF2" s="1"/>
      <c r="LFG2" s="1"/>
      <c r="LFH2" s="1"/>
      <c r="LFI2" s="1"/>
      <c r="LFJ2" s="1"/>
      <c r="LFK2" s="1"/>
      <c r="LFL2" s="1"/>
      <c r="LFM2" s="1"/>
      <c r="LFN2" s="1"/>
      <c r="LFO2" s="1"/>
      <c r="LFP2" s="1"/>
      <c r="LFQ2" s="1"/>
      <c r="LFR2" s="1"/>
      <c r="LFS2" s="1"/>
      <c r="LFT2" s="1"/>
      <c r="LFU2" s="1"/>
      <c r="LFV2" s="1"/>
      <c r="LFW2" s="1"/>
      <c r="LFX2" s="1"/>
      <c r="LFY2" s="1"/>
      <c r="LFZ2" s="1"/>
      <c r="LGA2" s="1"/>
      <c r="LGB2" s="1"/>
      <c r="LGC2" s="1"/>
      <c r="LGD2" s="1"/>
      <c r="LGE2" s="1"/>
      <c r="LGF2" s="1"/>
      <c r="LGG2" s="1"/>
      <c r="LGH2" s="1"/>
      <c r="LGI2" s="1"/>
      <c r="LGJ2" s="1"/>
      <c r="LGK2" s="1"/>
      <c r="LGL2" s="1"/>
      <c r="LGM2" s="1"/>
      <c r="LGN2" s="1"/>
      <c r="LGO2" s="1"/>
      <c r="LGP2" s="1"/>
      <c r="LGQ2" s="1"/>
      <c r="LGR2" s="1"/>
      <c r="LGS2" s="1"/>
      <c r="LGT2" s="1"/>
      <c r="LGU2" s="1"/>
      <c r="LGV2" s="1"/>
      <c r="LGW2" s="1"/>
      <c r="LGX2" s="1"/>
      <c r="LGY2" s="1"/>
      <c r="LGZ2" s="1"/>
      <c r="LHA2" s="1"/>
      <c r="LHB2" s="1"/>
      <c r="LHC2" s="1"/>
      <c r="LHD2" s="1"/>
      <c r="LHE2" s="1"/>
      <c r="LHF2" s="1"/>
      <c r="LHG2" s="1"/>
      <c r="LHH2" s="1"/>
      <c r="LHI2" s="1"/>
      <c r="LHJ2" s="1"/>
      <c r="LHK2" s="1"/>
      <c r="LHL2" s="1"/>
      <c r="LHM2" s="1"/>
      <c r="LHN2" s="1"/>
      <c r="LHO2" s="1"/>
      <c r="LHP2" s="1"/>
      <c r="LHQ2" s="1"/>
      <c r="LHR2" s="1"/>
      <c r="LHS2" s="1"/>
      <c r="LHT2" s="1"/>
      <c r="LHU2" s="1"/>
      <c r="LHV2" s="1"/>
      <c r="LHW2" s="1"/>
      <c r="LHX2" s="1"/>
      <c r="LHY2" s="1"/>
      <c r="LHZ2" s="1"/>
      <c r="LIA2" s="1"/>
      <c r="LIB2" s="1"/>
      <c r="LIC2" s="1"/>
      <c r="LID2" s="1"/>
      <c r="LIE2" s="1"/>
      <c r="LIF2" s="1"/>
      <c r="LIG2" s="1"/>
      <c r="LIH2" s="1"/>
      <c r="LII2" s="1"/>
      <c r="LIJ2" s="1"/>
      <c r="LIK2" s="1"/>
      <c r="LIL2" s="1"/>
      <c r="LIM2" s="1"/>
      <c r="LIN2" s="1"/>
      <c r="LIO2" s="1"/>
      <c r="LIP2" s="1"/>
      <c r="LIQ2" s="1"/>
      <c r="LIR2" s="1"/>
      <c r="LIS2" s="1"/>
      <c r="LIT2" s="1"/>
      <c r="LIU2" s="1"/>
      <c r="LIV2" s="1"/>
      <c r="LIW2" s="1"/>
      <c r="LIX2" s="1"/>
      <c r="LIY2" s="1"/>
      <c r="LIZ2" s="1"/>
      <c r="LJA2" s="1"/>
      <c r="LJB2" s="1"/>
      <c r="LJC2" s="1"/>
      <c r="LJD2" s="1"/>
      <c r="LJE2" s="1"/>
      <c r="LJF2" s="1"/>
      <c r="LJG2" s="1"/>
      <c r="LJH2" s="1"/>
      <c r="LJI2" s="1"/>
      <c r="LJJ2" s="1"/>
      <c r="LJK2" s="1"/>
      <c r="LJL2" s="1"/>
      <c r="LJM2" s="1"/>
      <c r="LJN2" s="1"/>
      <c r="LJO2" s="1"/>
      <c r="LJP2" s="1"/>
      <c r="LJQ2" s="1"/>
      <c r="LJR2" s="1"/>
      <c r="LJS2" s="1"/>
      <c r="LJT2" s="1"/>
      <c r="LJU2" s="1"/>
      <c r="LJV2" s="1"/>
      <c r="LJW2" s="1"/>
      <c r="LJX2" s="1"/>
      <c r="LJY2" s="1"/>
      <c r="LJZ2" s="1"/>
      <c r="LKA2" s="1"/>
      <c r="LKB2" s="1"/>
      <c r="LKC2" s="1"/>
      <c r="LKD2" s="1"/>
      <c r="LKE2" s="1"/>
      <c r="LKF2" s="1"/>
      <c r="LKG2" s="1"/>
      <c r="LKH2" s="1"/>
      <c r="LKI2" s="1"/>
      <c r="LKJ2" s="1"/>
      <c r="LKK2" s="1"/>
      <c r="LKL2" s="1"/>
      <c r="LKM2" s="1"/>
      <c r="LKN2" s="1"/>
      <c r="LKO2" s="1"/>
      <c r="LKP2" s="1"/>
      <c r="LKQ2" s="1"/>
      <c r="LKR2" s="1"/>
      <c r="LKS2" s="1"/>
      <c r="LKT2" s="1"/>
      <c r="LKU2" s="1"/>
      <c r="LKV2" s="1"/>
      <c r="LKW2" s="1"/>
      <c r="LKX2" s="1"/>
      <c r="LKY2" s="1"/>
      <c r="LKZ2" s="1"/>
      <c r="LLA2" s="1"/>
      <c r="LLB2" s="1"/>
      <c r="LLC2" s="1"/>
      <c r="LLD2" s="1"/>
      <c r="LLE2" s="1"/>
      <c r="LLF2" s="1"/>
      <c r="LLG2" s="1"/>
      <c r="LLH2" s="1"/>
      <c r="LLI2" s="1"/>
      <c r="LLJ2" s="1"/>
      <c r="LLK2" s="1"/>
      <c r="LLL2" s="1"/>
      <c r="LLM2" s="1"/>
      <c r="LLN2" s="1"/>
      <c r="LLO2" s="1"/>
      <c r="LLP2" s="1"/>
      <c r="LLQ2" s="1"/>
      <c r="LLR2" s="1"/>
      <c r="LLS2" s="1"/>
      <c r="LLT2" s="1"/>
      <c r="LLU2" s="1"/>
      <c r="LLV2" s="1"/>
      <c r="LLW2" s="1"/>
      <c r="LLX2" s="1"/>
      <c r="LLY2" s="1"/>
      <c r="LLZ2" s="1"/>
      <c r="LMA2" s="1"/>
      <c r="LMB2" s="1"/>
      <c r="LMC2" s="1"/>
      <c r="LMD2" s="1"/>
      <c r="LME2" s="1"/>
      <c r="LMF2" s="1"/>
      <c r="LMG2" s="1"/>
      <c r="LMH2" s="1"/>
      <c r="LMI2" s="1"/>
      <c r="LMJ2" s="1"/>
      <c r="LMK2" s="1"/>
      <c r="LML2" s="1"/>
      <c r="LMM2" s="1"/>
      <c r="LMN2" s="1"/>
      <c r="LMO2" s="1"/>
      <c r="LMP2" s="1"/>
      <c r="LMQ2" s="1"/>
      <c r="LMR2" s="1"/>
      <c r="LMS2" s="1"/>
      <c r="LMT2" s="1"/>
      <c r="LMU2" s="1"/>
      <c r="LMV2" s="1"/>
      <c r="LMW2" s="1"/>
      <c r="LMX2" s="1"/>
      <c r="LMY2" s="1"/>
      <c r="LMZ2" s="1"/>
      <c r="LNA2" s="1"/>
      <c r="LNB2" s="1"/>
      <c r="LNC2" s="1"/>
      <c r="LND2" s="1"/>
      <c r="LNE2" s="1"/>
      <c r="LNF2" s="1"/>
      <c r="LNG2" s="1"/>
      <c r="LNH2" s="1"/>
      <c r="LNI2" s="1"/>
      <c r="LNJ2" s="1"/>
      <c r="LNK2" s="1"/>
      <c r="LNL2" s="1"/>
      <c r="LNM2" s="1"/>
      <c r="LNN2" s="1"/>
      <c r="LNO2" s="1"/>
      <c r="LNP2" s="1"/>
      <c r="LNQ2" s="1"/>
      <c r="LNR2" s="1"/>
      <c r="LNS2" s="1"/>
      <c r="LNT2" s="1"/>
      <c r="LNU2" s="1"/>
      <c r="LNV2" s="1"/>
      <c r="LNW2" s="1"/>
      <c r="LNX2" s="1"/>
      <c r="LNY2" s="1"/>
      <c r="LNZ2" s="1"/>
      <c r="LOA2" s="1"/>
      <c r="LOB2" s="1"/>
      <c r="LOC2" s="1"/>
      <c r="LOD2" s="1"/>
      <c r="LOE2" s="1"/>
      <c r="LOF2" s="1"/>
      <c r="LOG2" s="1"/>
      <c r="LOH2" s="1"/>
      <c r="LOI2" s="1"/>
      <c r="LOJ2" s="1"/>
      <c r="LOK2" s="1"/>
      <c r="LOL2" s="1"/>
      <c r="LOM2" s="1"/>
      <c r="LON2" s="1"/>
      <c r="LOO2" s="1"/>
      <c r="LOP2" s="1"/>
      <c r="LOQ2" s="1"/>
      <c r="LOR2" s="1"/>
      <c r="LOS2" s="1"/>
      <c r="LOT2" s="1"/>
      <c r="LOU2" s="1"/>
      <c r="LOV2" s="1"/>
      <c r="LOW2" s="1"/>
      <c r="LOX2" s="1"/>
      <c r="LOY2" s="1"/>
      <c r="LOZ2" s="1"/>
      <c r="LPA2" s="1"/>
      <c r="LPB2" s="1"/>
      <c r="LPC2" s="1"/>
      <c r="LPD2" s="1"/>
      <c r="LPE2" s="1"/>
      <c r="LPF2" s="1"/>
      <c r="LPG2" s="1"/>
      <c r="LPH2" s="1"/>
      <c r="LPI2" s="1"/>
      <c r="LPJ2" s="1"/>
      <c r="LPK2" s="1"/>
      <c r="LPL2" s="1"/>
      <c r="LPM2" s="1"/>
      <c r="LPN2" s="1"/>
      <c r="LPO2" s="1"/>
      <c r="LPP2" s="1"/>
      <c r="LPQ2" s="1"/>
      <c r="LPR2" s="1"/>
      <c r="LPS2" s="1"/>
      <c r="LPT2" s="1"/>
      <c r="LPU2" s="1"/>
      <c r="LPV2" s="1"/>
      <c r="LPW2" s="1"/>
      <c r="LPX2" s="1"/>
      <c r="LPY2" s="1"/>
      <c r="LPZ2" s="1"/>
      <c r="LQA2" s="1"/>
      <c r="LQB2" s="1"/>
      <c r="LQC2" s="1"/>
      <c r="LQD2" s="1"/>
      <c r="LQE2" s="1"/>
      <c r="LQF2" s="1"/>
      <c r="LQG2" s="1"/>
      <c r="LQH2" s="1"/>
      <c r="LQI2" s="1"/>
      <c r="LQJ2" s="1"/>
      <c r="LQK2" s="1"/>
      <c r="LQL2" s="1"/>
      <c r="LQM2" s="1"/>
      <c r="LQN2" s="1"/>
      <c r="LQO2" s="1"/>
      <c r="LQP2" s="1"/>
      <c r="LQQ2" s="1"/>
      <c r="LQR2" s="1"/>
      <c r="LQS2" s="1"/>
      <c r="LQT2" s="1"/>
      <c r="LQU2" s="1"/>
      <c r="LQV2" s="1"/>
      <c r="LQW2" s="1"/>
      <c r="LQX2" s="1"/>
      <c r="LQY2" s="1"/>
      <c r="LQZ2" s="1"/>
      <c r="LRA2" s="1"/>
      <c r="LRB2" s="1"/>
      <c r="LRC2" s="1"/>
      <c r="LRD2" s="1"/>
      <c r="LRE2" s="1"/>
      <c r="LRF2" s="1"/>
      <c r="LRG2" s="1"/>
      <c r="LRH2" s="1"/>
      <c r="LRI2" s="1"/>
      <c r="LRJ2" s="1"/>
      <c r="LRK2" s="1"/>
      <c r="LRL2" s="1"/>
      <c r="LRM2" s="1"/>
      <c r="LRN2" s="1"/>
      <c r="LRO2" s="1"/>
      <c r="LRP2" s="1"/>
      <c r="LRQ2" s="1"/>
      <c r="LRR2" s="1"/>
      <c r="LRS2" s="1"/>
      <c r="LRT2" s="1"/>
      <c r="LRU2" s="1"/>
      <c r="LRV2" s="1"/>
      <c r="LRW2" s="1"/>
      <c r="LRX2" s="1"/>
      <c r="LRY2" s="1"/>
      <c r="LRZ2" s="1"/>
      <c r="LSA2" s="1"/>
      <c r="LSB2" s="1"/>
      <c r="LSC2" s="1"/>
      <c r="LSD2" s="1"/>
      <c r="LSE2" s="1"/>
      <c r="LSF2" s="1"/>
      <c r="LSG2" s="1"/>
      <c r="LSH2" s="1"/>
      <c r="LSI2" s="1"/>
      <c r="LSJ2" s="1"/>
      <c r="LSK2" s="1"/>
      <c r="LSL2" s="1"/>
      <c r="LSM2" s="1"/>
      <c r="LSN2" s="1"/>
      <c r="LSO2" s="1"/>
      <c r="LSP2" s="1"/>
      <c r="LSQ2" s="1"/>
      <c r="LSR2" s="1"/>
      <c r="LSS2" s="1"/>
      <c r="LST2" s="1"/>
      <c r="LSU2" s="1"/>
      <c r="LSV2" s="1"/>
      <c r="LSW2" s="1"/>
      <c r="LSX2" s="1"/>
      <c r="LSY2" s="1"/>
      <c r="LSZ2" s="1"/>
      <c r="LTA2" s="1"/>
      <c r="LTB2" s="1"/>
      <c r="LTC2" s="1"/>
      <c r="LTD2" s="1"/>
      <c r="LTE2" s="1"/>
      <c r="LTF2" s="1"/>
      <c r="LTG2" s="1"/>
      <c r="LTH2" s="1"/>
      <c r="LTI2" s="1"/>
      <c r="LTJ2" s="1"/>
      <c r="LTK2" s="1"/>
      <c r="LTL2" s="1"/>
      <c r="LTM2" s="1"/>
      <c r="LTN2" s="1"/>
      <c r="LTO2" s="1"/>
      <c r="LTP2" s="1"/>
      <c r="LTQ2" s="1"/>
      <c r="LTR2" s="1"/>
      <c r="LTS2" s="1"/>
      <c r="LTT2" s="1"/>
      <c r="LTU2" s="1"/>
      <c r="LTV2" s="1"/>
      <c r="LTW2" s="1"/>
      <c r="LTX2" s="1"/>
      <c r="LTY2" s="1"/>
      <c r="LTZ2" s="1"/>
      <c r="LUA2" s="1"/>
      <c r="LUB2" s="1"/>
      <c r="LUC2" s="1"/>
      <c r="LUD2" s="1"/>
      <c r="LUE2" s="1"/>
      <c r="LUF2" s="1"/>
      <c r="LUG2" s="1"/>
      <c r="LUH2" s="1"/>
      <c r="LUI2" s="1"/>
      <c r="LUJ2" s="1"/>
      <c r="LUK2" s="1"/>
      <c r="LUL2" s="1"/>
      <c r="LUM2" s="1"/>
      <c r="LUN2" s="1"/>
      <c r="LUO2" s="1"/>
      <c r="LUP2" s="1"/>
      <c r="LUQ2" s="1"/>
      <c r="LUR2" s="1"/>
      <c r="LUS2" s="1"/>
      <c r="LUT2" s="1"/>
      <c r="LUU2" s="1"/>
      <c r="LUV2" s="1"/>
      <c r="LUW2" s="1"/>
      <c r="LUX2" s="1"/>
      <c r="LUY2" s="1"/>
      <c r="LUZ2" s="1"/>
      <c r="LVA2" s="1"/>
      <c r="LVB2" s="1"/>
      <c r="LVC2" s="1"/>
      <c r="LVD2" s="1"/>
      <c r="LVE2" s="1"/>
      <c r="LVF2" s="1"/>
      <c r="LVG2" s="1"/>
      <c r="LVH2" s="1"/>
      <c r="LVI2" s="1"/>
      <c r="LVJ2" s="1"/>
      <c r="LVK2" s="1"/>
      <c r="LVL2" s="1"/>
      <c r="LVM2" s="1"/>
      <c r="LVN2" s="1"/>
      <c r="LVO2" s="1"/>
      <c r="LVP2" s="1"/>
      <c r="LVQ2" s="1"/>
      <c r="LVR2" s="1"/>
      <c r="LVS2" s="1"/>
      <c r="LVT2" s="1"/>
      <c r="LVU2" s="1"/>
      <c r="LVV2" s="1"/>
      <c r="LVW2" s="1"/>
      <c r="LVX2" s="1"/>
      <c r="LVY2" s="1"/>
      <c r="LVZ2" s="1"/>
      <c r="LWA2" s="1"/>
      <c r="LWB2" s="1"/>
      <c r="LWC2" s="1"/>
      <c r="LWD2" s="1"/>
      <c r="LWE2" s="1"/>
      <c r="LWF2" s="1"/>
      <c r="LWG2" s="1"/>
      <c r="LWH2" s="1"/>
      <c r="LWI2" s="1"/>
      <c r="LWJ2" s="1"/>
      <c r="LWK2" s="1"/>
      <c r="LWL2" s="1"/>
      <c r="LWM2" s="1"/>
      <c r="LWN2" s="1"/>
      <c r="LWO2" s="1"/>
      <c r="LWP2" s="1"/>
      <c r="LWQ2" s="1"/>
      <c r="LWR2" s="1"/>
      <c r="LWS2" s="1"/>
      <c r="LWT2" s="1"/>
      <c r="LWU2" s="1"/>
      <c r="LWV2" s="1"/>
      <c r="LWW2" s="1"/>
      <c r="LWX2" s="1"/>
      <c r="LWY2" s="1"/>
      <c r="LWZ2" s="1"/>
      <c r="LXA2" s="1"/>
      <c r="LXB2" s="1"/>
      <c r="LXC2" s="1"/>
      <c r="LXD2" s="1"/>
      <c r="LXE2" s="1"/>
      <c r="LXF2" s="1"/>
      <c r="LXG2" s="1"/>
      <c r="LXH2" s="1"/>
      <c r="LXI2" s="1"/>
      <c r="LXJ2" s="1"/>
      <c r="LXK2" s="1"/>
      <c r="LXL2" s="1"/>
      <c r="LXM2" s="1"/>
      <c r="LXN2" s="1"/>
      <c r="LXO2" s="1"/>
      <c r="LXP2" s="1"/>
      <c r="LXQ2" s="1"/>
      <c r="LXR2" s="1"/>
      <c r="LXS2" s="1"/>
      <c r="LXT2" s="1"/>
      <c r="LXU2" s="1"/>
      <c r="LXV2" s="1"/>
      <c r="LXW2" s="1"/>
      <c r="LXX2" s="1"/>
      <c r="LXY2" s="1"/>
      <c r="LXZ2" s="1"/>
      <c r="LYA2" s="1"/>
      <c r="LYB2" s="1"/>
      <c r="LYC2" s="1"/>
      <c r="LYD2" s="1"/>
      <c r="LYE2" s="1"/>
      <c r="LYF2" s="1"/>
      <c r="LYG2" s="1"/>
      <c r="LYH2" s="1"/>
      <c r="LYI2" s="1"/>
      <c r="LYJ2" s="1"/>
      <c r="LYK2" s="1"/>
      <c r="LYL2" s="1"/>
      <c r="LYM2" s="1"/>
      <c r="LYN2" s="1"/>
      <c r="LYO2" s="1"/>
      <c r="LYP2" s="1"/>
      <c r="LYQ2" s="1"/>
      <c r="LYR2" s="1"/>
      <c r="LYS2" s="1"/>
      <c r="LYT2" s="1"/>
      <c r="LYU2" s="1"/>
      <c r="LYV2" s="1"/>
      <c r="LYW2" s="1"/>
      <c r="LYX2" s="1"/>
      <c r="LYY2" s="1"/>
      <c r="LYZ2" s="1"/>
      <c r="LZA2" s="1"/>
      <c r="LZB2" s="1"/>
      <c r="LZC2" s="1"/>
      <c r="LZD2" s="1"/>
      <c r="LZE2" s="1"/>
      <c r="LZF2" s="1"/>
      <c r="LZG2" s="1"/>
      <c r="LZH2" s="1"/>
      <c r="LZI2" s="1"/>
      <c r="LZJ2" s="1"/>
      <c r="LZK2" s="1"/>
      <c r="LZL2" s="1"/>
      <c r="LZM2" s="1"/>
      <c r="LZN2" s="1"/>
      <c r="LZO2" s="1"/>
      <c r="LZP2" s="1"/>
      <c r="LZQ2" s="1"/>
      <c r="LZR2" s="1"/>
      <c r="LZS2" s="1"/>
      <c r="LZT2" s="1"/>
      <c r="LZU2" s="1"/>
      <c r="LZV2" s="1"/>
      <c r="LZW2" s="1"/>
      <c r="LZX2" s="1"/>
      <c r="LZY2" s="1"/>
      <c r="LZZ2" s="1"/>
      <c r="MAA2" s="1"/>
      <c r="MAB2" s="1"/>
      <c r="MAC2" s="1"/>
      <c r="MAD2" s="1"/>
      <c r="MAE2" s="1"/>
      <c r="MAF2" s="1"/>
      <c r="MAG2" s="1"/>
      <c r="MAH2" s="1"/>
      <c r="MAI2" s="1"/>
      <c r="MAJ2" s="1"/>
      <c r="MAK2" s="1"/>
      <c r="MAL2" s="1"/>
      <c r="MAM2" s="1"/>
      <c r="MAN2" s="1"/>
      <c r="MAO2" s="1"/>
      <c r="MAP2" s="1"/>
      <c r="MAQ2" s="1"/>
      <c r="MAR2" s="1"/>
      <c r="MAS2" s="1"/>
      <c r="MAT2" s="1"/>
      <c r="MAU2" s="1"/>
      <c r="MAV2" s="1"/>
      <c r="MAW2" s="1"/>
      <c r="MAX2" s="1"/>
      <c r="MAY2" s="1"/>
      <c r="MAZ2" s="1"/>
      <c r="MBA2" s="1"/>
      <c r="MBB2" s="1"/>
      <c r="MBC2" s="1"/>
      <c r="MBD2" s="1"/>
      <c r="MBE2" s="1"/>
      <c r="MBF2" s="1"/>
      <c r="MBG2" s="1"/>
      <c r="MBH2" s="1"/>
      <c r="MBI2" s="1"/>
      <c r="MBJ2" s="1"/>
      <c r="MBK2" s="1"/>
      <c r="MBL2" s="1"/>
      <c r="MBM2" s="1"/>
      <c r="MBN2" s="1"/>
      <c r="MBO2" s="1"/>
      <c r="MBP2" s="1"/>
      <c r="MBQ2" s="1"/>
      <c r="MBR2" s="1"/>
      <c r="MBS2" s="1"/>
      <c r="MBT2" s="1"/>
      <c r="MBU2" s="1"/>
      <c r="MBV2" s="1"/>
      <c r="MBW2" s="1"/>
      <c r="MBX2" s="1"/>
      <c r="MBY2" s="1"/>
      <c r="MBZ2" s="1"/>
      <c r="MCA2" s="1"/>
      <c r="MCB2" s="1"/>
      <c r="MCC2" s="1"/>
      <c r="MCD2" s="1"/>
      <c r="MCE2" s="1"/>
      <c r="MCF2" s="1"/>
      <c r="MCG2" s="1"/>
      <c r="MCH2" s="1"/>
      <c r="MCI2" s="1"/>
      <c r="MCJ2" s="1"/>
      <c r="MCK2" s="1"/>
      <c r="MCL2" s="1"/>
      <c r="MCM2" s="1"/>
      <c r="MCN2" s="1"/>
      <c r="MCO2" s="1"/>
      <c r="MCP2" s="1"/>
      <c r="MCQ2" s="1"/>
      <c r="MCR2" s="1"/>
      <c r="MCS2" s="1"/>
      <c r="MCT2" s="1"/>
      <c r="MCU2" s="1"/>
      <c r="MCV2" s="1"/>
      <c r="MCW2" s="1"/>
      <c r="MCX2" s="1"/>
      <c r="MCY2" s="1"/>
      <c r="MCZ2" s="1"/>
      <c r="MDA2" s="1"/>
      <c r="MDB2" s="1"/>
      <c r="MDC2" s="1"/>
      <c r="MDD2" s="1"/>
      <c r="MDE2" s="1"/>
      <c r="MDF2" s="1"/>
      <c r="MDG2" s="1"/>
      <c r="MDH2" s="1"/>
      <c r="MDI2" s="1"/>
      <c r="MDJ2" s="1"/>
      <c r="MDK2" s="1"/>
      <c r="MDL2" s="1"/>
      <c r="MDM2" s="1"/>
      <c r="MDN2" s="1"/>
      <c r="MDO2" s="1"/>
      <c r="MDP2" s="1"/>
      <c r="MDQ2" s="1"/>
      <c r="MDR2" s="1"/>
      <c r="MDS2" s="1"/>
      <c r="MDT2" s="1"/>
      <c r="MDU2" s="1"/>
      <c r="MDV2" s="1"/>
      <c r="MDW2" s="1"/>
      <c r="MDX2" s="1"/>
      <c r="MDY2" s="1"/>
      <c r="MDZ2" s="1"/>
      <c r="MEA2" s="1"/>
      <c r="MEB2" s="1"/>
      <c r="MEC2" s="1"/>
      <c r="MED2" s="1"/>
      <c r="MEE2" s="1"/>
      <c r="MEF2" s="1"/>
      <c r="MEG2" s="1"/>
      <c r="MEH2" s="1"/>
      <c r="MEI2" s="1"/>
      <c r="MEJ2" s="1"/>
      <c r="MEK2" s="1"/>
      <c r="MEL2" s="1"/>
      <c r="MEM2" s="1"/>
      <c r="MEN2" s="1"/>
      <c r="MEO2" s="1"/>
      <c r="MEP2" s="1"/>
      <c r="MEQ2" s="1"/>
      <c r="MER2" s="1"/>
      <c r="MES2" s="1"/>
      <c r="MET2" s="1"/>
      <c r="MEU2" s="1"/>
      <c r="MEV2" s="1"/>
      <c r="MEW2" s="1"/>
      <c r="MEX2" s="1"/>
      <c r="MEY2" s="1"/>
      <c r="MEZ2" s="1"/>
      <c r="MFA2" s="1"/>
      <c r="MFB2" s="1"/>
      <c r="MFC2" s="1"/>
      <c r="MFD2" s="1"/>
      <c r="MFE2" s="1"/>
      <c r="MFF2" s="1"/>
      <c r="MFG2" s="1"/>
      <c r="MFH2" s="1"/>
      <c r="MFI2" s="1"/>
      <c r="MFJ2" s="1"/>
      <c r="MFK2" s="1"/>
      <c r="MFL2" s="1"/>
      <c r="MFM2" s="1"/>
      <c r="MFN2" s="1"/>
      <c r="MFO2" s="1"/>
      <c r="MFP2" s="1"/>
      <c r="MFQ2" s="1"/>
      <c r="MFR2" s="1"/>
      <c r="MFS2" s="1"/>
      <c r="MFT2" s="1"/>
      <c r="MFU2" s="1"/>
      <c r="MFV2" s="1"/>
      <c r="MFW2" s="1"/>
      <c r="MFX2" s="1"/>
      <c r="MFY2" s="1"/>
      <c r="MFZ2" s="1"/>
      <c r="MGA2" s="1"/>
      <c r="MGB2" s="1"/>
      <c r="MGC2" s="1"/>
      <c r="MGD2" s="1"/>
      <c r="MGE2" s="1"/>
      <c r="MGF2" s="1"/>
      <c r="MGG2" s="1"/>
      <c r="MGH2" s="1"/>
      <c r="MGI2" s="1"/>
      <c r="MGJ2" s="1"/>
      <c r="MGK2" s="1"/>
      <c r="MGL2" s="1"/>
      <c r="MGM2" s="1"/>
      <c r="MGN2" s="1"/>
      <c r="MGO2" s="1"/>
      <c r="MGP2" s="1"/>
      <c r="MGQ2" s="1"/>
      <c r="MGR2" s="1"/>
      <c r="MGS2" s="1"/>
      <c r="MGT2" s="1"/>
      <c r="MGU2" s="1"/>
      <c r="MGV2" s="1"/>
      <c r="MGW2" s="1"/>
      <c r="MGX2" s="1"/>
      <c r="MGY2" s="1"/>
      <c r="MGZ2" s="1"/>
      <c r="MHA2" s="1"/>
      <c r="MHB2" s="1"/>
      <c r="MHC2" s="1"/>
      <c r="MHD2" s="1"/>
      <c r="MHE2" s="1"/>
      <c r="MHF2" s="1"/>
      <c r="MHG2" s="1"/>
      <c r="MHH2" s="1"/>
      <c r="MHI2" s="1"/>
      <c r="MHJ2" s="1"/>
      <c r="MHK2" s="1"/>
      <c r="MHL2" s="1"/>
      <c r="MHM2" s="1"/>
      <c r="MHN2" s="1"/>
      <c r="MHO2" s="1"/>
      <c r="MHP2" s="1"/>
      <c r="MHQ2" s="1"/>
      <c r="MHR2" s="1"/>
      <c r="MHS2" s="1"/>
      <c r="MHT2" s="1"/>
      <c r="MHU2" s="1"/>
      <c r="MHV2" s="1"/>
      <c r="MHW2" s="1"/>
      <c r="MHX2" s="1"/>
      <c r="MHY2" s="1"/>
      <c r="MHZ2" s="1"/>
      <c r="MIA2" s="1"/>
      <c r="MIB2" s="1"/>
      <c r="MIC2" s="1"/>
      <c r="MID2" s="1"/>
      <c r="MIE2" s="1"/>
      <c r="MIF2" s="1"/>
      <c r="MIG2" s="1"/>
      <c r="MIH2" s="1"/>
      <c r="MII2" s="1"/>
      <c r="MIJ2" s="1"/>
      <c r="MIK2" s="1"/>
      <c r="MIL2" s="1"/>
      <c r="MIM2" s="1"/>
      <c r="MIN2" s="1"/>
      <c r="MIO2" s="1"/>
      <c r="MIP2" s="1"/>
      <c r="MIQ2" s="1"/>
      <c r="MIR2" s="1"/>
      <c r="MIS2" s="1"/>
      <c r="MIT2" s="1"/>
      <c r="MIU2" s="1"/>
      <c r="MIV2" s="1"/>
      <c r="MIW2" s="1"/>
      <c r="MIX2" s="1"/>
      <c r="MIY2" s="1"/>
      <c r="MIZ2" s="1"/>
      <c r="MJA2" s="1"/>
      <c r="MJB2" s="1"/>
      <c r="MJC2" s="1"/>
      <c r="MJD2" s="1"/>
      <c r="MJE2" s="1"/>
      <c r="MJF2" s="1"/>
      <c r="MJG2" s="1"/>
      <c r="MJH2" s="1"/>
      <c r="MJI2" s="1"/>
      <c r="MJJ2" s="1"/>
      <c r="MJK2" s="1"/>
      <c r="MJL2" s="1"/>
      <c r="MJM2" s="1"/>
      <c r="MJN2" s="1"/>
      <c r="MJO2" s="1"/>
      <c r="MJP2" s="1"/>
      <c r="MJQ2" s="1"/>
      <c r="MJR2" s="1"/>
      <c r="MJS2" s="1"/>
      <c r="MJT2" s="1"/>
      <c r="MJU2" s="1"/>
      <c r="MJV2" s="1"/>
      <c r="MJW2" s="1"/>
      <c r="MJX2" s="1"/>
      <c r="MJY2" s="1"/>
      <c r="MJZ2" s="1"/>
      <c r="MKA2" s="1"/>
      <c r="MKB2" s="1"/>
      <c r="MKC2" s="1"/>
      <c r="MKD2" s="1"/>
      <c r="MKE2" s="1"/>
      <c r="MKF2" s="1"/>
      <c r="MKG2" s="1"/>
      <c r="MKH2" s="1"/>
      <c r="MKI2" s="1"/>
      <c r="MKJ2" s="1"/>
      <c r="MKK2" s="1"/>
      <c r="MKL2" s="1"/>
      <c r="MKM2" s="1"/>
      <c r="MKN2" s="1"/>
      <c r="MKO2" s="1"/>
      <c r="MKP2" s="1"/>
      <c r="MKQ2" s="1"/>
      <c r="MKR2" s="1"/>
      <c r="MKS2" s="1"/>
      <c r="MKT2" s="1"/>
      <c r="MKU2" s="1"/>
      <c r="MKV2" s="1"/>
      <c r="MKW2" s="1"/>
      <c r="MKX2" s="1"/>
      <c r="MKY2" s="1"/>
      <c r="MKZ2" s="1"/>
      <c r="MLA2" s="1"/>
      <c r="MLB2" s="1"/>
      <c r="MLC2" s="1"/>
      <c r="MLD2" s="1"/>
      <c r="MLE2" s="1"/>
      <c r="MLF2" s="1"/>
      <c r="MLG2" s="1"/>
      <c r="MLH2" s="1"/>
      <c r="MLI2" s="1"/>
      <c r="MLJ2" s="1"/>
      <c r="MLK2" s="1"/>
      <c r="MLL2" s="1"/>
      <c r="MLM2" s="1"/>
      <c r="MLN2" s="1"/>
      <c r="MLO2" s="1"/>
      <c r="MLP2" s="1"/>
      <c r="MLQ2" s="1"/>
      <c r="MLR2" s="1"/>
      <c r="MLS2" s="1"/>
      <c r="MLT2" s="1"/>
      <c r="MLU2" s="1"/>
      <c r="MLV2" s="1"/>
      <c r="MLW2" s="1"/>
      <c r="MLX2" s="1"/>
      <c r="MLY2" s="1"/>
      <c r="MLZ2" s="1"/>
      <c r="MMA2" s="1"/>
      <c r="MMB2" s="1"/>
      <c r="MMC2" s="1"/>
      <c r="MMD2" s="1"/>
      <c r="MME2" s="1"/>
      <c r="MMF2" s="1"/>
      <c r="MMG2" s="1"/>
      <c r="MMH2" s="1"/>
      <c r="MMI2" s="1"/>
      <c r="MMJ2" s="1"/>
      <c r="MMK2" s="1"/>
      <c r="MML2" s="1"/>
      <c r="MMM2" s="1"/>
      <c r="MMN2" s="1"/>
      <c r="MMO2" s="1"/>
      <c r="MMP2" s="1"/>
      <c r="MMQ2" s="1"/>
      <c r="MMR2" s="1"/>
      <c r="MMS2" s="1"/>
      <c r="MMT2" s="1"/>
      <c r="MMU2" s="1"/>
      <c r="MMV2" s="1"/>
      <c r="MMW2" s="1"/>
      <c r="MMX2" s="1"/>
      <c r="MMY2" s="1"/>
      <c r="MMZ2" s="1"/>
      <c r="MNA2" s="1"/>
      <c r="MNB2" s="1"/>
      <c r="MNC2" s="1"/>
      <c r="MND2" s="1"/>
      <c r="MNE2" s="1"/>
      <c r="MNF2" s="1"/>
      <c r="MNG2" s="1"/>
      <c r="MNH2" s="1"/>
      <c r="MNI2" s="1"/>
      <c r="MNJ2" s="1"/>
      <c r="MNK2" s="1"/>
      <c r="MNL2" s="1"/>
      <c r="MNM2" s="1"/>
      <c r="MNN2" s="1"/>
      <c r="MNO2" s="1"/>
      <c r="MNP2" s="1"/>
      <c r="MNQ2" s="1"/>
      <c r="MNR2" s="1"/>
      <c r="MNS2" s="1"/>
      <c r="MNT2" s="1"/>
      <c r="MNU2" s="1"/>
      <c r="MNV2" s="1"/>
      <c r="MNW2" s="1"/>
      <c r="MNX2" s="1"/>
      <c r="MNY2" s="1"/>
      <c r="MNZ2" s="1"/>
      <c r="MOA2" s="1"/>
      <c r="MOB2" s="1"/>
      <c r="MOC2" s="1"/>
      <c r="MOD2" s="1"/>
      <c r="MOE2" s="1"/>
      <c r="MOF2" s="1"/>
      <c r="MOG2" s="1"/>
      <c r="MOH2" s="1"/>
      <c r="MOI2" s="1"/>
      <c r="MOJ2" s="1"/>
      <c r="MOK2" s="1"/>
      <c r="MOL2" s="1"/>
      <c r="MOM2" s="1"/>
      <c r="MON2" s="1"/>
      <c r="MOO2" s="1"/>
      <c r="MOP2" s="1"/>
      <c r="MOQ2" s="1"/>
      <c r="MOR2" s="1"/>
      <c r="MOS2" s="1"/>
      <c r="MOT2" s="1"/>
      <c r="MOU2" s="1"/>
      <c r="MOV2" s="1"/>
      <c r="MOW2" s="1"/>
      <c r="MOX2" s="1"/>
      <c r="MOY2" s="1"/>
      <c r="MOZ2" s="1"/>
      <c r="MPA2" s="1"/>
      <c r="MPB2" s="1"/>
      <c r="MPC2" s="1"/>
      <c r="MPD2" s="1"/>
      <c r="MPE2" s="1"/>
      <c r="MPF2" s="1"/>
      <c r="MPG2" s="1"/>
      <c r="MPH2" s="1"/>
      <c r="MPI2" s="1"/>
      <c r="MPJ2" s="1"/>
      <c r="MPK2" s="1"/>
      <c r="MPL2" s="1"/>
      <c r="MPM2" s="1"/>
      <c r="MPN2" s="1"/>
      <c r="MPO2" s="1"/>
      <c r="MPP2" s="1"/>
      <c r="MPQ2" s="1"/>
      <c r="MPR2" s="1"/>
      <c r="MPS2" s="1"/>
      <c r="MPT2" s="1"/>
      <c r="MPU2" s="1"/>
      <c r="MPV2" s="1"/>
      <c r="MPW2" s="1"/>
      <c r="MPX2" s="1"/>
      <c r="MPY2" s="1"/>
      <c r="MPZ2" s="1"/>
      <c r="MQA2" s="1"/>
      <c r="MQB2" s="1"/>
      <c r="MQC2" s="1"/>
      <c r="MQD2" s="1"/>
      <c r="MQE2" s="1"/>
      <c r="MQF2" s="1"/>
      <c r="MQG2" s="1"/>
      <c r="MQH2" s="1"/>
      <c r="MQI2" s="1"/>
      <c r="MQJ2" s="1"/>
      <c r="MQK2" s="1"/>
      <c r="MQL2" s="1"/>
      <c r="MQM2" s="1"/>
      <c r="MQN2" s="1"/>
      <c r="MQO2" s="1"/>
      <c r="MQP2" s="1"/>
      <c r="MQQ2" s="1"/>
      <c r="MQR2" s="1"/>
      <c r="MQS2" s="1"/>
      <c r="MQT2" s="1"/>
      <c r="MQU2" s="1"/>
      <c r="MQV2" s="1"/>
      <c r="MQW2" s="1"/>
      <c r="MQX2" s="1"/>
      <c r="MQY2" s="1"/>
      <c r="MQZ2" s="1"/>
      <c r="MRA2" s="1"/>
      <c r="MRB2" s="1"/>
      <c r="MRC2" s="1"/>
      <c r="MRD2" s="1"/>
      <c r="MRE2" s="1"/>
      <c r="MRF2" s="1"/>
      <c r="MRG2" s="1"/>
      <c r="MRH2" s="1"/>
      <c r="MRI2" s="1"/>
      <c r="MRJ2" s="1"/>
      <c r="MRK2" s="1"/>
      <c r="MRL2" s="1"/>
      <c r="MRM2" s="1"/>
      <c r="MRN2" s="1"/>
      <c r="MRO2" s="1"/>
      <c r="MRP2" s="1"/>
      <c r="MRQ2" s="1"/>
      <c r="MRR2" s="1"/>
      <c r="MRS2" s="1"/>
      <c r="MRT2" s="1"/>
      <c r="MRU2" s="1"/>
      <c r="MRV2" s="1"/>
      <c r="MRW2" s="1"/>
      <c r="MRX2" s="1"/>
      <c r="MRY2" s="1"/>
      <c r="MRZ2" s="1"/>
      <c r="MSA2" s="1"/>
      <c r="MSB2" s="1"/>
      <c r="MSC2" s="1"/>
      <c r="MSD2" s="1"/>
      <c r="MSE2" s="1"/>
      <c r="MSF2" s="1"/>
      <c r="MSG2" s="1"/>
      <c r="MSH2" s="1"/>
      <c r="MSI2" s="1"/>
      <c r="MSJ2" s="1"/>
      <c r="MSK2" s="1"/>
      <c r="MSL2" s="1"/>
      <c r="MSM2" s="1"/>
      <c r="MSN2" s="1"/>
      <c r="MSO2" s="1"/>
      <c r="MSP2" s="1"/>
      <c r="MSQ2" s="1"/>
      <c r="MSR2" s="1"/>
      <c r="MSS2" s="1"/>
      <c r="MST2" s="1"/>
      <c r="MSU2" s="1"/>
      <c r="MSV2" s="1"/>
      <c r="MSW2" s="1"/>
      <c r="MSX2" s="1"/>
      <c r="MSY2" s="1"/>
      <c r="MSZ2" s="1"/>
      <c r="MTA2" s="1"/>
      <c r="MTB2" s="1"/>
      <c r="MTC2" s="1"/>
      <c r="MTD2" s="1"/>
      <c r="MTE2" s="1"/>
      <c r="MTF2" s="1"/>
      <c r="MTG2" s="1"/>
      <c r="MTH2" s="1"/>
      <c r="MTI2" s="1"/>
      <c r="MTJ2" s="1"/>
      <c r="MTK2" s="1"/>
      <c r="MTL2" s="1"/>
      <c r="MTM2" s="1"/>
      <c r="MTN2" s="1"/>
      <c r="MTO2" s="1"/>
      <c r="MTP2" s="1"/>
      <c r="MTQ2" s="1"/>
      <c r="MTR2" s="1"/>
      <c r="MTS2" s="1"/>
      <c r="MTT2" s="1"/>
      <c r="MTU2" s="1"/>
      <c r="MTV2" s="1"/>
      <c r="MTW2" s="1"/>
      <c r="MTX2" s="1"/>
      <c r="MTY2" s="1"/>
      <c r="MTZ2" s="1"/>
      <c r="MUA2" s="1"/>
      <c r="MUB2" s="1"/>
      <c r="MUC2" s="1"/>
      <c r="MUD2" s="1"/>
      <c r="MUE2" s="1"/>
      <c r="MUF2" s="1"/>
      <c r="MUG2" s="1"/>
      <c r="MUH2" s="1"/>
      <c r="MUI2" s="1"/>
      <c r="MUJ2" s="1"/>
      <c r="MUK2" s="1"/>
      <c r="MUL2" s="1"/>
      <c r="MUM2" s="1"/>
      <c r="MUN2" s="1"/>
      <c r="MUO2" s="1"/>
      <c r="MUP2" s="1"/>
      <c r="MUQ2" s="1"/>
      <c r="MUR2" s="1"/>
      <c r="MUS2" s="1"/>
      <c r="MUT2" s="1"/>
      <c r="MUU2" s="1"/>
      <c r="MUV2" s="1"/>
      <c r="MUW2" s="1"/>
      <c r="MUX2" s="1"/>
      <c r="MUY2" s="1"/>
      <c r="MUZ2" s="1"/>
      <c r="MVA2" s="1"/>
      <c r="MVB2" s="1"/>
      <c r="MVC2" s="1"/>
      <c r="MVD2" s="1"/>
      <c r="MVE2" s="1"/>
      <c r="MVF2" s="1"/>
      <c r="MVG2" s="1"/>
      <c r="MVH2" s="1"/>
      <c r="MVI2" s="1"/>
      <c r="MVJ2" s="1"/>
      <c r="MVK2" s="1"/>
      <c r="MVL2" s="1"/>
      <c r="MVM2" s="1"/>
      <c r="MVN2" s="1"/>
      <c r="MVO2" s="1"/>
      <c r="MVP2" s="1"/>
      <c r="MVQ2" s="1"/>
      <c r="MVR2" s="1"/>
      <c r="MVS2" s="1"/>
      <c r="MVT2" s="1"/>
      <c r="MVU2" s="1"/>
      <c r="MVV2" s="1"/>
      <c r="MVW2" s="1"/>
      <c r="MVX2" s="1"/>
      <c r="MVY2" s="1"/>
      <c r="MVZ2" s="1"/>
      <c r="MWA2" s="1"/>
      <c r="MWB2" s="1"/>
      <c r="MWC2" s="1"/>
      <c r="MWD2" s="1"/>
      <c r="MWE2" s="1"/>
      <c r="MWF2" s="1"/>
      <c r="MWG2" s="1"/>
      <c r="MWH2" s="1"/>
      <c r="MWI2" s="1"/>
      <c r="MWJ2" s="1"/>
      <c r="MWK2" s="1"/>
      <c r="MWL2" s="1"/>
      <c r="MWM2" s="1"/>
      <c r="MWN2" s="1"/>
      <c r="MWO2" s="1"/>
      <c r="MWP2" s="1"/>
      <c r="MWQ2" s="1"/>
      <c r="MWR2" s="1"/>
      <c r="MWS2" s="1"/>
      <c r="MWT2" s="1"/>
      <c r="MWU2" s="1"/>
      <c r="MWV2" s="1"/>
      <c r="MWW2" s="1"/>
      <c r="MWX2" s="1"/>
      <c r="MWY2" s="1"/>
      <c r="MWZ2" s="1"/>
      <c r="MXA2" s="1"/>
      <c r="MXB2" s="1"/>
      <c r="MXC2" s="1"/>
      <c r="MXD2" s="1"/>
      <c r="MXE2" s="1"/>
      <c r="MXF2" s="1"/>
      <c r="MXG2" s="1"/>
      <c r="MXH2" s="1"/>
      <c r="MXI2" s="1"/>
      <c r="MXJ2" s="1"/>
      <c r="MXK2" s="1"/>
      <c r="MXL2" s="1"/>
      <c r="MXM2" s="1"/>
      <c r="MXN2" s="1"/>
      <c r="MXO2" s="1"/>
      <c r="MXP2" s="1"/>
      <c r="MXQ2" s="1"/>
      <c r="MXR2" s="1"/>
      <c r="MXS2" s="1"/>
      <c r="MXT2" s="1"/>
      <c r="MXU2" s="1"/>
      <c r="MXV2" s="1"/>
      <c r="MXW2" s="1"/>
      <c r="MXX2" s="1"/>
      <c r="MXY2" s="1"/>
      <c r="MXZ2" s="1"/>
      <c r="MYA2" s="1"/>
      <c r="MYB2" s="1"/>
      <c r="MYC2" s="1"/>
      <c r="MYD2" s="1"/>
      <c r="MYE2" s="1"/>
      <c r="MYF2" s="1"/>
      <c r="MYG2" s="1"/>
      <c r="MYH2" s="1"/>
      <c r="MYI2" s="1"/>
      <c r="MYJ2" s="1"/>
      <c r="MYK2" s="1"/>
      <c r="MYL2" s="1"/>
      <c r="MYM2" s="1"/>
      <c r="MYN2" s="1"/>
      <c r="MYO2" s="1"/>
      <c r="MYP2" s="1"/>
      <c r="MYQ2" s="1"/>
      <c r="MYR2" s="1"/>
      <c r="MYS2" s="1"/>
      <c r="MYT2" s="1"/>
      <c r="MYU2" s="1"/>
      <c r="MYV2" s="1"/>
      <c r="MYW2" s="1"/>
      <c r="MYX2" s="1"/>
      <c r="MYY2" s="1"/>
      <c r="MYZ2" s="1"/>
      <c r="MZA2" s="1"/>
      <c r="MZB2" s="1"/>
      <c r="MZC2" s="1"/>
      <c r="MZD2" s="1"/>
      <c r="MZE2" s="1"/>
      <c r="MZF2" s="1"/>
      <c r="MZG2" s="1"/>
      <c r="MZH2" s="1"/>
      <c r="MZI2" s="1"/>
      <c r="MZJ2" s="1"/>
      <c r="MZK2" s="1"/>
      <c r="MZL2" s="1"/>
      <c r="MZM2" s="1"/>
      <c r="MZN2" s="1"/>
      <c r="MZO2" s="1"/>
      <c r="MZP2" s="1"/>
      <c r="MZQ2" s="1"/>
      <c r="MZR2" s="1"/>
      <c r="MZS2" s="1"/>
      <c r="MZT2" s="1"/>
      <c r="MZU2" s="1"/>
      <c r="MZV2" s="1"/>
      <c r="MZW2" s="1"/>
      <c r="MZX2" s="1"/>
      <c r="MZY2" s="1"/>
      <c r="MZZ2" s="1"/>
      <c r="NAA2" s="1"/>
      <c r="NAB2" s="1"/>
      <c r="NAC2" s="1"/>
      <c r="NAD2" s="1"/>
      <c r="NAE2" s="1"/>
      <c r="NAF2" s="1"/>
      <c r="NAG2" s="1"/>
      <c r="NAH2" s="1"/>
      <c r="NAI2" s="1"/>
      <c r="NAJ2" s="1"/>
      <c r="NAK2" s="1"/>
      <c r="NAL2" s="1"/>
      <c r="NAM2" s="1"/>
      <c r="NAN2" s="1"/>
      <c r="NAO2" s="1"/>
      <c r="NAP2" s="1"/>
      <c r="NAQ2" s="1"/>
      <c r="NAR2" s="1"/>
      <c r="NAS2" s="1"/>
      <c r="NAT2" s="1"/>
      <c r="NAU2" s="1"/>
      <c r="NAV2" s="1"/>
      <c r="NAW2" s="1"/>
      <c r="NAX2" s="1"/>
      <c r="NAY2" s="1"/>
      <c r="NAZ2" s="1"/>
      <c r="NBA2" s="1"/>
      <c r="NBB2" s="1"/>
      <c r="NBC2" s="1"/>
      <c r="NBD2" s="1"/>
      <c r="NBE2" s="1"/>
      <c r="NBF2" s="1"/>
      <c r="NBG2" s="1"/>
      <c r="NBH2" s="1"/>
      <c r="NBI2" s="1"/>
      <c r="NBJ2" s="1"/>
      <c r="NBK2" s="1"/>
      <c r="NBL2" s="1"/>
      <c r="NBM2" s="1"/>
      <c r="NBN2" s="1"/>
      <c r="NBO2" s="1"/>
      <c r="NBP2" s="1"/>
      <c r="NBQ2" s="1"/>
      <c r="NBR2" s="1"/>
      <c r="NBS2" s="1"/>
      <c r="NBT2" s="1"/>
      <c r="NBU2" s="1"/>
      <c r="NBV2" s="1"/>
      <c r="NBW2" s="1"/>
      <c r="NBX2" s="1"/>
      <c r="NBY2" s="1"/>
      <c r="NBZ2" s="1"/>
      <c r="NCA2" s="1"/>
      <c r="NCB2" s="1"/>
      <c r="NCC2" s="1"/>
      <c r="NCD2" s="1"/>
      <c r="NCE2" s="1"/>
      <c r="NCF2" s="1"/>
      <c r="NCG2" s="1"/>
      <c r="NCH2" s="1"/>
      <c r="NCI2" s="1"/>
      <c r="NCJ2" s="1"/>
      <c r="NCK2" s="1"/>
      <c r="NCL2" s="1"/>
      <c r="NCM2" s="1"/>
      <c r="NCN2" s="1"/>
      <c r="NCO2" s="1"/>
      <c r="NCP2" s="1"/>
      <c r="NCQ2" s="1"/>
      <c r="NCR2" s="1"/>
      <c r="NCS2" s="1"/>
      <c r="NCT2" s="1"/>
      <c r="NCU2" s="1"/>
      <c r="NCV2" s="1"/>
      <c r="NCW2" s="1"/>
      <c r="NCX2" s="1"/>
      <c r="NCY2" s="1"/>
      <c r="NCZ2" s="1"/>
      <c r="NDA2" s="1"/>
      <c r="NDB2" s="1"/>
      <c r="NDC2" s="1"/>
      <c r="NDD2" s="1"/>
      <c r="NDE2" s="1"/>
      <c r="NDF2" s="1"/>
      <c r="NDG2" s="1"/>
      <c r="NDH2" s="1"/>
      <c r="NDI2" s="1"/>
      <c r="NDJ2" s="1"/>
      <c r="NDK2" s="1"/>
      <c r="NDL2" s="1"/>
      <c r="NDM2" s="1"/>
      <c r="NDN2" s="1"/>
      <c r="NDO2" s="1"/>
      <c r="NDP2" s="1"/>
      <c r="NDQ2" s="1"/>
      <c r="NDR2" s="1"/>
      <c r="NDS2" s="1"/>
      <c r="NDT2" s="1"/>
      <c r="NDU2" s="1"/>
      <c r="NDV2" s="1"/>
      <c r="NDW2" s="1"/>
      <c r="NDX2" s="1"/>
      <c r="NDY2" s="1"/>
      <c r="NDZ2" s="1"/>
      <c r="NEA2" s="1"/>
      <c r="NEB2" s="1"/>
      <c r="NEC2" s="1"/>
      <c r="NED2" s="1"/>
      <c r="NEE2" s="1"/>
      <c r="NEF2" s="1"/>
      <c r="NEG2" s="1"/>
      <c r="NEH2" s="1"/>
      <c r="NEI2" s="1"/>
      <c r="NEJ2" s="1"/>
      <c r="NEK2" s="1"/>
      <c r="NEL2" s="1"/>
      <c r="NEM2" s="1"/>
      <c r="NEN2" s="1"/>
      <c r="NEO2" s="1"/>
      <c r="NEP2" s="1"/>
      <c r="NEQ2" s="1"/>
      <c r="NER2" s="1"/>
      <c r="NES2" s="1"/>
      <c r="NET2" s="1"/>
      <c r="NEU2" s="1"/>
      <c r="NEV2" s="1"/>
      <c r="NEW2" s="1"/>
      <c r="NEX2" s="1"/>
      <c r="NEY2" s="1"/>
      <c r="NEZ2" s="1"/>
      <c r="NFA2" s="1"/>
      <c r="NFB2" s="1"/>
      <c r="NFC2" s="1"/>
      <c r="NFD2" s="1"/>
      <c r="NFE2" s="1"/>
      <c r="NFF2" s="1"/>
      <c r="NFG2" s="1"/>
      <c r="NFH2" s="1"/>
      <c r="NFI2" s="1"/>
      <c r="NFJ2" s="1"/>
      <c r="NFK2" s="1"/>
      <c r="NFL2" s="1"/>
      <c r="NFM2" s="1"/>
      <c r="NFN2" s="1"/>
      <c r="NFO2" s="1"/>
      <c r="NFP2" s="1"/>
      <c r="NFQ2" s="1"/>
      <c r="NFR2" s="1"/>
      <c r="NFS2" s="1"/>
      <c r="NFT2" s="1"/>
      <c r="NFU2" s="1"/>
      <c r="NFV2" s="1"/>
      <c r="NFW2" s="1"/>
      <c r="NFX2" s="1"/>
      <c r="NFY2" s="1"/>
      <c r="NFZ2" s="1"/>
      <c r="NGA2" s="1"/>
      <c r="NGB2" s="1"/>
      <c r="NGC2" s="1"/>
      <c r="NGD2" s="1"/>
      <c r="NGE2" s="1"/>
      <c r="NGF2" s="1"/>
      <c r="NGG2" s="1"/>
      <c r="NGH2" s="1"/>
      <c r="NGI2" s="1"/>
      <c r="NGJ2" s="1"/>
      <c r="NGK2" s="1"/>
      <c r="NGL2" s="1"/>
      <c r="NGM2" s="1"/>
      <c r="NGN2" s="1"/>
      <c r="NGO2" s="1"/>
      <c r="NGP2" s="1"/>
      <c r="NGQ2" s="1"/>
      <c r="NGR2" s="1"/>
      <c r="NGS2" s="1"/>
      <c r="NGT2" s="1"/>
      <c r="NGU2" s="1"/>
      <c r="NGV2" s="1"/>
      <c r="NGW2" s="1"/>
      <c r="NGX2" s="1"/>
      <c r="NGY2" s="1"/>
      <c r="NGZ2" s="1"/>
      <c r="NHA2" s="1"/>
      <c r="NHB2" s="1"/>
      <c r="NHC2" s="1"/>
      <c r="NHD2" s="1"/>
      <c r="NHE2" s="1"/>
      <c r="NHF2" s="1"/>
      <c r="NHG2" s="1"/>
      <c r="NHH2" s="1"/>
      <c r="NHI2" s="1"/>
      <c r="NHJ2" s="1"/>
      <c r="NHK2" s="1"/>
      <c r="NHL2" s="1"/>
      <c r="NHM2" s="1"/>
      <c r="NHN2" s="1"/>
      <c r="NHO2" s="1"/>
      <c r="NHP2" s="1"/>
      <c r="NHQ2" s="1"/>
      <c r="NHR2" s="1"/>
      <c r="NHS2" s="1"/>
      <c r="NHT2" s="1"/>
      <c r="NHU2" s="1"/>
      <c r="NHV2" s="1"/>
      <c r="NHW2" s="1"/>
      <c r="NHX2" s="1"/>
      <c r="NHY2" s="1"/>
      <c r="NHZ2" s="1"/>
      <c r="NIA2" s="1"/>
      <c r="NIB2" s="1"/>
      <c r="NIC2" s="1"/>
      <c r="NID2" s="1"/>
      <c r="NIE2" s="1"/>
      <c r="NIF2" s="1"/>
      <c r="NIG2" s="1"/>
      <c r="NIH2" s="1"/>
      <c r="NII2" s="1"/>
      <c r="NIJ2" s="1"/>
      <c r="NIK2" s="1"/>
      <c r="NIL2" s="1"/>
      <c r="NIM2" s="1"/>
      <c r="NIN2" s="1"/>
      <c r="NIO2" s="1"/>
      <c r="NIP2" s="1"/>
      <c r="NIQ2" s="1"/>
      <c r="NIR2" s="1"/>
      <c r="NIS2" s="1"/>
      <c r="NIT2" s="1"/>
      <c r="NIU2" s="1"/>
      <c r="NIV2" s="1"/>
      <c r="NIW2" s="1"/>
      <c r="NIX2" s="1"/>
      <c r="NIY2" s="1"/>
      <c r="NIZ2" s="1"/>
      <c r="NJA2" s="1"/>
      <c r="NJB2" s="1"/>
      <c r="NJC2" s="1"/>
      <c r="NJD2" s="1"/>
      <c r="NJE2" s="1"/>
      <c r="NJF2" s="1"/>
      <c r="NJG2" s="1"/>
      <c r="NJH2" s="1"/>
      <c r="NJI2" s="1"/>
      <c r="NJJ2" s="1"/>
      <c r="NJK2" s="1"/>
      <c r="NJL2" s="1"/>
      <c r="NJM2" s="1"/>
      <c r="NJN2" s="1"/>
      <c r="NJO2" s="1"/>
      <c r="NJP2" s="1"/>
      <c r="NJQ2" s="1"/>
      <c r="NJR2" s="1"/>
      <c r="NJS2" s="1"/>
      <c r="NJT2" s="1"/>
      <c r="NJU2" s="1"/>
      <c r="NJV2" s="1"/>
      <c r="NJW2" s="1"/>
      <c r="NJX2" s="1"/>
      <c r="NJY2" s="1"/>
      <c r="NJZ2" s="1"/>
      <c r="NKA2" s="1"/>
      <c r="NKB2" s="1"/>
      <c r="NKC2" s="1"/>
      <c r="NKD2" s="1"/>
      <c r="NKE2" s="1"/>
      <c r="NKF2" s="1"/>
      <c r="NKG2" s="1"/>
      <c r="NKH2" s="1"/>
      <c r="NKI2" s="1"/>
      <c r="NKJ2" s="1"/>
      <c r="NKK2" s="1"/>
      <c r="NKL2" s="1"/>
      <c r="NKM2" s="1"/>
      <c r="NKN2" s="1"/>
      <c r="NKO2" s="1"/>
      <c r="NKP2" s="1"/>
      <c r="NKQ2" s="1"/>
      <c r="NKR2" s="1"/>
      <c r="NKS2" s="1"/>
      <c r="NKT2" s="1"/>
      <c r="NKU2" s="1"/>
      <c r="NKV2" s="1"/>
      <c r="NKW2" s="1"/>
      <c r="NKX2" s="1"/>
      <c r="NKY2" s="1"/>
      <c r="NKZ2" s="1"/>
      <c r="NLA2" s="1"/>
      <c r="NLB2" s="1"/>
      <c r="NLC2" s="1"/>
      <c r="NLD2" s="1"/>
      <c r="NLE2" s="1"/>
      <c r="NLF2" s="1"/>
      <c r="NLG2" s="1"/>
      <c r="NLH2" s="1"/>
      <c r="NLI2" s="1"/>
      <c r="NLJ2" s="1"/>
      <c r="NLK2" s="1"/>
      <c r="NLL2" s="1"/>
      <c r="NLM2" s="1"/>
      <c r="NLN2" s="1"/>
      <c r="NLO2" s="1"/>
      <c r="NLP2" s="1"/>
      <c r="NLQ2" s="1"/>
      <c r="NLR2" s="1"/>
      <c r="NLS2" s="1"/>
      <c r="NLT2" s="1"/>
      <c r="NLU2" s="1"/>
      <c r="NLV2" s="1"/>
      <c r="NLW2" s="1"/>
      <c r="NLX2" s="1"/>
      <c r="NLY2" s="1"/>
      <c r="NLZ2" s="1"/>
      <c r="NMA2" s="1"/>
      <c r="NMB2" s="1"/>
      <c r="NMC2" s="1"/>
      <c r="NMD2" s="1"/>
      <c r="NME2" s="1"/>
      <c r="NMF2" s="1"/>
      <c r="NMG2" s="1"/>
      <c r="NMH2" s="1"/>
      <c r="NMI2" s="1"/>
      <c r="NMJ2" s="1"/>
      <c r="NMK2" s="1"/>
      <c r="NML2" s="1"/>
      <c r="NMM2" s="1"/>
      <c r="NMN2" s="1"/>
      <c r="NMO2" s="1"/>
      <c r="NMP2" s="1"/>
      <c r="NMQ2" s="1"/>
      <c r="NMR2" s="1"/>
      <c r="NMS2" s="1"/>
      <c r="NMT2" s="1"/>
      <c r="NMU2" s="1"/>
      <c r="NMV2" s="1"/>
      <c r="NMW2" s="1"/>
      <c r="NMX2" s="1"/>
      <c r="NMY2" s="1"/>
      <c r="NMZ2" s="1"/>
      <c r="NNA2" s="1"/>
      <c r="NNB2" s="1"/>
      <c r="NNC2" s="1"/>
      <c r="NND2" s="1"/>
      <c r="NNE2" s="1"/>
      <c r="NNF2" s="1"/>
      <c r="NNG2" s="1"/>
      <c r="NNH2" s="1"/>
      <c r="NNI2" s="1"/>
      <c r="NNJ2" s="1"/>
      <c r="NNK2" s="1"/>
      <c r="NNL2" s="1"/>
      <c r="NNM2" s="1"/>
      <c r="NNN2" s="1"/>
      <c r="NNO2" s="1"/>
      <c r="NNP2" s="1"/>
      <c r="NNQ2" s="1"/>
      <c r="NNR2" s="1"/>
      <c r="NNS2" s="1"/>
      <c r="NNT2" s="1"/>
      <c r="NNU2" s="1"/>
      <c r="NNV2" s="1"/>
      <c r="NNW2" s="1"/>
      <c r="NNX2" s="1"/>
      <c r="NNY2" s="1"/>
      <c r="NNZ2" s="1"/>
      <c r="NOA2" s="1"/>
      <c r="NOB2" s="1"/>
      <c r="NOC2" s="1"/>
      <c r="NOD2" s="1"/>
      <c r="NOE2" s="1"/>
      <c r="NOF2" s="1"/>
      <c r="NOG2" s="1"/>
      <c r="NOH2" s="1"/>
      <c r="NOI2" s="1"/>
      <c r="NOJ2" s="1"/>
      <c r="NOK2" s="1"/>
      <c r="NOL2" s="1"/>
      <c r="NOM2" s="1"/>
      <c r="NON2" s="1"/>
      <c r="NOO2" s="1"/>
      <c r="NOP2" s="1"/>
      <c r="NOQ2" s="1"/>
      <c r="NOR2" s="1"/>
      <c r="NOS2" s="1"/>
      <c r="NOT2" s="1"/>
      <c r="NOU2" s="1"/>
      <c r="NOV2" s="1"/>
      <c r="NOW2" s="1"/>
      <c r="NOX2" s="1"/>
      <c r="NOY2" s="1"/>
      <c r="NOZ2" s="1"/>
      <c r="NPA2" s="1"/>
      <c r="NPB2" s="1"/>
      <c r="NPC2" s="1"/>
      <c r="NPD2" s="1"/>
      <c r="NPE2" s="1"/>
      <c r="NPF2" s="1"/>
      <c r="NPG2" s="1"/>
      <c r="NPH2" s="1"/>
      <c r="NPI2" s="1"/>
      <c r="NPJ2" s="1"/>
      <c r="NPK2" s="1"/>
      <c r="NPL2" s="1"/>
      <c r="NPM2" s="1"/>
      <c r="NPN2" s="1"/>
      <c r="NPO2" s="1"/>
      <c r="NPP2" s="1"/>
      <c r="NPQ2" s="1"/>
      <c r="NPR2" s="1"/>
      <c r="NPS2" s="1"/>
      <c r="NPT2" s="1"/>
      <c r="NPU2" s="1"/>
      <c r="NPV2" s="1"/>
      <c r="NPW2" s="1"/>
      <c r="NPX2" s="1"/>
      <c r="NPY2" s="1"/>
      <c r="NPZ2" s="1"/>
      <c r="NQA2" s="1"/>
      <c r="NQB2" s="1"/>
      <c r="NQC2" s="1"/>
      <c r="NQD2" s="1"/>
      <c r="NQE2" s="1"/>
      <c r="NQF2" s="1"/>
      <c r="NQG2" s="1"/>
      <c r="NQH2" s="1"/>
      <c r="NQI2" s="1"/>
      <c r="NQJ2" s="1"/>
      <c r="NQK2" s="1"/>
      <c r="NQL2" s="1"/>
      <c r="NQM2" s="1"/>
      <c r="NQN2" s="1"/>
      <c r="NQO2" s="1"/>
      <c r="NQP2" s="1"/>
      <c r="NQQ2" s="1"/>
      <c r="NQR2" s="1"/>
      <c r="NQS2" s="1"/>
      <c r="NQT2" s="1"/>
      <c r="NQU2" s="1"/>
      <c r="NQV2" s="1"/>
      <c r="NQW2" s="1"/>
      <c r="NQX2" s="1"/>
      <c r="NQY2" s="1"/>
      <c r="NQZ2" s="1"/>
      <c r="NRA2" s="1"/>
      <c r="NRB2" s="1"/>
      <c r="NRC2" s="1"/>
      <c r="NRD2" s="1"/>
      <c r="NRE2" s="1"/>
      <c r="NRF2" s="1"/>
      <c r="NRG2" s="1"/>
      <c r="NRH2" s="1"/>
      <c r="NRI2" s="1"/>
      <c r="NRJ2" s="1"/>
      <c r="NRK2" s="1"/>
      <c r="NRL2" s="1"/>
      <c r="NRM2" s="1"/>
      <c r="NRN2" s="1"/>
      <c r="NRO2" s="1"/>
      <c r="NRP2" s="1"/>
      <c r="NRQ2" s="1"/>
      <c r="NRR2" s="1"/>
      <c r="NRS2" s="1"/>
      <c r="NRT2" s="1"/>
      <c r="NRU2" s="1"/>
      <c r="NRV2" s="1"/>
      <c r="NRW2" s="1"/>
      <c r="NRX2" s="1"/>
      <c r="NRY2" s="1"/>
      <c r="NRZ2" s="1"/>
      <c r="NSA2" s="1"/>
      <c r="NSB2" s="1"/>
      <c r="NSC2" s="1"/>
      <c r="NSD2" s="1"/>
      <c r="NSE2" s="1"/>
      <c r="NSF2" s="1"/>
      <c r="NSG2" s="1"/>
      <c r="NSH2" s="1"/>
      <c r="NSI2" s="1"/>
      <c r="NSJ2" s="1"/>
      <c r="NSK2" s="1"/>
      <c r="NSL2" s="1"/>
      <c r="NSM2" s="1"/>
      <c r="NSN2" s="1"/>
      <c r="NSO2" s="1"/>
      <c r="NSP2" s="1"/>
      <c r="NSQ2" s="1"/>
      <c r="NSR2" s="1"/>
      <c r="NSS2" s="1"/>
      <c r="NST2" s="1"/>
      <c r="NSU2" s="1"/>
      <c r="NSV2" s="1"/>
      <c r="NSW2" s="1"/>
      <c r="NSX2" s="1"/>
      <c r="NSY2" s="1"/>
      <c r="NSZ2" s="1"/>
      <c r="NTA2" s="1"/>
      <c r="NTB2" s="1"/>
      <c r="NTC2" s="1"/>
      <c r="NTD2" s="1"/>
      <c r="NTE2" s="1"/>
      <c r="NTF2" s="1"/>
      <c r="NTG2" s="1"/>
      <c r="NTH2" s="1"/>
      <c r="NTI2" s="1"/>
      <c r="NTJ2" s="1"/>
      <c r="NTK2" s="1"/>
      <c r="NTL2" s="1"/>
      <c r="NTM2" s="1"/>
      <c r="NTN2" s="1"/>
      <c r="NTO2" s="1"/>
      <c r="NTP2" s="1"/>
      <c r="NTQ2" s="1"/>
      <c r="NTR2" s="1"/>
      <c r="NTS2" s="1"/>
      <c r="NTT2" s="1"/>
      <c r="NTU2" s="1"/>
      <c r="NTV2" s="1"/>
      <c r="NTW2" s="1"/>
      <c r="NTX2" s="1"/>
      <c r="NTY2" s="1"/>
      <c r="NTZ2" s="1"/>
      <c r="NUA2" s="1"/>
      <c r="NUB2" s="1"/>
      <c r="NUC2" s="1"/>
      <c r="NUD2" s="1"/>
      <c r="NUE2" s="1"/>
      <c r="NUF2" s="1"/>
      <c r="NUG2" s="1"/>
      <c r="NUH2" s="1"/>
      <c r="NUI2" s="1"/>
      <c r="NUJ2" s="1"/>
      <c r="NUK2" s="1"/>
      <c r="NUL2" s="1"/>
      <c r="NUM2" s="1"/>
      <c r="NUN2" s="1"/>
      <c r="NUO2" s="1"/>
      <c r="NUP2" s="1"/>
      <c r="NUQ2" s="1"/>
      <c r="NUR2" s="1"/>
      <c r="NUS2" s="1"/>
      <c r="NUT2" s="1"/>
      <c r="NUU2" s="1"/>
      <c r="NUV2" s="1"/>
      <c r="NUW2" s="1"/>
      <c r="NUX2" s="1"/>
      <c r="NUY2" s="1"/>
      <c r="NUZ2" s="1"/>
      <c r="NVA2" s="1"/>
      <c r="NVB2" s="1"/>
      <c r="NVC2" s="1"/>
      <c r="NVD2" s="1"/>
      <c r="NVE2" s="1"/>
      <c r="NVF2" s="1"/>
      <c r="NVG2" s="1"/>
      <c r="NVH2" s="1"/>
      <c r="NVI2" s="1"/>
      <c r="NVJ2" s="1"/>
      <c r="NVK2" s="1"/>
      <c r="NVL2" s="1"/>
      <c r="NVM2" s="1"/>
      <c r="NVN2" s="1"/>
      <c r="NVO2" s="1"/>
      <c r="NVP2" s="1"/>
      <c r="NVQ2" s="1"/>
      <c r="NVR2" s="1"/>
      <c r="NVS2" s="1"/>
      <c r="NVT2" s="1"/>
      <c r="NVU2" s="1"/>
      <c r="NVV2" s="1"/>
      <c r="NVW2" s="1"/>
      <c r="NVX2" s="1"/>
      <c r="NVY2" s="1"/>
      <c r="NVZ2" s="1"/>
      <c r="NWA2" s="1"/>
      <c r="NWB2" s="1"/>
      <c r="NWC2" s="1"/>
      <c r="NWD2" s="1"/>
      <c r="NWE2" s="1"/>
      <c r="NWF2" s="1"/>
      <c r="NWG2" s="1"/>
      <c r="NWH2" s="1"/>
      <c r="NWI2" s="1"/>
      <c r="NWJ2" s="1"/>
      <c r="NWK2" s="1"/>
      <c r="NWL2" s="1"/>
      <c r="NWM2" s="1"/>
      <c r="NWN2" s="1"/>
      <c r="NWO2" s="1"/>
      <c r="NWP2" s="1"/>
      <c r="NWQ2" s="1"/>
      <c r="NWR2" s="1"/>
      <c r="NWS2" s="1"/>
      <c r="NWT2" s="1"/>
      <c r="NWU2" s="1"/>
      <c r="NWV2" s="1"/>
      <c r="NWW2" s="1"/>
      <c r="NWX2" s="1"/>
      <c r="NWY2" s="1"/>
      <c r="NWZ2" s="1"/>
      <c r="NXA2" s="1"/>
      <c r="NXB2" s="1"/>
      <c r="NXC2" s="1"/>
      <c r="NXD2" s="1"/>
      <c r="NXE2" s="1"/>
      <c r="NXF2" s="1"/>
      <c r="NXG2" s="1"/>
      <c r="NXH2" s="1"/>
      <c r="NXI2" s="1"/>
      <c r="NXJ2" s="1"/>
      <c r="NXK2" s="1"/>
      <c r="NXL2" s="1"/>
      <c r="NXM2" s="1"/>
      <c r="NXN2" s="1"/>
      <c r="NXO2" s="1"/>
      <c r="NXP2" s="1"/>
      <c r="NXQ2" s="1"/>
      <c r="NXR2" s="1"/>
      <c r="NXS2" s="1"/>
      <c r="NXT2" s="1"/>
      <c r="NXU2" s="1"/>
      <c r="NXV2" s="1"/>
      <c r="NXW2" s="1"/>
      <c r="NXX2" s="1"/>
      <c r="NXY2" s="1"/>
      <c r="NXZ2" s="1"/>
      <c r="NYA2" s="1"/>
      <c r="NYB2" s="1"/>
      <c r="NYC2" s="1"/>
      <c r="NYD2" s="1"/>
      <c r="NYE2" s="1"/>
      <c r="NYF2" s="1"/>
      <c r="NYG2" s="1"/>
      <c r="NYH2" s="1"/>
      <c r="NYI2" s="1"/>
      <c r="NYJ2" s="1"/>
      <c r="NYK2" s="1"/>
      <c r="NYL2" s="1"/>
      <c r="NYM2" s="1"/>
      <c r="NYN2" s="1"/>
      <c r="NYO2" s="1"/>
      <c r="NYP2" s="1"/>
      <c r="NYQ2" s="1"/>
      <c r="NYR2" s="1"/>
      <c r="NYS2" s="1"/>
      <c r="NYT2" s="1"/>
      <c r="NYU2" s="1"/>
      <c r="NYV2" s="1"/>
      <c r="NYW2" s="1"/>
      <c r="NYX2" s="1"/>
      <c r="NYY2" s="1"/>
      <c r="NYZ2" s="1"/>
      <c r="NZA2" s="1"/>
      <c r="NZB2" s="1"/>
      <c r="NZC2" s="1"/>
      <c r="NZD2" s="1"/>
      <c r="NZE2" s="1"/>
      <c r="NZF2" s="1"/>
      <c r="NZG2" s="1"/>
      <c r="NZH2" s="1"/>
      <c r="NZI2" s="1"/>
      <c r="NZJ2" s="1"/>
      <c r="NZK2" s="1"/>
      <c r="NZL2" s="1"/>
      <c r="NZM2" s="1"/>
      <c r="NZN2" s="1"/>
      <c r="NZO2" s="1"/>
      <c r="NZP2" s="1"/>
      <c r="NZQ2" s="1"/>
      <c r="NZR2" s="1"/>
      <c r="NZS2" s="1"/>
      <c r="NZT2" s="1"/>
      <c r="NZU2" s="1"/>
      <c r="NZV2" s="1"/>
      <c r="NZW2" s="1"/>
      <c r="NZX2" s="1"/>
      <c r="NZY2" s="1"/>
      <c r="NZZ2" s="1"/>
      <c r="OAA2" s="1"/>
      <c r="OAB2" s="1"/>
      <c r="OAC2" s="1"/>
      <c r="OAD2" s="1"/>
      <c r="OAE2" s="1"/>
      <c r="OAF2" s="1"/>
      <c r="OAG2" s="1"/>
      <c r="OAH2" s="1"/>
      <c r="OAI2" s="1"/>
      <c r="OAJ2" s="1"/>
      <c r="OAK2" s="1"/>
      <c r="OAL2" s="1"/>
      <c r="OAM2" s="1"/>
      <c r="OAN2" s="1"/>
      <c r="OAO2" s="1"/>
      <c r="OAP2" s="1"/>
      <c r="OAQ2" s="1"/>
      <c r="OAR2" s="1"/>
      <c r="OAS2" s="1"/>
      <c r="OAT2" s="1"/>
      <c r="OAU2" s="1"/>
      <c r="OAV2" s="1"/>
      <c r="OAW2" s="1"/>
      <c r="OAX2" s="1"/>
      <c r="OAY2" s="1"/>
      <c r="OAZ2" s="1"/>
      <c r="OBA2" s="1"/>
      <c r="OBB2" s="1"/>
      <c r="OBC2" s="1"/>
      <c r="OBD2" s="1"/>
      <c r="OBE2" s="1"/>
      <c r="OBF2" s="1"/>
      <c r="OBG2" s="1"/>
      <c r="OBH2" s="1"/>
      <c r="OBI2" s="1"/>
      <c r="OBJ2" s="1"/>
      <c r="OBK2" s="1"/>
      <c r="OBL2" s="1"/>
      <c r="OBM2" s="1"/>
      <c r="OBN2" s="1"/>
      <c r="OBO2" s="1"/>
      <c r="OBP2" s="1"/>
      <c r="OBQ2" s="1"/>
      <c r="OBR2" s="1"/>
      <c r="OBS2" s="1"/>
      <c r="OBT2" s="1"/>
      <c r="OBU2" s="1"/>
      <c r="OBV2" s="1"/>
      <c r="OBW2" s="1"/>
      <c r="OBX2" s="1"/>
      <c r="OBY2" s="1"/>
      <c r="OBZ2" s="1"/>
      <c r="OCA2" s="1"/>
      <c r="OCB2" s="1"/>
      <c r="OCC2" s="1"/>
      <c r="OCD2" s="1"/>
      <c r="OCE2" s="1"/>
      <c r="OCF2" s="1"/>
      <c r="OCG2" s="1"/>
      <c r="OCH2" s="1"/>
      <c r="OCI2" s="1"/>
      <c r="OCJ2" s="1"/>
      <c r="OCK2" s="1"/>
      <c r="OCL2" s="1"/>
      <c r="OCM2" s="1"/>
      <c r="OCN2" s="1"/>
      <c r="OCO2" s="1"/>
      <c r="OCP2" s="1"/>
      <c r="OCQ2" s="1"/>
      <c r="OCR2" s="1"/>
      <c r="OCS2" s="1"/>
      <c r="OCT2" s="1"/>
      <c r="OCU2" s="1"/>
      <c r="OCV2" s="1"/>
      <c r="OCW2" s="1"/>
      <c r="OCX2" s="1"/>
      <c r="OCY2" s="1"/>
      <c r="OCZ2" s="1"/>
      <c r="ODA2" s="1"/>
      <c r="ODB2" s="1"/>
      <c r="ODC2" s="1"/>
      <c r="ODD2" s="1"/>
      <c r="ODE2" s="1"/>
      <c r="ODF2" s="1"/>
      <c r="ODG2" s="1"/>
      <c r="ODH2" s="1"/>
      <c r="ODI2" s="1"/>
      <c r="ODJ2" s="1"/>
      <c r="ODK2" s="1"/>
      <c r="ODL2" s="1"/>
      <c r="ODM2" s="1"/>
      <c r="ODN2" s="1"/>
      <c r="ODO2" s="1"/>
      <c r="ODP2" s="1"/>
      <c r="ODQ2" s="1"/>
      <c r="ODR2" s="1"/>
      <c r="ODS2" s="1"/>
      <c r="ODT2" s="1"/>
      <c r="ODU2" s="1"/>
      <c r="ODV2" s="1"/>
      <c r="ODW2" s="1"/>
      <c r="ODX2" s="1"/>
      <c r="ODY2" s="1"/>
      <c r="ODZ2" s="1"/>
      <c r="OEA2" s="1"/>
      <c r="OEB2" s="1"/>
      <c r="OEC2" s="1"/>
      <c r="OED2" s="1"/>
      <c r="OEE2" s="1"/>
      <c r="OEF2" s="1"/>
      <c r="OEG2" s="1"/>
      <c r="OEH2" s="1"/>
      <c r="OEI2" s="1"/>
      <c r="OEJ2" s="1"/>
      <c r="OEK2" s="1"/>
      <c r="OEL2" s="1"/>
      <c r="OEM2" s="1"/>
      <c r="OEN2" s="1"/>
      <c r="OEO2" s="1"/>
      <c r="OEP2" s="1"/>
      <c r="OEQ2" s="1"/>
      <c r="OER2" s="1"/>
      <c r="OES2" s="1"/>
      <c r="OET2" s="1"/>
      <c r="OEU2" s="1"/>
      <c r="OEV2" s="1"/>
      <c r="OEW2" s="1"/>
      <c r="OEX2" s="1"/>
      <c r="OEY2" s="1"/>
      <c r="OEZ2" s="1"/>
      <c r="OFA2" s="1"/>
      <c r="OFB2" s="1"/>
      <c r="OFC2" s="1"/>
      <c r="OFD2" s="1"/>
      <c r="OFE2" s="1"/>
      <c r="OFF2" s="1"/>
      <c r="OFG2" s="1"/>
      <c r="OFH2" s="1"/>
      <c r="OFI2" s="1"/>
      <c r="OFJ2" s="1"/>
      <c r="OFK2" s="1"/>
      <c r="OFL2" s="1"/>
      <c r="OFM2" s="1"/>
      <c r="OFN2" s="1"/>
      <c r="OFO2" s="1"/>
      <c r="OFP2" s="1"/>
      <c r="OFQ2" s="1"/>
      <c r="OFR2" s="1"/>
      <c r="OFS2" s="1"/>
      <c r="OFT2" s="1"/>
      <c r="OFU2" s="1"/>
      <c r="OFV2" s="1"/>
      <c r="OFW2" s="1"/>
      <c r="OFX2" s="1"/>
      <c r="OFY2" s="1"/>
      <c r="OFZ2" s="1"/>
      <c r="OGA2" s="1"/>
      <c r="OGB2" s="1"/>
      <c r="OGC2" s="1"/>
      <c r="OGD2" s="1"/>
      <c r="OGE2" s="1"/>
      <c r="OGF2" s="1"/>
      <c r="OGG2" s="1"/>
      <c r="OGH2" s="1"/>
      <c r="OGI2" s="1"/>
      <c r="OGJ2" s="1"/>
      <c r="OGK2" s="1"/>
      <c r="OGL2" s="1"/>
      <c r="OGM2" s="1"/>
      <c r="OGN2" s="1"/>
      <c r="OGO2" s="1"/>
      <c r="OGP2" s="1"/>
      <c r="OGQ2" s="1"/>
      <c r="OGR2" s="1"/>
      <c r="OGS2" s="1"/>
      <c r="OGT2" s="1"/>
      <c r="OGU2" s="1"/>
      <c r="OGV2" s="1"/>
      <c r="OGW2" s="1"/>
      <c r="OGX2" s="1"/>
      <c r="OGY2" s="1"/>
      <c r="OGZ2" s="1"/>
      <c r="OHA2" s="1"/>
      <c r="OHB2" s="1"/>
      <c r="OHC2" s="1"/>
      <c r="OHD2" s="1"/>
      <c r="OHE2" s="1"/>
      <c r="OHF2" s="1"/>
      <c r="OHG2" s="1"/>
      <c r="OHH2" s="1"/>
      <c r="OHI2" s="1"/>
      <c r="OHJ2" s="1"/>
      <c r="OHK2" s="1"/>
      <c r="OHL2" s="1"/>
      <c r="OHM2" s="1"/>
      <c r="OHN2" s="1"/>
      <c r="OHO2" s="1"/>
      <c r="OHP2" s="1"/>
      <c r="OHQ2" s="1"/>
      <c r="OHR2" s="1"/>
      <c r="OHS2" s="1"/>
      <c r="OHT2" s="1"/>
      <c r="OHU2" s="1"/>
      <c r="OHV2" s="1"/>
      <c r="OHW2" s="1"/>
      <c r="OHX2" s="1"/>
      <c r="OHY2" s="1"/>
      <c r="OHZ2" s="1"/>
      <c r="OIA2" s="1"/>
      <c r="OIB2" s="1"/>
      <c r="OIC2" s="1"/>
      <c r="OID2" s="1"/>
      <c r="OIE2" s="1"/>
      <c r="OIF2" s="1"/>
      <c r="OIG2" s="1"/>
      <c r="OIH2" s="1"/>
      <c r="OII2" s="1"/>
      <c r="OIJ2" s="1"/>
      <c r="OIK2" s="1"/>
      <c r="OIL2" s="1"/>
      <c r="OIM2" s="1"/>
      <c r="OIN2" s="1"/>
      <c r="OIO2" s="1"/>
      <c r="OIP2" s="1"/>
      <c r="OIQ2" s="1"/>
      <c r="OIR2" s="1"/>
      <c r="OIS2" s="1"/>
      <c r="OIT2" s="1"/>
      <c r="OIU2" s="1"/>
      <c r="OIV2" s="1"/>
      <c r="OIW2" s="1"/>
      <c r="OIX2" s="1"/>
      <c r="OIY2" s="1"/>
      <c r="OIZ2" s="1"/>
      <c r="OJA2" s="1"/>
      <c r="OJB2" s="1"/>
      <c r="OJC2" s="1"/>
      <c r="OJD2" s="1"/>
      <c r="OJE2" s="1"/>
      <c r="OJF2" s="1"/>
      <c r="OJG2" s="1"/>
      <c r="OJH2" s="1"/>
      <c r="OJI2" s="1"/>
      <c r="OJJ2" s="1"/>
      <c r="OJK2" s="1"/>
      <c r="OJL2" s="1"/>
      <c r="OJM2" s="1"/>
      <c r="OJN2" s="1"/>
      <c r="OJO2" s="1"/>
      <c r="OJP2" s="1"/>
      <c r="OJQ2" s="1"/>
      <c r="OJR2" s="1"/>
      <c r="OJS2" s="1"/>
      <c r="OJT2" s="1"/>
      <c r="OJU2" s="1"/>
      <c r="OJV2" s="1"/>
      <c r="OJW2" s="1"/>
      <c r="OJX2" s="1"/>
      <c r="OJY2" s="1"/>
      <c r="OJZ2" s="1"/>
      <c r="OKA2" s="1"/>
      <c r="OKB2" s="1"/>
      <c r="OKC2" s="1"/>
      <c r="OKD2" s="1"/>
      <c r="OKE2" s="1"/>
      <c r="OKF2" s="1"/>
      <c r="OKG2" s="1"/>
      <c r="OKH2" s="1"/>
      <c r="OKI2" s="1"/>
      <c r="OKJ2" s="1"/>
      <c r="OKK2" s="1"/>
      <c r="OKL2" s="1"/>
      <c r="OKM2" s="1"/>
      <c r="OKN2" s="1"/>
      <c r="OKO2" s="1"/>
      <c r="OKP2" s="1"/>
      <c r="OKQ2" s="1"/>
      <c r="OKR2" s="1"/>
      <c r="OKS2" s="1"/>
      <c r="OKT2" s="1"/>
      <c r="OKU2" s="1"/>
      <c r="OKV2" s="1"/>
      <c r="OKW2" s="1"/>
      <c r="OKX2" s="1"/>
      <c r="OKY2" s="1"/>
      <c r="OKZ2" s="1"/>
      <c r="OLA2" s="1"/>
      <c r="OLB2" s="1"/>
      <c r="OLC2" s="1"/>
      <c r="OLD2" s="1"/>
      <c r="OLE2" s="1"/>
      <c r="OLF2" s="1"/>
      <c r="OLG2" s="1"/>
      <c r="OLH2" s="1"/>
      <c r="OLI2" s="1"/>
      <c r="OLJ2" s="1"/>
      <c r="OLK2" s="1"/>
      <c r="OLL2" s="1"/>
      <c r="OLM2" s="1"/>
      <c r="OLN2" s="1"/>
      <c r="OLO2" s="1"/>
      <c r="OLP2" s="1"/>
      <c r="OLQ2" s="1"/>
      <c r="OLR2" s="1"/>
      <c r="OLS2" s="1"/>
      <c r="OLT2" s="1"/>
      <c r="OLU2" s="1"/>
      <c r="OLV2" s="1"/>
      <c r="OLW2" s="1"/>
      <c r="OLX2" s="1"/>
      <c r="OLY2" s="1"/>
      <c r="OLZ2" s="1"/>
      <c r="OMA2" s="1"/>
      <c r="OMB2" s="1"/>
      <c r="OMC2" s="1"/>
      <c r="OMD2" s="1"/>
      <c r="OME2" s="1"/>
      <c r="OMF2" s="1"/>
      <c r="OMG2" s="1"/>
      <c r="OMH2" s="1"/>
      <c r="OMI2" s="1"/>
      <c r="OMJ2" s="1"/>
      <c r="OMK2" s="1"/>
      <c r="OML2" s="1"/>
      <c r="OMM2" s="1"/>
      <c r="OMN2" s="1"/>
      <c r="OMO2" s="1"/>
      <c r="OMP2" s="1"/>
      <c r="OMQ2" s="1"/>
      <c r="OMR2" s="1"/>
      <c r="OMS2" s="1"/>
      <c r="OMT2" s="1"/>
      <c r="OMU2" s="1"/>
      <c r="OMV2" s="1"/>
      <c r="OMW2" s="1"/>
      <c r="OMX2" s="1"/>
      <c r="OMY2" s="1"/>
      <c r="OMZ2" s="1"/>
      <c r="ONA2" s="1"/>
      <c r="ONB2" s="1"/>
      <c r="ONC2" s="1"/>
      <c r="OND2" s="1"/>
      <c r="ONE2" s="1"/>
      <c r="ONF2" s="1"/>
      <c r="ONG2" s="1"/>
      <c r="ONH2" s="1"/>
      <c r="ONI2" s="1"/>
      <c r="ONJ2" s="1"/>
      <c r="ONK2" s="1"/>
      <c r="ONL2" s="1"/>
      <c r="ONM2" s="1"/>
      <c r="ONN2" s="1"/>
      <c r="ONO2" s="1"/>
      <c r="ONP2" s="1"/>
      <c r="ONQ2" s="1"/>
      <c r="ONR2" s="1"/>
      <c r="ONS2" s="1"/>
      <c r="ONT2" s="1"/>
      <c r="ONU2" s="1"/>
      <c r="ONV2" s="1"/>
      <c r="ONW2" s="1"/>
      <c r="ONX2" s="1"/>
      <c r="ONY2" s="1"/>
      <c r="ONZ2" s="1"/>
      <c r="OOA2" s="1"/>
      <c r="OOB2" s="1"/>
      <c r="OOC2" s="1"/>
      <c r="OOD2" s="1"/>
      <c r="OOE2" s="1"/>
      <c r="OOF2" s="1"/>
      <c r="OOG2" s="1"/>
      <c r="OOH2" s="1"/>
      <c r="OOI2" s="1"/>
      <c r="OOJ2" s="1"/>
      <c r="OOK2" s="1"/>
      <c r="OOL2" s="1"/>
      <c r="OOM2" s="1"/>
      <c r="OON2" s="1"/>
      <c r="OOO2" s="1"/>
      <c r="OOP2" s="1"/>
      <c r="OOQ2" s="1"/>
      <c r="OOR2" s="1"/>
      <c r="OOS2" s="1"/>
      <c r="OOT2" s="1"/>
      <c r="OOU2" s="1"/>
      <c r="OOV2" s="1"/>
      <c r="OOW2" s="1"/>
      <c r="OOX2" s="1"/>
      <c r="OOY2" s="1"/>
      <c r="OOZ2" s="1"/>
      <c r="OPA2" s="1"/>
      <c r="OPB2" s="1"/>
      <c r="OPC2" s="1"/>
      <c r="OPD2" s="1"/>
      <c r="OPE2" s="1"/>
      <c r="OPF2" s="1"/>
      <c r="OPG2" s="1"/>
      <c r="OPH2" s="1"/>
      <c r="OPI2" s="1"/>
      <c r="OPJ2" s="1"/>
      <c r="OPK2" s="1"/>
      <c r="OPL2" s="1"/>
      <c r="OPM2" s="1"/>
      <c r="OPN2" s="1"/>
      <c r="OPO2" s="1"/>
      <c r="OPP2" s="1"/>
      <c r="OPQ2" s="1"/>
      <c r="OPR2" s="1"/>
      <c r="OPS2" s="1"/>
      <c r="OPT2" s="1"/>
      <c r="OPU2" s="1"/>
      <c r="OPV2" s="1"/>
      <c r="OPW2" s="1"/>
      <c r="OPX2" s="1"/>
      <c r="OPY2" s="1"/>
      <c r="OPZ2" s="1"/>
      <c r="OQA2" s="1"/>
      <c r="OQB2" s="1"/>
      <c r="OQC2" s="1"/>
      <c r="OQD2" s="1"/>
      <c r="OQE2" s="1"/>
      <c r="OQF2" s="1"/>
      <c r="OQG2" s="1"/>
      <c r="OQH2" s="1"/>
      <c r="OQI2" s="1"/>
      <c r="OQJ2" s="1"/>
      <c r="OQK2" s="1"/>
      <c r="OQL2" s="1"/>
      <c r="OQM2" s="1"/>
      <c r="OQN2" s="1"/>
      <c r="OQO2" s="1"/>
      <c r="OQP2" s="1"/>
      <c r="OQQ2" s="1"/>
      <c r="OQR2" s="1"/>
      <c r="OQS2" s="1"/>
      <c r="OQT2" s="1"/>
      <c r="OQU2" s="1"/>
      <c r="OQV2" s="1"/>
      <c r="OQW2" s="1"/>
      <c r="OQX2" s="1"/>
      <c r="OQY2" s="1"/>
      <c r="OQZ2" s="1"/>
      <c r="ORA2" s="1"/>
      <c r="ORB2" s="1"/>
      <c r="ORC2" s="1"/>
      <c r="ORD2" s="1"/>
      <c r="ORE2" s="1"/>
      <c r="ORF2" s="1"/>
      <c r="ORG2" s="1"/>
      <c r="ORH2" s="1"/>
      <c r="ORI2" s="1"/>
      <c r="ORJ2" s="1"/>
      <c r="ORK2" s="1"/>
      <c r="ORL2" s="1"/>
      <c r="ORM2" s="1"/>
      <c r="ORN2" s="1"/>
      <c r="ORO2" s="1"/>
      <c r="ORP2" s="1"/>
      <c r="ORQ2" s="1"/>
      <c r="ORR2" s="1"/>
      <c r="ORS2" s="1"/>
      <c r="ORT2" s="1"/>
      <c r="ORU2" s="1"/>
      <c r="ORV2" s="1"/>
      <c r="ORW2" s="1"/>
      <c r="ORX2" s="1"/>
      <c r="ORY2" s="1"/>
      <c r="ORZ2" s="1"/>
      <c r="OSA2" s="1"/>
      <c r="OSB2" s="1"/>
      <c r="OSC2" s="1"/>
      <c r="OSD2" s="1"/>
      <c r="OSE2" s="1"/>
      <c r="OSF2" s="1"/>
      <c r="OSG2" s="1"/>
      <c r="OSH2" s="1"/>
      <c r="OSI2" s="1"/>
      <c r="OSJ2" s="1"/>
      <c r="OSK2" s="1"/>
      <c r="OSL2" s="1"/>
      <c r="OSM2" s="1"/>
      <c r="OSN2" s="1"/>
      <c r="OSO2" s="1"/>
      <c r="OSP2" s="1"/>
      <c r="OSQ2" s="1"/>
      <c r="OSR2" s="1"/>
      <c r="OSS2" s="1"/>
      <c r="OST2" s="1"/>
      <c r="OSU2" s="1"/>
      <c r="OSV2" s="1"/>
      <c r="OSW2" s="1"/>
      <c r="OSX2" s="1"/>
      <c r="OSY2" s="1"/>
      <c r="OSZ2" s="1"/>
      <c r="OTA2" s="1"/>
      <c r="OTB2" s="1"/>
      <c r="OTC2" s="1"/>
      <c r="OTD2" s="1"/>
      <c r="OTE2" s="1"/>
      <c r="OTF2" s="1"/>
      <c r="OTG2" s="1"/>
      <c r="OTH2" s="1"/>
      <c r="OTI2" s="1"/>
      <c r="OTJ2" s="1"/>
      <c r="OTK2" s="1"/>
      <c r="OTL2" s="1"/>
      <c r="OTM2" s="1"/>
      <c r="OTN2" s="1"/>
      <c r="OTO2" s="1"/>
      <c r="OTP2" s="1"/>
      <c r="OTQ2" s="1"/>
      <c r="OTR2" s="1"/>
      <c r="OTS2" s="1"/>
      <c r="OTT2" s="1"/>
      <c r="OTU2" s="1"/>
      <c r="OTV2" s="1"/>
      <c r="OTW2" s="1"/>
      <c r="OTX2" s="1"/>
      <c r="OTY2" s="1"/>
      <c r="OTZ2" s="1"/>
      <c r="OUA2" s="1"/>
      <c r="OUB2" s="1"/>
      <c r="OUC2" s="1"/>
      <c r="OUD2" s="1"/>
      <c r="OUE2" s="1"/>
      <c r="OUF2" s="1"/>
      <c r="OUG2" s="1"/>
      <c r="OUH2" s="1"/>
      <c r="OUI2" s="1"/>
      <c r="OUJ2" s="1"/>
      <c r="OUK2" s="1"/>
      <c r="OUL2" s="1"/>
      <c r="OUM2" s="1"/>
      <c r="OUN2" s="1"/>
      <c r="OUO2" s="1"/>
      <c r="OUP2" s="1"/>
      <c r="OUQ2" s="1"/>
      <c r="OUR2" s="1"/>
      <c r="OUS2" s="1"/>
      <c r="OUT2" s="1"/>
      <c r="OUU2" s="1"/>
      <c r="OUV2" s="1"/>
      <c r="OUW2" s="1"/>
      <c r="OUX2" s="1"/>
      <c r="OUY2" s="1"/>
      <c r="OUZ2" s="1"/>
      <c r="OVA2" s="1"/>
      <c r="OVB2" s="1"/>
      <c r="OVC2" s="1"/>
      <c r="OVD2" s="1"/>
      <c r="OVE2" s="1"/>
      <c r="OVF2" s="1"/>
      <c r="OVG2" s="1"/>
      <c r="OVH2" s="1"/>
      <c r="OVI2" s="1"/>
      <c r="OVJ2" s="1"/>
      <c r="OVK2" s="1"/>
      <c r="OVL2" s="1"/>
      <c r="OVM2" s="1"/>
      <c r="OVN2" s="1"/>
      <c r="OVO2" s="1"/>
      <c r="OVP2" s="1"/>
      <c r="OVQ2" s="1"/>
      <c r="OVR2" s="1"/>
      <c r="OVS2" s="1"/>
      <c r="OVT2" s="1"/>
      <c r="OVU2" s="1"/>
      <c r="OVV2" s="1"/>
      <c r="OVW2" s="1"/>
      <c r="OVX2" s="1"/>
      <c r="OVY2" s="1"/>
      <c r="OVZ2" s="1"/>
      <c r="OWA2" s="1"/>
      <c r="OWB2" s="1"/>
      <c r="OWC2" s="1"/>
      <c r="OWD2" s="1"/>
      <c r="OWE2" s="1"/>
      <c r="OWF2" s="1"/>
      <c r="OWG2" s="1"/>
      <c r="OWH2" s="1"/>
      <c r="OWI2" s="1"/>
      <c r="OWJ2" s="1"/>
      <c r="OWK2" s="1"/>
      <c r="OWL2" s="1"/>
      <c r="OWM2" s="1"/>
      <c r="OWN2" s="1"/>
      <c r="OWO2" s="1"/>
      <c r="OWP2" s="1"/>
      <c r="OWQ2" s="1"/>
      <c r="OWR2" s="1"/>
      <c r="OWS2" s="1"/>
      <c r="OWT2" s="1"/>
      <c r="OWU2" s="1"/>
      <c r="OWV2" s="1"/>
      <c r="OWW2" s="1"/>
      <c r="OWX2" s="1"/>
      <c r="OWY2" s="1"/>
      <c r="OWZ2" s="1"/>
      <c r="OXA2" s="1"/>
      <c r="OXB2" s="1"/>
      <c r="OXC2" s="1"/>
      <c r="OXD2" s="1"/>
      <c r="OXE2" s="1"/>
      <c r="OXF2" s="1"/>
      <c r="OXG2" s="1"/>
      <c r="OXH2" s="1"/>
      <c r="OXI2" s="1"/>
      <c r="OXJ2" s="1"/>
      <c r="OXK2" s="1"/>
      <c r="OXL2" s="1"/>
      <c r="OXM2" s="1"/>
      <c r="OXN2" s="1"/>
      <c r="OXO2" s="1"/>
      <c r="OXP2" s="1"/>
      <c r="OXQ2" s="1"/>
      <c r="OXR2" s="1"/>
      <c r="OXS2" s="1"/>
      <c r="OXT2" s="1"/>
      <c r="OXU2" s="1"/>
      <c r="OXV2" s="1"/>
      <c r="OXW2" s="1"/>
      <c r="OXX2" s="1"/>
      <c r="OXY2" s="1"/>
      <c r="OXZ2" s="1"/>
      <c r="OYA2" s="1"/>
      <c r="OYB2" s="1"/>
      <c r="OYC2" s="1"/>
      <c r="OYD2" s="1"/>
      <c r="OYE2" s="1"/>
      <c r="OYF2" s="1"/>
      <c r="OYG2" s="1"/>
      <c r="OYH2" s="1"/>
      <c r="OYI2" s="1"/>
      <c r="OYJ2" s="1"/>
      <c r="OYK2" s="1"/>
      <c r="OYL2" s="1"/>
      <c r="OYM2" s="1"/>
      <c r="OYN2" s="1"/>
      <c r="OYO2" s="1"/>
      <c r="OYP2" s="1"/>
      <c r="OYQ2" s="1"/>
      <c r="OYR2" s="1"/>
      <c r="OYS2" s="1"/>
      <c r="OYT2" s="1"/>
      <c r="OYU2" s="1"/>
      <c r="OYV2" s="1"/>
      <c r="OYW2" s="1"/>
      <c r="OYX2" s="1"/>
      <c r="OYY2" s="1"/>
      <c r="OYZ2" s="1"/>
      <c r="OZA2" s="1"/>
      <c r="OZB2" s="1"/>
      <c r="OZC2" s="1"/>
      <c r="OZD2" s="1"/>
      <c r="OZE2" s="1"/>
      <c r="OZF2" s="1"/>
      <c r="OZG2" s="1"/>
      <c r="OZH2" s="1"/>
      <c r="OZI2" s="1"/>
      <c r="OZJ2" s="1"/>
      <c r="OZK2" s="1"/>
      <c r="OZL2" s="1"/>
      <c r="OZM2" s="1"/>
      <c r="OZN2" s="1"/>
      <c r="OZO2" s="1"/>
      <c r="OZP2" s="1"/>
      <c r="OZQ2" s="1"/>
      <c r="OZR2" s="1"/>
      <c r="OZS2" s="1"/>
      <c r="OZT2" s="1"/>
      <c r="OZU2" s="1"/>
      <c r="OZV2" s="1"/>
      <c r="OZW2" s="1"/>
      <c r="OZX2" s="1"/>
      <c r="OZY2" s="1"/>
      <c r="OZZ2" s="1"/>
      <c r="PAA2" s="1"/>
      <c r="PAB2" s="1"/>
      <c r="PAC2" s="1"/>
      <c r="PAD2" s="1"/>
      <c r="PAE2" s="1"/>
      <c r="PAF2" s="1"/>
      <c r="PAG2" s="1"/>
      <c r="PAH2" s="1"/>
      <c r="PAI2" s="1"/>
      <c r="PAJ2" s="1"/>
      <c r="PAK2" s="1"/>
      <c r="PAL2" s="1"/>
      <c r="PAM2" s="1"/>
      <c r="PAN2" s="1"/>
      <c r="PAO2" s="1"/>
      <c r="PAP2" s="1"/>
      <c r="PAQ2" s="1"/>
      <c r="PAR2" s="1"/>
      <c r="PAS2" s="1"/>
      <c r="PAT2" s="1"/>
      <c r="PAU2" s="1"/>
      <c r="PAV2" s="1"/>
      <c r="PAW2" s="1"/>
      <c r="PAX2" s="1"/>
      <c r="PAY2" s="1"/>
      <c r="PAZ2" s="1"/>
      <c r="PBA2" s="1"/>
      <c r="PBB2" s="1"/>
      <c r="PBC2" s="1"/>
      <c r="PBD2" s="1"/>
      <c r="PBE2" s="1"/>
      <c r="PBF2" s="1"/>
      <c r="PBG2" s="1"/>
      <c r="PBH2" s="1"/>
      <c r="PBI2" s="1"/>
      <c r="PBJ2" s="1"/>
      <c r="PBK2" s="1"/>
      <c r="PBL2" s="1"/>
      <c r="PBM2" s="1"/>
      <c r="PBN2" s="1"/>
      <c r="PBO2" s="1"/>
      <c r="PBP2" s="1"/>
      <c r="PBQ2" s="1"/>
      <c r="PBR2" s="1"/>
      <c r="PBS2" s="1"/>
      <c r="PBT2" s="1"/>
      <c r="PBU2" s="1"/>
      <c r="PBV2" s="1"/>
      <c r="PBW2" s="1"/>
      <c r="PBX2" s="1"/>
      <c r="PBY2" s="1"/>
      <c r="PBZ2" s="1"/>
      <c r="PCA2" s="1"/>
      <c r="PCB2" s="1"/>
      <c r="PCC2" s="1"/>
      <c r="PCD2" s="1"/>
      <c r="PCE2" s="1"/>
      <c r="PCF2" s="1"/>
      <c r="PCG2" s="1"/>
      <c r="PCH2" s="1"/>
      <c r="PCI2" s="1"/>
      <c r="PCJ2" s="1"/>
      <c r="PCK2" s="1"/>
      <c r="PCL2" s="1"/>
      <c r="PCM2" s="1"/>
      <c r="PCN2" s="1"/>
      <c r="PCO2" s="1"/>
      <c r="PCP2" s="1"/>
      <c r="PCQ2" s="1"/>
      <c r="PCR2" s="1"/>
      <c r="PCS2" s="1"/>
      <c r="PCT2" s="1"/>
      <c r="PCU2" s="1"/>
      <c r="PCV2" s="1"/>
      <c r="PCW2" s="1"/>
      <c r="PCX2" s="1"/>
      <c r="PCY2" s="1"/>
      <c r="PCZ2" s="1"/>
      <c r="PDA2" s="1"/>
      <c r="PDB2" s="1"/>
      <c r="PDC2" s="1"/>
      <c r="PDD2" s="1"/>
      <c r="PDE2" s="1"/>
      <c r="PDF2" s="1"/>
      <c r="PDG2" s="1"/>
      <c r="PDH2" s="1"/>
      <c r="PDI2" s="1"/>
      <c r="PDJ2" s="1"/>
      <c r="PDK2" s="1"/>
      <c r="PDL2" s="1"/>
      <c r="PDM2" s="1"/>
      <c r="PDN2" s="1"/>
      <c r="PDO2" s="1"/>
      <c r="PDP2" s="1"/>
      <c r="PDQ2" s="1"/>
      <c r="PDR2" s="1"/>
      <c r="PDS2" s="1"/>
      <c r="PDT2" s="1"/>
      <c r="PDU2" s="1"/>
      <c r="PDV2" s="1"/>
      <c r="PDW2" s="1"/>
      <c r="PDX2" s="1"/>
      <c r="PDY2" s="1"/>
      <c r="PDZ2" s="1"/>
      <c r="PEA2" s="1"/>
      <c r="PEB2" s="1"/>
      <c r="PEC2" s="1"/>
      <c r="PED2" s="1"/>
      <c r="PEE2" s="1"/>
      <c r="PEF2" s="1"/>
      <c r="PEG2" s="1"/>
      <c r="PEH2" s="1"/>
      <c r="PEI2" s="1"/>
      <c r="PEJ2" s="1"/>
      <c r="PEK2" s="1"/>
      <c r="PEL2" s="1"/>
      <c r="PEM2" s="1"/>
      <c r="PEN2" s="1"/>
      <c r="PEO2" s="1"/>
      <c r="PEP2" s="1"/>
      <c r="PEQ2" s="1"/>
      <c r="PER2" s="1"/>
      <c r="PES2" s="1"/>
      <c r="PET2" s="1"/>
      <c r="PEU2" s="1"/>
      <c r="PEV2" s="1"/>
      <c r="PEW2" s="1"/>
      <c r="PEX2" s="1"/>
      <c r="PEY2" s="1"/>
      <c r="PEZ2" s="1"/>
      <c r="PFA2" s="1"/>
      <c r="PFB2" s="1"/>
      <c r="PFC2" s="1"/>
      <c r="PFD2" s="1"/>
      <c r="PFE2" s="1"/>
      <c r="PFF2" s="1"/>
      <c r="PFG2" s="1"/>
      <c r="PFH2" s="1"/>
      <c r="PFI2" s="1"/>
      <c r="PFJ2" s="1"/>
      <c r="PFK2" s="1"/>
      <c r="PFL2" s="1"/>
      <c r="PFM2" s="1"/>
      <c r="PFN2" s="1"/>
      <c r="PFO2" s="1"/>
      <c r="PFP2" s="1"/>
      <c r="PFQ2" s="1"/>
      <c r="PFR2" s="1"/>
      <c r="PFS2" s="1"/>
      <c r="PFT2" s="1"/>
      <c r="PFU2" s="1"/>
      <c r="PFV2" s="1"/>
      <c r="PFW2" s="1"/>
      <c r="PFX2" s="1"/>
      <c r="PFY2" s="1"/>
      <c r="PFZ2" s="1"/>
      <c r="PGA2" s="1"/>
      <c r="PGB2" s="1"/>
      <c r="PGC2" s="1"/>
      <c r="PGD2" s="1"/>
      <c r="PGE2" s="1"/>
      <c r="PGF2" s="1"/>
      <c r="PGG2" s="1"/>
      <c r="PGH2" s="1"/>
      <c r="PGI2" s="1"/>
      <c r="PGJ2" s="1"/>
      <c r="PGK2" s="1"/>
      <c r="PGL2" s="1"/>
      <c r="PGM2" s="1"/>
      <c r="PGN2" s="1"/>
      <c r="PGO2" s="1"/>
      <c r="PGP2" s="1"/>
      <c r="PGQ2" s="1"/>
      <c r="PGR2" s="1"/>
      <c r="PGS2" s="1"/>
      <c r="PGT2" s="1"/>
      <c r="PGU2" s="1"/>
      <c r="PGV2" s="1"/>
      <c r="PGW2" s="1"/>
      <c r="PGX2" s="1"/>
      <c r="PGY2" s="1"/>
      <c r="PGZ2" s="1"/>
      <c r="PHA2" s="1"/>
      <c r="PHB2" s="1"/>
      <c r="PHC2" s="1"/>
      <c r="PHD2" s="1"/>
      <c r="PHE2" s="1"/>
      <c r="PHF2" s="1"/>
      <c r="PHG2" s="1"/>
      <c r="PHH2" s="1"/>
      <c r="PHI2" s="1"/>
      <c r="PHJ2" s="1"/>
      <c r="PHK2" s="1"/>
      <c r="PHL2" s="1"/>
      <c r="PHM2" s="1"/>
      <c r="PHN2" s="1"/>
      <c r="PHO2" s="1"/>
      <c r="PHP2" s="1"/>
      <c r="PHQ2" s="1"/>
      <c r="PHR2" s="1"/>
      <c r="PHS2" s="1"/>
      <c r="PHT2" s="1"/>
      <c r="PHU2" s="1"/>
      <c r="PHV2" s="1"/>
      <c r="PHW2" s="1"/>
      <c r="PHX2" s="1"/>
      <c r="PHY2" s="1"/>
      <c r="PHZ2" s="1"/>
      <c r="PIA2" s="1"/>
      <c r="PIB2" s="1"/>
      <c r="PIC2" s="1"/>
      <c r="PID2" s="1"/>
      <c r="PIE2" s="1"/>
      <c r="PIF2" s="1"/>
      <c r="PIG2" s="1"/>
      <c r="PIH2" s="1"/>
      <c r="PII2" s="1"/>
      <c r="PIJ2" s="1"/>
      <c r="PIK2" s="1"/>
      <c r="PIL2" s="1"/>
      <c r="PIM2" s="1"/>
      <c r="PIN2" s="1"/>
      <c r="PIO2" s="1"/>
      <c r="PIP2" s="1"/>
      <c r="PIQ2" s="1"/>
      <c r="PIR2" s="1"/>
      <c r="PIS2" s="1"/>
      <c r="PIT2" s="1"/>
      <c r="PIU2" s="1"/>
      <c r="PIV2" s="1"/>
      <c r="PIW2" s="1"/>
      <c r="PIX2" s="1"/>
      <c r="PIY2" s="1"/>
      <c r="PIZ2" s="1"/>
      <c r="PJA2" s="1"/>
      <c r="PJB2" s="1"/>
      <c r="PJC2" s="1"/>
      <c r="PJD2" s="1"/>
      <c r="PJE2" s="1"/>
      <c r="PJF2" s="1"/>
      <c r="PJG2" s="1"/>
      <c r="PJH2" s="1"/>
      <c r="PJI2" s="1"/>
      <c r="PJJ2" s="1"/>
      <c r="PJK2" s="1"/>
      <c r="PJL2" s="1"/>
      <c r="PJM2" s="1"/>
      <c r="PJN2" s="1"/>
      <c r="PJO2" s="1"/>
      <c r="PJP2" s="1"/>
      <c r="PJQ2" s="1"/>
      <c r="PJR2" s="1"/>
      <c r="PJS2" s="1"/>
      <c r="PJT2" s="1"/>
      <c r="PJU2" s="1"/>
      <c r="PJV2" s="1"/>
      <c r="PJW2" s="1"/>
      <c r="PJX2" s="1"/>
      <c r="PJY2" s="1"/>
      <c r="PJZ2" s="1"/>
      <c r="PKA2" s="1"/>
      <c r="PKB2" s="1"/>
      <c r="PKC2" s="1"/>
      <c r="PKD2" s="1"/>
      <c r="PKE2" s="1"/>
      <c r="PKF2" s="1"/>
      <c r="PKG2" s="1"/>
      <c r="PKH2" s="1"/>
      <c r="PKI2" s="1"/>
      <c r="PKJ2" s="1"/>
      <c r="PKK2" s="1"/>
      <c r="PKL2" s="1"/>
      <c r="PKM2" s="1"/>
      <c r="PKN2" s="1"/>
      <c r="PKO2" s="1"/>
      <c r="PKP2" s="1"/>
      <c r="PKQ2" s="1"/>
      <c r="PKR2" s="1"/>
      <c r="PKS2" s="1"/>
      <c r="PKT2" s="1"/>
      <c r="PKU2" s="1"/>
      <c r="PKV2" s="1"/>
      <c r="PKW2" s="1"/>
      <c r="PKX2" s="1"/>
      <c r="PKY2" s="1"/>
      <c r="PKZ2" s="1"/>
      <c r="PLA2" s="1"/>
      <c r="PLB2" s="1"/>
      <c r="PLC2" s="1"/>
      <c r="PLD2" s="1"/>
      <c r="PLE2" s="1"/>
      <c r="PLF2" s="1"/>
      <c r="PLG2" s="1"/>
      <c r="PLH2" s="1"/>
      <c r="PLI2" s="1"/>
      <c r="PLJ2" s="1"/>
      <c r="PLK2" s="1"/>
      <c r="PLL2" s="1"/>
      <c r="PLM2" s="1"/>
      <c r="PLN2" s="1"/>
      <c r="PLO2" s="1"/>
      <c r="PLP2" s="1"/>
      <c r="PLQ2" s="1"/>
      <c r="PLR2" s="1"/>
      <c r="PLS2" s="1"/>
      <c r="PLT2" s="1"/>
      <c r="PLU2" s="1"/>
      <c r="PLV2" s="1"/>
      <c r="PLW2" s="1"/>
      <c r="PLX2" s="1"/>
      <c r="PLY2" s="1"/>
      <c r="PLZ2" s="1"/>
      <c r="PMA2" s="1"/>
      <c r="PMB2" s="1"/>
      <c r="PMC2" s="1"/>
      <c r="PMD2" s="1"/>
      <c r="PME2" s="1"/>
      <c r="PMF2" s="1"/>
      <c r="PMG2" s="1"/>
      <c r="PMH2" s="1"/>
      <c r="PMI2" s="1"/>
      <c r="PMJ2" s="1"/>
      <c r="PMK2" s="1"/>
      <c r="PML2" s="1"/>
      <c r="PMM2" s="1"/>
      <c r="PMN2" s="1"/>
      <c r="PMO2" s="1"/>
      <c r="PMP2" s="1"/>
      <c r="PMQ2" s="1"/>
      <c r="PMR2" s="1"/>
      <c r="PMS2" s="1"/>
      <c r="PMT2" s="1"/>
      <c r="PMU2" s="1"/>
      <c r="PMV2" s="1"/>
      <c r="PMW2" s="1"/>
      <c r="PMX2" s="1"/>
      <c r="PMY2" s="1"/>
      <c r="PMZ2" s="1"/>
      <c r="PNA2" s="1"/>
      <c r="PNB2" s="1"/>
      <c r="PNC2" s="1"/>
      <c r="PND2" s="1"/>
      <c r="PNE2" s="1"/>
      <c r="PNF2" s="1"/>
      <c r="PNG2" s="1"/>
      <c r="PNH2" s="1"/>
      <c r="PNI2" s="1"/>
      <c r="PNJ2" s="1"/>
      <c r="PNK2" s="1"/>
      <c r="PNL2" s="1"/>
      <c r="PNM2" s="1"/>
      <c r="PNN2" s="1"/>
      <c r="PNO2" s="1"/>
      <c r="PNP2" s="1"/>
      <c r="PNQ2" s="1"/>
      <c r="PNR2" s="1"/>
      <c r="PNS2" s="1"/>
      <c r="PNT2" s="1"/>
      <c r="PNU2" s="1"/>
      <c r="PNV2" s="1"/>
      <c r="PNW2" s="1"/>
      <c r="PNX2" s="1"/>
      <c r="PNY2" s="1"/>
      <c r="PNZ2" s="1"/>
      <c r="POA2" s="1"/>
      <c r="POB2" s="1"/>
      <c r="POC2" s="1"/>
      <c r="POD2" s="1"/>
      <c r="POE2" s="1"/>
      <c r="POF2" s="1"/>
      <c r="POG2" s="1"/>
      <c r="POH2" s="1"/>
      <c r="POI2" s="1"/>
      <c r="POJ2" s="1"/>
      <c r="POK2" s="1"/>
      <c r="POL2" s="1"/>
      <c r="POM2" s="1"/>
      <c r="PON2" s="1"/>
      <c r="POO2" s="1"/>
      <c r="POP2" s="1"/>
      <c r="POQ2" s="1"/>
      <c r="POR2" s="1"/>
      <c r="POS2" s="1"/>
      <c r="POT2" s="1"/>
      <c r="POU2" s="1"/>
      <c r="POV2" s="1"/>
      <c r="POW2" s="1"/>
      <c r="POX2" s="1"/>
      <c r="POY2" s="1"/>
      <c r="POZ2" s="1"/>
      <c r="PPA2" s="1"/>
      <c r="PPB2" s="1"/>
      <c r="PPC2" s="1"/>
      <c r="PPD2" s="1"/>
      <c r="PPE2" s="1"/>
      <c r="PPF2" s="1"/>
      <c r="PPG2" s="1"/>
      <c r="PPH2" s="1"/>
      <c r="PPI2" s="1"/>
      <c r="PPJ2" s="1"/>
      <c r="PPK2" s="1"/>
      <c r="PPL2" s="1"/>
      <c r="PPM2" s="1"/>
      <c r="PPN2" s="1"/>
      <c r="PPO2" s="1"/>
      <c r="PPP2" s="1"/>
      <c r="PPQ2" s="1"/>
      <c r="PPR2" s="1"/>
      <c r="PPS2" s="1"/>
      <c r="PPT2" s="1"/>
      <c r="PPU2" s="1"/>
      <c r="PPV2" s="1"/>
      <c r="PPW2" s="1"/>
      <c r="PPX2" s="1"/>
      <c r="PPY2" s="1"/>
      <c r="PPZ2" s="1"/>
      <c r="PQA2" s="1"/>
      <c r="PQB2" s="1"/>
      <c r="PQC2" s="1"/>
      <c r="PQD2" s="1"/>
      <c r="PQE2" s="1"/>
      <c r="PQF2" s="1"/>
      <c r="PQG2" s="1"/>
      <c r="PQH2" s="1"/>
      <c r="PQI2" s="1"/>
      <c r="PQJ2" s="1"/>
      <c r="PQK2" s="1"/>
      <c r="PQL2" s="1"/>
      <c r="PQM2" s="1"/>
      <c r="PQN2" s="1"/>
      <c r="PQO2" s="1"/>
      <c r="PQP2" s="1"/>
      <c r="PQQ2" s="1"/>
      <c r="PQR2" s="1"/>
      <c r="PQS2" s="1"/>
      <c r="PQT2" s="1"/>
      <c r="PQU2" s="1"/>
      <c r="PQV2" s="1"/>
      <c r="PQW2" s="1"/>
      <c r="PQX2" s="1"/>
      <c r="PQY2" s="1"/>
      <c r="PQZ2" s="1"/>
      <c r="PRA2" s="1"/>
      <c r="PRB2" s="1"/>
      <c r="PRC2" s="1"/>
      <c r="PRD2" s="1"/>
      <c r="PRE2" s="1"/>
      <c r="PRF2" s="1"/>
      <c r="PRG2" s="1"/>
      <c r="PRH2" s="1"/>
      <c r="PRI2" s="1"/>
      <c r="PRJ2" s="1"/>
      <c r="PRK2" s="1"/>
      <c r="PRL2" s="1"/>
      <c r="PRM2" s="1"/>
      <c r="PRN2" s="1"/>
      <c r="PRO2" s="1"/>
      <c r="PRP2" s="1"/>
      <c r="PRQ2" s="1"/>
      <c r="PRR2" s="1"/>
      <c r="PRS2" s="1"/>
      <c r="PRT2" s="1"/>
      <c r="PRU2" s="1"/>
      <c r="PRV2" s="1"/>
      <c r="PRW2" s="1"/>
      <c r="PRX2" s="1"/>
      <c r="PRY2" s="1"/>
      <c r="PRZ2" s="1"/>
      <c r="PSA2" s="1"/>
      <c r="PSB2" s="1"/>
      <c r="PSC2" s="1"/>
      <c r="PSD2" s="1"/>
      <c r="PSE2" s="1"/>
      <c r="PSF2" s="1"/>
      <c r="PSG2" s="1"/>
      <c r="PSH2" s="1"/>
      <c r="PSI2" s="1"/>
      <c r="PSJ2" s="1"/>
      <c r="PSK2" s="1"/>
      <c r="PSL2" s="1"/>
      <c r="PSM2" s="1"/>
      <c r="PSN2" s="1"/>
      <c r="PSO2" s="1"/>
      <c r="PSP2" s="1"/>
      <c r="PSQ2" s="1"/>
      <c r="PSR2" s="1"/>
      <c r="PSS2" s="1"/>
      <c r="PST2" s="1"/>
      <c r="PSU2" s="1"/>
      <c r="PSV2" s="1"/>
      <c r="PSW2" s="1"/>
      <c r="PSX2" s="1"/>
      <c r="PSY2" s="1"/>
      <c r="PSZ2" s="1"/>
      <c r="PTA2" s="1"/>
      <c r="PTB2" s="1"/>
      <c r="PTC2" s="1"/>
      <c r="PTD2" s="1"/>
      <c r="PTE2" s="1"/>
      <c r="PTF2" s="1"/>
      <c r="PTG2" s="1"/>
      <c r="PTH2" s="1"/>
      <c r="PTI2" s="1"/>
      <c r="PTJ2" s="1"/>
      <c r="PTK2" s="1"/>
      <c r="PTL2" s="1"/>
      <c r="PTM2" s="1"/>
      <c r="PTN2" s="1"/>
      <c r="PTO2" s="1"/>
      <c r="PTP2" s="1"/>
      <c r="PTQ2" s="1"/>
      <c r="PTR2" s="1"/>
      <c r="PTS2" s="1"/>
      <c r="PTT2" s="1"/>
      <c r="PTU2" s="1"/>
      <c r="PTV2" s="1"/>
      <c r="PTW2" s="1"/>
      <c r="PTX2" s="1"/>
      <c r="PTY2" s="1"/>
      <c r="PTZ2" s="1"/>
      <c r="PUA2" s="1"/>
      <c r="PUB2" s="1"/>
      <c r="PUC2" s="1"/>
      <c r="PUD2" s="1"/>
      <c r="PUE2" s="1"/>
      <c r="PUF2" s="1"/>
      <c r="PUG2" s="1"/>
      <c r="PUH2" s="1"/>
      <c r="PUI2" s="1"/>
      <c r="PUJ2" s="1"/>
      <c r="PUK2" s="1"/>
      <c r="PUL2" s="1"/>
      <c r="PUM2" s="1"/>
      <c r="PUN2" s="1"/>
      <c r="PUO2" s="1"/>
      <c r="PUP2" s="1"/>
      <c r="PUQ2" s="1"/>
      <c r="PUR2" s="1"/>
      <c r="PUS2" s="1"/>
      <c r="PUT2" s="1"/>
      <c r="PUU2" s="1"/>
      <c r="PUV2" s="1"/>
      <c r="PUW2" s="1"/>
      <c r="PUX2" s="1"/>
      <c r="PUY2" s="1"/>
      <c r="PUZ2" s="1"/>
      <c r="PVA2" s="1"/>
      <c r="PVB2" s="1"/>
      <c r="PVC2" s="1"/>
      <c r="PVD2" s="1"/>
      <c r="PVE2" s="1"/>
      <c r="PVF2" s="1"/>
      <c r="PVG2" s="1"/>
      <c r="PVH2" s="1"/>
      <c r="PVI2" s="1"/>
      <c r="PVJ2" s="1"/>
      <c r="PVK2" s="1"/>
      <c r="PVL2" s="1"/>
      <c r="PVM2" s="1"/>
      <c r="PVN2" s="1"/>
      <c r="PVO2" s="1"/>
      <c r="PVP2" s="1"/>
      <c r="PVQ2" s="1"/>
      <c r="PVR2" s="1"/>
      <c r="PVS2" s="1"/>
      <c r="PVT2" s="1"/>
      <c r="PVU2" s="1"/>
      <c r="PVV2" s="1"/>
      <c r="PVW2" s="1"/>
      <c r="PVX2" s="1"/>
      <c r="PVY2" s="1"/>
      <c r="PVZ2" s="1"/>
      <c r="PWA2" s="1"/>
      <c r="PWB2" s="1"/>
      <c r="PWC2" s="1"/>
      <c r="PWD2" s="1"/>
      <c r="PWE2" s="1"/>
      <c r="PWF2" s="1"/>
      <c r="PWG2" s="1"/>
      <c r="PWH2" s="1"/>
      <c r="PWI2" s="1"/>
      <c r="PWJ2" s="1"/>
      <c r="PWK2" s="1"/>
      <c r="PWL2" s="1"/>
      <c r="PWM2" s="1"/>
      <c r="PWN2" s="1"/>
      <c r="PWO2" s="1"/>
      <c r="PWP2" s="1"/>
      <c r="PWQ2" s="1"/>
      <c r="PWR2" s="1"/>
      <c r="PWS2" s="1"/>
      <c r="PWT2" s="1"/>
      <c r="PWU2" s="1"/>
      <c r="PWV2" s="1"/>
      <c r="PWW2" s="1"/>
      <c r="PWX2" s="1"/>
      <c r="PWY2" s="1"/>
      <c r="PWZ2" s="1"/>
      <c r="PXA2" s="1"/>
      <c r="PXB2" s="1"/>
      <c r="PXC2" s="1"/>
      <c r="PXD2" s="1"/>
      <c r="PXE2" s="1"/>
      <c r="PXF2" s="1"/>
      <c r="PXG2" s="1"/>
      <c r="PXH2" s="1"/>
      <c r="PXI2" s="1"/>
      <c r="PXJ2" s="1"/>
      <c r="PXK2" s="1"/>
      <c r="PXL2" s="1"/>
      <c r="PXM2" s="1"/>
      <c r="PXN2" s="1"/>
      <c r="PXO2" s="1"/>
      <c r="PXP2" s="1"/>
      <c r="PXQ2" s="1"/>
      <c r="PXR2" s="1"/>
      <c r="PXS2" s="1"/>
      <c r="PXT2" s="1"/>
      <c r="PXU2" s="1"/>
      <c r="PXV2" s="1"/>
      <c r="PXW2" s="1"/>
      <c r="PXX2" s="1"/>
      <c r="PXY2" s="1"/>
      <c r="PXZ2" s="1"/>
      <c r="PYA2" s="1"/>
      <c r="PYB2" s="1"/>
      <c r="PYC2" s="1"/>
      <c r="PYD2" s="1"/>
      <c r="PYE2" s="1"/>
      <c r="PYF2" s="1"/>
      <c r="PYG2" s="1"/>
      <c r="PYH2" s="1"/>
      <c r="PYI2" s="1"/>
      <c r="PYJ2" s="1"/>
      <c r="PYK2" s="1"/>
      <c r="PYL2" s="1"/>
      <c r="PYM2" s="1"/>
      <c r="PYN2" s="1"/>
      <c r="PYO2" s="1"/>
      <c r="PYP2" s="1"/>
      <c r="PYQ2" s="1"/>
      <c r="PYR2" s="1"/>
      <c r="PYS2" s="1"/>
      <c r="PYT2" s="1"/>
      <c r="PYU2" s="1"/>
      <c r="PYV2" s="1"/>
      <c r="PYW2" s="1"/>
      <c r="PYX2" s="1"/>
      <c r="PYY2" s="1"/>
      <c r="PYZ2" s="1"/>
      <c r="PZA2" s="1"/>
      <c r="PZB2" s="1"/>
      <c r="PZC2" s="1"/>
      <c r="PZD2" s="1"/>
      <c r="PZE2" s="1"/>
      <c r="PZF2" s="1"/>
      <c r="PZG2" s="1"/>
      <c r="PZH2" s="1"/>
      <c r="PZI2" s="1"/>
      <c r="PZJ2" s="1"/>
      <c r="PZK2" s="1"/>
      <c r="PZL2" s="1"/>
      <c r="PZM2" s="1"/>
      <c r="PZN2" s="1"/>
      <c r="PZO2" s="1"/>
      <c r="PZP2" s="1"/>
      <c r="PZQ2" s="1"/>
      <c r="PZR2" s="1"/>
      <c r="PZS2" s="1"/>
      <c r="PZT2" s="1"/>
      <c r="PZU2" s="1"/>
      <c r="PZV2" s="1"/>
      <c r="PZW2" s="1"/>
      <c r="PZX2" s="1"/>
      <c r="PZY2" s="1"/>
      <c r="PZZ2" s="1"/>
      <c r="QAA2" s="1"/>
      <c r="QAB2" s="1"/>
      <c r="QAC2" s="1"/>
      <c r="QAD2" s="1"/>
      <c r="QAE2" s="1"/>
      <c r="QAF2" s="1"/>
      <c r="QAG2" s="1"/>
      <c r="QAH2" s="1"/>
      <c r="QAI2" s="1"/>
      <c r="QAJ2" s="1"/>
      <c r="QAK2" s="1"/>
      <c r="QAL2" s="1"/>
      <c r="QAM2" s="1"/>
      <c r="QAN2" s="1"/>
      <c r="QAO2" s="1"/>
      <c r="QAP2" s="1"/>
      <c r="QAQ2" s="1"/>
      <c r="QAR2" s="1"/>
      <c r="QAS2" s="1"/>
      <c r="QAT2" s="1"/>
      <c r="QAU2" s="1"/>
      <c r="QAV2" s="1"/>
      <c r="QAW2" s="1"/>
      <c r="QAX2" s="1"/>
      <c r="QAY2" s="1"/>
      <c r="QAZ2" s="1"/>
      <c r="QBA2" s="1"/>
      <c r="QBB2" s="1"/>
      <c r="QBC2" s="1"/>
      <c r="QBD2" s="1"/>
      <c r="QBE2" s="1"/>
      <c r="QBF2" s="1"/>
      <c r="QBG2" s="1"/>
      <c r="QBH2" s="1"/>
      <c r="QBI2" s="1"/>
      <c r="QBJ2" s="1"/>
      <c r="QBK2" s="1"/>
      <c r="QBL2" s="1"/>
      <c r="QBM2" s="1"/>
      <c r="QBN2" s="1"/>
      <c r="QBO2" s="1"/>
      <c r="QBP2" s="1"/>
      <c r="QBQ2" s="1"/>
      <c r="QBR2" s="1"/>
      <c r="QBS2" s="1"/>
      <c r="QBT2" s="1"/>
      <c r="QBU2" s="1"/>
      <c r="QBV2" s="1"/>
      <c r="QBW2" s="1"/>
      <c r="QBX2" s="1"/>
      <c r="QBY2" s="1"/>
      <c r="QBZ2" s="1"/>
      <c r="QCA2" s="1"/>
      <c r="QCB2" s="1"/>
      <c r="QCC2" s="1"/>
      <c r="QCD2" s="1"/>
      <c r="QCE2" s="1"/>
      <c r="QCF2" s="1"/>
      <c r="QCG2" s="1"/>
      <c r="QCH2" s="1"/>
      <c r="QCI2" s="1"/>
      <c r="QCJ2" s="1"/>
      <c r="QCK2" s="1"/>
      <c r="QCL2" s="1"/>
      <c r="QCM2" s="1"/>
      <c r="QCN2" s="1"/>
      <c r="QCO2" s="1"/>
      <c r="QCP2" s="1"/>
      <c r="QCQ2" s="1"/>
      <c r="QCR2" s="1"/>
      <c r="QCS2" s="1"/>
      <c r="QCT2" s="1"/>
      <c r="QCU2" s="1"/>
      <c r="QCV2" s="1"/>
      <c r="QCW2" s="1"/>
      <c r="QCX2" s="1"/>
      <c r="QCY2" s="1"/>
      <c r="QCZ2" s="1"/>
      <c r="QDA2" s="1"/>
      <c r="QDB2" s="1"/>
      <c r="QDC2" s="1"/>
      <c r="QDD2" s="1"/>
      <c r="QDE2" s="1"/>
      <c r="QDF2" s="1"/>
      <c r="QDG2" s="1"/>
      <c r="QDH2" s="1"/>
      <c r="QDI2" s="1"/>
      <c r="QDJ2" s="1"/>
      <c r="QDK2" s="1"/>
      <c r="QDL2" s="1"/>
      <c r="QDM2" s="1"/>
      <c r="QDN2" s="1"/>
      <c r="QDO2" s="1"/>
      <c r="QDP2" s="1"/>
      <c r="QDQ2" s="1"/>
      <c r="QDR2" s="1"/>
      <c r="QDS2" s="1"/>
      <c r="QDT2" s="1"/>
      <c r="QDU2" s="1"/>
      <c r="QDV2" s="1"/>
      <c r="QDW2" s="1"/>
      <c r="QDX2" s="1"/>
      <c r="QDY2" s="1"/>
      <c r="QDZ2" s="1"/>
      <c r="QEA2" s="1"/>
      <c r="QEB2" s="1"/>
      <c r="QEC2" s="1"/>
      <c r="QED2" s="1"/>
      <c r="QEE2" s="1"/>
      <c r="QEF2" s="1"/>
      <c r="QEG2" s="1"/>
      <c r="QEH2" s="1"/>
      <c r="QEI2" s="1"/>
      <c r="QEJ2" s="1"/>
      <c r="QEK2" s="1"/>
      <c r="QEL2" s="1"/>
      <c r="QEM2" s="1"/>
      <c r="QEN2" s="1"/>
      <c r="QEO2" s="1"/>
      <c r="QEP2" s="1"/>
      <c r="QEQ2" s="1"/>
      <c r="QER2" s="1"/>
      <c r="QES2" s="1"/>
      <c r="QET2" s="1"/>
      <c r="QEU2" s="1"/>
      <c r="QEV2" s="1"/>
      <c r="QEW2" s="1"/>
      <c r="QEX2" s="1"/>
      <c r="QEY2" s="1"/>
      <c r="QEZ2" s="1"/>
      <c r="QFA2" s="1"/>
      <c r="QFB2" s="1"/>
      <c r="QFC2" s="1"/>
      <c r="QFD2" s="1"/>
      <c r="QFE2" s="1"/>
      <c r="QFF2" s="1"/>
      <c r="QFG2" s="1"/>
      <c r="QFH2" s="1"/>
      <c r="QFI2" s="1"/>
      <c r="QFJ2" s="1"/>
      <c r="QFK2" s="1"/>
      <c r="QFL2" s="1"/>
      <c r="QFM2" s="1"/>
      <c r="QFN2" s="1"/>
      <c r="QFO2" s="1"/>
      <c r="QFP2" s="1"/>
      <c r="QFQ2" s="1"/>
      <c r="QFR2" s="1"/>
      <c r="QFS2" s="1"/>
      <c r="QFT2" s="1"/>
      <c r="QFU2" s="1"/>
      <c r="QFV2" s="1"/>
      <c r="QFW2" s="1"/>
      <c r="QFX2" s="1"/>
      <c r="QFY2" s="1"/>
      <c r="QFZ2" s="1"/>
      <c r="QGA2" s="1"/>
      <c r="QGB2" s="1"/>
      <c r="QGC2" s="1"/>
      <c r="QGD2" s="1"/>
      <c r="QGE2" s="1"/>
      <c r="QGF2" s="1"/>
      <c r="QGG2" s="1"/>
      <c r="QGH2" s="1"/>
      <c r="QGI2" s="1"/>
      <c r="QGJ2" s="1"/>
      <c r="QGK2" s="1"/>
      <c r="QGL2" s="1"/>
      <c r="QGM2" s="1"/>
      <c r="QGN2" s="1"/>
      <c r="QGO2" s="1"/>
      <c r="QGP2" s="1"/>
      <c r="QGQ2" s="1"/>
      <c r="QGR2" s="1"/>
      <c r="QGS2" s="1"/>
      <c r="QGT2" s="1"/>
      <c r="QGU2" s="1"/>
      <c r="QGV2" s="1"/>
      <c r="QGW2" s="1"/>
      <c r="QGX2" s="1"/>
      <c r="QGY2" s="1"/>
      <c r="QGZ2" s="1"/>
      <c r="QHA2" s="1"/>
      <c r="QHB2" s="1"/>
      <c r="QHC2" s="1"/>
      <c r="QHD2" s="1"/>
      <c r="QHE2" s="1"/>
      <c r="QHF2" s="1"/>
      <c r="QHG2" s="1"/>
      <c r="QHH2" s="1"/>
      <c r="QHI2" s="1"/>
      <c r="QHJ2" s="1"/>
      <c r="QHK2" s="1"/>
      <c r="QHL2" s="1"/>
      <c r="QHM2" s="1"/>
      <c r="QHN2" s="1"/>
      <c r="QHO2" s="1"/>
      <c r="QHP2" s="1"/>
      <c r="QHQ2" s="1"/>
      <c r="QHR2" s="1"/>
      <c r="QHS2" s="1"/>
      <c r="QHT2" s="1"/>
      <c r="QHU2" s="1"/>
      <c r="QHV2" s="1"/>
      <c r="QHW2" s="1"/>
      <c r="QHX2" s="1"/>
      <c r="QHY2" s="1"/>
      <c r="QHZ2" s="1"/>
      <c r="QIA2" s="1"/>
      <c r="QIB2" s="1"/>
      <c r="QIC2" s="1"/>
      <c r="QID2" s="1"/>
      <c r="QIE2" s="1"/>
      <c r="QIF2" s="1"/>
      <c r="QIG2" s="1"/>
      <c r="QIH2" s="1"/>
      <c r="QII2" s="1"/>
      <c r="QIJ2" s="1"/>
      <c r="QIK2" s="1"/>
      <c r="QIL2" s="1"/>
      <c r="QIM2" s="1"/>
      <c r="QIN2" s="1"/>
      <c r="QIO2" s="1"/>
      <c r="QIP2" s="1"/>
      <c r="QIQ2" s="1"/>
      <c r="QIR2" s="1"/>
      <c r="QIS2" s="1"/>
      <c r="QIT2" s="1"/>
      <c r="QIU2" s="1"/>
      <c r="QIV2" s="1"/>
      <c r="QIW2" s="1"/>
      <c r="QIX2" s="1"/>
      <c r="QIY2" s="1"/>
      <c r="QIZ2" s="1"/>
      <c r="QJA2" s="1"/>
      <c r="QJB2" s="1"/>
      <c r="QJC2" s="1"/>
      <c r="QJD2" s="1"/>
      <c r="QJE2" s="1"/>
      <c r="QJF2" s="1"/>
      <c r="QJG2" s="1"/>
      <c r="QJH2" s="1"/>
      <c r="QJI2" s="1"/>
      <c r="QJJ2" s="1"/>
      <c r="QJK2" s="1"/>
      <c r="QJL2" s="1"/>
      <c r="QJM2" s="1"/>
      <c r="QJN2" s="1"/>
      <c r="QJO2" s="1"/>
      <c r="QJP2" s="1"/>
      <c r="QJQ2" s="1"/>
      <c r="QJR2" s="1"/>
      <c r="QJS2" s="1"/>
      <c r="QJT2" s="1"/>
      <c r="QJU2" s="1"/>
      <c r="QJV2" s="1"/>
      <c r="QJW2" s="1"/>
      <c r="QJX2" s="1"/>
      <c r="QJY2" s="1"/>
      <c r="QJZ2" s="1"/>
      <c r="QKA2" s="1"/>
      <c r="QKB2" s="1"/>
      <c r="QKC2" s="1"/>
      <c r="QKD2" s="1"/>
      <c r="QKE2" s="1"/>
      <c r="QKF2" s="1"/>
      <c r="QKG2" s="1"/>
      <c r="QKH2" s="1"/>
      <c r="QKI2" s="1"/>
      <c r="QKJ2" s="1"/>
      <c r="QKK2" s="1"/>
      <c r="QKL2" s="1"/>
      <c r="QKM2" s="1"/>
      <c r="QKN2" s="1"/>
      <c r="QKO2" s="1"/>
      <c r="QKP2" s="1"/>
      <c r="QKQ2" s="1"/>
      <c r="QKR2" s="1"/>
      <c r="QKS2" s="1"/>
      <c r="QKT2" s="1"/>
      <c r="QKU2" s="1"/>
      <c r="QKV2" s="1"/>
      <c r="QKW2" s="1"/>
      <c r="QKX2" s="1"/>
      <c r="QKY2" s="1"/>
      <c r="QKZ2" s="1"/>
      <c r="QLA2" s="1"/>
      <c r="QLB2" s="1"/>
      <c r="QLC2" s="1"/>
      <c r="QLD2" s="1"/>
      <c r="QLE2" s="1"/>
      <c r="QLF2" s="1"/>
      <c r="QLG2" s="1"/>
      <c r="QLH2" s="1"/>
      <c r="QLI2" s="1"/>
      <c r="QLJ2" s="1"/>
      <c r="QLK2" s="1"/>
      <c r="QLL2" s="1"/>
      <c r="QLM2" s="1"/>
      <c r="QLN2" s="1"/>
      <c r="QLO2" s="1"/>
      <c r="QLP2" s="1"/>
      <c r="QLQ2" s="1"/>
      <c r="QLR2" s="1"/>
      <c r="QLS2" s="1"/>
      <c r="QLT2" s="1"/>
      <c r="QLU2" s="1"/>
      <c r="QLV2" s="1"/>
      <c r="QLW2" s="1"/>
      <c r="QLX2" s="1"/>
      <c r="QLY2" s="1"/>
      <c r="QLZ2" s="1"/>
      <c r="QMA2" s="1"/>
      <c r="QMB2" s="1"/>
      <c r="QMC2" s="1"/>
      <c r="QMD2" s="1"/>
      <c r="QME2" s="1"/>
      <c r="QMF2" s="1"/>
      <c r="QMG2" s="1"/>
      <c r="QMH2" s="1"/>
      <c r="QMI2" s="1"/>
      <c r="QMJ2" s="1"/>
      <c r="QMK2" s="1"/>
      <c r="QML2" s="1"/>
      <c r="QMM2" s="1"/>
      <c r="QMN2" s="1"/>
      <c r="QMO2" s="1"/>
      <c r="QMP2" s="1"/>
      <c r="QMQ2" s="1"/>
      <c r="QMR2" s="1"/>
      <c r="QMS2" s="1"/>
      <c r="QMT2" s="1"/>
      <c r="QMU2" s="1"/>
      <c r="QMV2" s="1"/>
      <c r="QMW2" s="1"/>
      <c r="QMX2" s="1"/>
      <c r="QMY2" s="1"/>
      <c r="QMZ2" s="1"/>
      <c r="QNA2" s="1"/>
      <c r="QNB2" s="1"/>
      <c r="QNC2" s="1"/>
      <c r="QND2" s="1"/>
      <c r="QNE2" s="1"/>
      <c r="QNF2" s="1"/>
      <c r="QNG2" s="1"/>
      <c r="QNH2" s="1"/>
      <c r="QNI2" s="1"/>
      <c r="QNJ2" s="1"/>
      <c r="QNK2" s="1"/>
      <c r="QNL2" s="1"/>
      <c r="QNM2" s="1"/>
      <c r="QNN2" s="1"/>
      <c r="QNO2" s="1"/>
      <c r="QNP2" s="1"/>
      <c r="QNQ2" s="1"/>
      <c r="QNR2" s="1"/>
      <c r="QNS2" s="1"/>
      <c r="QNT2" s="1"/>
      <c r="QNU2" s="1"/>
      <c r="QNV2" s="1"/>
      <c r="QNW2" s="1"/>
      <c r="QNX2" s="1"/>
      <c r="QNY2" s="1"/>
      <c r="QNZ2" s="1"/>
      <c r="QOA2" s="1"/>
      <c r="QOB2" s="1"/>
      <c r="QOC2" s="1"/>
      <c r="QOD2" s="1"/>
      <c r="QOE2" s="1"/>
      <c r="QOF2" s="1"/>
      <c r="QOG2" s="1"/>
      <c r="QOH2" s="1"/>
      <c r="QOI2" s="1"/>
      <c r="QOJ2" s="1"/>
      <c r="QOK2" s="1"/>
      <c r="QOL2" s="1"/>
      <c r="QOM2" s="1"/>
      <c r="QON2" s="1"/>
      <c r="QOO2" s="1"/>
      <c r="QOP2" s="1"/>
      <c r="QOQ2" s="1"/>
      <c r="QOR2" s="1"/>
      <c r="QOS2" s="1"/>
      <c r="QOT2" s="1"/>
      <c r="QOU2" s="1"/>
      <c r="QOV2" s="1"/>
      <c r="QOW2" s="1"/>
      <c r="QOX2" s="1"/>
      <c r="QOY2" s="1"/>
      <c r="QOZ2" s="1"/>
      <c r="QPA2" s="1"/>
      <c r="QPB2" s="1"/>
      <c r="QPC2" s="1"/>
      <c r="QPD2" s="1"/>
      <c r="QPE2" s="1"/>
      <c r="QPF2" s="1"/>
      <c r="QPG2" s="1"/>
      <c r="QPH2" s="1"/>
      <c r="QPI2" s="1"/>
      <c r="QPJ2" s="1"/>
      <c r="QPK2" s="1"/>
      <c r="QPL2" s="1"/>
      <c r="QPM2" s="1"/>
      <c r="QPN2" s="1"/>
      <c r="QPO2" s="1"/>
      <c r="QPP2" s="1"/>
      <c r="QPQ2" s="1"/>
      <c r="QPR2" s="1"/>
      <c r="QPS2" s="1"/>
      <c r="QPT2" s="1"/>
      <c r="QPU2" s="1"/>
      <c r="QPV2" s="1"/>
      <c r="QPW2" s="1"/>
      <c r="QPX2" s="1"/>
      <c r="QPY2" s="1"/>
      <c r="QPZ2" s="1"/>
      <c r="QQA2" s="1"/>
      <c r="QQB2" s="1"/>
      <c r="QQC2" s="1"/>
      <c r="QQD2" s="1"/>
      <c r="QQE2" s="1"/>
      <c r="QQF2" s="1"/>
      <c r="QQG2" s="1"/>
      <c r="QQH2" s="1"/>
      <c r="QQI2" s="1"/>
      <c r="QQJ2" s="1"/>
      <c r="QQK2" s="1"/>
      <c r="QQL2" s="1"/>
      <c r="QQM2" s="1"/>
      <c r="QQN2" s="1"/>
      <c r="QQO2" s="1"/>
      <c r="QQP2" s="1"/>
      <c r="QQQ2" s="1"/>
      <c r="QQR2" s="1"/>
      <c r="QQS2" s="1"/>
      <c r="QQT2" s="1"/>
      <c r="QQU2" s="1"/>
      <c r="QQV2" s="1"/>
      <c r="QQW2" s="1"/>
      <c r="QQX2" s="1"/>
      <c r="QQY2" s="1"/>
      <c r="QQZ2" s="1"/>
      <c r="QRA2" s="1"/>
      <c r="QRB2" s="1"/>
      <c r="QRC2" s="1"/>
      <c r="QRD2" s="1"/>
      <c r="QRE2" s="1"/>
      <c r="QRF2" s="1"/>
      <c r="QRG2" s="1"/>
      <c r="QRH2" s="1"/>
      <c r="QRI2" s="1"/>
      <c r="QRJ2" s="1"/>
      <c r="QRK2" s="1"/>
      <c r="QRL2" s="1"/>
      <c r="QRM2" s="1"/>
      <c r="QRN2" s="1"/>
      <c r="QRO2" s="1"/>
      <c r="QRP2" s="1"/>
      <c r="QRQ2" s="1"/>
      <c r="QRR2" s="1"/>
      <c r="QRS2" s="1"/>
      <c r="QRT2" s="1"/>
      <c r="QRU2" s="1"/>
      <c r="QRV2" s="1"/>
      <c r="QRW2" s="1"/>
      <c r="QRX2" s="1"/>
      <c r="QRY2" s="1"/>
      <c r="QRZ2" s="1"/>
      <c r="QSA2" s="1"/>
      <c r="QSB2" s="1"/>
      <c r="QSC2" s="1"/>
      <c r="QSD2" s="1"/>
      <c r="QSE2" s="1"/>
      <c r="QSF2" s="1"/>
      <c r="QSG2" s="1"/>
      <c r="QSH2" s="1"/>
      <c r="QSI2" s="1"/>
      <c r="QSJ2" s="1"/>
      <c r="QSK2" s="1"/>
      <c r="QSL2" s="1"/>
      <c r="QSM2" s="1"/>
      <c r="QSN2" s="1"/>
      <c r="QSO2" s="1"/>
      <c r="QSP2" s="1"/>
      <c r="QSQ2" s="1"/>
      <c r="QSR2" s="1"/>
      <c r="QSS2" s="1"/>
      <c r="QST2" s="1"/>
      <c r="QSU2" s="1"/>
      <c r="QSV2" s="1"/>
      <c r="QSW2" s="1"/>
      <c r="QSX2" s="1"/>
      <c r="QSY2" s="1"/>
      <c r="QSZ2" s="1"/>
      <c r="QTA2" s="1"/>
      <c r="QTB2" s="1"/>
      <c r="QTC2" s="1"/>
      <c r="QTD2" s="1"/>
      <c r="QTE2" s="1"/>
      <c r="QTF2" s="1"/>
      <c r="QTG2" s="1"/>
      <c r="QTH2" s="1"/>
      <c r="QTI2" s="1"/>
      <c r="QTJ2" s="1"/>
      <c r="QTK2" s="1"/>
      <c r="QTL2" s="1"/>
      <c r="QTM2" s="1"/>
      <c r="QTN2" s="1"/>
      <c r="QTO2" s="1"/>
      <c r="QTP2" s="1"/>
      <c r="QTQ2" s="1"/>
      <c r="QTR2" s="1"/>
      <c r="QTS2" s="1"/>
      <c r="QTT2" s="1"/>
      <c r="QTU2" s="1"/>
      <c r="QTV2" s="1"/>
      <c r="QTW2" s="1"/>
      <c r="QTX2" s="1"/>
      <c r="QTY2" s="1"/>
      <c r="QTZ2" s="1"/>
      <c r="QUA2" s="1"/>
      <c r="QUB2" s="1"/>
      <c r="QUC2" s="1"/>
      <c r="QUD2" s="1"/>
      <c r="QUE2" s="1"/>
      <c r="QUF2" s="1"/>
      <c r="QUG2" s="1"/>
      <c r="QUH2" s="1"/>
      <c r="QUI2" s="1"/>
      <c r="QUJ2" s="1"/>
      <c r="QUK2" s="1"/>
      <c r="QUL2" s="1"/>
      <c r="QUM2" s="1"/>
      <c r="QUN2" s="1"/>
      <c r="QUO2" s="1"/>
      <c r="QUP2" s="1"/>
      <c r="QUQ2" s="1"/>
      <c r="QUR2" s="1"/>
      <c r="QUS2" s="1"/>
      <c r="QUT2" s="1"/>
      <c r="QUU2" s="1"/>
      <c r="QUV2" s="1"/>
      <c r="QUW2" s="1"/>
      <c r="QUX2" s="1"/>
      <c r="QUY2" s="1"/>
      <c r="QUZ2" s="1"/>
      <c r="QVA2" s="1"/>
      <c r="QVB2" s="1"/>
      <c r="QVC2" s="1"/>
      <c r="QVD2" s="1"/>
      <c r="QVE2" s="1"/>
      <c r="QVF2" s="1"/>
      <c r="QVG2" s="1"/>
      <c r="QVH2" s="1"/>
      <c r="QVI2" s="1"/>
      <c r="QVJ2" s="1"/>
      <c r="QVK2" s="1"/>
      <c r="QVL2" s="1"/>
      <c r="QVM2" s="1"/>
      <c r="QVN2" s="1"/>
      <c r="QVO2" s="1"/>
      <c r="QVP2" s="1"/>
      <c r="QVQ2" s="1"/>
      <c r="QVR2" s="1"/>
      <c r="QVS2" s="1"/>
      <c r="QVT2" s="1"/>
      <c r="QVU2" s="1"/>
      <c r="QVV2" s="1"/>
      <c r="QVW2" s="1"/>
      <c r="QVX2" s="1"/>
      <c r="QVY2" s="1"/>
      <c r="QVZ2" s="1"/>
      <c r="QWA2" s="1"/>
      <c r="QWB2" s="1"/>
      <c r="QWC2" s="1"/>
      <c r="QWD2" s="1"/>
      <c r="QWE2" s="1"/>
      <c r="QWF2" s="1"/>
      <c r="QWG2" s="1"/>
      <c r="QWH2" s="1"/>
      <c r="QWI2" s="1"/>
      <c r="QWJ2" s="1"/>
      <c r="QWK2" s="1"/>
      <c r="QWL2" s="1"/>
      <c r="QWM2" s="1"/>
      <c r="QWN2" s="1"/>
      <c r="QWO2" s="1"/>
      <c r="QWP2" s="1"/>
      <c r="QWQ2" s="1"/>
      <c r="QWR2" s="1"/>
      <c r="QWS2" s="1"/>
      <c r="QWT2" s="1"/>
      <c r="QWU2" s="1"/>
      <c r="QWV2" s="1"/>
      <c r="QWW2" s="1"/>
      <c r="QWX2" s="1"/>
      <c r="QWY2" s="1"/>
      <c r="QWZ2" s="1"/>
      <c r="QXA2" s="1"/>
      <c r="QXB2" s="1"/>
      <c r="QXC2" s="1"/>
      <c r="QXD2" s="1"/>
      <c r="QXE2" s="1"/>
      <c r="QXF2" s="1"/>
      <c r="QXG2" s="1"/>
      <c r="QXH2" s="1"/>
      <c r="QXI2" s="1"/>
      <c r="QXJ2" s="1"/>
      <c r="QXK2" s="1"/>
      <c r="QXL2" s="1"/>
      <c r="QXM2" s="1"/>
      <c r="QXN2" s="1"/>
      <c r="QXO2" s="1"/>
      <c r="QXP2" s="1"/>
      <c r="QXQ2" s="1"/>
      <c r="QXR2" s="1"/>
      <c r="QXS2" s="1"/>
      <c r="QXT2" s="1"/>
      <c r="QXU2" s="1"/>
      <c r="QXV2" s="1"/>
      <c r="QXW2" s="1"/>
      <c r="QXX2" s="1"/>
      <c r="QXY2" s="1"/>
      <c r="QXZ2" s="1"/>
      <c r="QYA2" s="1"/>
      <c r="QYB2" s="1"/>
      <c r="QYC2" s="1"/>
      <c r="QYD2" s="1"/>
      <c r="QYE2" s="1"/>
      <c r="QYF2" s="1"/>
      <c r="QYG2" s="1"/>
      <c r="QYH2" s="1"/>
      <c r="QYI2" s="1"/>
      <c r="QYJ2" s="1"/>
      <c r="QYK2" s="1"/>
      <c r="QYL2" s="1"/>
      <c r="QYM2" s="1"/>
      <c r="QYN2" s="1"/>
      <c r="QYO2" s="1"/>
      <c r="QYP2" s="1"/>
      <c r="QYQ2" s="1"/>
      <c r="QYR2" s="1"/>
      <c r="QYS2" s="1"/>
      <c r="QYT2" s="1"/>
      <c r="QYU2" s="1"/>
      <c r="QYV2" s="1"/>
      <c r="QYW2" s="1"/>
      <c r="QYX2" s="1"/>
      <c r="QYY2" s="1"/>
      <c r="QYZ2" s="1"/>
      <c r="QZA2" s="1"/>
      <c r="QZB2" s="1"/>
      <c r="QZC2" s="1"/>
      <c r="QZD2" s="1"/>
      <c r="QZE2" s="1"/>
      <c r="QZF2" s="1"/>
      <c r="QZG2" s="1"/>
      <c r="QZH2" s="1"/>
      <c r="QZI2" s="1"/>
      <c r="QZJ2" s="1"/>
      <c r="QZK2" s="1"/>
      <c r="QZL2" s="1"/>
      <c r="QZM2" s="1"/>
      <c r="QZN2" s="1"/>
      <c r="QZO2" s="1"/>
      <c r="QZP2" s="1"/>
      <c r="QZQ2" s="1"/>
      <c r="QZR2" s="1"/>
      <c r="QZS2" s="1"/>
      <c r="QZT2" s="1"/>
      <c r="QZU2" s="1"/>
      <c r="QZV2" s="1"/>
      <c r="QZW2" s="1"/>
      <c r="QZX2" s="1"/>
      <c r="QZY2" s="1"/>
      <c r="QZZ2" s="1"/>
      <c r="RAA2" s="1"/>
      <c r="RAB2" s="1"/>
      <c r="RAC2" s="1"/>
      <c r="RAD2" s="1"/>
      <c r="RAE2" s="1"/>
      <c r="RAF2" s="1"/>
      <c r="RAG2" s="1"/>
      <c r="RAH2" s="1"/>
      <c r="RAI2" s="1"/>
      <c r="RAJ2" s="1"/>
      <c r="RAK2" s="1"/>
      <c r="RAL2" s="1"/>
      <c r="RAM2" s="1"/>
      <c r="RAN2" s="1"/>
      <c r="RAO2" s="1"/>
      <c r="RAP2" s="1"/>
      <c r="RAQ2" s="1"/>
      <c r="RAR2" s="1"/>
      <c r="RAS2" s="1"/>
      <c r="RAT2" s="1"/>
      <c r="RAU2" s="1"/>
      <c r="RAV2" s="1"/>
      <c r="RAW2" s="1"/>
      <c r="RAX2" s="1"/>
      <c r="RAY2" s="1"/>
      <c r="RAZ2" s="1"/>
      <c r="RBA2" s="1"/>
      <c r="RBB2" s="1"/>
      <c r="RBC2" s="1"/>
      <c r="RBD2" s="1"/>
      <c r="RBE2" s="1"/>
      <c r="RBF2" s="1"/>
      <c r="RBG2" s="1"/>
      <c r="RBH2" s="1"/>
      <c r="RBI2" s="1"/>
      <c r="RBJ2" s="1"/>
      <c r="RBK2" s="1"/>
      <c r="RBL2" s="1"/>
      <c r="RBM2" s="1"/>
      <c r="RBN2" s="1"/>
      <c r="RBO2" s="1"/>
      <c r="RBP2" s="1"/>
      <c r="RBQ2" s="1"/>
      <c r="RBR2" s="1"/>
      <c r="RBS2" s="1"/>
      <c r="RBT2" s="1"/>
      <c r="RBU2" s="1"/>
      <c r="RBV2" s="1"/>
      <c r="RBW2" s="1"/>
      <c r="RBX2" s="1"/>
      <c r="RBY2" s="1"/>
      <c r="RBZ2" s="1"/>
      <c r="RCA2" s="1"/>
      <c r="RCB2" s="1"/>
      <c r="RCC2" s="1"/>
      <c r="RCD2" s="1"/>
      <c r="RCE2" s="1"/>
      <c r="RCF2" s="1"/>
      <c r="RCG2" s="1"/>
      <c r="RCH2" s="1"/>
      <c r="RCI2" s="1"/>
      <c r="RCJ2" s="1"/>
      <c r="RCK2" s="1"/>
      <c r="RCL2" s="1"/>
      <c r="RCM2" s="1"/>
      <c r="RCN2" s="1"/>
      <c r="RCO2" s="1"/>
      <c r="RCP2" s="1"/>
      <c r="RCQ2" s="1"/>
      <c r="RCR2" s="1"/>
      <c r="RCS2" s="1"/>
      <c r="RCT2" s="1"/>
      <c r="RCU2" s="1"/>
      <c r="RCV2" s="1"/>
      <c r="RCW2" s="1"/>
      <c r="RCX2" s="1"/>
      <c r="RCY2" s="1"/>
      <c r="RCZ2" s="1"/>
      <c r="RDA2" s="1"/>
      <c r="RDB2" s="1"/>
      <c r="RDC2" s="1"/>
      <c r="RDD2" s="1"/>
      <c r="RDE2" s="1"/>
      <c r="RDF2" s="1"/>
      <c r="RDG2" s="1"/>
      <c r="RDH2" s="1"/>
      <c r="RDI2" s="1"/>
      <c r="RDJ2" s="1"/>
      <c r="RDK2" s="1"/>
      <c r="RDL2" s="1"/>
      <c r="RDM2" s="1"/>
      <c r="RDN2" s="1"/>
      <c r="RDO2" s="1"/>
      <c r="RDP2" s="1"/>
      <c r="RDQ2" s="1"/>
      <c r="RDR2" s="1"/>
      <c r="RDS2" s="1"/>
      <c r="RDT2" s="1"/>
      <c r="RDU2" s="1"/>
      <c r="RDV2" s="1"/>
      <c r="RDW2" s="1"/>
      <c r="RDX2" s="1"/>
      <c r="RDY2" s="1"/>
      <c r="RDZ2" s="1"/>
      <c r="REA2" s="1"/>
      <c r="REB2" s="1"/>
      <c r="REC2" s="1"/>
      <c r="RED2" s="1"/>
      <c r="REE2" s="1"/>
      <c r="REF2" s="1"/>
      <c r="REG2" s="1"/>
      <c r="REH2" s="1"/>
      <c r="REI2" s="1"/>
      <c r="REJ2" s="1"/>
      <c r="REK2" s="1"/>
      <c r="REL2" s="1"/>
      <c r="REM2" s="1"/>
      <c r="REN2" s="1"/>
      <c r="REO2" s="1"/>
      <c r="REP2" s="1"/>
      <c r="REQ2" s="1"/>
      <c r="RER2" s="1"/>
      <c r="RES2" s="1"/>
      <c r="RET2" s="1"/>
      <c r="REU2" s="1"/>
      <c r="REV2" s="1"/>
      <c r="REW2" s="1"/>
      <c r="REX2" s="1"/>
      <c r="REY2" s="1"/>
      <c r="REZ2" s="1"/>
      <c r="RFA2" s="1"/>
      <c r="RFB2" s="1"/>
      <c r="RFC2" s="1"/>
      <c r="RFD2" s="1"/>
      <c r="RFE2" s="1"/>
      <c r="RFF2" s="1"/>
      <c r="RFG2" s="1"/>
      <c r="RFH2" s="1"/>
      <c r="RFI2" s="1"/>
      <c r="RFJ2" s="1"/>
      <c r="RFK2" s="1"/>
      <c r="RFL2" s="1"/>
      <c r="RFM2" s="1"/>
      <c r="RFN2" s="1"/>
      <c r="RFO2" s="1"/>
      <c r="RFP2" s="1"/>
      <c r="RFQ2" s="1"/>
      <c r="RFR2" s="1"/>
      <c r="RFS2" s="1"/>
      <c r="RFT2" s="1"/>
      <c r="RFU2" s="1"/>
      <c r="RFV2" s="1"/>
      <c r="RFW2" s="1"/>
      <c r="RFX2" s="1"/>
      <c r="RFY2" s="1"/>
      <c r="RFZ2" s="1"/>
      <c r="RGA2" s="1"/>
      <c r="RGB2" s="1"/>
      <c r="RGC2" s="1"/>
      <c r="RGD2" s="1"/>
      <c r="RGE2" s="1"/>
      <c r="RGF2" s="1"/>
      <c r="RGG2" s="1"/>
      <c r="RGH2" s="1"/>
      <c r="RGI2" s="1"/>
      <c r="RGJ2" s="1"/>
      <c r="RGK2" s="1"/>
      <c r="RGL2" s="1"/>
      <c r="RGM2" s="1"/>
      <c r="RGN2" s="1"/>
      <c r="RGO2" s="1"/>
      <c r="RGP2" s="1"/>
      <c r="RGQ2" s="1"/>
      <c r="RGR2" s="1"/>
      <c r="RGS2" s="1"/>
      <c r="RGT2" s="1"/>
      <c r="RGU2" s="1"/>
      <c r="RGV2" s="1"/>
      <c r="RGW2" s="1"/>
      <c r="RGX2" s="1"/>
      <c r="RGY2" s="1"/>
      <c r="RGZ2" s="1"/>
      <c r="RHA2" s="1"/>
      <c r="RHB2" s="1"/>
      <c r="RHC2" s="1"/>
      <c r="RHD2" s="1"/>
      <c r="RHE2" s="1"/>
      <c r="RHF2" s="1"/>
      <c r="RHG2" s="1"/>
      <c r="RHH2" s="1"/>
      <c r="RHI2" s="1"/>
      <c r="RHJ2" s="1"/>
      <c r="RHK2" s="1"/>
      <c r="RHL2" s="1"/>
      <c r="RHM2" s="1"/>
      <c r="RHN2" s="1"/>
      <c r="RHO2" s="1"/>
      <c r="RHP2" s="1"/>
      <c r="RHQ2" s="1"/>
      <c r="RHR2" s="1"/>
      <c r="RHS2" s="1"/>
      <c r="RHT2" s="1"/>
      <c r="RHU2" s="1"/>
      <c r="RHV2" s="1"/>
      <c r="RHW2" s="1"/>
      <c r="RHX2" s="1"/>
      <c r="RHY2" s="1"/>
      <c r="RHZ2" s="1"/>
      <c r="RIA2" s="1"/>
      <c r="RIB2" s="1"/>
      <c r="RIC2" s="1"/>
      <c r="RID2" s="1"/>
      <c r="RIE2" s="1"/>
      <c r="RIF2" s="1"/>
      <c r="RIG2" s="1"/>
      <c r="RIH2" s="1"/>
      <c r="RII2" s="1"/>
      <c r="RIJ2" s="1"/>
      <c r="RIK2" s="1"/>
      <c r="RIL2" s="1"/>
      <c r="RIM2" s="1"/>
      <c r="RIN2" s="1"/>
      <c r="RIO2" s="1"/>
      <c r="RIP2" s="1"/>
      <c r="RIQ2" s="1"/>
      <c r="RIR2" s="1"/>
      <c r="RIS2" s="1"/>
      <c r="RIT2" s="1"/>
      <c r="RIU2" s="1"/>
      <c r="RIV2" s="1"/>
      <c r="RIW2" s="1"/>
      <c r="RIX2" s="1"/>
      <c r="RIY2" s="1"/>
      <c r="RIZ2" s="1"/>
      <c r="RJA2" s="1"/>
      <c r="RJB2" s="1"/>
      <c r="RJC2" s="1"/>
      <c r="RJD2" s="1"/>
      <c r="RJE2" s="1"/>
      <c r="RJF2" s="1"/>
      <c r="RJG2" s="1"/>
      <c r="RJH2" s="1"/>
      <c r="RJI2" s="1"/>
      <c r="RJJ2" s="1"/>
      <c r="RJK2" s="1"/>
      <c r="RJL2" s="1"/>
      <c r="RJM2" s="1"/>
      <c r="RJN2" s="1"/>
      <c r="RJO2" s="1"/>
      <c r="RJP2" s="1"/>
      <c r="RJQ2" s="1"/>
      <c r="RJR2" s="1"/>
      <c r="RJS2" s="1"/>
      <c r="RJT2" s="1"/>
      <c r="RJU2" s="1"/>
      <c r="RJV2" s="1"/>
      <c r="RJW2" s="1"/>
      <c r="RJX2" s="1"/>
      <c r="RJY2" s="1"/>
      <c r="RJZ2" s="1"/>
      <c r="RKA2" s="1"/>
      <c r="RKB2" s="1"/>
      <c r="RKC2" s="1"/>
      <c r="RKD2" s="1"/>
      <c r="RKE2" s="1"/>
      <c r="RKF2" s="1"/>
      <c r="RKG2" s="1"/>
      <c r="RKH2" s="1"/>
      <c r="RKI2" s="1"/>
      <c r="RKJ2" s="1"/>
      <c r="RKK2" s="1"/>
      <c r="RKL2" s="1"/>
      <c r="RKM2" s="1"/>
      <c r="RKN2" s="1"/>
      <c r="RKO2" s="1"/>
      <c r="RKP2" s="1"/>
      <c r="RKQ2" s="1"/>
      <c r="RKR2" s="1"/>
      <c r="RKS2" s="1"/>
      <c r="RKT2" s="1"/>
      <c r="RKU2" s="1"/>
      <c r="RKV2" s="1"/>
      <c r="RKW2" s="1"/>
      <c r="RKX2" s="1"/>
      <c r="RKY2" s="1"/>
      <c r="RKZ2" s="1"/>
      <c r="RLA2" s="1"/>
      <c r="RLB2" s="1"/>
      <c r="RLC2" s="1"/>
      <c r="RLD2" s="1"/>
      <c r="RLE2" s="1"/>
      <c r="RLF2" s="1"/>
      <c r="RLG2" s="1"/>
      <c r="RLH2" s="1"/>
      <c r="RLI2" s="1"/>
      <c r="RLJ2" s="1"/>
      <c r="RLK2" s="1"/>
      <c r="RLL2" s="1"/>
      <c r="RLM2" s="1"/>
      <c r="RLN2" s="1"/>
      <c r="RLO2" s="1"/>
      <c r="RLP2" s="1"/>
      <c r="RLQ2" s="1"/>
      <c r="RLR2" s="1"/>
      <c r="RLS2" s="1"/>
      <c r="RLT2" s="1"/>
      <c r="RLU2" s="1"/>
      <c r="RLV2" s="1"/>
      <c r="RLW2" s="1"/>
      <c r="RLX2" s="1"/>
      <c r="RLY2" s="1"/>
      <c r="RLZ2" s="1"/>
      <c r="RMA2" s="1"/>
      <c r="RMB2" s="1"/>
      <c r="RMC2" s="1"/>
      <c r="RMD2" s="1"/>
      <c r="RME2" s="1"/>
      <c r="RMF2" s="1"/>
      <c r="RMG2" s="1"/>
      <c r="RMH2" s="1"/>
      <c r="RMI2" s="1"/>
      <c r="RMJ2" s="1"/>
      <c r="RMK2" s="1"/>
      <c r="RML2" s="1"/>
      <c r="RMM2" s="1"/>
      <c r="RMN2" s="1"/>
      <c r="RMO2" s="1"/>
      <c r="RMP2" s="1"/>
      <c r="RMQ2" s="1"/>
      <c r="RMR2" s="1"/>
      <c r="RMS2" s="1"/>
      <c r="RMT2" s="1"/>
      <c r="RMU2" s="1"/>
      <c r="RMV2" s="1"/>
      <c r="RMW2" s="1"/>
      <c r="RMX2" s="1"/>
      <c r="RMY2" s="1"/>
      <c r="RMZ2" s="1"/>
      <c r="RNA2" s="1"/>
      <c r="RNB2" s="1"/>
      <c r="RNC2" s="1"/>
      <c r="RND2" s="1"/>
      <c r="RNE2" s="1"/>
      <c r="RNF2" s="1"/>
      <c r="RNG2" s="1"/>
      <c r="RNH2" s="1"/>
      <c r="RNI2" s="1"/>
      <c r="RNJ2" s="1"/>
      <c r="RNK2" s="1"/>
      <c r="RNL2" s="1"/>
      <c r="RNM2" s="1"/>
      <c r="RNN2" s="1"/>
      <c r="RNO2" s="1"/>
      <c r="RNP2" s="1"/>
      <c r="RNQ2" s="1"/>
      <c r="RNR2" s="1"/>
      <c r="RNS2" s="1"/>
      <c r="RNT2" s="1"/>
      <c r="RNU2" s="1"/>
      <c r="RNV2" s="1"/>
      <c r="RNW2" s="1"/>
      <c r="RNX2" s="1"/>
      <c r="RNY2" s="1"/>
      <c r="RNZ2" s="1"/>
      <c r="ROA2" s="1"/>
      <c r="ROB2" s="1"/>
      <c r="ROC2" s="1"/>
      <c r="ROD2" s="1"/>
      <c r="ROE2" s="1"/>
      <c r="ROF2" s="1"/>
      <c r="ROG2" s="1"/>
      <c r="ROH2" s="1"/>
      <c r="ROI2" s="1"/>
      <c r="ROJ2" s="1"/>
      <c r="ROK2" s="1"/>
      <c r="ROL2" s="1"/>
      <c r="ROM2" s="1"/>
      <c r="RON2" s="1"/>
      <c r="ROO2" s="1"/>
      <c r="ROP2" s="1"/>
      <c r="ROQ2" s="1"/>
      <c r="ROR2" s="1"/>
      <c r="ROS2" s="1"/>
      <c r="ROT2" s="1"/>
      <c r="ROU2" s="1"/>
      <c r="ROV2" s="1"/>
      <c r="ROW2" s="1"/>
      <c r="ROX2" s="1"/>
      <c r="ROY2" s="1"/>
      <c r="ROZ2" s="1"/>
      <c r="RPA2" s="1"/>
      <c r="RPB2" s="1"/>
      <c r="RPC2" s="1"/>
      <c r="RPD2" s="1"/>
      <c r="RPE2" s="1"/>
      <c r="RPF2" s="1"/>
      <c r="RPG2" s="1"/>
      <c r="RPH2" s="1"/>
      <c r="RPI2" s="1"/>
      <c r="RPJ2" s="1"/>
      <c r="RPK2" s="1"/>
      <c r="RPL2" s="1"/>
      <c r="RPM2" s="1"/>
      <c r="RPN2" s="1"/>
      <c r="RPO2" s="1"/>
      <c r="RPP2" s="1"/>
      <c r="RPQ2" s="1"/>
      <c r="RPR2" s="1"/>
      <c r="RPS2" s="1"/>
      <c r="RPT2" s="1"/>
      <c r="RPU2" s="1"/>
      <c r="RPV2" s="1"/>
      <c r="RPW2" s="1"/>
      <c r="RPX2" s="1"/>
      <c r="RPY2" s="1"/>
      <c r="RPZ2" s="1"/>
      <c r="RQA2" s="1"/>
      <c r="RQB2" s="1"/>
      <c r="RQC2" s="1"/>
      <c r="RQD2" s="1"/>
      <c r="RQE2" s="1"/>
      <c r="RQF2" s="1"/>
      <c r="RQG2" s="1"/>
      <c r="RQH2" s="1"/>
      <c r="RQI2" s="1"/>
      <c r="RQJ2" s="1"/>
      <c r="RQK2" s="1"/>
      <c r="RQL2" s="1"/>
      <c r="RQM2" s="1"/>
      <c r="RQN2" s="1"/>
      <c r="RQO2" s="1"/>
      <c r="RQP2" s="1"/>
      <c r="RQQ2" s="1"/>
      <c r="RQR2" s="1"/>
      <c r="RQS2" s="1"/>
      <c r="RQT2" s="1"/>
      <c r="RQU2" s="1"/>
      <c r="RQV2" s="1"/>
      <c r="RQW2" s="1"/>
      <c r="RQX2" s="1"/>
      <c r="RQY2" s="1"/>
      <c r="RQZ2" s="1"/>
      <c r="RRA2" s="1"/>
      <c r="RRB2" s="1"/>
      <c r="RRC2" s="1"/>
      <c r="RRD2" s="1"/>
      <c r="RRE2" s="1"/>
      <c r="RRF2" s="1"/>
      <c r="RRG2" s="1"/>
      <c r="RRH2" s="1"/>
      <c r="RRI2" s="1"/>
      <c r="RRJ2" s="1"/>
      <c r="RRK2" s="1"/>
      <c r="RRL2" s="1"/>
      <c r="RRM2" s="1"/>
      <c r="RRN2" s="1"/>
      <c r="RRO2" s="1"/>
      <c r="RRP2" s="1"/>
      <c r="RRQ2" s="1"/>
      <c r="RRR2" s="1"/>
      <c r="RRS2" s="1"/>
      <c r="RRT2" s="1"/>
      <c r="RRU2" s="1"/>
      <c r="RRV2" s="1"/>
      <c r="RRW2" s="1"/>
      <c r="RRX2" s="1"/>
      <c r="RRY2" s="1"/>
      <c r="RRZ2" s="1"/>
      <c r="RSA2" s="1"/>
      <c r="RSB2" s="1"/>
      <c r="RSC2" s="1"/>
      <c r="RSD2" s="1"/>
      <c r="RSE2" s="1"/>
      <c r="RSF2" s="1"/>
      <c r="RSG2" s="1"/>
      <c r="RSH2" s="1"/>
      <c r="RSI2" s="1"/>
      <c r="RSJ2" s="1"/>
      <c r="RSK2" s="1"/>
      <c r="RSL2" s="1"/>
      <c r="RSM2" s="1"/>
      <c r="RSN2" s="1"/>
      <c r="RSO2" s="1"/>
      <c r="RSP2" s="1"/>
      <c r="RSQ2" s="1"/>
      <c r="RSR2" s="1"/>
      <c r="RSS2" s="1"/>
      <c r="RST2" s="1"/>
      <c r="RSU2" s="1"/>
      <c r="RSV2" s="1"/>
      <c r="RSW2" s="1"/>
      <c r="RSX2" s="1"/>
      <c r="RSY2" s="1"/>
      <c r="RSZ2" s="1"/>
      <c r="RTA2" s="1"/>
      <c r="RTB2" s="1"/>
      <c r="RTC2" s="1"/>
      <c r="RTD2" s="1"/>
      <c r="RTE2" s="1"/>
      <c r="RTF2" s="1"/>
      <c r="RTG2" s="1"/>
      <c r="RTH2" s="1"/>
      <c r="RTI2" s="1"/>
      <c r="RTJ2" s="1"/>
      <c r="RTK2" s="1"/>
      <c r="RTL2" s="1"/>
      <c r="RTM2" s="1"/>
      <c r="RTN2" s="1"/>
      <c r="RTO2" s="1"/>
      <c r="RTP2" s="1"/>
      <c r="RTQ2" s="1"/>
      <c r="RTR2" s="1"/>
      <c r="RTS2" s="1"/>
      <c r="RTT2" s="1"/>
      <c r="RTU2" s="1"/>
      <c r="RTV2" s="1"/>
      <c r="RTW2" s="1"/>
      <c r="RTX2" s="1"/>
      <c r="RTY2" s="1"/>
      <c r="RTZ2" s="1"/>
      <c r="RUA2" s="1"/>
      <c r="RUB2" s="1"/>
      <c r="RUC2" s="1"/>
      <c r="RUD2" s="1"/>
      <c r="RUE2" s="1"/>
      <c r="RUF2" s="1"/>
      <c r="RUG2" s="1"/>
      <c r="RUH2" s="1"/>
      <c r="RUI2" s="1"/>
      <c r="RUJ2" s="1"/>
      <c r="RUK2" s="1"/>
      <c r="RUL2" s="1"/>
      <c r="RUM2" s="1"/>
      <c r="RUN2" s="1"/>
      <c r="RUO2" s="1"/>
      <c r="RUP2" s="1"/>
      <c r="RUQ2" s="1"/>
      <c r="RUR2" s="1"/>
      <c r="RUS2" s="1"/>
      <c r="RUT2" s="1"/>
      <c r="RUU2" s="1"/>
      <c r="RUV2" s="1"/>
      <c r="RUW2" s="1"/>
      <c r="RUX2" s="1"/>
      <c r="RUY2" s="1"/>
      <c r="RUZ2" s="1"/>
      <c r="RVA2" s="1"/>
      <c r="RVB2" s="1"/>
      <c r="RVC2" s="1"/>
      <c r="RVD2" s="1"/>
      <c r="RVE2" s="1"/>
      <c r="RVF2" s="1"/>
      <c r="RVG2" s="1"/>
      <c r="RVH2" s="1"/>
      <c r="RVI2" s="1"/>
      <c r="RVJ2" s="1"/>
      <c r="RVK2" s="1"/>
      <c r="RVL2" s="1"/>
      <c r="RVM2" s="1"/>
      <c r="RVN2" s="1"/>
      <c r="RVO2" s="1"/>
      <c r="RVP2" s="1"/>
      <c r="RVQ2" s="1"/>
      <c r="RVR2" s="1"/>
      <c r="RVS2" s="1"/>
      <c r="RVT2" s="1"/>
      <c r="RVU2" s="1"/>
      <c r="RVV2" s="1"/>
      <c r="RVW2" s="1"/>
      <c r="RVX2" s="1"/>
      <c r="RVY2" s="1"/>
      <c r="RVZ2" s="1"/>
      <c r="RWA2" s="1"/>
      <c r="RWB2" s="1"/>
      <c r="RWC2" s="1"/>
      <c r="RWD2" s="1"/>
      <c r="RWE2" s="1"/>
      <c r="RWF2" s="1"/>
      <c r="RWG2" s="1"/>
      <c r="RWH2" s="1"/>
      <c r="RWI2" s="1"/>
      <c r="RWJ2" s="1"/>
      <c r="RWK2" s="1"/>
      <c r="RWL2" s="1"/>
      <c r="RWM2" s="1"/>
      <c r="RWN2" s="1"/>
      <c r="RWO2" s="1"/>
      <c r="RWP2" s="1"/>
      <c r="RWQ2" s="1"/>
      <c r="RWR2" s="1"/>
      <c r="RWS2" s="1"/>
      <c r="RWT2" s="1"/>
      <c r="RWU2" s="1"/>
      <c r="RWV2" s="1"/>
      <c r="RWW2" s="1"/>
      <c r="RWX2" s="1"/>
      <c r="RWY2" s="1"/>
      <c r="RWZ2" s="1"/>
      <c r="RXA2" s="1"/>
      <c r="RXB2" s="1"/>
      <c r="RXC2" s="1"/>
      <c r="RXD2" s="1"/>
      <c r="RXE2" s="1"/>
      <c r="RXF2" s="1"/>
      <c r="RXG2" s="1"/>
      <c r="RXH2" s="1"/>
      <c r="RXI2" s="1"/>
      <c r="RXJ2" s="1"/>
      <c r="RXK2" s="1"/>
      <c r="RXL2" s="1"/>
      <c r="RXM2" s="1"/>
      <c r="RXN2" s="1"/>
      <c r="RXO2" s="1"/>
      <c r="RXP2" s="1"/>
      <c r="RXQ2" s="1"/>
      <c r="RXR2" s="1"/>
      <c r="RXS2" s="1"/>
      <c r="RXT2" s="1"/>
      <c r="RXU2" s="1"/>
      <c r="RXV2" s="1"/>
      <c r="RXW2" s="1"/>
      <c r="RXX2" s="1"/>
      <c r="RXY2" s="1"/>
      <c r="RXZ2" s="1"/>
      <c r="RYA2" s="1"/>
      <c r="RYB2" s="1"/>
      <c r="RYC2" s="1"/>
      <c r="RYD2" s="1"/>
      <c r="RYE2" s="1"/>
      <c r="RYF2" s="1"/>
      <c r="RYG2" s="1"/>
      <c r="RYH2" s="1"/>
      <c r="RYI2" s="1"/>
      <c r="RYJ2" s="1"/>
      <c r="RYK2" s="1"/>
      <c r="RYL2" s="1"/>
      <c r="RYM2" s="1"/>
      <c r="RYN2" s="1"/>
      <c r="RYO2" s="1"/>
      <c r="RYP2" s="1"/>
      <c r="RYQ2" s="1"/>
      <c r="RYR2" s="1"/>
      <c r="RYS2" s="1"/>
      <c r="RYT2" s="1"/>
      <c r="RYU2" s="1"/>
      <c r="RYV2" s="1"/>
      <c r="RYW2" s="1"/>
      <c r="RYX2" s="1"/>
      <c r="RYY2" s="1"/>
      <c r="RYZ2" s="1"/>
      <c r="RZA2" s="1"/>
      <c r="RZB2" s="1"/>
      <c r="RZC2" s="1"/>
      <c r="RZD2" s="1"/>
      <c r="RZE2" s="1"/>
      <c r="RZF2" s="1"/>
      <c r="RZG2" s="1"/>
      <c r="RZH2" s="1"/>
      <c r="RZI2" s="1"/>
      <c r="RZJ2" s="1"/>
      <c r="RZK2" s="1"/>
      <c r="RZL2" s="1"/>
      <c r="RZM2" s="1"/>
      <c r="RZN2" s="1"/>
      <c r="RZO2" s="1"/>
      <c r="RZP2" s="1"/>
      <c r="RZQ2" s="1"/>
      <c r="RZR2" s="1"/>
      <c r="RZS2" s="1"/>
      <c r="RZT2" s="1"/>
      <c r="RZU2" s="1"/>
      <c r="RZV2" s="1"/>
      <c r="RZW2" s="1"/>
      <c r="RZX2" s="1"/>
      <c r="RZY2" s="1"/>
      <c r="RZZ2" s="1"/>
      <c r="SAA2" s="1"/>
      <c r="SAB2" s="1"/>
      <c r="SAC2" s="1"/>
      <c r="SAD2" s="1"/>
      <c r="SAE2" s="1"/>
      <c r="SAF2" s="1"/>
      <c r="SAG2" s="1"/>
      <c r="SAH2" s="1"/>
      <c r="SAI2" s="1"/>
      <c r="SAJ2" s="1"/>
      <c r="SAK2" s="1"/>
      <c r="SAL2" s="1"/>
      <c r="SAM2" s="1"/>
      <c r="SAN2" s="1"/>
      <c r="SAO2" s="1"/>
      <c r="SAP2" s="1"/>
      <c r="SAQ2" s="1"/>
      <c r="SAR2" s="1"/>
      <c r="SAS2" s="1"/>
      <c r="SAT2" s="1"/>
      <c r="SAU2" s="1"/>
      <c r="SAV2" s="1"/>
      <c r="SAW2" s="1"/>
      <c r="SAX2" s="1"/>
      <c r="SAY2" s="1"/>
      <c r="SAZ2" s="1"/>
      <c r="SBA2" s="1"/>
      <c r="SBB2" s="1"/>
      <c r="SBC2" s="1"/>
      <c r="SBD2" s="1"/>
      <c r="SBE2" s="1"/>
      <c r="SBF2" s="1"/>
      <c r="SBG2" s="1"/>
      <c r="SBH2" s="1"/>
      <c r="SBI2" s="1"/>
      <c r="SBJ2" s="1"/>
      <c r="SBK2" s="1"/>
      <c r="SBL2" s="1"/>
      <c r="SBM2" s="1"/>
      <c r="SBN2" s="1"/>
      <c r="SBO2" s="1"/>
      <c r="SBP2" s="1"/>
      <c r="SBQ2" s="1"/>
      <c r="SBR2" s="1"/>
      <c r="SBS2" s="1"/>
      <c r="SBT2" s="1"/>
      <c r="SBU2" s="1"/>
      <c r="SBV2" s="1"/>
      <c r="SBW2" s="1"/>
      <c r="SBX2" s="1"/>
      <c r="SBY2" s="1"/>
      <c r="SBZ2" s="1"/>
      <c r="SCA2" s="1"/>
      <c r="SCB2" s="1"/>
      <c r="SCC2" s="1"/>
      <c r="SCD2" s="1"/>
      <c r="SCE2" s="1"/>
      <c r="SCF2" s="1"/>
      <c r="SCG2" s="1"/>
      <c r="SCH2" s="1"/>
      <c r="SCI2" s="1"/>
      <c r="SCJ2" s="1"/>
      <c r="SCK2" s="1"/>
      <c r="SCL2" s="1"/>
      <c r="SCM2" s="1"/>
      <c r="SCN2" s="1"/>
      <c r="SCO2" s="1"/>
      <c r="SCP2" s="1"/>
      <c r="SCQ2" s="1"/>
      <c r="SCR2" s="1"/>
      <c r="SCS2" s="1"/>
      <c r="SCT2" s="1"/>
      <c r="SCU2" s="1"/>
      <c r="SCV2" s="1"/>
      <c r="SCW2" s="1"/>
      <c r="SCX2" s="1"/>
      <c r="SCY2" s="1"/>
      <c r="SCZ2" s="1"/>
      <c r="SDA2" s="1"/>
      <c r="SDB2" s="1"/>
      <c r="SDC2" s="1"/>
      <c r="SDD2" s="1"/>
      <c r="SDE2" s="1"/>
      <c r="SDF2" s="1"/>
      <c r="SDG2" s="1"/>
      <c r="SDH2" s="1"/>
      <c r="SDI2" s="1"/>
      <c r="SDJ2" s="1"/>
      <c r="SDK2" s="1"/>
      <c r="SDL2" s="1"/>
      <c r="SDM2" s="1"/>
      <c r="SDN2" s="1"/>
      <c r="SDO2" s="1"/>
      <c r="SDP2" s="1"/>
      <c r="SDQ2" s="1"/>
      <c r="SDR2" s="1"/>
      <c r="SDS2" s="1"/>
      <c r="SDT2" s="1"/>
      <c r="SDU2" s="1"/>
      <c r="SDV2" s="1"/>
      <c r="SDW2" s="1"/>
      <c r="SDX2" s="1"/>
      <c r="SDY2" s="1"/>
      <c r="SDZ2" s="1"/>
      <c r="SEA2" s="1"/>
      <c r="SEB2" s="1"/>
      <c r="SEC2" s="1"/>
      <c r="SED2" s="1"/>
      <c r="SEE2" s="1"/>
      <c r="SEF2" s="1"/>
      <c r="SEG2" s="1"/>
      <c r="SEH2" s="1"/>
      <c r="SEI2" s="1"/>
      <c r="SEJ2" s="1"/>
      <c r="SEK2" s="1"/>
      <c r="SEL2" s="1"/>
      <c r="SEM2" s="1"/>
      <c r="SEN2" s="1"/>
      <c r="SEO2" s="1"/>
      <c r="SEP2" s="1"/>
      <c r="SEQ2" s="1"/>
      <c r="SER2" s="1"/>
      <c r="SES2" s="1"/>
      <c r="SET2" s="1"/>
      <c r="SEU2" s="1"/>
      <c r="SEV2" s="1"/>
      <c r="SEW2" s="1"/>
      <c r="SEX2" s="1"/>
      <c r="SEY2" s="1"/>
      <c r="SEZ2" s="1"/>
      <c r="SFA2" s="1"/>
      <c r="SFB2" s="1"/>
      <c r="SFC2" s="1"/>
      <c r="SFD2" s="1"/>
      <c r="SFE2" s="1"/>
      <c r="SFF2" s="1"/>
      <c r="SFG2" s="1"/>
      <c r="SFH2" s="1"/>
      <c r="SFI2" s="1"/>
      <c r="SFJ2" s="1"/>
      <c r="SFK2" s="1"/>
      <c r="SFL2" s="1"/>
      <c r="SFM2" s="1"/>
      <c r="SFN2" s="1"/>
      <c r="SFO2" s="1"/>
      <c r="SFP2" s="1"/>
      <c r="SFQ2" s="1"/>
      <c r="SFR2" s="1"/>
      <c r="SFS2" s="1"/>
      <c r="SFT2" s="1"/>
      <c r="SFU2" s="1"/>
      <c r="SFV2" s="1"/>
      <c r="SFW2" s="1"/>
      <c r="SFX2" s="1"/>
      <c r="SFY2" s="1"/>
      <c r="SFZ2" s="1"/>
      <c r="SGA2" s="1"/>
      <c r="SGB2" s="1"/>
      <c r="SGC2" s="1"/>
      <c r="SGD2" s="1"/>
      <c r="SGE2" s="1"/>
      <c r="SGF2" s="1"/>
      <c r="SGG2" s="1"/>
      <c r="SGH2" s="1"/>
      <c r="SGI2" s="1"/>
      <c r="SGJ2" s="1"/>
      <c r="SGK2" s="1"/>
      <c r="SGL2" s="1"/>
      <c r="SGM2" s="1"/>
      <c r="SGN2" s="1"/>
      <c r="SGO2" s="1"/>
      <c r="SGP2" s="1"/>
      <c r="SGQ2" s="1"/>
      <c r="SGR2" s="1"/>
      <c r="SGS2" s="1"/>
      <c r="SGT2" s="1"/>
      <c r="SGU2" s="1"/>
      <c r="SGV2" s="1"/>
      <c r="SGW2" s="1"/>
      <c r="SGX2" s="1"/>
      <c r="SGY2" s="1"/>
      <c r="SGZ2" s="1"/>
      <c r="SHA2" s="1"/>
      <c r="SHB2" s="1"/>
      <c r="SHC2" s="1"/>
      <c r="SHD2" s="1"/>
      <c r="SHE2" s="1"/>
      <c r="SHF2" s="1"/>
      <c r="SHG2" s="1"/>
      <c r="SHH2" s="1"/>
      <c r="SHI2" s="1"/>
      <c r="SHJ2" s="1"/>
      <c r="SHK2" s="1"/>
      <c r="SHL2" s="1"/>
      <c r="SHM2" s="1"/>
      <c r="SHN2" s="1"/>
      <c r="SHO2" s="1"/>
      <c r="SHP2" s="1"/>
      <c r="SHQ2" s="1"/>
      <c r="SHR2" s="1"/>
      <c r="SHS2" s="1"/>
      <c r="SHT2" s="1"/>
      <c r="SHU2" s="1"/>
      <c r="SHV2" s="1"/>
      <c r="SHW2" s="1"/>
      <c r="SHX2" s="1"/>
      <c r="SHY2" s="1"/>
      <c r="SHZ2" s="1"/>
      <c r="SIA2" s="1"/>
      <c r="SIB2" s="1"/>
      <c r="SIC2" s="1"/>
      <c r="SID2" s="1"/>
      <c r="SIE2" s="1"/>
      <c r="SIF2" s="1"/>
      <c r="SIG2" s="1"/>
      <c r="SIH2" s="1"/>
      <c r="SII2" s="1"/>
      <c r="SIJ2" s="1"/>
      <c r="SIK2" s="1"/>
      <c r="SIL2" s="1"/>
      <c r="SIM2" s="1"/>
      <c r="SIN2" s="1"/>
      <c r="SIO2" s="1"/>
      <c r="SIP2" s="1"/>
      <c r="SIQ2" s="1"/>
      <c r="SIR2" s="1"/>
      <c r="SIS2" s="1"/>
      <c r="SIT2" s="1"/>
      <c r="SIU2" s="1"/>
      <c r="SIV2" s="1"/>
      <c r="SIW2" s="1"/>
      <c r="SIX2" s="1"/>
      <c r="SIY2" s="1"/>
      <c r="SIZ2" s="1"/>
      <c r="SJA2" s="1"/>
      <c r="SJB2" s="1"/>
      <c r="SJC2" s="1"/>
      <c r="SJD2" s="1"/>
      <c r="SJE2" s="1"/>
      <c r="SJF2" s="1"/>
      <c r="SJG2" s="1"/>
      <c r="SJH2" s="1"/>
      <c r="SJI2" s="1"/>
      <c r="SJJ2" s="1"/>
      <c r="SJK2" s="1"/>
      <c r="SJL2" s="1"/>
      <c r="SJM2" s="1"/>
      <c r="SJN2" s="1"/>
      <c r="SJO2" s="1"/>
      <c r="SJP2" s="1"/>
      <c r="SJQ2" s="1"/>
      <c r="SJR2" s="1"/>
      <c r="SJS2" s="1"/>
      <c r="SJT2" s="1"/>
      <c r="SJU2" s="1"/>
      <c r="SJV2" s="1"/>
      <c r="SJW2" s="1"/>
      <c r="SJX2" s="1"/>
      <c r="SJY2" s="1"/>
      <c r="SJZ2" s="1"/>
      <c r="SKA2" s="1"/>
      <c r="SKB2" s="1"/>
      <c r="SKC2" s="1"/>
      <c r="SKD2" s="1"/>
      <c r="SKE2" s="1"/>
      <c r="SKF2" s="1"/>
      <c r="SKG2" s="1"/>
      <c r="SKH2" s="1"/>
      <c r="SKI2" s="1"/>
      <c r="SKJ2" s="1"/>
      <c r="SKK2" s="1"/>
      <c r="SKL2" s="1"/>
      <c r="SKM2" s="1"/>
      <c r="SKN2" s="1"/>
      <c r="SKO2" s="1"/>
      <c r="SKP2" s="1"/>
      <c r="SKQ2" s="1"/>
      <c r="SKR2" s="1"/>
      <c r="SKS2" s="1"/>
      <c r="SKT2" s="1"/>
      <c r="SKU2" s="1"/>
      <c r="SKV2" s="1"/>
      <c r="SKW2" s="1"/>
      <c r="SKX2" s="1"/>
      <c r="SKY2" s="1"/>
      <c r="SKZ2" s="1"/>
      <c r="SLA2" s="1"/>
      <c r="SLB2" s="1"/>
      <c r="SLC2" s="1"/>
      <c r="SLD2" s="1"/>
      <c r="SLE2" s="1"/>
      <c r="SLF2" s="1"/>
      <c r="SLG2" s="1"/>
      <c r="SLH2" s="1"/>
      <c r="SLI2" s="1"/>
      <c r="SLJ2" s="1"/>
      <c r="SLK2" s="1"/>
      <c r="SLL2" s="1"/>
      <c r="SLM2" s="1"/>
      <c r="SLN2" s="1"/>
      <c r="SLO2" s="1"/>
      <c r="SLP2" s="1"/>
      <c r="SLQ2" s="1"/>
      <c r="SLR2" s="1"/>
      <c r="SLS2" s="1"/>
      <c r="SLT2" s="1"/>
      <c r="SLU2" s="1"/>
      <c r="SLV2" s="1"/>
      <c r="SLW2" s="1"/>
      <c r="SLX2" s="1"/>
      <c r="SLY2" s="1"/>
      <c r="SLZ2" s="1"/>
      <c r="SMA2" s="1"/>
      <c r="SMB2" s="1"/>
      <c r="SMC2" s="1"/>
      <c r="SMD2" s="1"/>
      <c r="SME2" s="1"/>
      <c r="SMF2" s="1"/>
      <c r="SMG2" s="1"/>
      <c r="SMH2" s="1"/>
      <c r="SMI2" s="1"/>
      <c r="SMJ2" s="1"/>
      <c r="SMK2" s="1"/>
      <c r="SML2" s="1"/>
      <c r="SMM2" s="1"/>
      <c r="SMN2" s="1"/>
      <c r="SMO2" s="1"/>
      <c r="SMP2" s="1"/>
      <c r="SMQ2" s="1"/>
      <c r="SMR2" s="1"/>
      <c r="SMS2" s="1"/>
      <c r="SMT2" s="1"/>
      <c r="SMU2" s="1"/>
      <c r="SMV2" s="1"/>
      <c r="SMW2" s="1"/>
      <c r="SMX2" s="1"/>
      <c r="SMY2" s="1"/>
      <c r="SMZ2" s="1"/>
      <c r="SNA2" s="1"/>
      <c r="SNB2" s="1"/>
      <c r="SNC2" s="1"/>
      <c r="SND2" s="1"/>
      <c r="SNE2" s="1"/>
      <c r="SNF2" s="1"/>
      <c r="SNG2" s="1"/>
      <c r="SNH2" s="1"/>
      <c r="SNI2" s="1"/>
      <c r="SNJ2" s="1"/>
      <c r="SNK2" s="1"/>
      <c r="SNL2" s="1"/>
      <c r="SNM2" s="1"/>
      <c r="SNN2" s="1"/>
      <c r="SNO2" s="1"/>
      <c r="SNP2" s="1"/>
      <c r="SNQ2" s="1"/>
      <c r="SNR2" s="1"/>
      <c r="SNS2" s="1"/>
      <c r="SNT2" s="1"/>
      <c r="SNU2" s="1"/>
      <c r="SNV2" s="1"/>
      <c r="SNW2" s="1"/>
      <c r="SNX2" s="1"/>
      <c r="SNY2" s="1"/>
      <c r="SNZ2" s="1"/>
      <c r="SOA2" s="1"/>
      <c r="SOB2" s="1"/>
      <c r="SOC2" s="1"/>
      <c r="SOD2" s="1"/>
      <c r="SOE2" s="1"/>
      <c r="SOF2" s="1"/>
      <c r="SOG2" s="1"/>
      <c r="SOH2" s="1"/>
      <c r="SOI2" s="1"/>
      <c r="SOJ2" s="1"/>
      <c r="SOK2" s="1"/>
      <c r="SOL2" s="1"/>
      <c r="SOM2" s="1"/>
      <c r="SON2" s="1"/>
      <c r="SOO2" s="1"/>
      <c r="SOP2" s="1"/>
      <c r="SOQ2" s="1"/>
      <c r="SOR2" s="1"/>
      <c r="SOS2" s="1"/>
      <c r="SOT2" s="1"/>
      <c r="SOU2" s="1"/>
      <c r="SOV2" s="1"/>
      <c r="SOW2" s="1"/>
      <c r="SOX2" s="1"/>
      <c r="SOY2" s="1"/>
      <c r="SOZ2" s="1"/>
      <c r="SPA2" s="1"/>
      <c r="SPB2" s="1"/>
      <c r="SPC2" s="1"/>
      <c r="SPD2" s="1"/>
      <c r="SPE2" s="1"/>
      <c r="SPF2" s="1"/>
      <c r="SPG2" s="1"/>
      <c r="SPH2" s="1"/>
      <c r="SPI2" s="1"/>
      <c r="SPJ2" s="1"/>
      <c r="SPK2" s="1"/>
      <c r="SPL2" s="1"/>
      <c r="SPM2" s="1"/>
      <c r="SPN2" s="1"/>
      <c r="SPO2" s="1"/>
      <c r="SPP2" s="1"/>
      <c r="SPQ2" s="1"/>
      <c r="SPR2" s="1"/>
      <c r="SPS2" s="1"/>
      <c r="SPT2" s="1"/>
      <c r="SPU2" s="1"/>
      <c r="SPV2" s="1"/>
      <c r="SPW2" s="1"/>
      <c r="SPX2" s="1"/>
      <c r="SPY2" s="1"/>
      <c r="SPZ2" s="1"/>
      <c r="SQA2" s="1"/>
      <c r="SQB2" s="1"/>
      <c r="SQC2" s="1"/>
      <c r="SQD2" s="1"/>
      <c r="SQE2" s="1"/>
      <c r="SQF2" s="1"/>
      <c r="SQG2" s="1"/>
      <c r="SQH2" s="1"/>
      <c r="SQI2" s="1"/>
      <c r="SQJ2" s="1"/>
      <c r="SQK2" s="1"/>
      <c r="SQL2" s="1"/>
      <c r="SQM2" s="1"/>
      <c r="SQN2" s="1"/>
      <c r="SQO2" s="1"/>
      <c r="SQP2" s="1"/>
      <c r="SQQ2" s="1"/>
      <c r="SQR2" s="1"/>
      <c r="SQS2" s="1"/>
      <c r="SQT2" s="1"/>
      <c r="SQU2" s="1"/>
      <c r="SQV2" s="1"/>
      <c r="SQW2" s="1"/>
      <c r="SQX2" s="1"/>
      <c r="SQY2" s="1"/>
      <c r="SQZ2" s="1"/>
      <c r="SRA2" s="1"/>
      <c r="SRB2" s="1"/>
      <c r="SRC2" s="1"/>
      <c r="SRD2" s="1"/>
      <c r="SRE2" s="1"/>
      <c r="SRF2" s="1"/>
      <c r="SRG2" s="1"/>
      <c r="SRH2" s="1"/>
      <c r="SRI2" s="1"/>
      <c r="SRJ2" s="1"/>
      <c r="SRK2" s="1"/>
      <c r="SRL2" s="1"/>
      <c r="SRM2" s="1"/>
      <c r="SRN2" s="1"/>
      <c r="SRO2" s="1"/>
      <c r="SRP2" s="1"/>
      <c r="SRQ2" s="1"/>
      <c r="SRR2" s="1"/>
      <c r="SRS2" s="1"/>
      <c r="SRT2" s="1"/>
      <c r="SRU2" s="1"/>
      <c r="SRV2" s="1"/>
      <c r="SRW2" s="1"/>
      <c r="SRX2" s="1"/>
      <c r="SRY2" s="1"/>
      <c r="SRZ2" s="1"/>
      <c r="SSA2" s="1"/>
      <c r="SSB2" s="1"/>
      <c r="SSC2" s="1"/>
      <c r="SSD2" s="1"/>
      <c r="SSE2" s="1"/>
      <c r="SSF2" s="1"/>
      <c r="SSG2" s="1"/>
      <c r="SSH2" s="1"/>
      <c r="SSI2" s="1"/>
      <c r="SSJ2" s="1"/>
      <c r="SSK2" s="1"/>
      <c r="SSL2" s="1"/>
      <c r="SSM2" s="1"/>
      <c r="SSN2" s="1"/>
      <c r="SSO2" s="1"/>
      <c r="SSP2" s="1"/>
      <c r="SSQ2" s="1"/>
      <c r="SSR2" s="1"/>
      <c r="SSS2" s="1"/>
      <c r="SST2" s="1"/>
      <c r="SSU2" s="1"/>
      <c r="SSV2" s="1"/>
      <c r="SSW2" s="1"/>
      <c r="SSX2" s="1"/>
      <c r="SSY2" s="1"/>
      <c r="SSZ2" s="1"/>
      <c r="STA2" s="1"/>
      <c r="STB2" s="1"/>
      <c r="STC2" s="1"/>
      <c r="STD2" s="1"/>
      <c r="STE2" s="1"/>
      <c r="STF2" s="1"/>
      <c r="STG2" s="1"/>
      <c r="STH2" s="1"/>
      <c r="STI2" s="1"/>
      <c r="STJ2" s="1"/>
      <c r="STK2" s="1"/>
      <c r="STL2" s="1"/>
      <c r="STM2" s="1"/>
      <c r="STN2" s="1"/>
      <c r="STO2" s="1"/>
      <c r="STP2" s="1"/>
      <c r="STQ2" s="1"/>
      <c r="STR2" s="1"/>
      <c r="STS2" s="1"/>
      <c r="STT2" s="1"/>
      <c r="STU2" s="1"/>
      <c r="STV2" s="1"/>
      <c r="STW2" s="1"/>
      <c r="STX2" s="1"/>
      <c r="STY2" s="1"/>
      <c r="STZ2" s="1"/>
      <c r="SUA2" s="1"/>
      <c r="SUB2" s="1"/>
      <c r="SUC2" s="1"/>
      <c r="SUD2" s="1"/>
      <c r="SUE2" s="1"/>
      <c r="SUF2" s="1"/>
      <c r="SUG2" s="1"/>
      <c r="SUH2" s="1"/>
      <c r="SUI2" s="1"/>
      <c r="SUJ2" s="1"/>
      <c r="SUK2" s="1"/>
      <c r="SUL2" s="1"/>
      <c r="SUM2" s="1"/>
      <c r="SUN2" s="1"/>
      <c r="SUO2" s="1"/>
      <c r="SUP2" s="1"/>
      <c r="SUQ2" s="1"/>
      <c r="SUR2" s="1"/>
      <c r="SUS2" s="1"/>
      <c r="SUT2" s="1"/>
      <c r="SUU2" s="1"/>
      <c r="SUV2" s="1"/>
      <c r="SUW2" s="1"/>
      <c r="SUX2" s="1"/>
      <c r="SUY2" s="1"/>
      <c r="SUZ2" s="1"/>
      <c r="SVA2" s="1"/>
      <c r="SVB2" s="1"/>
      <c r="SVC2" s="1"/>
      <c r="SVD2" s="1"/>
      <c r="SVE2" s="1"/>
      <c r="SVF2" s="1"/>
      <c r="SVG2" s="1"/>
      <c r="SVH2" s="1"/>
      <c r="SVI2" s="1"/>
      <c r="SVJ2" s="1"/>
      <c r="SVK2" s="1"/>
      <c r="SVL2" s="1"/>
      <c r="SVM2" s="1"/>
      <c r="SVN2" s="1"/>
      <c r="SVO2" s="1"/>
      <c r="SVP2" s="1"/>
      <c r="SVQ2" s="1"/>
      <c r="SVR2" s="1"/>
      <c r="SVS2" s="1"/>
      <c r="SVT2" s="1"/>
      <c r="SVU2" s="1"/>
      <c r="SVV2" s="1"/>
      <c r="SVW2" s="1"/>
      <c r="SVX2" s="1"/>
      <c r="SVY2" s="1"/>
      <c r="SVZ2" s="1"/>
      <c r="SWA2" s="1"/>
      <c r="SWB2" s="1"/>
      <c r="SWC2" s="1"/>
      <c r="SWD2" s="1"/>
      <c r="SWE2" s="1"/>
      <c r="SWF2" s="1"/>
      <c r="SWG2" s="1"/>
      <c r="SWH2" s="1"/>
      <c r="SWI2" s="1"/>
      <c r="SWJ2" s="1"/>
      <c r="SWK2" s="1"/>
      <c r="SWL2" s="1"/>
      <c r="SWM2" s="1"/>
      <c r="SWN2" s="1"/>
      <c r="SWO2" s="1"/>
      <c r="SWP2" s="1"/>
      <c r="SWQ2" s="1"/>
      <c r="SWR2" s="1"/>
      <c r="SWS2" s="1"/>
      <c r="SWT2" s="1"/>
      <c r="SWU2" s="1"/>
      <c r="SWV2" s="1"/>
      <c r="SWW2" s="1"/>
      <c r="SWX2" s="1"/>
      <c r="SWY2" s="1"/>
      <c r="SWZ2" s="1"/>
      <c r="SXA2" s="1"/>
      <c r="SXB2" s="1"/>
      <c r="SXC2" s="1"/>
      <c r="SXD2" s="1"/>
      <c r="SXE2" s="1"/>
      <c r="SXF2" s="1"/>
      <c r="SXG2" s="1"/>
      <c r="SXH2" s="1"/>
      <c r="SXI2" s="1"/>
      <c r="SXJ2" s="1"/>
      <c r="SXK2" s="1"/>
      <c r="SXL2" s="1"/>
      <c r="SXM2" s="1"/>
      <c r="SXN2" s="1"/>
      <c r="SXO2" s="1"/>
      <c r="SXP2" s="1"/>
      <c r="SXQ2" s="1"/>
      <c r="SXR2" s="1"/>
      <c r="SXS2" s="1"/>
      <c r="SXT2" s="1"/>
      <c r="SXU2" s="1"/>
      <c r="SXV2" s="1"/>
      <c r="SXW2" s="1"/>
      <c r="SXX2" s="1"/>
      <c r="SXY2" s="1"/>
      <c r="SXZ2" s="1"/>
      <c r="SYA2" s="1"/>
      <c r="SYB2" s="1"/>
      <c r="SYC2" s="1"/>
      <c r="SYD2" s="1"/>
      <c r="SYE2" s="1"/>
      <c r="SYF2" s="1"/>
      <c r="SYG2" s="1"/>
      <c r="SYH2" s="1"/>
      <c r="SYI2" s="1"/>
      <c r="SYJ2" s="1"/>
      <c r="SYK2" s="1"/>
      <c r="SYL2" s="1"/>
      <c r="SYM2" s="1"/>
      <c r="SYN2" s="1"/>
      <c r="SYO2" s="1"/>
      <c r="SYP2" s="1"/>
      <c r="SYQ2" s="1"/>
      <c r="SYR2" s="1"/>
      <c r="SYS2" s="1"/>
      <c r="SYT2" s="1"/>
      <c r="SYU2" s="1"/>
      <c r="SYV2" s="1"/>
      <c r="SYW2" s="1"/>
      <c r="SYX2" s="1"/>
      <c r="SYY2" s="1"/>
      <c r="SYZ2" s="1"/>
      <c r="SZA2" s="1"/>
      <c r="SZB2" s="1"/>
      <c r="SZC2" s="1"/>
      <c r="SZD2" s="1"/>
      <c r="SZE2" s="1"/>
      <c r="SZF2" s="1"/>
      <c r="SZG2" s="1"/>
      <c r="SZH2" s="1"/>
      <c r="SZI2" s="1"/>
      <c r="SZJ2" s="1"/>
      <c r="SZK2" s="1"/>
      <c r="SZL2" s="1"/>
      <c r="SZM2" s="1"/>
      <c r="SZN2" s="1"/>
      <c r="SZO2" s="1"/>
      <c r="SZP2" s="1"/>
      <c r="SZQ2" s="1"/>
      <c r="SZR2" s="1"/>
      <c r="SZS2" s="1"/>
      <c r="SZT2" s="1"/>
      <c r="SZU2" s="1"/>
      <c r="SZV2" s="1"/>
      <c r="SZW2" s="1"/>
      <c r="SZX2" s="1"/>
      <c r="SZY2" s="1"/>
      <c r="SZZ2" s="1"/>
      <c r="TAA2" s="1"/>
      <c r="TAB2" s="1"/>
      <c r="TAC2" s="1"/>
      <c r="TAD2" s="1"/>
      <c r="TAE2" s="1"/>
      <c r="TAF2" s="1"/>
      <c r="TAG2" s="1"/>
      <c r="TAH2" s="1"/>
      <c r="TAI2" s="1"/>
      <c r="TAJ2" s="1"/>
      <c r="TAK2" s="1"/>
      <c r="TAL2" s="1"/>
      <c r="TAM2" s="1"/>
      <c r="TAN2" s="1"/>
      <c r="TAO2" s="1"/>
      <c r="TAP2" s="1"/>
      <c r="TAQ2" s="1"/>
      <c r="TAR2" s="1"/>
      <c r="TAS2" s="1"/>
      <c r="TAT2" s="1"/>
      <c r="TAU2" s="1"/>
      <c r="TAV2" s="1"/>
      <c r="TAW2" s="1"/>
      <c r="TAX2" s="1"/>
      <c r="TAY2" s="1"/>
      <c r="TAZ2" s="1"/>
      <c r="TBA2" s="1"/>
      <c r="TBB2" s="1"/>
      <c r="TBC2" s="1"/>
      <c r="TBD2" s="1"/>
      <c r="TBE2" s="1"/>
      <c r="TBF2" s="1"/>
      <c r="TBG2" s="1"/>
      <c r="TBH2" s="1"/>
      <c r="TBI2" s="1"/>
      <c r="TBJ2" s="1"/>
      <c r="TBK2" s="1"/>
      <c r="TBL2" s="1"/>
      <c r="TBM2" s="1"/>
      <c r="TBN2" s="1"/>
      <c r="TBO2" s="1"/>
      <c r="TBP2" s="1"/>
      <c r="TBQ2" s="1"/>
      <c r="TBR2" s="1"/>
      <c r="TBS2" s="1"/>
      <c r="TBT2" s="1"/>
      <c r="TBU2" s="1"/>
      <c r="TBV2" s="1"/>
      <c r="TBW2" s="1"/>
      <c r="TBX2" s="1"/>
      <c r="TBY2" s="1"/>
      <c r="TBZ2" s="1"/>
      <c r="TCA2" s="1"/>
      <c r="TCB2" s="1"/>
      <c r="TCC2" s="1"/>
      <c r="TCD2" s="1"/>
      <c r="TCE2" s="1"/>
      <c r="TCF2" s="1"/>
      <c r="TCG2" s="1"/>
      <c r="TCH2" s="1"/>
      <c r="TCI2" s="1"/>
      <c r="TCJ2" s="1"/>
      <c r="TCK2" s="1"/>
      <c r="TCL2" s="1"/>
      <c r="TCM2" s="1"/>
      <c r="TCN2" s="1"/>
      <c r="TCO2" s="1"/>
      <c r="TCP2" s="1"/>
      <c r="TCQ2" s="1"/>
      <c r="TCR2" s="1"/>
      <c r="TCS2" s="1"/>
      <c r="TCT2" s="1"/>
      <c r="TCU2" s="1"/>
      <c r="TCV2" s="1"/>
      <c r="TCW2" s="1"/>
      <c r="TCX2" s="1"/>
      <c r="TCY2" s="1"/>
      <c r="TCZ2" s="1"/>
      <c r="TDA2" s="1"/>
      <c r="TDB2" s="1"/>
      <c r="TDC2" s="1"/>
      <c r="TDD2" s="1"/>
      <c r="TDE2" s="1"/>
      <c r="TDF2" s="1"/>
      <c r="TDG2" s="1"/>
      <c r="TDH2" s="1"/>
      <c r="TDI2" s="1"/>
      <c r="TDJ2" s="1"/>
      <c r="TDK2" s="1"/>
      <c r="TDL2" s="1"/>
      <c r="TDM2" s="1"/>
      <c r="TDN2" s="1"/>
      <c r="TDO2" s="1"/>
      <c r="TDP2" s="1"/>
      <c r="TDQ2" s="1"/>
      <c r="TDR2" s="1"/>
      <c r="TDS2" s="1"/>
      <c r="TDT2" s="1"/>
      <c r="TDU2" s="1"/>
      <c r="TDV2" s="1"/>
      <c r="TDW2" s="1"/>
      <c r="TDX2" s="1"/>
      <c r="TDY2" s="1"/>
      <c r="TDZ2" s="1"/>
      <c r="TEA2" s="1"/>
      <c r="TEB2" s="1"/>
      <c r="TEC2" s="1"/>
      <c r="TED2" s="1"/>
      <c r="TEE2" s="1"/>
      <c r="TEF2" s="1"/>
      <c r="TEG2" s="1"/>
      <c r="TEH2" s="1"/>
      <c r="TEI2" s="1"/>
      <c r="TEJ2" s="1"/>
      <c r="TEK2" s="1"/>
      <c r="TEL2" s="1"/>
      <c r="TEM2" s="1"/>
      <c r="TEN2" s="1"/>
      <c r="TEO2" s="1"/>
      <c r="TEP2" s="1"/>
      <c r="TEQ2" s="1"/>
      <c r="TER2" s="1"/>
      <c r="TES2" s="1"/>
      <c r="TET2" s="1"/>
      <c r="TEU2" s="1"/>
      <c r="TEV2" s="1"/>
      <c r="TEW2" s="1"/>
      <c r="TEX2" s="1"/>
      <c r="TEY2" s="1"/>
      <c r="TEZ2" s="1"/>
      <c r="TFA2" s="1"/>
      <c r="TFB2" s="1"/>
      <c r="TFC2" s="1"/>
      <c r="TFD2" s="1"/>
      <c r="TFE2" s="1"/>
      <c r="TFF2" s="1"/>
      <c r="TFG2" s="1"/>
      <c r="TFH2" s="1"/>
      <c r="TFI2" s="1"/>
      <c r="TFJ2" s="1"/>
      <c r="TFK2" s="1"/>
      <c r="TFL2" s="1"/>
      <c r="TFM2" s="1"/>
      <c r="TFN2" s="1"/>
      <c r="TFO2" s="1"/>
      <c r="TFP2" s="1"/>
      <c r="TFQ2" s="1"/>
      <c r="TFR2" s="1"/>
      <c r="TFS2" s="1"/>
      <c r="TFT2" s="1"/>
      <c r="TFU2" s="1"/>
      <c r="TFV2" s="1"/>
      <c r="TFW2" s="1"/>
      <c r="TFX2" s="1"/>
      <c r="TFY2" s="1"/>
      <c r="TFZ2" s="1"/>
      <c r="TGA2" s="1"/>
      <c r="TGB2" s="1"/>
      <c r="TGC2" s="1"/>
      <c r="TGD2" s="1"/>
      <c r="TGE2" s="1"/>
      <c r="TGF2" s="1"/>
      <c r="TGG2" s="1"/>
      <c r="TGH2" s="1"/>
      <c r="TGI2" s="1"/>
      <c r="TGJ2" s="1"/>
      <c r="TGK2" s="1"/>
      <c r="TGL2" s="1"/>
      <c r="TGM2" s="1"/>
      <c r="TGN2" s="1"/>
      <c r="TGO2" s="1"/>
      <c r="TGP2" s="1"/>
      <c r="TGQ2" s="1"/>
      <c r="TGR2" s="1"/>
      <c r="TGS2" s="1"/>
      <c r="TGT2" s="1"/>
      <c r="TGU2" s="1"/>
      <c r="TGV2" s="1"/>
      <c r="TGW2" s="1"/>
      <c r="TGX2" s="1"/>
      <c r="TGY2" s="1"/>
      <c r="TGZ2" s="1"/>
      <c r="THA2" s="1"/>
      <c r="THB2" s="1"/>
      <c r="THC2" s="1"/>
      <c r="THD2" s="1"/>
      <c r="THE2" s="1"/>
      <c r="THF2" s="1"/>
      <c r="THG2" s="1"/>
      <c r="THH2" s="1"/>
      <c r="THI2" s="1"/>
      <c r="THJ2" s="1"/>
      <c r="THK2" s="1"/>
      <c r="THL2" s="1"/>
      <c r="THM2" s="1"/>
      <c r="THN2" s="1"/>
      <c r="THO2" s="1"/>
      <c r="THP2" s="1"/>
      <c r="THQ2" s="1"/>
      <c r="THR2" s="1"/>
      <c r="THS2" s="1"/>
      <c r="THT2" s="1"/>
      <c r="THU2" s="1"/>
      <c r="THV2" s="1"/>
      <c r="THW2" s="1"/>
      <c r="THX2" s="1"/>
      <c r="THY2" s="1"/>
      <c r="THZ2" s="1"/>
      <c r="TIA2" s="1"/>
      <c r="TIB2" s="1"/>
      <c r="TIC2" s="1"/>
      <c r="TID2" s="1"/>
      <c r="TIE2" s="1"/>
      <c r="TIF2" s="1"/>
      <c r="TIG2" s="1"/>
      <c r="TIH2" s="1"/>
      <c r="TII2" s="1"/>
      <c r="TIJ2" s="1"/>
      <c r="TIK2" s="1"/>
      <c r="TIL2" s="1"/>
      <c r="TIM2" s="1"/>
      <c r="TIN2" s="1"/>
      <c r="TIO2" s="1"/>
      <c r="TIP2" s="1"/>
      <c r="TIQ2" s="1"/>
      <c r="TIR2" s="1"/>
      <c r="TIS2" s="1"/>
      <c r="TIT2" s="1"/>
      <c r="TIU2" s="1"/>
      <c r="TIV2" s="1"/>
      <c r="TIW2" s="1"/>
      <c r="TIX2" s="1"/>
      <c r="TIY2" s="1"/>
      <c r="TIZ2" s="1"/>
      <c r="TJA2" s="1"/>
      <c r="TJB2" s="1"/>
      <c r="TJC2" s="1"/>
      <c r="TJD2" s="1"/>
      <c r="TJE2" s="1"/>
      <c r="TJF2" s="1"/>
      <c r="TJG2" s="1"/>
      <c r="TJH2" s="1"/>
      <c r="TJI2" s="1"/>
      <c r="TJJ2" s="1"/>
      <c r="TJK2" s="1"/>
      <c r="TJL2" s="1"/>
      <c r="TJM2" s="1"/>
      <c r="TJN2" s="1"/>
      <c r="TJO2" s="1"/>
      <c r="TJP2" s="1"/>
      <c r="TJQ2" s="1"/>
      <c r="TJR2" s="1"/>
      <c r="TJS2" s="1"/>
      <c r="TJT2" s="1"/>
      <c r="TJU2" s="1"/>
      <c r="TJV2" s="1"/>
      <c r="TJW2" s="1"/>
      <c r="TJX2" s="1"/>
      <c r="TJY2" s="1"/>
      <c r="TJZ2" s="1"/>
      <c r="TKA2" s="1"/>
      <c r="TKB2" s="1"/>
      <c r="TKC2" s="1"/>
      <c r="TKD2" s="1"/>
      <c r="TKE2" s="1"/>
      <c r="TKF2" s="1"/>
      <c r="TKG2" s="1"/>
      <c r="TKH2" s="1"/>
      <c r="TKI2" s="1"/>
      <c r="TKJ2" s="1"/>
      <c r="TKK2" s="1"/>
      <c r="TKL2" s="1"/>
      <c r="TKM2" s="1"/>
      <c r="TKN2" s="1"/>
      <c r="TKO2" s="1"/>
      <c r="TKP2" s="1"/>
      <c r="TKQ2" s="1"/>
      <c r="TKR2" s="1"/>
      <c r="TKS2" s="1"/>
      <c r="TKT2" s="1"/>
      <c r="TKU2" s="1"/>
      <c r="TKV2" s="1"/>
      <c r="TKW2" s="1"/>
      <c r="TKX2" s="1"/>
      <c r="TKY2" s="1"/>
      <c r="TKZ2" s="1"/>
      <c r="TLA2" s="1"/>
      <c r="TLB2" s="1"/>
      <c r="TLC2" s="1"/>
      <c r="TLD2" s="1"/>
      <c r="TLE2" s="1"/>
      <c r="TLF2" s="1"/>
      <c r="TLG2" s="1"/>
      <c r="TLH2" s="1"/>
      <c r="TLI2" s="1"/>
      <c r="TLJ2" s="1"/>
      <c r="TLK2" s="1"/>
      <c r="TLL2" s="1"/>
      <c r="TLM2" s="1"/>
      <c r="TLN2" s="1"/>
      <c r="TLO2" s="1"/>
      <c r="TLP2" s="1"/>
      <c r="TLQ2" s="1"/>
      <c r="TLR2" s="1"/>
      <c r="TLS2" s="1"/>
      <c r="TLT2" s="1"/>
      <c r="TLU2" s="1"/>
      <c r="TLV2" s="1"/>
      <c r="TLW2" s="1"/>
      <c r="TLX2" s="1"/>
      <c r="TLY2" s="1"/>
      <c r="TLZ2" s="1"/>
      <c r="TMA2" s="1"/>
      <c r="TMB2" s="1"/>
      <c r="TMC2" s="1"/>
      <c r="TMD2" s="1"/>
      <c r="TME2" s="1"/>
      <c r="TMF2" s="1"/>
      <c r="TMG2" s="1"/>
      <c r="TMH2" s="1"/>
      <c r="TMI2" s="1"/>
      <c r="TMJ2" s="1"/>
      <c r="TMK2" s="1"/>
      <c r="TML2" s="1"/>
      <c r="TMM2" s="1"/>
      <c r="TMN2" s="1"/>
      <c r="TMO2" s="1"/>
      <c r="TMP2" s="1"/>
      <c r="TMQ2" s="1"/>
      <c r="TMR2" s="1"/>
      <c r="TMS2" s="1"/>
      <c r="TMT2" s="1"/>
      <c r="TMU2" s="1"/>
      <c r="TMV2" s="1"/>
      <c r="TMW2" s="1"/>
      <c r="TMX2" s="1"/>
      <c r="TMY2" s="1"/>
      <c r="TMZ2" s="1"/>
      <c r="TNA2" s="1"/>
      <c r="TNB2" s="1"/>
      <c r="TNC2" s="1"/>
      <c r="TND2" s="1"/>
      <c r="TNE2" s="1"/>
      <c r="TNF2" s="1"/>
      <c r="TNG2" s="1"/>
      <c r="TNH2" s="1"/>
      <c r="TNI2" s="1"/>
      <c r="TNJ2" s="1"/>
      <c r="TNK2" s="1"/>
      <c r="TNL2" s="1"/>
      <c r="TNM2" s="1"/>
      <c r="TNN2" s="1"/>
      <c r="TNO2" s="1"/>
      <c r="TNP2" s="1"/>
      <c r="TNQ2" s="1"/>
      <c r="TNR2" s="1"/>
      <c r="TNS2" s="1"/>
      <c r="TNT2" s="1"/>
      <c r="TNU2" s="1"/>
      <c r="TNV2" s="1"/>
      <c r="TNW2" s="1"/>
      <c r="TNX2" s="1"/>
      <c r="TNY2" s="1"/>
      <c r="TNZ2" s="1"/>
      <c r="TOA2" s="1"/>
      <c r="TOB2" s="1"/>
      <c r="TOC2" s="1"/>
      <c r="TOD2" s="1"/>
      <c r="TOE2" s="1"/>
      <c r="TOF2" s="1"/>
      <c r="TOG2" s="1"/>
      <c r="TOH2" s="1"/>
      <c r="TOI2" s="1"/>
      <c r="TOJ2" s="1"/>
      <c r="TOK2" s="1"/>
      <c r="TOL2" s="1"/>
      <c r="TOM2" s="1"/>
      <c r="TON2" s="1"/>
      <c r="TOO2" s="1"/>
      <c r="TOP2" s="1"/>
      <c r="TOQ2" s="1"/>
      <c r="TOR2" s="1"/>
      <c r="TOS2" s="1"/>
      <c r="TOT2" s="1"/>
      <c r="TOU2" s="1"/>
      <c r="TOV2" s="1"/>
      <c r="TOW2" s="1"/>
      <c r="TOX2" s="1"/>
      <c r="TOY2" s="1"/>
      <c r="TOZ2" s="1"/>
      <c r="TPA2" s="1"/>
      <c r="TPB2" s="1"/>
      <c r="TPC2" s="1"/>
      <c r="TPD2" s="1"/>
      <c r="TPE2" s="1"/>
      <c r="TPF2" s="1"/>
      <c r="TPG2" s="1"/>
      <c r="TPH2" s="1"/>
      <c r="TPI2" s="1"/>
      <c r="TPJ2" s="1"/>
      <c r="TPK2" s="1"/>
      <c r="TPL2" s="1"/>
      <c r="TPM2" s="1"/>
      <c r="TPN2" s="1"/>
      <c r="TPO2" s="1"/>
      <c r="TPP2" s="1"/>
      <c r="TPQ2" s="1"/>
      <c r="TPR2" s="1"/>
      <c r="TPS2" s="1"/>
      <c r="TPT2" s="1"/>
      <c r="TPU2" s="1"/>
      <c r="TPV2" s="1"/>
      <c r="TPW2" s="1"/>
      <c r="TPX2" s="1"/>
      <c r="TPY2" s="1"/>
      <c r="TPZ2" s="1"/>
      <c r="TQA2" s="1"/>
      <c r="TQB2" s="1"/>
      <c r="TQC2" s="1"/>
      <c r="TQD2" s="1"/>
      <c r="TQE2" s="1"/>
      <c r="TQF2" s="1"/>
      <c r="TQG2" s="1"/>
      <c r="TQH2" s="1"/>
      <c r="TQI2" s="1"/>
      <c r="TQJ2" s="1"/>
      <c r="TQK2" s="1"/>
      <c r="TQL2" s="1"/>
      <c r="TQM2" s="1"/>
      <c r="TQN2" s="1"/>
      <c r="TQO2" s="1"/>
      <c r="TQP2" s="1"/>
      <c r="TQQ2" s="1"/>
      <c r="TQR2" s="1"/>
      <c r="TQS2" s="1"/>
      <c r="TQT2" s="1"/>
      <c r="TQU2" s="1"/>
      <c r="TQV2" s="1"/>
      <c r="TQW2" s="1"/>
      <c r="TQX2" s="1"/>
      <c r="TQY2" s="1"/>
      <c r="TQZ2" s="1"/>
      <c r="TRA2" s="1"/>
      <c r="TRB2" s="1"/>
      <c r="TRC2" s="1"/>
      <c r="TRD2" s="1"/>
      <c r="TRE2" s="1"/>
      <c r="TRF2" s="1"/>
      <c r="TRG2" s="1"/>
      <c r="TRH2" s="1"/>
      <c r="TRI2" s="1"/>
      <c r="TRJ2" s="1"/>
      <c r="TRK2" s="1"/>
      <c r="TRL2" s="1"/>
      <c r="TRM2" s="1"/>
      <c r="TRN2" s="1"/>
      <c r="TRO2" s="1"/>
      <c r="TRP2" s="1"/>
      <c r="TRQ2" s="1"/>
      <c r="TRR2" s="1"/>
      <c r="TRS2" s="1"/>
      <c r="TRT2" s="1"/>
      <c r="TRU2" s="1"/>
      <c r="TRV2" s="1"/>
      <c r="TRW2" s="1"/>
      <c r="TRX2" s="1"/>
      <c r="TRY2" s="1"/>
      <c r="TRZ2" s="1"/>
      <c r="TSA2" s="1"/>
      <c r="TSB2" s="1"/>
      <c r="TSC2" s="1"/>
      <c r="TSD2" s="1"/>
      <c r="TSE2" s="1"/>
      <c r="TSF2" s="1"/>
      <c r="TSG2" s="1"/>
      <c r="TSH2" s="1"/>
      <c r="TSI2" s="1"/>
      <c r="TSJ2" s="1"/>
      <c r="TSK2" s="1"/>
      <c r="TSL2" s="1"/>
      <c r="TSM2" s="1"/>
      <c r="TSN2" s="1"/>
      <c r="TSO2" s="1"/>
      <c r="TSP2" s="1"/>
      <c r="TSQ2" s="1"/>
      <c r="TSR2" s="1"/>
      <c r="TSS2" s="1"/>
      <c r="TST2" s="1"/>
      <c r="TSU2" s="1"/>
      <c r="TSV2" s="1"/>
      <c r="TSW2" s="1"/>
      <c r="TSX2" s="1"/>
      <c r="TSY2" s="1"/>
      <c r="TSZ2" s="1"/>
      <c r="TTA2" s="1"/>
      <c r="TTB2" s="1"/>
      <c r="TTC2" s="1"/>
      <c r="TTD2" s="1"/>
      <c r="TTE2" s="1"/>
      <c r="TTF2" s="1"/>
      <c r="TTG2" s="1"/>
      <c r="TTH2" s="1"/>
      <c r="TTI2" s="1"/>
      <c r="TTJ2" s="1"/>
      <c r="TTK2" s="1"/>
      <c r="TTL2" s="1"/>
      <c r="TTM2" s="1"/>
      <c r="TTN2" s="1"/>
      <c r="TTO2" s="1"/>
      <c r="TTP2" s="1"/>
      <c r="TTQ2" s="1"/>
      <c r="TTR2" s="1"/>
      <c r="TTS2" s="1"/>
      <c r="TTT2" s="1"/>
      <c r="TTU2" s="1"/>
      <c r="TTV2" s="1"/>
      <c r="TTW2" s="1"/>
      <c r="TTX2" s="1"/>
      <c r="TTY2" s="1"/>
      <c r="TTZ2" s="1"/>
      <c r="TUA2" s="1"/>
      <c r="TUB2" s="1"/>
      <c r="TUC2" s="1"/>
      <c r="TUD2" s="1"/>
      <c r="TUE2" s="1"/>
      <c r="TUF2" s="1"/>
      <c r="TUG2" s="1"/>
      <c r="TUH2" s="1"/>
      <c r="TUI2" s="1"/>
      <c r="TUJ2" s="1"/>
      <c r="TUK2" s="1"/>
      <c r="TUL2" s="1"/>
      <c r="TUM2" s="1"/>
      <c r="TUN2" s="1"/>
      <c r="TUO2" s="1"/>
      <c r="TUP2" s="1"/>
      <c r="TUQ2" s="1"/>
      <c r="TUR2" s="1"/>
      <c r="TUS2" s="1"/>
      <c r="TUT2" s="1"/>
      <c r="TUU2" s="1"/>
      <c r="TUV2" s="1"/>
      <c r="TUW2" s="1"/>
      <c r="TUX2" s="1"/>
      <c r="TUY2" s="1"/>
      <c r="TUZ2" s="1"/>
      <c r="TVA2" s="1"/>
      <c r="TVB2" s="1"/>
      <c r="TVC2" s="1"/>
      <c r="TVD2" s="1"/>
      <c r="TVE2" s="1"/>
      <c r="TVF2" s="1"/>
      <c r="TVG2" s="1"/>
      <c r="TVH2" s="1"/>
      <c r="TVI2" s="1"/>
      <c r="TVJ2" s="1"/>
      <c r="TVK2" s="1"/>
      <c r="TVL2" s="1"/>
      <c r="TVM2" s="1"/>
      <c r="TVN2" s="1"/>
      <c r="TVO2" s="1"/>
      <c r="TVP2" s="1"/>
      <c r="TVQ2" s="1"/>
      <c r="TVR2" s="1"/>
      <c r="TVS2" s="1"/>
      <c r="TVT2" s="1"/>
      <c r="TVU2" s="1"/>
      <c r="TVV2" s="1"/>
      <c r="TVW2" s="1"/>
      <c r="TVX2" s="1"/>
      <c r="TVY2" s="1"/>
      <c r="TVZ2" s="1"/>
      <c r="TWA2" s="1"/>
      <c r="TWB2" s="1"/>
      <c r="TWC2" s="1"/>
      <c r="TWD2" s="1"/>
      <c r="TWE2" s="1"/>
      <c r="TWF2" s="1"/>
      <c r="TWG2" s="1"/>
      <c r="TWH2" s="1"/>
      <c r="TWI2" s="1"/>
      <c r="TWJ2" s="1"/>
      <c r="TWK2" s="1"/>
      <c r="TWL2" s="1"/>
      <c r="TWM2" s="1"/>
      <c r="TWN2" s="1"/>
      <c r="TWO2" s="1"/>
      <c r="TWP2" s="1"/>
      <c r="TWQ2" s="1"/>
      <c r="TWR2" s="1"/>
      <c r="TWS2" s="1"/>
      <c r="TWT2" s="1"/>
      <c r="TWU2" s="1"/>
      <c r="TWV2" s="1"/>
      <c r="TWW2" s="1"/>
      <c r="TWX2" s="1"/>
      <c r="TWY2" s="1"/>
      <c r="TWZ2" s="1"/>
      <c r="TXA2" s="1"/>
      <c r="TXB2" s="1"/>
      <c r="TXC2" s="1"/>
      <c r="TXD2" s="1"/>
      <c r="TXE2" s="1"/>
      <c r="TXF2" s="1"/>
      <c r="TXG2" s="1"/>
      <c r="TXH2" s="1"/>
      <c r="TXI2" s="1"/>
      <c r="TXJ2" s="1"/>
      <c r="TXK2" s="1"/>
      <c r="TXL2" s="1"/>
      <c r="TXM2" s="1"/>
      <c r="TXN2" s="1"/>
      <c r="TXO2" s="1"/>
      <c r="TXP2" s="1"/>
      <c r="TXQ2" s="1"/>
      <c r="TXR2" s="1"/>
      <c r="TXS2" s="1"/>
      <c r="TXT2" s="1"/>
      <c r="TXU2" s="1"/>
      <c r="TXV2" s="1"/>
      <c r="TXW2" s="1"/>
      <c r="TXX2" s="1"/>
      <c r="TXY2" s="1"/>
      <c r="TXZ2" s="1"/>
      <c r="TYA2" s="1"/>
      <c r="TYB2" s="1"/>
      <c r="TYC2" s="1"/>
      <c r="TYD2" s="1"/>
      <c r="TYE2" s="1"/>
      <c r="TYF2" s="1"/>
      <c r="TYG2" s="1"/>
      <c r="TYH2" s="1"/>
      <c r="TYI2" s="1"/>
      <c r="TYJ2" s="1"/>
      <c r="TYK2" s="1"/>
      <c r="TYL2" s="1"/>
      <c r="TYM2" s="1"/>
      <c r="TYN2" s="1"/>
      <c r="TYO2" s="1"/>
      <c r="TYP2" s="1"/>
      <c r="TYQ2" s="1"/>
      <c r="TYR2" s="1"/>
      <c r="TYS2" s="1"/>
      <c r="TYT2" s="1"/>
      <c r="TYU2" s="1"/>
      <c r="TYV2" s="1"/>
      <c r="TYW2" s="1"/>
      <c r="TYX2" s="1"/>
      <c r="TYY2" s="1"/>
      <c r="TYZ2" s="1"/>
      <c r="TZA2" s="1"/>
      <c r="TZB2" s="1"/>
      <c r="TZC2" s="1"/>
      <c r="TZD2" s="1"/>
      <c r="TZE2" s="1"/>
      <c r="TZF2" s="1"/>
      <c r="TZG2" s="1"/>
      <c r="TZH2" s="1"/>
      <c r="TZI2" s="1"/>
      <c r="TZJ2" s="1"/>
      <c r="TZK2" s="1"/>
      <c r="TZL2" s="1"/>
      <c r="TZM2" s="1"/>
      <c r="TZN2" s="1"/>
      <c r="TZO2" s="1"/>
      <c r="TZP2" s="1"/>
      <c r="TZQ2" s="1"/>
      <c r="TZR2" s="1"/>
      <c r="TZS2" s="1"/>
      <c r="TZT2" s="1"/>
      <c r="TZU2" s="1"/>
      <c r="TZV2" s="1"/>
      <c r="TZW2" s="1"/>
      <c r="TZX2" s="1"/>
      <c r="TZY2" s="1"/>
      <c r="TZZ2" s="1"/>
      <c r="UAA2" s="1"/>
      <c r="UAB2" s="1"/>
      <c r="UAC2" s="1"/>
      <c r="UAD2" s="1"/>
      <c r="UAE2" s="1"/>
      <c r="UAF2" s="1"/>
      <c r="UAG2" s="1"/>
      <c r="UAH2" s="1"/>
      <c r="UAI2" s="1"/>
      <c r="UAJ2" s="1"/>
      <c r="UAK2" s="1"/>
      <c r="UAL2" s="1"/>
      <c r="UAM2" s="1"/>
      <c r="UAN2" s="1"/>
      <c r="UAO2" s="1"/>
      <c r="UAP2" s="1"/>
      <c r="UAQ2" s="1"/>
      <c r="UAR2" s="1"/>
      <c r="UAS2" s="1"/>
      <c r="UAT2" s="1"/>
      <c r="UAU2" s="1"/>
      <c r="UAV2" s="1"/>
      <c r="UAW2" s="1"/>
      <c r="UAX2" s="1"/>
      <c r="UAY2" s="1"/>
      <c r="UAZ2" s="1"/>
      <c r="UBA2" s="1"/>
      <c r="UBB2" s="1"/>
      <c r="UBC2" s="1"/>
      <c r="UBD2" s="1"/>
      <c r="UBE2" s="1"/>
      <c r="UBF2" s="1"/>
      <c r="UBG2" s="1"/>
      <c r="UBH2" s="1"/>
      <c r="UBI2" s="1"/>
      <c r="UBJ2" s="1"/>
      <c r="UBK2" s="1"/>
      <c r="UBL2" s="1"/>
      <c r="UBM2" s="1"/>
      <c r="UBN2" s="1"/>
      <c r="UBO2" s="1"/>
      <c r="UBP2" s="1"/>
      <c r="UBQ2" s="1"/>
      <c r="UBR2" s="1"/>
      <c r="UBS2" s="1"/>
      <c r="UBT2" s="1"/>
      <c r="UBU2" s="1"/>
      <c r="UBV2" s="1"/>
      <c r="UBW2" s="1"/>
      <c r="UBX2" s="1"/>
      <c r="UBY2" s="1"/>
      <c r="UBZ2" s="1"/>
      <c r="UCA2" s="1"/>
      <c r="UCB2" s="1"/>
      <c r="UCC2" s="1"/>
      <c r="UCD2" s="1"/>
      <c r="UCE2" s="1"/>
      <c r="UCF2" s="1"/>
      <c r="UCG2" s="1"/>
      <c r="UCH2" s="1"/>
      <c r="UCI2" s="1"/>
      <c r="UCJ2" s="1"/>
      <c r="UCK2" s="1"/>
      <c r="UCL2" s="1"/>
      <c r="UCM2" s="1"/>
      <c r="UCN2" s="1"/>
      <c r="UCO2" s="1"/>
      <c r="UCP2" s="1"/>
      <c r="UCQ2" s="1"/>
      <c r="UCR2" s="1"/>
      <c r="UCS2" s="1"/>
      <c r="UCT2" s="1"/>
      <c r="UCU2" s="1"/>
      <c r="UCV2" s="1"/>
      <c r="UCW2" s="1"/>
      <c r="UCX2" s="1"/>
      <c r="UCY2" s="1"/>
      <c r="UCZ2" s="1"/>
      <c r="UDA2" s="1"/>
      <c r="UDB2" s="1"/>
      <c r="UDC2" s="1"/>
      <c r="UDD2" s="1"/>
      <c r="UDE2" s="1"/>
      <c r="UDF2" s="1"/>
      <c r="UDG2" s="1"/>
      <c r="UDH2" s="1"/>
      <c r="UDI2" s="1"/>
      <c r="UDJ2" s="1"/>
      <c r="UDK2" s="1"/>
      <c r="UDL2" s="1"/>
      <c r="UDM2" s="1"/>
      <c r="UDN2" s="1"/>
      <c r="UDO2" s="1"/>
      <c r="UDP2" s="1"/>
      <c r="UDQ2" s="1"/>
      <c r="UDR2" s="1"/>
      <c r="UDS2" s="1"/>
      <c r="UDT2" s="1"/>
      <c r="UDU2" s="1"/>
      <c r="UDV2" s="1"/>
      <c r="UDW2" s="1"/>
      <c r="UDX2" s="1"/>
      <c r="UDY2" s="1"/>
      <c r="UDZ2" s="1"/>
      <c r="UEA2" s="1"/>
      <c r="UEB2" s="1"/>
      <c r="UEC2" s="1"/>
      <c r="UED2" s="1"/>
      <c r="UEE2" s="1"/>
      <c r="UEF2" s="1"/>
      <c r="UEG2" s="1"/>
      <c r="UEH2" s="1"/>
      <c r="UEI2" s="1"/>
      <c r="UEJ2" s="1"/>
      <c r="UEK2" s="1"/>
      <c r="UEL2" s="1"/>
      <c r="UEM2" s="1"/>
      <c r="UEN2" s="1"/>
      <c r="UEO2" s="1"/>
      <c r="UEP2" s="1"/>
      <c r="UEQ2" s="1"/>
      <c r="UER2" s="1"/>
      <c r="UES2" s="1"/>
      <c r="UET2" s="1"/>
      <c r="UEU2" s="1"/>
      <c r="UEV2" s="1"/>
      <c r="UEW2" s="1"/>
      <c r="UEX2" s="1"/>
      <c r="UEY2" s="1"/>
      <c r="UEZ2" s="1"/>
      <c r="UFA2" s="1"/>
      <c r="UFB2" s="1"/>
      <c r="UFC2" s="1"/>
      <c r="UFD2" s="1"/>
      <c r="UFE2" s="1"/>
      <c r="UFF2" s="1"/>
      <c r="UFG2" s="1"/>
      <c r="UFH2" s="1"/>
      <c r="UFI2" s="1"/>
      <c r="UFJ2" s="1"/>
      <c r="UFK2" s="1"/>
      <c r="UFL2" s="1"/>
      <c r="UFM2" s="1"/>
      <c r="UFN2" s="1"/>
      <c r="UFO2" s="1"/>
      <c r="UFP2" s="1"/>
      <c r="UFQ2" s="1"/>
      <c r="UFR2" s="1"/>
      <c r="UFS2" s="1"/>
      <c r="UFT2" s="1"/>
      <c r="UFU2" s="1"/>
      <c r="UFV2" s="1"/>
      <c r="UFW2" s="1"/>
      <c r="UFX2" s="1"/>
      <c r="UFY2" s="1"/>
      <c r="UFZ2" s="1"/>
      <c r="UGA2" s="1"/>
      <c r="UGB2" s="1"/>
      <c r="UGC2" s="1"/>
      <c r="UGD2" s="1"/>
      <c r="UGE2" s="1"/>
      <c r="UGF2" s="1"/>
      <c r="UGG2" s="1"/>
      <c r="UGH2" s="1"/>
      <c r="UGI2" s="1"/>
      <c r="UGJ2" s="1"/>
      <c r="UGK2" s="1"/>
      <c r="UGL2" s="1"/>
      <c r="UGM2" s="1"/>
      <c r="UGN2" s="1"/>
      <c r="UGO2" s="1"/>
      <c r="UGP2" s="1"/>
      <c r="UGQ2" s="1"/>
      <c r="UGR2" s="1"/>
      <c r="UGS2" s="1"/>
      <c r="UGT2" s="1"/>
      <c r="UGU2" s="1"/>
      <c r="UGV2" s="1"/>
      <c r="UGW2" s="1"/>
      <c r="UGX2" s="1"/>
      <c r="UGY2" s="1"/>
      <c r="UGZ2" s="1"/>
      <c r="UHA2" s="1"/>
      <c r="UHB2" s="1"/>
      <c r="UHC2" s="1"/>
      <c r="UHD2" s="1"/>
      <c r="UHE2" s="1"/>
      <c r="UHF2" s="1"/>
      <c r="UHG2" s="1"/>
      <c r="UHH2" s="1"/>
      <c r="UHI2" s="1"/>
      <c r="UHJ2" s="1"/>
      <c r="UHK2" s="1"/>
      <c r="UHL2" s="1"/>
      <c r="UHM2" s="1"/>
      <c r="UHN2" s="1"/>
      <c r="UHO2" s="1"/>
      <c r="UHP2" s="1"/>
      <c r="UHQ2" s="1"/>
      <c r="UHR2" s="1"/>
      <c r="UHS2" s="1"/>
      <c r="UHT2" s="1"/>
      <c r="UHU2" s="1"/>
      <c r="UHV2" s="1"/>
      <c r="UHW2" s="1"/>
      <c r="UHX2" s="1"/>
      <c r="UHY2" s="1"/>
      <c r="UHZ2" s="1"/>
      <c r="UIA2" s="1"/>
      <c r="UIB2" s="1"/>
      <c r="UIC2" s="1"/>
      <c r="UID2" s="1"/>
      <c r="UIE2" s="1"/>
      <c r="UIF2" s="1"/>
      <c r="UIG2" s="1"/>
      <c r="UIH2" s="1"/>
      <c r="UII2" s="1"/>
      <c r="UIJ2" s="1"/>
      <c r="UIK2" s="1"/>
      <c r="UIL2" s="1"/>
      <c r="UIM2" s="1"/>
      <c r="UIN2" s="1"/>
      <c r="UIO2" s="1"/>
      <c r="UIP2" s="1"/>
      <c r="UIQ2" s="1"/>
      <c r="UIR2" s="1"/>
      <c r="UIS2" s="1"/>
      <c r="UIT2" s="1"/>
      <c r="UIU2" s="1"/>
      <c r="UIV2" s="1"/>
      <c r="UIW2" s="1"/>
      <c r="UIX2" s="1"/>
      <c r="UIY2" s="1"/>
      <c r="UIZ2" s="1"/>
      <c r="UJA2" s="1"/>
      <c r="UJB2" s="1"/>
      <c r="UJC2" s="1"/>
      <c r="UJD2" s="1"/>
      <c r="UJE2" s="1"/>
      <c r="UJF2" s="1"/>
      <c r="UJG2" s="1"/>
      <c r="UJH2" s="1"/>
      <c r="UJI2" s="1"/>
      <c r="UJJ2" s="1"/>
      <c r="UJK2" s="1"/>
      <c r="UJL2" s="1"/>
      <c r="UJM2" s="1"/>
      <c r="UJN2" s="1"/>
      <c r="UJO2" s="1"/>
      <c r="UJP2" s="1"/>
      <c r="UJQ2" s="1"/>
      <c r="UJR2" s="1"/>
      <c r="UJS2" s="1"/>
      <c r="UJT2" s="1"/>
      <c r="UJU2" s="1"/>
      <c r="UJV2" s="1"/>
      <c r="UJW2" s="1"/>
      <c r="UJX2" s="1"/>
      <c r="UJY2" s="1"/>
      <c r="UJZ2" s="1"/>
      <c r="UKA2" s="1"/>
      <c r="UKB2" s="1"/>
      <c r="UKC2" s="1"/>
      <c r="UKD2" s="1"/>
      <c r="UKE2" s="1"/>
      <c r="UKF2" s="1"/>
      <c r="UKG2" s="1"/>
      <c r="UKH2" s="1"/>
      <c r="UKI2" s="1"/>
      <c r="UKJ2" s="1"/>
      <c r="UKK2" s="1"/>
      <c r="UKL2" s="1"/>
      <c r="UKM2" s="1"/>
      <c r="UKN2" s="1"/>
      <c r="UKO2" s="1"/>
      <c r="UKP2" s="1"/>
      <c r="UKQ2" s="1"/>
      <c r="UKR2" s="1"/>
      <c r="UKS2" s="1"/>
      <c r="UKT2" s="1"/>
      <c r="UKU2" s="1"/>
      <c r="UKV2" s="1"/>
      <c r="UKW2" s="1"/>
      <c r="UKX2" s="1"/>
      <c r="UKY2" s="1"/>
      <c r="UKZ2" s="1"/>
      <c r="ULA2" s="1"/>
      <c r="ULB2" s="1"/>
      <c r="ULC2" s="1"/>
      <c r="ULD2" s="1"/>
      <c r="ULE2" s="1"/>
      <c r="ULF2" s="1"/>
      <c r="ULG2" s="1"/>
      <c r="ULH2" s="1"/>
      <c r="ULI2" s="1"/>
      <c r="ULJ2" s="1"/>
      <c r="ULK2" s="1"/>
      <c r="ULL2" s="1"/>
      <c r="ULM2" s="1"/>
      <c r="ULN2" s="1"/>
      <c r="ULO2" s="1"/>
      <c r="ULP2" s="1"/>
      <c r="ULQ2" s="1"/>
      <c r="ULR2" s="1"/>
      <c r="ULS2" s="1"/>
      <c r="ULT2" s="1"/>
      <c r="ULU2" s="1"/>
      <c r="ULV2" s="1"/>
      <c r="ULW2" s="1"/>
      <c r="ULX2" s="1"/>
      <c r="ULY2" s="1"/>
      <c r="ULZ2" s="1"/>
      <c r="UMA2" s="1"/>
      <c r="UMB2" s="1"/>
      <c r="UMC2" s="1"/>
      <c r="UMD2" s="1"/>
      <c r="UME2" s="1"/>
      <c r="UMF2" s="1"/>
      <c r="UMG2" s="1"/>
      <c r="UMH2" s="1"/>
      <c r="UMI2" s="1"/>
      <c r="UMJ2" s="1"/>
      <c r="UMK2" s="1"/>
      <c r="UML2" s="1"/>
      <c r="UMM2" s="1"/>
      <c r="UMN2" s="1"/>
      <c r="UMO2" s="1"/>
      <c r="UMP2" s="1"/>
      <c r="UMQ2" s="1"/>
      <c r="UMR2" s="1"/>
      <c r="UMS2" s="1"/>
      <c r="UMT2" s="1"/>
      <c r="UMU2" s="1"/>
      <c r="UMV2" s="1"/>
      <c r="UMW2" s="1"/>
      <c r="UMX2" s="1"/>
      <c r="UMY2" s="1"/>
      <c r="UMZ2" s="1"/>
      <c r="UNA2" s="1"/>
      <c r="UNB2" s="1"/>
      <c r="UNC2" s="1"/>
      <c r="UND2" s="1"/>
      <c r="UNE2" s="1"/>
      <c r="UNF2" s="1"/>
      <c r="UNG2" s="1"/>
      <c r="UNH2" s="1"/>
      <c r="UNI2" s="1"/>
      <c r="UNJ2" s="1"/>
      <c r="UNK2" s="1"/>
      <c r="UNL2" s="1"/>
      <c r="UNM2" s="1"/>
      <c r="UNN2" s="1"/>
      <c r="UNO2" s="1"/>
      <c r="UNP2" s="1"/>
      <c r="UNQ2" s="1"/>
      <c r="UNR2" s="1"/>
      <c r="UNS2" s="1"/>
      <c r="UNT2" s="1"/>
      <c r="UNU2" s="1"/>
      <c r="UNV2" s="1"/>
      <c r="UNW2" s="1"/>
      <c r="UNX2" s="1"/>
      <c r="UNY2" s="1"/>
      <c r="UNZ2" s="1"/>
      <c r="UOA2" s="1"/>
      <c r="UOB2" s="1"/>
      <c r="UOC2" s="1"/>
      <c r="UOD2" s="1"/>
      <c r="UOE2" s="1"/>
      <c r="UOF2" s="1"/>
      <c r="UOG2" s="1"/>
      <c r="UOH2" s="1"/>
      <c r="UOI2" s="1"/>
      <c r="UOJ2" s="1"/>
      <c r="UOK2" s="1"/>
      <c r="UOL2" s="1"/>
      <c r="UOM2" s="1"/>
      <c r="UON2" s="1"/>
      <c r="UOO2" s="1"/>
      <c r="UOP2" s="1"/>
      <c r="UOQ2" s="1"/>
      <c r="UOR2" s="1"/>
      <c r="UOS2" s="1"/>
      <c r="UOT2" s="1"/>
      <c r="UOU2" s="1"/>
      <c r="UOV2" s="1"/>
      <c r="UOW2" s="1"/>
      <c r="UOX2" s="1"/>
      <c r="UOY2" s="1"/>
      <c r="UOZ2" s="1"/>
      <c r="UPA2" s="1"/>
      <c r="UPB2" s="1"/>
      <c r="UPC2" s="1"/>
      <c r="UPD2" s="1"/>
      <c r="UPE2" s="1"/>
      <c r="UPF2" s="1"/>
      <c r="UPG2" s="1"/>
      <c r="UPH2" s="1"/>
      <c r="UPI2" s="1"/>
      <c r="UPJ2" s="1"/>
      <c r="UPK2" s="1"/>
      <c r="UPL2" s="1"/>
      <c r="UPM2" s="1"/>
      <c r="UPN2" s="1"/>
      <c r="UPO2" s="1"/>
      <c r="UPP2" s="1"/>
      <c r="UPQ2" s="1"/>
      <c r="UPR2" s="1"/>
      <c r="UPS2" s="1"/>
      <c r="UPT2" s="1"/>
      <c r="UPU2" s="1"/>
      <c r="UPV2" s="1"/>
      <c r="UPW2" s="1"/>
      <c r="UPX2" s="1"/>
      <c r="UPY2" s="1"/>
      <c r="UPZ2" s="1"/>
      <c r="UQA2" s="1"/>
      <c r="UQB2" s="1"/>
      <c r="UQC2" s="1"/>
      <c r="UQD2" s="1"/>
      <c r="UQE2" s="1"/>
      <c r="UQF2" s="1"/>
      <c r="UQG2" s="1"/>
      <c r="UQH2" s="1"/>
      <c r="UQI2" s="1"/>
      <c r="UQJ2" s="1"/>
      <c r="UQK2" s="1"/>
      <c r="UQL2" s="1"/>
      <c r="UQM2" s="1"/>
      <c r="UQN2" s="1"/>
      <c r="UQO2" s="1"/>
      <c r="UQP2" s="1"/>
      <c r="UQQ2" s="1"/>
      <c r="UQR2" s="1"/>
      <c r="UQS2" s="1"/>
      <c r="UQT2" s="1"/>
      <c r="UQU2" s="1"/>
      <c r="UQV2" s="1"/>
      <c r="UQW2" s="1"/>
      <c r="UQX2" s="1"/>
      <c r="UQY2" s="1"/>
      <c r="UQZ2" s="1"/>
      <c r="URA2" s="1"/>
      <c r="URB2" s="1"/>
      <c r="URC2" s="1"/>
      <c r="URD2" s="1"/>
      <c r="URE2" s="1"/>
      <c r="URF2" s="1"/>
      <c r="URG2" s="1"/>
      <c r="URH2" s="1"/>
      <c r="URI2" s="1"/>
      <c r="URJ2" s="1"/>
      <c r="URK2" s="1"/>
      <c r="URL2" s="1"/>
      <c r="URM2" s="1"/>
      <c r="URN2" s="1"/>
      <c r="URO2" s="1"/>
      <c r="URP2" s="1"/>
      <c r="URQ2" s="1"/>
      <c r="URR2" s="1"/>
      <c r="URS2" s="1"/>
      <c r="URT2" s="1"/>
      <c r="URU2" s="1"/>
      <c r="URV2" s="1"/>
      <c r="URW2" s="1"/>
      <c r="URX2" s="1"/>
      <c r="URY2" s="1"/>
      <c r="URZ2" s="1"/>
      <c r="USA2" s="1"/>
      <c r="USB2" s="1"/>
      <c r="USC2" s="1"/>
      <c r="USD2" s="1"/>
      <c r="USE2" s="1"/>
      <c r="USF2" s="1"/>
      <c r="USG2" s="1"/>
      <c r="USH2" s="1"/>
      <c r="USI2" s="1"/>
      <c r="USJ2" s="1"/>
      <c r="USK2" s="1"/>
      <c r="USL2" s="1"/>
      <c r="USM2" s="1"/>
      <c r="USN2" s="1"/>
      <c r="USO2" s="1"/>
      <c r="USP2" s="1"/>
      <c r="USQ2" s="1"/>
      <c r="USR2" s="1"/>
      <c r="USS2" s="1"/>
      <c r="UST2" s="1"/>
      <c r="USU2" s="1"/>
      <c r="USV2" s="1"/>
      <c r="USW2" s="1"/>
      <c r="USX2" s="1"/>
      <c r="USY2" s="1"/>
      <c r="USZ2" s="1"/>
      <c r="UTA2" s="1"/>
      <c r="UTB2" s="1"/>
      <c r="UTC2" s="1"/>
      <c r="UTD2" s="1"/>
      <c r="UTE2" s="1"/>
      <c r="UTF2" s="1"/>
      <c r="UTG2" s="1"/>
      <c r="UTH2" s="1"/>
      <c r="UTI2" s="1"/>
      <c r="UTJ2" s="1"/>
      <c r="UTK2" s="1"/>
      <c r="UTL2" s="1"/>
      <c r="UTM2" s="1"/>
      <c r="UTN2" s="1"/>
      <c r="UTO2" s="1"/>
      <c r="UTP2" s="1"/>
      <c r="UTQ2" s="1"/>
      <c r="UTR2" s="1"/>
      <c r="UTS2" s="1"/>
      <c r="UTT2" s="1"/>
      <c r="UTU2" s="1"/>
      <c r="UTV2" s="1"/>
      <c r="UTW2" s="1"/>
      <c r="UTX2" s="1"/>
      <c r="UTY2" s="1"/>
      <c r="UTZ2" s="1"/>
      <c r="UUA2" s="1"/>
      <c r="UUB2" s="1"/>
      <c r="UUC2" s="1"/>
      <c r="UUD2" s="1"/>
      <c r="UUE2" s="1"/>
      <c r="UUF2" s="1"/>
      <c r="UUG2" s="1"/>
      <c r="UUH2" s="1"/>
      <c r="UUI2" s="1"/>
      <c r="UUJ2" s="1"/>
      <c r="UUK2" s="1"/>
      <c r="UUL2" s="1"/>
      <c r="UUM2" s="1"/>
      <c r="UUN2" s="1"/>
      <c r="UUO2" s="1"/>
      <c r="UUP2" s="1"/>
      <c r="UUQ2" s="1"/>
      <c r="UUR2" s="1"/>
      <c r="UUS2" s="1"/>
      <c r="UUT2" s="1"/>
      <c r="UUU2" s="1"/>
      <c r="UUV2" s="1"/>
      <c r="UUW2" s="1"/>
      <c r="UUX2" s="1"/>
      <c r="UUY2" s="1"/>
      <c r="UUZ2" s="1"/>
      <c r="UVA2" s="1"/>
      <c r="UVB2" s="1"/>
      <c r="UVC2" s="1"/>
      <c r="UVD2" s="1"/>
      <c r="UVE2" s="1"/>
      <c r="UVF2" s="1"/>
      <c r="UVG2" s="1"/>
      <c r="UVH2" s="1"/>
      <c r="UVI2" s="1"/>
      <c r="UVJ2" s="1"/>
      <c r="UVK2" s="1"/>
      <c r="UVL2" s="1"/>
      <c r="UVM2" s="1"/>
      <c r="UVN2" s="1"/>
      <c r="UVO2" s="1"/>
      <c r="UVP2" s="1"/>
      <c r="UVQ2" s="1"/>
      <c r="UVR2" s="1"/>
      <c r="UVS2" s="1"/>
      <c r="UVT2" s="1"/>
      <c r="UVU2" s="1"/>
      <c r="UVV2" s="1"/>
      <c r="UVW2" s="1"/>
      <c r="UVX2" s="1"/>
      <c r="UVY2" s="1"/>
      <c r="UVZ2" s="1"/>
      <c r="UWA2" s="1"/>
      <c r="UWB2" s="1"/>
      <c r="UWC2" s="1"/>
      <c r="UWD2" s="1"/>
      <c r="UWE2" s="1"/>
      <c r="UWF2" s="1"/>
      <c r="UWG2" s="1"/>
      <c r="UWH2" s="1"/>
      <c r="UWI2" s="1"/>
      <c r="UWJ2" s="1"/>
      <c r="UWK2" s="1"/>
      <c r="UWL2" s="1"/>
      <c r="UWM2" s="1"/>
      <c r="UWN2" s="1"/>
      <c r="UWO2" s="1"/>
      <c r="UWP2" s="1"/>
      <c r="UWQ2" s="1"/>
      <c r="UWR2" s="1"/>
      <c r="UWS2" s="1"/>
      <c r="UWT2" s="1"/>
      <c r="UWU2" s="1"/>
      <c r="UWV2" s="1"/>
      <c r="UWW2" s="1"/>
      <c r="UWX2" s="1"/>
      <c r="UWY2" s="1"/>
      <c r="UWZ2" s="1"/>
      <c r="UXA2" s="1"/>
      <c r="UXB2" s="1"/>
      <c r="UXC2" s="1"/>
      <c r="UXD2" s="1"/>
      <c r="UXE2" s="1"/>
      <c r="UXF2" s="1"/>
      <c r="UXG2" s="1"/>
      <c r="UXH2" s="1"/>
      <c r="UXI2" s="1"/>
      <c r="UXJ2" s="1"/>
      <c r="UXK2" s="1"/>
      <c r="UXL2" s="1"/>
      <c r="UXM2" s="1"/>
      <c r="UXN2" s="1"/>
      <c r="UXO2" s="1"/>
      <c r="UXP2" s="1"/>
      <c r="UXQ2" s="1"/>
      <c r="UXR2" s="1"/>
      <c r="UXS2" s="1"/>
      <c r="UXT2" s="1"/>
      <c r="UXU2" s="1"/>
      <c r="UXV2" s="1"/>
      <c r="UXW2" s="1"/>
      <c r="UXX2" s="1"/>
      <c r="UXY2" s="1"/>
      <c r="UXZ2" s="1"/>
      <c r="UYA2" s="1"/>
      <c r="UYB2" s="1"/>
      <c r="UYC2" s="1"/>
      <c r="UYD2" s="1"/>
      <c r="UYE2" s="1"/>
      <c r="UYF2" s="1"/>
      <c r="UYG2" s="1"/>
      <c r="UYH2" s="1"/>
      <c r="UYI2" s="1"/>
      <c r="UYJ2" s="1"/>
      <c r="UYK2" s="1"/>
      <c r="UYL2" s="1"/>
      <c r="UYM2" s="1"/>
      <c r="UYN2" s="1"/>
      <c r="UYO2" s="1"/>
      <c r="UYP2" s="1"/>
      <c r="UYQ2" s="1"/>
      <c r="UYR2" s="1"/>
      <c r="UYS2" s="1"/>
      <c r="UYT2" s="1"/>
      <c r="UYU2" s="1"/>
      <c r="UYV2" s="1"/>
      <c r="UYW2" s="1"/>
      <c r="UYX2" s="1"/>
      <c r="UYY2" s="1"/>
      <c r="UYZ2" s="1"/>
      <c r="UZA2" s="1"/>
      <c r="UZB2" s="1"/>
      <c r="UZC2" s="1"/>
      <c r="UZD2" s="1"/>
      <c r="UZE2" s="1"/>
      <c r="UZF2" s="1"/>
      <c r="UZG2" s="1"/>
      <c r="UZH2" s="1"/>
      <c r="UZI2" s="1"/>
      <c r="UZJ2" s="1"/>
      <c r="UZK2" s="1"/>
      <c r="UZL2" s="1"/>
      <c r="UZM2" s="1"/>
      <c r="UZN2" s="1"/>
      <c r="UZO2" s="1"/>
      <c r="UZP2" s="1"/>
      <c r="UZQ2" s="1"/>
      <c r="UZR2" s="1"/>
      <c r="UZS2" s="1"/>
      <c r="UZT2" s="1"/>
      <c r="UZU2" s="1"/>
      <c r="UZV2" s="1"/>
      <c r="UZW2" s="1"/>
      <c r="UZX2" s="1"/>
      <c r="UZY2" s="1"/>
      <c r="UZZ2" s="1"/>
      <c r="VAA2" s="1"/>
      <c r="VAB2" s="1"/>
      <c r="VAC2" s="1"/>
      <c r="VAD2" s="1"/>
      <c r="VAE2" s="1"/>
      <c r="VAF2" s="1"/>
      <c r="VAG2" s="1"/>
      <c r="VAH2" s="1"/>
      <c r="VAI2" s="1"/>
      <c r="VAJ2" s="1"/>
      <c r="VAK2" s="1"/>
      <c r="VAL2" s="1"/>
      <c r="VAM2" s="1"/>
      <c r="VAN2" s="1"/>
      <c r="VAO2" s="1"/>
      <c r="VAP2" s="1"/>
      <c r="VAQ2" s="1"/>
      <c r="VAR2" s="1"/>
      <c r="VAS2" s="1"/>
      <c r="VAT2" s="1"/>
      <c r="VAU2" s="1"/>
      <c r="VAV2" s="1"/>
      <c r="VAW2" s="1"/>
      <c r="VAX2" s="1"/>
      <c r="VAY2" s="1"/>
      <c r="VAZ2" s="1"/>
      <c r="VBA2" s="1"/>
      <c r="VBB2" s="1"/>
      <c r="VBC2" s="1"/>
      <c r="VBD2" s="1"/>
      <c r="VBE2" s="1"/>
      <c r="VBF2" s="1"/>
      <c r="VBG2" s="1"/>
      <c r="VBH2" s="1"/>
      <c r="VBI2" s="1"/>
      <c r="VBJ2" s="1"/>
      <c r="VBK2" s="1"/>
      <c r="VBL2" s="1"/>
      <c r="VBM2" s="1"/>
      <c r="VBN2" s="1"/>
      <c r="VBO2" s="1"/>
      <c r="VBP2" s="1"/>
      <c r="VBQ2" s="1"/>
      <c r="VBR2" s="1"/>
      <c r="VBS2" s="1"/>
      <c r="VBT2" s="1"/>
      <c r="VBU2" s="1"/>
      <c r="VBV2" s="1"/>
      <c r="VBW2" s="1"/>
      <c r="VBX2" s="1"/>
      <c r="VBY2" s="1"/>
      <c r="VBZ2" s="1"/>
      <c r="VCA2" s="1"/>
      <c r="VCB2" s="1"/>
      <c r="VCC2" s="1"/>
      <c r="VCD2" s="1"/>
      <c r="VCE2" s="1"/>
      <c r="VCF2" s="1"/>
      <c r="VCG2" s="1"/>
      <c r="VCH2" s="1"/>
      <c r="VCI2" s="1"/>
      <c r="VCJ2" s="1"/>
      <c r="VCK2" s="1"/>
      <c r="VCL2" s="1"/>
      <c r="VCM2" s="1"/>
      <c r="VCN2" s="1"/>
      <c r="VCO2" s="1"/>
      <c r="VCP2" s="1"/>
      <c r="VCQ2" s="1"/>
      <c r="VCR2" s="1"/>
      <c r="VCS2" s="1"/>
      <c r="VCT2" s="1"/>
      <c r="VCU2" s="1"/>
      <c r="VCV2" s="1"/>
      <c r="VCW2" s="1"/>
      <c r="VCX2" s="1"/>
      <c r="VCY2" s="1"/>
      <c r="VCZ2" s="1"/>
      <c r="VDA2" s="1"/>
      <c r="VDB2" s="1"/>
      <c r="VDC2" s="1"/>
      <c r="VDD2" s="1"/>
      <c r="VDE2" s="1"/>
      <c r="VDF2" s="1"/>
      <c r="VDG2" s="1"/>
      <c r="VDH2" s="1"/>
      <c r="VDI2" s="1"/>
      <c r="VDJ2" s="1"/>
      <c r="VDK2" s="1"/>
      <c r="VDL2" s="1"/>
      <c r="VDM2" s="1"/>
      <c r="VDN2" s="1"/>
      <c r="VDO2" s="1"/>
      <c r="VDP2" s="1"/>
      <c r="VDQ2" s="1"/>
      <c r="VDR2" s="1"/>
      <c r="VDS2" s="1"/>
      <c r="VDT2" s="1"/>
      <c r="VDU2" s="1"/>
      <c r="VDV2" s="1"/>
      <c r="VDW2" s="1"/>
      <c r="VDX2" s="1"/>
      <c r="VDY2" s="1"/>
      <c r="VDZ2" s="1"/>
      <c r="VEA2" s="1"/>
      <c r="VEB2" s="1"/>
      <c r="VEC2" s="1"/>
      <c r="VED2" s="1"/>
      <c r="VEE2" s="1"/>
      <c r="VEF2" s="1"/>
      <c r="VEG2" s="1"/>
      <c r="VEH2" s="1"/>
      <c r="VEI2" s="1"/>
      <c r="VEJ2" s="1"/>
      <c r="VEK2" s="1"/>
      <c r="VEL2" s="1"/>
      <c r="VEM2" s="1"/>
      <c r="VEN2" s="1"/>
      <c r="VEO2" s="1"/>
      <c r="VEP2" s="1"/>
      <c r="VEQ2" s="1"/>
      <c r="VER2" s="1"/>
      <c r="VES2" s="1"/>
      <c r="VET2" s="1"/>
      <c r="VEU2" s="1"/>
      <c r="VEV2" s="1"/>
      <c r="VEW2" s="1"/>
      <c r="VEX2" s="1"/>
      <c r="VEY2" s="1"/>
      <c r="VEZ2" s="1"/>
      <c r="VFA2" s="1"/>
      <c r="VFB2" s="1"/>
      <c r="VFC2" s="1"/>
      <c r="VFD2" s="1"/>
      <c r="VFE2" s="1"/>
      <c r="VFF2" s="1"/>
      <c r="VFG2" s="1"/>
      <c r="VFH2" s="1"/>
      <c r="VFI2" s="1"/>
      <c r="VFJ2" s="1"/>
      <c r="VFK2" s="1"/>
      <c r="VFL2" s="1"/>
      <c r="VFM2" s="1"/>
      <c r="VFN2" s="1"/>
      <c r="VFO2" s="1"/>
      <c r="VFP2" s="1"/>
      <c r="VFQ2" s="1"/>
      <c r="VFR2" s="1"/>
      <c r="VFS2" s="1"/>
      <c r="VFT2" s="1"/>
      <c r="VFU2" s="1"/>
      <c r="VFV2" s="1"/>
      <c r="VFW2" s="1"/>
      <c r="VFX2" s="1"/>
      <c r="VFY2" s="1"/>
      <c r="VFZ2" s="1"/>
      <c r="VGA2" s="1"/>
      <c r="VGB2" s="1"/>
      <c r="VGC2" s="1"/>
      <c r="VGD2" s="1"/>
      <c r="VGE2" s="1"/>
      <c r="VGF2" s="1"/>
      <c r="VGG2" s="1"/>
      <c r="VGH2" s="1"/>
      <c r="VGI2" s="1"/>
      <c r="VGJ2" s="1"/>
      <c r="VGK2" s="1"/>
      <c r="VGL2" s="1"/>
      <c r="VGM2" s="1"/>
      <c r="VGN2" s="1"/>
      <c r="VGO2" s="1"/>
      <c r="VGP2" s="1"/>
      <c r="VGQ2" s="1"/>
      <c r="VGR2" s="1"/>
      <c r="VGS2" s="1"/>
      <c r="VGT2" s="1"/>
      <c r="VGU2" s="1"/>
      <c r="VGV2" s="1"/>
      <c r="VGW2" s="1"/>
      <c r="VGX2" s="1"/>
      <c r="VGY2" s="1"/>
      <c r="VGZ2" s="1"/>
      <c r="VHA2" s="1"/>
      <c r="VHB2" s="1"/>
      <c r="VHC2" s="1"/>
      <c r="VHD2" s="1"/>
      <c r="VHE2" s="1"/>
      <c r="VHF2" s="1"/>
      <c r="VHG2" s="1"/>
      <c r="VHH2" s="1"/>
      <c r="VHI2" s="1"/>
      <c r="VHJ2" s="1"/>
      <c r="VHK2" s="1"/>
      <c r="VHL2" s="1"/>
      <c r="VHM2" s="1"/>
      <c r="VHN2" s="1"/>
      <c r="VHO2" s="1"/>
      <c r="VHP2" s="1"/>
      <c r="VHQ2" s="1"/>
      <c r="VHR2" s="1"/>
      <c r="VHS2" s="1"/>
      <c r="VHT2" s="1"/>
      <c r="VHU2" s="1"/>
      <c r="VHV2" s="1"/>
      <c r="VHW2" s="1"/>
      <c r="VHX2" s="1"/>
      <c r="VHY2" s="1"/>
      <c r="VHZ2" s="1"/>
      <c r="VIA2" s="1"/>
      <c r="VIB2" s="1"/>
      <c r="VIC2" s="1"/>
      <c r="VID2" s="1"/>
      <c r="VIE2" s="1"/>
      <c r="VIF2" s="1"/>
      <c r="VIG2" s="1"/>
      <c r="VIH2" s="1"/>
      <c r="VII2" s="1"/>
      <c r="VIJ2" s="1"/>
      <c r="VIK2" s="1"/>
      <c r="VIL2" s="1"/>
      <c r="VIM2" s="1"/>
      <c r="VIN2" s="1"/>
      <c r="VIO2" s="1"/>
      <c r="VIP2" s="1"/>
      <c r="VIQ2" s="1"/>
      <c r="VIR2" s="1"/>
      <c r="VIS2" s="1"/>
      <c r="VIT2" s="1"/>
      <c r="VIU2" s="1"/>
      <c r="VIV2" s="1"/>
      <c r="VIW2" s="1"/>
      <c r="VIX2" s="1"/>
      <c r="VIY2" s="1"/>
      <c r="VIZ2" s="1"/>
      <c r="VJA2" s="1"/>
      <c r="VJB2" s="1"/>
      <c r="VJC2" s="1"/>
      <c r="VJD2" s="1"/>
      <c r="VJE2" s="1"/>
      <c r="VJF2" s="1"/>
      <c r="VJG2" s="1"/>
      <c r="VJH2" s="1"/>
      <c r="VJI2" s="1"/>
      <c r="VJJ2" s="1"/>
      <c r="VJK2" s="1"/>
      <c r="VJL2" s="1"/>
      <c r="VJM2" s="1"/>
      <c r="VJN2" s="1"/>
      <c r="VJO2" s="1"/>
      <c r="VJP2" s="1"/>
      <c r="VJQ2" s="1"/>
      <c r="VJR2" s="1"/>
      <c r="VJS2" s="1"/>
      <c r="VJT2" s="1"/>
      <c r="VJU2" s="1"/>
      <c r="VJV2" s="1"/>
      <c r="VJW2" s="1"/>
      <c r="VJX2" s="1"/>
      <c r="VJY2" s="1"/>
      <c r="VJZ2" s="1"/>
      <c r="VKA2" s="1"/>
      <c r="VKB2" s="1"/>
      <c r="VKC2" s="1"/>
      <c r="VKD2" s="1"/>
      <c r="VKE2" s="1"/>
      <c r="VKF2" s="1"/>
      <c r="VKG2" s="1"/>
      <c r="VKH2" s="1"/>
      <c r="VKI2" s="1"/>
      <c r="VKJ2" s="1"/>
      <c r="VKK2" s="1"/>
      <c r="VKL2" s="1"/>
      <c r="VKM2" s="1"/>
      <c r="VKN2" s="1"/>
      <c r="VKO2" s="1"/>
      <c r="VKP2" s="1"/>
      <c r="VKQ2" s="1"/>
      <c r="VKR2" s="1"/>
      <c r="VKS2" s="1"/>
      <c r="VKT2" s="1"/>
      <c r="VKU2" s="1"/>
      <c r="VKV2" s="1"/>
      <c r="VKW2" s="1"/>
      <c r="VKX2" s="1"/>
      <c r="VKY2" s="1"/>
      <c r="VKZ2" s="1"/>
      <c r="VLA2" s="1"/>
      <c r="VLB2" s="1"/>
      <c r="VLC2" s="1"/>
      <c r="VLD2" s="1"/>
      <c r="VLE2" s="1"/>
      <c r="VLF2" s="1"/>
      <c r="VLG2" s="1"/>
      <c r="VLH2" s="1"/>
      <c r="VLI2" s="1"/>
      <c r="VLJ2" s="1"/>
      <c r="VLK2" s="1"/>
      <c r="VLL2" s="1"/>
      <c r="VLM2" s="1"/>
      <c r="VLN2" s="1"/>
      <c r="VLO2" s="1"/>
      <c r="VLP2" s="1"/>
      <c r="VLQ2" s="1"/>
      <c r="VLR2" s="1"/>
      <c r="VLS2" s="1"/>
      <c r="VLT2" s="1"/>
      <c r="VLU2" s="1"/>
      <c r="VLV2" s="1"/>
      <c r="VLW2" s="1"/>
      <c r="VLX2" s="1"/>
      <c r="VLY2" s="1"/>
      <c r="VLZ2" s="1"/>
      <c r="VMA2" s="1"/>
      <c r="VMB2" s="1"/>
      <c r="VMC2" s="1"/>
      <c r="VMD2" s="1"/>
      <c r="VME2" s="1"/>
      <c r="VMF2" s="1"/>
      <c r="VMG2" s="1"/>
      <c r="VMH2" s="1"/>
      <c r="VMI2" s="1"/>
      <c r="VMJ2" s="1"/>
      <c r="VMK2" s="1"/>
      <c r="VML2" s="1"/>
      <c r="VMM2" s="1"/>
      <c r="VMN2" s="1"/>
      <c r="VMO2" s="1"/>
      <c r="VMP2" s="1"/>
      <c r="VMQ2" s="1"/>
      <c r="VMR2" s="1"/>
      <c r="VMS2" s="1"/>
      <c r="VMT2" s="1"/>
      <c r="VMU2" s="1"/>
      <c r="VMV2" s="1"/>
      <c r="VMW2" s="1"/>
      <c r="VMX2" s="1"/>
      <c r="VMY2" s="1"/>
      <c r="VMZ2" s="1"/>
      <c r="VNA2" s="1"/>
      <c r="VNB2" s="1"/>
      <c r="VNC2" s="1"/>
      <c r="VND2" s="1"/>
      <c r="VNE2" s="1"/>
      <c r="VNF2" s="1"/>
      <c r="VNG2" s="1"/>
      <c r="VNH2" s="1"/>
      <c r="VNI2" s="1"/>
      <c r="VNJ2" s="1"/>
      <c r="VNK2" s="1"/>
      <c r="VNL2" s="1"/>
      <c r="VNM2" s="1"/>
      <c r="VNN2" s="1"/>
      <c r="VNO2" s="1"/>
      <c r="VNP2" s="1"/>
      <c r="VNQ2" s="1"/>
      <c r="VNR2" s="1"/>
      <c r="VNS2" s="1"/>
      <c r="VNT2" s="1"/>
      <c r="VNU2" s="1"/>
      <c r="VNV2" s="1"/>
      <c r="VNW2" s="1"/>
      <c r="VNX2" s="1"/>
      <c r="VNY2" s="1"/>
      <c r="VNZ2" s="1"/>
      <c r="VOA2" s="1"/>
      <c r="VOB2" s="1"/>
      <c r="VOC2" s="1"/>
      <c r="VOD2" s="1"/>
      <c r="VOE2" s="1"/>
      <c r="VOF2" s="1"/>
      <c r="VOG2" s="1"/>
      <c r="VOH2" s="1"/>
      <c r="VOI2" s="1"/>
      <c r="VOJ2" s="1"/>
      <c r="VOK2" s="1"/>
      <c r="VOL2" s="1"/>
      <c r="VOM2" s="1"/>
      <c r="VON2" s="1"/>
      <c r="VOO2" s="1"/>
      <c r="VOP2" s="1"/>
      <c r="VOQ2" s="1"/>
      <c r="VOR2" s="1"/>
      <c r="VOS2" s="1"/>
      <c r="VOT2" s="1"/>
      <c r="VOU2" s="1"/>
      <c r="VOV2" s="1"/>
      <c r="VOW2" s="1"/>
      <c r="VOX2" s="1"/>
      <c r="VOY2" s="1"/>
      <c r="VOZ2" s="1"/>
      <c r="VPA2" s="1"/>
      <c r="VPB2" s="1"/>
      <c r="VPC2" s="1"/>
      <c r="VPD2" s="1"/>
      <c r="VPE2" s="1"/>
      <c r="VPF2" s="1"/>
      <c r="VPG2" s="1"/>
      <c r="VPH2" s="1"/>
      <c r="VPI2" s="1"/>
      <c r="VPJ2" s="1"/>
      <c r="VPK2" s="1"/>
      <c r="VPL2" s="1"/>
      <c r="VPM2" s="1"/>
      <c r="VPN2" s="1"/>
      <c r="VPO2" s="1"/>
      <c r="VPP2" s="1"/>
      <c r="VPQ2" s="1"/>
      <c r="VPR2" s="1"/>
      <c r="VPS2" s="1"/>
      <c r="VPT2" s="1"/>
      <c r="VPU2" s="1"/>
      <c r="VPV2" s="1"/>
      <c r="VPW2" s="1"/>
      <c r="VPX2" s="1"/>
      <c r="VPY2" s="1"/>
      <c r="VPZ2" s="1"/>
      <c r="VQA2" s="1"/>
      <c r="VQB2" s="1"/>
      <c r="VQC2" s="1"/>
      <c r="VQD2" s="1"/>
      <c r="VQE2" s="1"/>
      <c r="VQF2" s="1"/>
      <c r="VQG2" s="1"/>
      <c r="VQH2" s="1"/>
      <c r="VQI2" s="1"/>
      <c r="VQJ2" s="1"/>
      <c r="VQK2" s="1"/>
      <c r="VQL2" s="1"/>
      <c r="VQM2" s="1"/>
      <c r="VQN2" s="1"/>
      <c r="VQO2" s="1"/>
      <c r="VQP2" s="1"/>
      <c r="VQQ2" s="1"/>
      <c r="VQR2" s="1"/>
      <c r="VQS2" s="1"/>
      <c r="VQT2" s="1"/>
      <c r="VQU2" s="1"/>
      <c r="VQV2" s="1"/>
      <c r="VQW2" s="1"/>
      <c r="VQX2" s="1"/>
      <c r="VQY2" s="1"/>
      <c r="VQZ2" s="1"/>
      <c r="VRA2" s="1"/>
      <c r="VRB2" s="1"/>
      <c r="VRC2" s="1"/>
      <c r="VRD2" s="1"/>
      <c r="VRE2" s="1"/>
      <c r="VRF2" s="1"/>
      <c r="VRG2" s="1"/>
      <c r="VRH2" s="1"/>
      <c r="VRI2" s="1"/>
      <c r="VRJ2" s="1"/>
      <c r="VRK2" s="1"/>
      <c r="VRL2" s="1"/>
      <c r="VRM2" s="1"/>
      <c r="VRN2" s="1"/>
      <c r="VRO2" s="1"/>
      <c r="VRP2" s="1"/>
      <c r="VRQ2" s="1"/>
      <c r="VRR2" s="1"/>
      <c r="VRS2" s="1"/>
      <c r="VRT2" s="1"/>
      <c r="VRU2" s="1"/>
      <c r="VRV2" s="1"/>
      <c r="VRW2" s="1"/>
      <c r="VRX2" s="1"/>
      <c r="VRY2" s="1"/>
      <c r="VRZ2" s="1"/>
      <c r="VSA2" s="1"/>
      <c r="VSB2" s="1"/>
      <c r="VSC2" s="1"/>
      <c r="VSD2" s="1"/>
      <c r="VSE2" s="1"/>
      <c r="VSF2" s="1"/>
      <c r="VSG2" s="1"/>
      <c r="VSH2" s="1"/>
      <c r="VSI2" s="1"/>
      <c r="VSJ2" s="1"/>
      <c r="VSK2" s="1"/>
      <c r="VSL2" s="1"/>
      <c r="VSM2" s="1"/>
      <c r="VSN2" s="1"/>
      <c r="VSO2" s="1"/>
      <c r="VSP2" s="1"/>
      <c r="VSQ2" s="1"/>
      <c r="VSR2" s="1"/>
      <c r="VSS2" s="1"/>
      <c r="VST2" s="1"/>
      <c r="VSU2" s="1"/>
      <c r="VSV2" s="1"/>
      <c r="VSW2" s="1"/>
      <c r="VSX2" s="1"/>
      <c r="VSY2" s="1"/>
      <c r="VSZ2" s="1"/>
      <c r="VTA2" s="1"/>
      <c r="VTB2" s="1"/>
      <c r="VTC2" s="1"/>
      <c r="VTD2" s="1"/>
      <c r="VTE2" s="1"/>
      <c r="VTF2" s="1"/>
      <c r="VTG2" s="1"/>
      <c r="VTH2" s="1"/>
      <c r="VTI2" s="1"/>
      <c r="VTJ2" s="1"/>
      <c r="VTK2" s="1"/>
      <c r="VTL2" s="1"/>
      <c r="VTM2" s="1"/>
      <c r="VTN2" s="1"/>
      <c r="VTO2" s="1"/>
      <c r="VTP2" s="1"/>
      <c r="VTQ2" s="1"/>
      <c r="VTR2" s="1"/>
      <c r="VTS2" s="1"/>
      <c r="VTT2" s="1"/>
      <c r="VTU2" s="1"/>
      <c r="VTV2" s="1"/>
      <c r="VTW2" s="1"/>
      <c r="VTX2" s="1"/>
      <c r="VTY2" s="1"/>
      <c r="VTZ2" s="1"/>
      <c r="VUA2" s="1"/>
      <c r="VUB2" s="1"/>
      <c r="VUC2" s="1"/>
      <c r="VUD2" s="1"/>
      <c r="VUE2" s="1"/>
      <c r="VUF2" s="1"/>
      <c r="VUG2" s="1"/>
      <c r="VUH2" s="1"/>
      <c r="VUI2" s="1"/>
      <c r="VUJ2" s="1"/>
      <c r="VUK2" s="1"/>
      <c r="VUL2" s="1"/>
      <c r="VUM2" s="1"/>
      <c r="VUN2" s="1"/>
      <c r="VUO2" s="1"/>
      <c r="VUP2" s="1"/>
      <c r="VUQ2" s="1"/>
      <c r="VUR2" s="1"/>
      <c r="VUS2" s="1"/>
      <c r="VUT2" s="1"/>
      <c r="VUU2" s="1"/>
      <c r="VUV2" s="1"/>
      <c r="VUW2" s="1"/>
      <c r="VUX2" s="1"/>
      <c r="VUY2" s="1"/>
      <c r="VUZ2" s="1"/>
      <c r="VVA2" s="1"/>
      <c r="VVB2" s="1"/>
      <c r="VVC2" s="1"/>
      <c r="VVD2" s="1"/>
      <c r="VVE2" s="1"/>
      <c r="VVF2" s="1"/>
      <c r="VVG2" s="1"/>
      <c r="VVH2" s="1"/>
      <c r="VVI2" s="1"/>
      <c r="VVJ2" s="1"/>
      <c r="VVK2" s="1"/>
      <c r="VVL2" s="1"/>
      <c r="VVM2" s="1"/>
      <c r="VVN2" s="1"/>
      <c r="VVO2" s="1"/>
      <c r="VVP2" s="1"/>
      <c r="VVQ2" s="1"/>
      <c r="VVR2" s="1"/>
      <c r="VVS2" s="1"/>
      <c r="VVT2" s="1"/>
      <c r="VVU2" s="1"/>
      <c r="VVV2" s="1"/>
      <c r="VVW2" s="1"/>
      <c r="VVX2" s="1"/>
      <c r="VVY2" s="1"/>
      <c r="VVZ2" s="1"/>
      <c r="VWA2" s="1"/>
      <c r="VWB2" s="1"/>
      <c r="VWC2" s="1"/>
      <c r="VWD2" s="1"/>
      <c r="VWE2" s="1"/>
      <c r="VWF2" s="1"/>
      <c r="VWG2" s="1"/>
      <c r="VWH2" s="1"/>
      <c r="VWI2" s="1"/>
      <c r="VWJ2" s="1"/>
      <c r="VWK2" s="1"/>
      <c r="VWL2" s="1"/>
      <c r="VWM2" s="1"/>
      <c r="VWN2" s="1"/>
      <c r="VWO2" s="1"/>
      <c r="VWP2" s="1"/>
      <c r="VWQ2" s="1"/>
      <c r="VWR2" s="1"/>
      <c r="VWS2" s="1"/>
      <c r="VWT2" s="1"/>
      <c r="VWU2" s="1"/>
      <c r="VWV2" s="1"/>
      <c r="VWW2" s="1"/>
      <c r="VWX2" s="1"/>
      <c r="VWY2" s="1"/>
      <c r="VWZ2" s="1"/>
      <c r="VXA2" s="1"/>
      <c r="VXB2" s="1"/>
      <c r="VXC2" s="1"/>
      <c r="VXD2" s="1"/>
      <c r="VXE2" s="1"/>
      <c r="VXF2" s="1"/>
      <c r="VXG2" s="1"/>
      <c r="VXH2" s="1"/>
      <c r="VXI2" s="1"/>
      <c r="VXJ2" s="1"/>
      <c r="VXK2" s="1"/>
      <c r="VXL2" s="1"/>
      <c r="VXM2" s="1"/>
      <c r="VXN2" s="1"/>
      <c r="VXO2" s="1"/>
      <c r="VXP2" s="1"/>
      <c r="VXQ2" s="1"/>
      <c r="VXR2" s="1"/>
      <c r="VXS2" s="1"/>
      <c r="VXT2" s="1"/>
      <c r="VXU2" s="1"/>
      <c r="VXV2" s="1"/>
      <c r="VXW2" s="1"/>
      <c r="VXX2" s="1"/>
      <c r="VXY2" s="1"/>
      <c r="VXZ2" s="1"/>
      <c r="VYA2" s="1"/>
      <c r="VYB2" s="1"/>
      <c r="VYC2" s="1"/>
      <c r="VYD2" s="1"/>
      <c r="VYE2" s="1"/>
      <c r="VYF2" s="1"/>
      <c r="VYG2" s="1"/>
      <c r="VYH2" s="1"/>
      <c r="VYI2" s="1"/>
      <c r="VYJ2" s="1"/>
      <c r="VYK2" s="1"/>
      <c r="VYL2" s="1"/>
      <c r="VYM2" s="1"/>
      <c r="VYN2" s="1"/>
      <c r="VYO2" s="1"/>
      <c r="VYP2" s="1"/>
      <c r="VYQ2" s="1"/>
      <c r="VYR2" s="1"/>
      <c r="VYS2" s="1"/>
      <c r="VYT2" s="1"/>
      <c r="VYU2" s="1"/>
      <c r="VYV2" s="1"/>
      <c r="VYW2" s="1"/>
      <c r="VYX2" s="1"/>
      <c r="VYY2" s="1"/>
      <c r="VYZ2" s="1"/>
      <c r="VZA2" s="1"/>
      <c r="VZB2" s="1"/>
      <c r="VZC2" s="1"/>
      <c r="VZD2" s="1"/>
      <c r="VZE2" s="1"/>
      <c r="VZF2" s="1"/>
      <c r="VZG2" s="1"/>
      <c r="VZH2" s="1"/>
      <c r="VZI2" s="1"/>
      <c r="VZJ2" s="1"/>
      <c r="VZK2" s="1"/>
      <c r="VZL2" s="1"/>
      <c r="VZM2" s="1"/>
      <c r="VZN2" s="1"/>
      <c r="VZO2" s="1"/>
      <c r="VZP2" s="1"/>
      <c r="VZQ2" s="1"/>
      <c r="VZR2" s="1"/>
      <c r="VZS2" s="1"/>
      <c r="VZT2" s="1"/>
      <c r="VZU2" s="1"/>
      <c r="VZV2" s="1"/>
      <c r="VZW2" s="1"/>
      <c r="VZX2" s="1"/>
      <c r="VZY2" s="1"/>
      <c r="VZZ2" s="1"/>
      <c r="WAA2" s="1"/>
      <c r="WAB2" s="1"/>
      <c r="WAC2" s="1"/>
      <c r="WAD2" s="1"/>
      <c r="WAE2" s="1"/>
      <c r="WAF2" s="1"/>
      <c r="WAG2" s="1"/>
      <c r="WAH2" s="1"/>
      <c r="WAI2" s="1"/>
      <c r="WAJ2" s="1"/>
      <c r="WAK2" s="1"/>
      <c r="WAL2" s="1"/>
      <c r="WAM2" s="1"/>
      <c r="WAN2" s="1"/>
      <c r="WAO2" s="1"/>
      <c r="WAP2" s="1"/>
      <c r="WAQ2" s="1"/>
      <c r="WAR2" s="1"/>
      <c r="WAS2" s="1"/>
      <c r="WAT2" s="1"/>
      <c r="WAU2" s="1"/>
      <c r="WAV2" s="1"/>
      <c r="WAW2" s="1"/>
      <c r="WAX2" s="1"/>
      <c r="WAY2" s="1"/>
      <c r="WAZ2" s="1"/>
      <c r="WBA2" s="1"/>
      <c r="WBB2" s="1"/>
      <c r="WBC2" s="1"/>
      <c r="WBD2" s="1"/>
      <c r="WBE2" s="1"/>
      <c r="WBF2" s="1"/>
      <c r="WBG2" s="1"/>
      <c r="WBH2" s="1"/>
      <c r="WBI2" s="1"/>
      <c r="WBJ2" s="1"/>
      <c r="WBK2" s="1"/>
      <c r="WBL2" s="1"/>
      <c r="WBM2" s="1"/>
      <c r="WBN2" s="1"/>
      <c r="WBO2" s="1"/>
      <c r="WBP2" s="1"/>
      <c r="WBQ2" s="1"/>
      <c r="WBR2" s="1"/>
      <c r="WBS2" s="1"/>
      <c r="WBT2" s="1"/>
      <c r="WBU2" s="1"/>
      <c r="WBV2" s="1"/>
      <c r="WBW2" s="1"/>
      <c r="WBX2" s="1"/>
      <c r="WBY2" s="1"/>
      <c r="WBZ2" s="1"/>
      <c r="WCA2" s="1"/>
      <c r="WCB2" s="1"/>
      <c r="WCC2" s="1"/>
      <c r="WCD2" s="1"/>
      <c r="WCE2" s="1"/>
      <c r="WCF2" s="1"/>
      <c r="WCG2" s="1"/>
      <c r="WCH2" s="1"/>
      <c r="WCI2" s="1"/>
      <c r="WCJ2" s="1"/>
      <c r="WCK2" s="1"/>
      <c r="WCL2" s="1"/>
      <c r="WCM2" s="1"/>
      <c r="WCN2" s="1"/>
      <c r="WCO2" s="1"/>
      <c r="WCP2" s="1"/>
      <c r="WCQ2" s="1"/>
      <c r="WCR2" s="1"/>
      <c r="WCS2" s="1"/>
      <c r="WCT2" s="1"/>
      <c r="WCU2" s="1"/>
      <c r="WCV2" s="1"/>
      <c r="WCW2" s="1"/>
      <c r="WCX2" s="1"/>
      <c r="WCY2" s="1"/>
      <c r="WCZ2" s="1"/>
      <c r="WDA2" s="1"/>
      <c r="WDB2" s="1"/>
      <c r="WDC2" s="1"/>
      <c r="WDD2" s="1"/>
      <c r="WDE2" s="1"/>
      <c r="WDF2" s="1"/>
      <c r="WDG2" s="1"/>
      <c r="WDH2" s="1"/>
      <c r="WDI2" s="1"/>
      <c r="WDJ2" s="1"/>
      <c r="WDK2" s="1"/>
      <c r="WDL2" s="1"/>
      <c r="WDM2" s="1"/>
      <c r="WDN2" s="1"/>
      <c r="WDO2" s="1"/>
      <c r="WDP2" s="1"/>
      <c r="WDQ2" s="1"/>
      <c r="WDR2" s="1"/>
      <c r="WDS2" s="1"/>
      <c r="WDT2" s="1"/>
      <c r="WDU2" s="1"/>
      <c r="WDV2" s="1"/>
      <c r="WDW2" s="1"/>
      <c r="WDX2" s="1"/>
      <c r="WDY2" s="1"/>
      <c r="WDZ2" s="1"/>
      <c r="WEA2" s="1"/>
      <c r="WEB2" s="1"/>
      <c r="WEC2" s="1"/>
      <c r="WED2" s="1"/>
      <c r="WEE2" s="1"/>
      <c r="WEF2" s="1"/>
      <c r="WEG2" s="1"/>
      <c r="WEH2" s="1"/>
      <c r="WEI2" s="1"/>
      <c r="WEJ2" s="1"/>
      <c r="WEK2" s="1"/>
      <c r="WEL2" s="1"/>
      <c r="WEM2" s="1"/>
      <c r="WEN2" s="1"/>
      <c r="WEO2" s="1"/>
      <c r="WEP2" s="1"/>
      <c r="WEQ2" s="1"/>
      <c r="WER2" s="1"/>
      <c r="WES2" s="1"/>
      <c r="WET2" s="1"/>
      <c r="WEU2" s="1"/>
      <c r="WEV2" s="1"/>
      <c r="WEW2" s="1"/>
      <c r="WEX2" s="1"/>
      <c r="WEY2" s="1"/>
      <c r="WEZ2" s="1"/>
      <c r="WFA2" s="1"/>
      <c r="WFB2" s="1"/>
      <c r="WFC2" s="1"/>
      <c r="WFD2" s="1"/>
      <c r="WFE2" s="1"/>
      <c r="WFF2" s="1"/>
      <c r="WFG2" s="1"/>
      <c r="WFH2" s="1"/>
      <c r="WFI2" s="1"/>
      <c r="WFJ2" s="1"/>
      <c r="WFK2" s="1"/>
      <c r="WFL2" s="1"/>
      <c r="WFM2" s="1"/>
      <c r="WFN2" s="1"/>
      <c r="WFO2" s="1"/>
      <c r="WFP2" s="1"/>
      <c r="WFQ2" s="1"/>
      <c r="WFR2" s="1"/>
      <c r="WFS2" s="1"/>
      <c r="WFT2" s="1"/>
      <c r="WFU2" s="1"/>
      <c r="WFV2" s="1"/>
      <c r="WFW2" s="1"/>
      <c r="WFX2" s="1"/>
      <c r="WFY2" s="1"/>
      <c r="WFZ2" s="1"/>
      <c r="WGA2" s="1"/>
      <c r="WGB2" s="1"/>
      <c r="WGC2" s="1"/>
      <c r="WGD2" s="1"/>
      <c r="WGE2" s="1"/>
      <c r="WGF2" s="1"/>
      <c r="WGG2" s="1"/>
      <c r="WGH2" s="1"/>
      <c r="WGI2" s="1"/>
      <c r="WGJ2" s="1"/>
      <c r="WGK2" s="1"/>
      <c r="WGL2" s="1"/>
      <c r="WGM2" s="1"/>
      <c r="WGN2" s="1"/>
      <c r="WGO2" s="1"/>
      <c r="WGP2" s="1"/>
      <c r="WGQ2" s="1"/>
      <c r="WGR2" s="1"/>
      <c r="WGS2" s="1"/>
      <c r="WGT2" s="1"/>
      <c r="WGU2" s="1"/>
      <c r="WGV2" s="1"/>
      <c r="WGW2" s="1"/>
      <c r="WGX2" s="1"/>
      <c r="WGY2" s="1"/>
      <c r="WGZ2" s="1"/>
      <c r="WHA2" s="1"/>
      <c r="WHB2" s="1"/>
      <c r="WHC2" s="1"/>
      <c r="WHD2" s="1"/>
      <c r="WHE2" s="1"/>
      <c r="WHF2" s="1"/>
      <c r="WHG2" s="1"/>
      <c r="WHH2" s="1"/>
      <c r="WHI2" s="1"/>
      <c r="WHJ2" s="1"/>
      <c r="WHK2" s="1"/>
      <c r="WHL2" s="1"/>
      <c r="WHM2" s="1"/>
      <c r="WHN2" s="1"/>
      <c r="WHO2" s="1"/>
      <c r="WHP2" s="1"/>
      <c r="WHQ2" s="1"/>
      <c r="WHR2" s="1"/>
      <c r="WHS2" s="1"/>
      <c r="WHT2" s="1"/>
      <c r="WHU2" s="1"/>
      <c r="WHV2" s="1"/>
      <c r="WHW2" s="1"/>
      <c r="WHX2" s="1"/>
      <c r="WHY2" s="1"/>
      <c r="WHZ2" s="1"/>
      <c r="WIA2" s="1"/>
      <c r="WIB2" s="1"/>
      <c r="WIC2" s="1"/>
      <c r="WID2" s="1"/>
      <c r="WIE2" s="1"/>
      <c r="WIF2" s="1"/>
      <c r="WIG2" s="1"/>
      <c r="WIH2" s="1"/>
      <c r="WII2" s="1"/>
      <c r="WIJ2" s="1"/>
      <c r="WIK2" s="1"/>
      <c r="WIL2" s="1"/>
      <c r="WIM2" s="1"/>
      <c r="WIN2" s="1"/>
      <c r="WIO2" s="1"/>
      <c r="WIP2" s="1"/>
      <c r="WIQ2" s="1"/>
      <c r="WIR2" s="1"/>
      <c r="WIS2" s="1"/>
      <c r="WIT2" s="1"/>
      <c r="WIU2" s="1"/>
      <c r="WIV2" s="1"/>
      <c r="WIW2" s="1"/>
      <c r="WIX2" s="1"/>
      <c r="WIY2" s="1"/>
      <c r="WIZ2" s="1"/>
      <c r="WJA2" s="1"/>
      <c r="WJB2" s="1"/>
      <c r="WJC2" s="1"/>
      <c r="WJD2" s="1"/>
      <c r="WJE2" s="1"/>
      <c r="WJF2" s="1"/>
      <c r="WJG2" s="1"/>
      <c r="WJH2" s="1"/>
      <c r="WJI2" s="1"/>
      <c r="WJJ2" s="1"/>
      <c r="WJK2" s="1"/>
      <c r="WJL2" s="1"/>
      <c r="WJM2" s="1"/>
      <c r="WJN2" s="1"/>
      <c r="WJO2" s="1"/>
      <c r="WJP2" s="1"/>
      <c r="WJQ2" s="1"/>
      <c r="WJR2" s="1"/>
      <c r="WJS2" s="1"/>
      <c r="WJT2" s="1"/>
      <c r="WJU2" s="1"/>
      <c r="WJV2" s="1"/>
      <c r="WJW2" s="1"/>
      <c r="WJX2" s="1"/>
      <c r="WJY2" s="1"/>
      <c r="WJZ2" s="1"/>
      <c r="WKA2" s="1"/>
      <c r="WKB2" s="1"/>
      <c r="WKC2" s="1"/>
      <c r="WKD2" s="1"/>
      <c r="WKE2" s="1"/>
      <c r="WKF2" s="1"/>
      <c r="WKG2" s="1"/>
      <c r="WKH2" s="1"/>
      <c r="WKI2" s="1"/>
      <c r="WKJ2" s="1"/>
      <c r="WKK2" s="1"/>
      <c r="WKL2" s="1"/>
      <c r="WKM2" s="1"/>
      <c r="WKN2" s="1"/>
      <c r="WKO2" s="1"/>
      <c r="WKP2" s="1"/>
      <c r="WKQ2" s="1"/>
      <c r="WKR2" s="1"/>
      <c r="WKS2" s="1"/>
      <c r="WKT2" s="1"/>
      <c r="WKU2" s="1"/>
      <c r="WKV2" s="1"/>
      <c r="WKW2" s="1"/>
      <c r="WKX2" s="1"/>
      <c r="WKY2" s="1"/>
      <c r="WKZ2" s="1"/>
      <c r="WLA2" s="1"/>
      <c r="WLB2" s="1"/>
      <c r="WLC2" s="1"/>
      <c r="WLD2" s="1"/>
      <c r="WLE2" s="1"/>
      <c r="WLF2" s="1"/>
      <c r="WLG2" s="1"/>
      <c r="WLH2" s="1"/>
      <c r="WLI2" s="1"/>
      <c r="WLJ2" s="1"/>
      <c r="WLK2" s="1"/>
      <c r="WLL2" s="1"/>
      <c r="WLM2" s="1"/>
      <c r="WLN2" s="1"/>
      <c r="WLO2" s="1"/>
      <c r="WLP2" s="1"/>
      <c r="WLQ2" s="1"/>
      <c r="WLR2" s="1"/>
      <c r="WLS2" s="1"/>
      <c r="WLT2" s="1"/>
      <c r="WLU2" s="1"/>
      <c r="WLV2" s="1"/>
      <c r="WLW2" s="1"/>
      <c r="WLX2" s="1"/>
      <c r="WLY2" s="1"/>
      <c r="WLZ2" s="1"/>
      <c r="WMA2" s="1"/>
      <c r="WMB2" s="1"/>
      <c r="WMC2" s="1"/>
      <c r="WMD2" s="1"/>
      <c r="WME2" s="1"/>
      <c r="WMF2" s="1"/>
      <c r="WMG2" s="1"/>
      <c r="WMH2" s="1"/>
      <c r="WMI2" s="1"/>
      <c r="WMJ2" s="1"/>
      <c r="WMK2" s="1"/>
      <c r="WML2" s="1"/>
      <c r="WMM2" s="1"/>
      <c r="WMN2" s="1"/>
      <c r="WMO2" s="1"/>
      <c r="WMP2" s="1"/>
      <c r="WMQ2" s="1"/>
      <c r="WMR2" s="1"/>
      <c r="WMS2" s="1"/>
      <c r="WMT2" s="1"/>
      <c r="WMU2" s="1"/>
      <c r="WMV2" s="1"/>
      <c r="WMW2" s="1"/>
      <c r="WMX2" s="1"/>
      <c r="WMY2" s="1"/>
      <c r="WMZ2" s="1"/>
      <c r="WNA2" s="1"/>
      <c r="WNB2" s="1"/>
      <c r="WNC2" s="1"/>
      <c r="WND2" s="1"/>
      <c r="WNE2" s="1"/>
      <c r="WNF2" s="1"/>
      <c r="WNG2" s="1"/>
      <c r="WNH2" s="1"/>
      <c r="WNI2" s="1"/>
      <c r="WNJ2" s="1"/>
      <c r="WNK2" s="1"/>
      <c r="WNL2" s="1"/>
      <c r="WNM2" s="1"/>
      <c r="WNN2" s="1"/>
      <c r="WNO2" s="1"/>
      <c r="WNP2" s="1"/>
      <c r="WNQ2" s="1"/>
      <c r="WNR2" s="1"/>
      <c r="WNS2" s="1"/>
      <c r="WNT2" s="1"/>
      <c r="WNU2" s="1"/>
      <c r="WNV2" s="1"/>
      <c r="WNW2" s="1"/>
      <c r="WNX2" s="1"/>
      <c r="WNY2" s="1"/>
      <c r="WNZ2" s="1"/>
      <c r="WOA2" s="1"/>
      <c r="WOB2" s="1"/>
      <c r="WOC2" s="1"/>
      <c r="WOD2" s="1"/>
      <c r="WOE2" s="1"/>
      <c r="WOF2" s="1"/>
      <c r="WOG2" s="1"/>
      <c r="WOH2" s="1"/>
      <c r="WOI2" s="1"/>
      <c r="WOJ2" s="1"/>
      <c r="WOK2" s="1"/>
      <c r="WOL2" s="1"/>
      <c r="WOM2" s="1"/>
      <c r="WON2" s="1"/>
      <c r="WOO2" s="1"/>
      <c r="WOP2" s="1"/>
      <c r="WOQ2" s="1"/>
      <c r="WOR2" s="1"/>
      <c r="WOS2" s="1"/>
      <c r="WOT2" s="1"/>
      <c r="WOU2" s="1"/>
      <c r="WOV2" s="1"/>
      <c r="WOW2" s="1"/>
      <c r="WOX2" s="1"/>
      <c r="WOY2" s="1"/>
      <c r="WOZ2" s="1"/>
      <c r="WPA2" s="1"/>
      <c r="WPB2" s="1"/>
      <c r="WPC2" s="1"/>
      <c r="WPD2" s="1"/>
      <c r="WPE2" s="1"/>
      <c r="WPF2" s="1"/>
      <c r="WPG2" s="1"/>
      <c r="WPH2" s="1"/>
      <c r="WPI2" s="1"/>
      <c r="WPJ2" s="1"/>
      <c r="WPK2" s="1"/>
      <c r="WPL2" s="1"/>
      <c r="WPM2" s="1"/>
      <c r="WPN2" s="1"/>
      <c r="WPO2" s="1"/>
      <c r="WPP2" s="1"/>
      <c r="WPQ2" s="1"/>
      <c r="WPR2" s="1"/>
      <c r="WPS2" s="1"/>
      <c r="WPT2" s="1"/>
      <c r="WPU2" s="1"/>
      <c r="WPV2" s="1"/>
      <c r="WPW2" s="1"/>
      <c r="WPX2" s="1"/>
      <c r="WPY2" s="1"/>
      <c r="WPZ2" s="1"/>
      <c r="WQA2" s="1"/>
      <c r="WQB2" s="1"/>
      <c r="WQC2" s="1"/>
      <c r="WQD2" s="1"/>
      <c r="WQE2" s="1"/>
      <c r="WQF2" s="1"/>
      <c r="WQG2" s="1"/>
      <c r="WQH2" s="1"/>
      <c r="WQI2" s="1"/>
      <c r="WQJ2" s="1"/>
      <c r="WQK2" s="1"/>
      <c r="WQL2" s="1"/>
      <c r="WQM2" s="1"/>
      <c r="WQN2" s="1"/>
      <c r="WQO2" s="1"/>
      <c r="WQP2" s="1"/>
      <c r="WQQ2" s="1"/>
      <c r="WQR2" s="1"/>
      <c r="WQS2" s="1"/>
      <c r="WQT2" s="1"/>
      <c r="WQU2" s="1"/>
      <c r="WQV2" s="1"/>
      <c r="WQW2" s="1"/>
      <c r="WQX2" s="1"/>
      <c r="WQY2" s="1"/>
      <c r="WQZ2" s="1"/>
      <c r="WRA2" s="1"/>
      <c r="WRB2" s="1"/>
      <c r="WRC2" s="1"/>
      <c r="WRD2" s="1"/>
      <c r="WRE2" s="1"/>
      <c r="WRF2" s="1"/>
      <c r="WRG2" s="1"/>
      <c r="WRH2" s="1"/>
      <c r="WRI2" s="1"/>
      <c r="WRJ2" s="1"/>
      <c r="WRK2" s="1"/>
      <c r="WRL2" s="1"/>
      <c r="WRM2" s="1"/>
      <c r="WRN2" s="1"/>
      <c r="WRO2" s="1"/>
      <c r="WRP2" s="1"/>
      <c r="WRQ2" s="1"/>
      <c r="WRR2" s="1"/>
      <c r="WRS2" s="1"/>
      <c r="WRT2" s="1"/>
      <c r="WRU2" s="1"/>
      <c r="WRV2" s="1"/>
      <c r="WRW2" s="1"/>
      <c r="WRX2" s="1"/>
      <c r="WRY2" s="1"/>
      <c r="WRZ2" s="1"/>
      <c r="WSA2" s="1"/>
      <c r="WSB2" s="1"/>
      <c r="WSC2" s="1"/>
      <c r="WSD2" s="1"/>
      <c r="WSE2" s="1"/>
      <c r="WSF2" s="1"/>
      <c r="WSG2" s="1"/>
      <c r="WSH2" s="1"/>
      <c r="WSI2" s="1"/>
      <c r="WSJ2" s="1"/>
      <c r="WSK2" s="1"/>
      <c r="WSL2" s="1"/>
      <c r="WSM2" s="1"/>
      <c r="WSN2" s="1"/>
      <c r="WSO2" s="1"/>
      <c r="WSP2" s="1"/>
      <c r="WSQ2" s="1"/>
      <c r="WSR2" s="1"/>
      <c r="WSS2" s="1"/>
      <c r="WST2" s="1"/>
      <c r="WSU2" s="1"/>
      <c r="WSV2" s="1"/>
      <c r="WSW2" s="1"/>
      <c r="WSX2" s="1"/>
      <c r="WSY2" s="1"/>
      <c r="WSZ2" s="1"/>
      <c r="WTA2" s="1"/>
      <c r="WTB2" s="1"/>
      <c r="WTC2" s="1"/>
      <c r="WTD2" s="1"/>
      <c r="WTE2" s="1"/>
      <c r="WTF2" s="1"/>
      <c r="WTG2" s="1"/>
      <c r="WTH2" s="1"/>
      <c r="WTI2" s="1"/>
      <c r="WTJ2" s="1"/>
      <c r="WTK2" s="1"/>
      <c r="WTL2" s="1"/>
      <c r="WTM2" s="1"/>
      <c r="WTN2" s="1"/>
      <c r="WTO2" s="1"/>
      <c r="WTP2" s="1"/>
      <c r="WTQ2" s="1"/>
      <c r="WTR2" s="1"/>
      <c r="WTS2" s="1"/>
      <c r="WTT2" s="1"/>
      <c r="WTU2" s="1"/>
      <c r="WTV2" s="1"/>
      <c r="WTW2" s="1"/>
      <c r="WTX2" s="1"/>
      <c r="WTY2" s="1"/>
      <c r="WTZ2" s="1"/>
      <c r="WUA2" s="1"/>
      <c r="WUB2" s="1"/>
      <c r="WUC2" s="1"/>
      <c r="WUD2" s="1"/>
      <c r="WUE2" s="1"/>
      <c r="WUF2" s="1"/>
      <c r="WUG2" s="1"/>
      <c r="WUH2" s="1"/>
      <c r="WUI2" s="1"/>
      <c r="WUJ2" s="1"/>
      <c r="WUK2" s="1"/>
      <c r="WUL2" s="1"/>
      <c r="WUM2" s="1"/>
      <c r="WUN2" s="1"/>
      <c r="WUO2" s="1"/>
      <c r="WUP2" s="1"/>
      <c r="WUQ2" s="1"/>
      <c r="WUR2" s="1"/>
      <c r="WUS2" s="1"/>
      <c r="WUT2" s="1"/>
      <c r="WUU2" s="1"/>
      <c r="WUV2" s="1"/>
      <c r="WUW2" s="1"/>
      <c r="WUX2" s="1"/>
      <c r="WUY2" s="1"/>
      <c r="WUZ2" s="1"/>
      <c r="WVA2" s="1"/>
      <c r="WVB2" s="1"/>
      <c r="WVC2" s="1"/>
      <c r="WVD2" s="1"/>
      <c r="WVE2" s="1"/>
      <c r="WVF2" s="1"/>
      <c r="WVG2" s="1"/>
      <c r="WVH2" s="1"/>
      <c r="WVI2" s="1"/>
      <c r="WVJ2" s="1"/>
      <c r="WVK2" s="1"/>
      <c r="WVL2" s="1"/>
      <c r="WVM2" s="1"/>
      <c r="WVN2" s="1"/>
      <c r="WVO2" s="1"/>
      <c r="WVP2" s="1"/>
      <c r="WVQ2" s="1"/>
      <c r="WVR2" s="1"/>
      <c r="WVS2" s="1"/>
      <c r="WVT2" s="1"/>
      <c r="WVU2" s="1"/>
      <c r="WVV2" s="1"/>
      <c r="WVW2" s="1"/>
      <c r="WVX2" s="1"/>
      <c r="WVY2" s="1"/>
      <c r="WVZ2" s="1"/>
      <c r="WWA2" s="1"/>
      <c r="WWB2" s="1"/>
      <c r="WWC2" s="1"/>
      <c r="WWD2" s="1"/>
      <c r="WWE2" s="1"/>
      <c r="WWF2" s="1"/>
      <c r="WWG2" s="1"/>
      <c r="WWH2" s="1"/>
      <c r="WWI2" s="1"/>
      <c r="WWJ2" s="1"/>
      <c r="WWK2" s="1"/>
      <c r="WWL2" s="1"/>
      <c r="WWM2" s="1"/>
      <c r="WWN2" s="1"/>
      <c r="WWO2" s="1"/>
      <c r="WWP2" s="1"/>
      <c r="WWQ2" s="1"/>
      <c r="WWR2" s="1"/>
      <c r="WWS2" s="1"/>
      <c r="WWT2" s="1"/>
      <c r="WWU2" s="1"/>
      <c r="WWV2" s="1"/>
      <c r="WWW2" s="1"/>
      <c r="WWX2" s="1"/>
      <c r="WWY2" s="1"/>
      <c r="WWZ2" s="1"/>
      <c r="WXA2" s="1"/>
      <c r="WXB2" s="1"/>
      <c r="WXC2" s="1"/>
      <c r="WXD2" s="1"/>
      <c r="WXE2" s="1"/>
      <c r="WXF2" s="1"/>
      <c r="WXG2" s="1"/>
      <c r="WXH2" s="1"/>
      <c r="WXI2" s="1"/>
      <c r="WXJ2" s="1"/>
      <c r="WXK2" s="1"/>
      <c r="WXL2" s="1"/>
      <c r="WXM2" s="1"/>
      <c r="WXN2" s="1"/>
      <c r="WXO2" s="1"/>
      <c r="WXP2" s="1"/>
      <c r="WXQ2" s="1"/>
      <c r="WXR2" s="1"/>
      <c r="WXS2" s="1"/>
      <c r="WXT2" s="1"/>
      <c r="WXU2" s="1"/>
      <c r="WXV2" s="1"/>
      <c r="WXW2" s="1"/>
      <c r="WXX2" s="1"/>
      <c r="WXY2" s="1"/>
      <c r="WXZ2" s="1"/>
      <c r="WYA2" s="1"/>
      <c r="WYB2" s="1"/>
      <c r="WYC2" s="1"/>
      <c r="WYD2" s="1"/>
      <c r="WYE2" s="1"/>
      <c r="WYF2" s="1"/>
      <c r="WYG2" s="1"/>
      <c r="WYH2" s="1"/>
      <c r="WYI2" s="1"/>
      <c r="WYJ2" s="1"/>
      <c r="WYK2" s="1"/>
      <c r="WYL2" s="1"/>
      <c r="WYM2" s="1"/>
      <c r="WYN2" s="1"/>
      <c r="WYO2" s="1"/>
      <c r="WYP2" s="1"/>
      <c r="WYQ2" s="1"/>
      <c r="WYR2" s="1"/>
      <c r="WYS2" s="1"/>
      <c r="WYT2" s="1"/>
      <c r="WYU2" s="1"/>
      <c r="WYV2" s="1"/>
      <c r="WYW2" s="1"/>
      <c r="WYX2" s="1"/>
      <c r="WYY2" s="1"/>
      <c r="WYZ2" s="1"/>
      <c r="WZA2" s="1"/>
      <c r="WZB2" s="1"/>
      <c r="WZC2" s="1"/>
      <c r="WZD2" s="1"/>
      <c r="WZE2" s="1"/>
      <c r="WZF2" s="1"/>
      <c r="WZG2" s="1"/>
      <c r="WZH2" s="1"/>
      <c r="WZI2" s="1"/>
      <c r="WZJ2" s="1"/>
      <c r="WZK2" s="1"/>
      <c r="WZL2" s="1"/>
      <c r="WZM2" s="1"/>
      <c r="WZN2" s="1"/>
      <c r="WZO2" s="1"/>
      <c r="WZP2" s="1"/>
      <c r="WZQ2" s="1"/>
      <c r="WZR2" s="1"/>
      <c r="WZS2" s="1"/>
      <c r="WZT2" s="1"/>
      <c r="WZU2" s="1"/>
      <c r="WZV2" s="1"/>
      <c r="WZW2" s="1"/>
      <c r="WZX2" s="1"/>
      <c r="WZY2" s="1"/>
      <c r="WZZ2" s="1"/>
      <c r="XAA2" s="1"/>
      <c r="XAB2" s="1"/>
      <c r="XAC2" s="1"/>
      <c r="XAD2" s="1"/>
      <c r="XAE2" s="1"/>
      <c r="XAF2" s="1"/>
      <c r="XAG2" s="1"/>
      <c r="XAH2" s="1"/>
      <c r="XAI2" s="1"/>
      <c r="XAJ2" s="1"/>
      <c r="XAK2" s="1"/>
      <c r="XAL2" s="1"/>
      <c r="XAM2" s="1"/>
      <c r="XAN2" s="1"/>
      <c r="XAO2" s="1"/>
      <c r="XAP2" s="1"/>
      <c r="XAQ2" s="1"/>
      <c r="XAR2" s="1"/>
      <c r="XAS2" s="1"/>
      <c r="XAT2" s="1"/>
      <c r="XAU2" s="1"/>
      <c r="XAV2" s="1"/>
      <c r="XAW2" s="1"/>
      <c r="XAX2" s="1"/>
      <c r="XAY2" s="1"/>
      <c r="XAZ2" s="1"/>
      <c r="XBA2" s="1"/>
      <c r="XBB2" s="1"/>
      <c r="XBC2" s="1"/>
      <c r="XBD2" s="1"/>
      <c r="XBE2" s="1"/>
      <c r="XBF2" s="1"/>
      <c r="XBG2" s="1"/>
      <c r="XBH2" s="1"/>
      <c r="XBI2" s="1"/>
      <c r="XBJ2" s="1"/>
      <c r="XBK2" s="1"/>
      <c r="XBL2" s="1"/>
      <c r="XBM2" s="1"/>
      <c r="XBN2" s="1"/>
      <c r="XBO2" s="1"/>
      <c r="XBP2" s="1"/>
      <c r="XBQ2" s="1"/>
      <c r="XBR2" s="1"/>
      <c r="XBS2" s="1"/>
      <c r="XBT2" s="1"/>
      <c r="XBU2" s="1"/>
      <c r="XBV2" s="1"/>
      <c r="XBW2" s="1"/>
      <c r="XBX2" s="1"/>
      <c r="XBY2" s="1"/>
      <c r="XBZ2" s="1"/>
      <c r="XCA2" s="1"/>
      <c r="XCB2" s="1"/>
      <c r="XCC2" s="1"/>
      <c r="XCD2" s="1"/>
      <c r="XCE2" s="1"/>
      <c r="XCF2" s="1"/>
      <c r="XCG2" s="1"/>
      <c r="XCH2" s="1"/>
      <c r="XCI2" s="1"/>
      <c r="XCJ2" s="1"/>
      <c r="XCK2" s="1"/>
      <c r="XCL2" s="1"/>
      <c r="XCM2" s="1"/>
      <c r="XCN2" s="1"/>
      <c r="XCO2" s="1"/>
      <c r="XCP2" s="1"/>
      <c r="XCQ2" s="1"/>
      <c r="XCR2" s="1"/>
      <c r="XCS2" s="1"/>
      <c r="XCT2" s="1"/>
      <c r="XCU2" s="1"/>
      <c r="XCV2" s="1"/>
      <c r="XCW2" s="1"/>
      <c r="XCX2" s="1"/>
      <c r="XCY2" s="1"/>
      <c r="XCZ2" s="1"/>
      <c r="XDA2" s="1"/>
      <c r="XDB2" s="1"/>
      <c r="XDC2" s="1"/>
      <c r="XDD2" s="1"/>
      <c r="XDE2" s="1"/>
      <c r="XDF2" s="1"/>
      <c r="XDG2" s="1"/>
      <c r="XDH2" s="1"/>
      <c r="XDI2" s="1"/>
      <c r="XDJ2" s="1"/>
      <c r="XDK2" s="1"/>
      <c r="XDL2" s="1"/>
      <c r="XDM2" s="1"/>
      <c r="XDN2" s="1"/>
      <c r="XDO2" s="1"/>
      <c r="XDP2" s="1"/>
      <c r="XDQ2" s="1"/>
      <c r="XDR2" s="1"/>
      <c r="XDS2" s="1"/>
      <c r="XDT2" s="1"/>
      <c r="XDU2" s="1"/>
      <c r="XDV2" s="1"/>
      <c r="XDW2" s="1"/>
      <c r="XDX2" s="1"/>
      <c r="XDY2" s="1"/>
      <c r="XDZ2" s="1"/>
      <c r="XEA2" s="1"/>
      <c r="XEB2" s="1"/>
      <c r="XEC2" s="1"/>
      <c r="XED2" s="1"/>
      <c r="XEE2" s="1"/>
      <c r="XEF2" s="1"/>
      <c r="XEG2" s="1"/>
      <c r="XEH2" s="1"/>
      <c r="XEI2" s="1"/>
      <c r="XEJ2" s="1"/>
      <c r="XEK2" s="1"/>
      <c r="XEL2" s="1"/>
      <c r="XEM2" s="1"/>
      <c r="XEN2" s="1"/>
      <c r="XEO2" s="1"/>
      <c r="XEP2" s="1"/>
      <c r="XEQ2" s="1"/>
      <c r="XER2" s="1"/>
      <c r="XES2" s="1"/>
      <c r="XET2" s="1"/>
      <c r="XEU2" s="1"/>
      <c r="XEV2" s="1"/>
      <c r="XEW2" s="1"/>
      <c r="XEX2" s="1"/>
      <c r="XEY2" s="1"/>
      <c r="XEZ2" s="1"/>
      <c r="XFA2" s="1"/>
      <c r="XFB2" s="1"/>
      <c r="XFC2" s="1"/>
      <c r="XFD2" s="1"/>
    </row>
    <row r="3" spans="1:16384" s="2" customFormat="1" ht="14.5" x14ac:dyDescent="0.35"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  <c r="AMK3" s="1"/>
      <c r="AML3" s="1"/>
      <c r="AMM3" s="1"/>
      <c r="AMN3" s="1"/>
      <c r="AMO3" s="1"/>
      <c r="AMP3" s="1"/>
      <c r="AMQ3" s="1"/>
      <c r="AMR3" s="1"/>
      <c r="AMS3" s="1"/>
      <c r="AMT3" s="1"/>
      <c r="AMU3" s="1"/>
      <c r="AMV3" s="1"/>
      <c r="AMW3" s="1"/>
      <c r="AMX3" s="1"/>
      <c r="AMY3" s="1"/>
      <c r="AMZ3" s="1"/>
      <c r="ANA3" s="1"/>
      <c r="ANB3" s="1"/>
      <c r="ANC3" s="1"/>
      <c r="AND3" s="1"/>
      <c r="ANE3" s="1"/>
      <c r="ANF3" s="1"/>
      <c r="ANG3" s="1"/>
      <c r="ANH3" s="1"/>
      <c r="ANI3" s="1"/>
      <c r="ANJ3" s="1"/>
      <c r="ANK3" s="1"/>
      <c r="ANL3" s="1"/>
      <c r="ANM3" s="1"/>
      <c r="ANN3" s="1"/>
      <c r="ANO3" s="1"/>
      <c r="ANP3" s="1"/>
      <c r="ANQ3" s="1"/>
      <c r="ANR3" s="1"/>
      <c r="ANS3" s="1"/>
      <c r="ANT3" s="1"/>
      <c r="ANU3" s="1"/>
      <c r="ANV3" s="1"/>
      <c r="ANW3" s="1"/>
      <c r="ANX3" s="1"/>
      <c r="ANY3" s="1"/>
      <c r="ANZ3" s="1"/>
      <c r="AOA3" s="1"/>
      <c r="AOB3" s="1"/>
      <c r="AOC3" s="1"/>
      <c r="AOD3" s="1"/>
      <c r="AOE3" s="1"/>
      <c r="AOF3" s="1"/>
      <c r="AOG3" s="1"/>
      <c r="AOH3" s="1"/>
      <c r="AOI3" s="1"/>
      <c r="AOJ3" s="1"/>
      <c r="AOK3" s="1"/>
      <c r="AOL3" s="1"/>
      <c r="AOM3" s="1"/>
      <c r="AON3" s="1"/>
      <c r="AOO3" s="1"/>
      <c r="AOP3" s="1"/>
      <c r="AOQ3" s="1"/>
      <c r="AOR3" s="1"/>
      <c r="AOS3" s="1"/>
      <c r="AOT3" s="1"/>
      <c r="AOU3" s="1"/>
      <c r="AOV3" s="1"/>
      <c r="AOW3" s="1"/>
      <c r="AOX3" s="1"/>
      <c r="AOY3" s="1"/>
      <c r="AOZ3" s="1"/>
      <c r="APA3" s="1"/>
      <c r="APB3" s="1"/>
      <c r="APC3" s="1"/>
      <c r="APD3" s="1"/>
      <c r="APE3" s="1"/>
      <c r="APF3" s="1"/>
      <c r="APG3" s="1"/>
      <c r="APH3" s="1"/>
      <c r="API3" s="1"/>
      <c r="APJ3" s="1"/>
      <c r="APK3" s="1"/>
      <c r="APL3" s="1"/>
      <c r="APM3" s="1"/>
      <c r="APN3" s="1"/>
      <c r="APO3" s="1"/>
      <c r="APP3" s="1"/>
      <c r="APQ3" s="1"/>
      <c r="APR3" s="1"/>
      <c r="APS3" s="1"/>
      <c r="APT3" s="1"/>
      <c r="APU3" s="1"/>
      <c r="APV3" s="1"/>
      <c r="APW3" s="1"/>
      <c r="APX3" s="1"/>
      <c r="APY3" s="1"/>
      <c r="APZ3" s="1"/>
      <c r="AQA3" s="1"/>
      <c r="AQB3" s="1"/>
      <c r="AQC3" s="1"/>
      <c r="AQD3" s="1"/>
      <c r="AQE3" s="1"/>
      <c r="AQF3" s="1"/>
      <c r="AQG3" s="1"/>
      <c r="AQH3" s="1"/>
      <c r="AQI3" s="1"/>
      <c r="AQJ3" s="1"/>
      <c r="AQK3" s="1"/>
      <c r="AQL3" s="1"/>
      <c r="AQM3" s="1"/>
      <c r="AQN3" s="1"/>
      <c r="AQO3" s="1"/>
      <c r="AQP3" s="1"/>
      <c r="AQQ3" s="1"/>
      <c r="AQR3" s="1"/>
      <c r="AQS3" s="1"/>
      <c r="AQT3" s="1"/>
      <c r="AQU3" s="1"/>
      <c r="AQV3" s="1"/>
      <c r="AQW3" s="1"/>
      <c r="AQX3" s="1"/>
      <c r="AQY3" s="1"/>
      <c r="AQZ3" s="1"/>
      <c r="ARA3" s="1"/>
      <c r="ARB3" s="1"/>
      <c r="ARC3" s="1"/>
      <c r="ARD3" s="1"/>
      <c r="ARE3" s="1"/>
      <c r="ARF3" s="1"/>
      <c r="ARG3" s="1"/>
      <c r="ARH3" s="1"/>
      <c r="ARI3" s="1"/>
      <c r="ARJ3" s="1"/>
      <c r="ARK3" s="1"/>
      <c r="ARL3" s="1"/>
      <c r="ARM3" s="1"/>
      <c r="ARN3" s="1"/>
      <c r="ARO3" s="1"/>
      <c r="ARP3" s="1"/>
      <c r="ARQ3" s="1"/>
      <c r="ARR3" s="1"/>
      <c r="ARS3" s="1"/>
      <c r="ART3" s="1"/>
      <c r="ARU3" s="1"/>
      <c r="ARV3" s="1"/>
      <c r="ARW3" s="1"/>
      <c r="ARX3" s="1"/>
      <c r="ARY3" s="1"/>
      <c r="ARZ3" s="1"/>
      <c r="ASA3" s="1"/>
      <c r="ASB3" s="1"/>
      <c r="ASC3" s="1"/>
      <c r="ASD3" s="1"/>
      <c r="ASE3" s="1"/>
      <c r="ASF3" s="1"/>
      <c r="ASG3" s="1"/>
      <c r="ASH3" s="1"/>
      <c r="ASI3" s="1"/>
      <c r="ASJ3" s="1"/>
      <c r="ASK3" s="1"/>
      <c r="ASL3" s="1"/>
      <c r="ASM3" s="1"/>
      <c r="ASN3" s="1"/>
      <c r="ASO3" s="1"/>
      <c r="ASP3" s="1"/>
      <c r="ASQ3" s="1"/>
      <c r="ASR3" s="1"/>
      <c r="ASS3" s="1"/>
      <c r="AST3" s="1"/>
      <c r="ASU3" s="1"/>
      <c r="ASV3" s="1"/>
      <c r="ASW3" s="1"/>
      <c r="ASX3" s="1"/>
      <c r="ASY3" s="1"/>
      <c r="ASZ3" s="1"/>
      <c r="ATA3" s="1"/>
      <c r="ATB3" s="1"/>
      <c r="ATC3" s="1"/>
      <c r="ATD3" s="1"/>
      <c r="ATE3" s="1"/>
      <c r="ATF3" s="1"/>
      <c r="ATG3" s="1"/>
      <c r="ATH3" s="1"/>
      <c r="ATI3" s="1"/>
      <c r="ATJ3" s="1"/>
      <c r="ATK3" s="1"/>
      <c r="ATL3" s="1"/>
      <c r="ATM3" s="1"/>
      <c r="ATN3" s="1"/>
      <c r="ATO3" s="1"/>
      <c r="ATP3" s="1"/>
      <c r="ATQ3" s="1"/>
      <c r="ATR3" s="1"/>
      <c r="ATS3" s="1"/>
      <c r="ATT3" s="1"/>
      <c r="ATU3" s="1"/>
      <c r="ATV3" s="1"/>
      <c r="ATW3" s="1"/>
      <c r="ATX3" s="1"/>
      <c r="ATY3" s="1"/>
      <c r="ATZ3" s="1"/>
      <c r="AUA3" s="1"/>
      <c r="AUB3" s="1"/>
      <c r="AUC3" s="1"/>
      <c r="AUD3" s="1"/>
      <c r="AUE3" s="1"/>
      <c r="AUF3" s="1"/>
      <c r="AUG3" s="1"/>
      <c r="AUH3" s="1"/>
      <c r="AUI3" s="1"/>
      <c r="AUJ3" s="1"/>
      <c r="AUK3" s="1"/>
      <c r="AUL3" s="1"/>
      <c r="AUM3" s="1"/>
      <c r="AUN3" s="1"/>
      <c r="AUO3" s="1"/>
      <c r="AUP3" s="1"/>
      <c r="AUQ3" s="1"/>
      <c r="AUR3" s="1"/>
      <c r="AUS3" s="1"/>
      <c r="AUT3" s="1"/>
      <c r="AUU3" s="1"/>
      <c r="AUV3" s="1"/>
      <c r="AUW3" s="1"/>
      <c r="AUX3" s="1"/>
      <c r="AUY3" s="1"/>
      <c r="AUZ3" s="1"/>
      <c r="AVA3" s="1"/>
      <c r="AVB3" s="1"/>
      <c r="AVC3" s="1"/>
      <c r="AVD3" s="1"/>
      <c r="AVE3" s="1"/>
      <c r="AVF3" s="1"/>
      <c r="AVG3" s="1"/>
      <c r="AVH3" s="1"/>
      <c r="AVI3" s="1"/>
      <c r="AVJ3" s="1"/>
      <c r="AVK3" s="1"/>
      <c r="AVL3" s="1"/>
      <c r="AVM3" s="1"/>
      <c r="AVN3" s="1"/>
      <c r="AVO3" s="1"/>
      <c r="AVP3" s="1"/>
      <c r="AVQ3" s="1"/>
      <c r="AVR3" s="1"/>
      <c r="AVS3" s="1"/>
      <c r="AVT3" s="1"/>
      <c r="AVU3" s="1"/>
      <c r="AVV3" s="1"/>
      <c r="AVW3" s="1"/>
      <c r="AVX3" s="1"/>
      <c r="AVY3" s="1"/>
      <c r="AVZ3" s="1"/>
      <c r="AWA3" s="1"/>
      <c r="AWB3" s="1"/>
      <c r="AWC3" s="1"/>
      <c r="AWD3" s="1"/>
      <c r="AWE3" s="1"/>
      <c r="AWF3" s="1"/>
      <c r="AWG3" s="1"/>
      <c r="AWH3" s="1"/>
      <c r="AWI3" s="1"/>
      <c r="AWJ3" s="1"/>
      <c r="AWK3" s="1"/>
      <c r="AWL3" s="1"/>
      <c r="AWM3" s="1"/>
      <c r="AWN3" s="1"/>
      <c r="AWO3" s="1"/>
      <c r="AWP3" s="1"/>
      <c r="AWQ3" s="1"/>
      <c r="AWR3" s="1"/>
      <c r="AWS3" s="1"/>
      <c r="AWT3" s="1"/>
      <c r="AWU3" s="1"/>
      <c r="AWV3" s="1"/>
      <c r="AWW3" s="1"/>
      <c r="AWX3" s="1"/>
      <c r="AWY3" s="1"/>
      <c r="AWZ3" s="1"/>
      <c r="AXA3" s="1"/>
      <c r="AXB3" s="1"/>
      <c r="AXC3" s="1"/>
      <c r="AXD3" s="1"/>
      <c r="AXE3" s="1"/>
      <c r="AXF3" s="1"/>
      <c r="AXG3" s="1"/>
      <c r="AXH3" s="1"/>
      <c r="AXI3" s="1"/>
      <c r="AXJ3" s="1"/>
      <c r="AXK3" s="1"/>
      <c r="AXL3" s="1"/>
      <c r="AXM3" s="1"/>
      <c r="AXN3" s="1"/>
      <c r="AXO3" s="1"/>
      <c r="AXP3" s="1"/>
      <c r="AXQ3" s="1"/>
      <c r="AXR3" s="1"/>
      <c r="AXS3" s="1"/>
      <c r="AXT3" s="1"/>
      <c r="AXU3" s="1"/>
      <c r="AXV3" s="1"/>
      <c r="AXW3" s="1"/>
      <c r="AXX3" s="1"/>
      <c r="AXY3" s="1"/>
      <c r="AXZ3" s="1"/>
      <c r="AYA3" s="1"/>
      <c r="AYB3" s="1"/>
      <c r="AYC3" s="1"/>
      <c r="AYD3" s="1"/>
      <c r="AYE3" s="1"/>
      <c r="AYF3" s="1"/>
      <c r="AYG3" s="1"/>
      <c r="AYH3" s="1"/>
      <c r="AYI3" s="1"/>
      <c r="AYJ3" s="1"/>
      <c r="AYK3" s="1"/>
      <c r="AYL3" s="1"/>
      <c r="AYM3" s="1"/>
      <c r="AYN3" s="1"/>
      <c r="AYO3" s="1"/>
      <c r="AYP3" s="1"/>
      <c r="AYQ3" s="1"/>
      <c r="AYR3" s="1"/>
      <c r="AYS3" s="1"/>
      <c r="AYT3" s="1"/>
      <c r="AYU3" s="1"/>
      <c r="AYV3" s="1"/>
      <c r="AYW3" s="1"/>
      <c r="AYX3" s="1"/>
      <c r="AYY3" s="1"/>
      <c r="AYZ3" s="1"/>
      <c r="AZA3" s="1"/>
      <c r="AZB3" s="1"/>
      <c r="AZC3" s="1"/>
      <c r="AZD3" s="1"/>
      <c r="AZE3" s="1"/>
      <c r="AZF3" s="1"/>
      <c r="AZG3" s="1"/>
      <c r="AZH3" s="1"/>
      <c r="AZI3" s="1"/>
      <c r="AZJ3" s="1"/>
      <c r="AZK3" s="1"/>
      <c r="AZL3" s="1"/>
      <c r="AZM3" s="1"/>
      <c r="AZN3" s="1"/>
      <c r="AZO3" s="1"/>
      <c r="AZP3" s="1"/>
      <c r="AZQ3" s="1"/>
      <c r="AZR3" s="1"/>
      <c r="AZS3" s="1"/>
      <c r="AZT3" s="1"/>
      <c r="AZU3" s="1"/>
      <c r="AZV3" s="1"/>
      <c r="AZW3" s="1"/>
      <c r="AZX3" s="1"/>
      <c r="AZY3" s="1"/>
      <c r="AZZ3" s="1"/>
      <c r="BAA3" s="1"/>
      <c r="BAB3" s="1"/>
      <c r="BAC3" s="1"/>
      <c r="BAD3" s="1"/>
      <c r="BAE3" s="1"/>
      <c r="BAF3" s="1"/>
      <c r="BAG3" s="1"/>
      <c r="BAH3" s="1"/>
      <c r="BAI3" s="1"/>
      <c r="BAJ3" s="1"/>
      <c r="BAK3" s="1"/>
      <c r="BAL3" s="1"/>
      <c r="BAM3" s="1"/>
      <c r="BAN3" s="1"/>
      <c r="BAO3" s="1"/>
      <c r="BAP3" s="1"/>
      <c r="BAQ3" s="1"/>
      <c r="BAR3" s="1"/>
      <c r="BAS3" s="1"/>
      <c r="BAT3" s="1"/>
      <c r="BAU3" s="1"/>
      <c r="BAV3" s="1"/>
      <c r="BAW3" s="1"/>
      <c r="BAX3" s="1"/>
      <c r="BAY3" s="1"/>
      <c r="BAZ3" s="1"/>
      <c r="BBA3" s="1"/>
      <c r="BBB3" s="1"/>
      <c r="BBC3" s="1"/>
      <c r="BBD3" s="1"/>
      <c r="BBE3" s="1"/>
      <c r="BBF3" s="1"/>
      <c r="BBG3" s="1"/>
      <c r="BBH3" s="1"/>
      <c r="BBI3" s="1"/>
      <c r="BBJ3" s="1"/>
      <c r="BBK3" s="1"/>
      <c r="BBL3" s="1"/>
      <c r="BBM3" s="1"/>
      <c r="BBN3" s="1"/>
      <c r="BBO3" s="1"/>
      <c r="BBP3" s="1"/>
      <c r="BBQ3" s="1"/>
      <c r="BBR3" s="1"/>
      <c r="BBS3" s="1"/>
      <c r="BBT3" s="1"/>
      <c r="BBU3" s="1"/>
      <c r="BBV3" s="1"/>
      <c r="BBW3" s="1"/>
      <c r="BBX3" s="1"/>
      <c r="BBY3" s="1"/>
      <c r="BBZ3" s="1"/>
      <c r="BCA3" s="1"/>
      <c r="BCB3" s="1"/>
      <c r="BCC3" s="1"/>
      <c r="BCD3" s="1"/>
      <c r="BCE3" s="1"/>
      <c r="BCF3" s="1"/>
      <c r="BCG3" s="1"/>
      <c r="BCH3" s="1"/>
      <c r="BCI3" s="1"/>
      <c r="BCJ3" s="1"/>
      <c r="BCK3" s="1"/>
      <c r="BCL3" s="1"/>
      <c r="BCM3" s="1"/>
      <c r="BCN3" s="1"/>
      <c r="BCO3" s="1"/>
      <c r="BCP3" s="1"/>
      <c r="BCQ3" s="1"/>
      <c r="BCR3" s="1"/>
      <c r="BCS3" s="1"/>
      <c r="BCT3" s="1"/>
      <c r="BCU3" s="1"/>
      <c r="BCV3" s="1"/>
      <c r="BCW3" s="1"/>
      <c r="BCX3" s="1"/>
      <c r="BCY3" s="1"/>
      <c r="BCZ3" s="1"/>
      <c r="BDA3" s="1"/>
      <c r="BDB3" s="1"/>
      <c r="BDC3" s="1"/>
      <c r="BDD3" s="1"/>
      <c r="BDE3" s="1"/>
      <c r="BDF3" s="1"/>
      <c r="BDG3" s="1"/>
      <c r="BDH3" s="1"/>
      <c r="BDI3" s="1"/>
      <c r="BDJ3" s="1"/>
      <c r="BDK3" s="1"/>
      <c r="BDL3" s="1"/>
      <c r="BDM3" s="1"/>
      <c r="BDN3" s="1"/>
      <c r="BDO3" s="1"/>
      <c r="BDP3" s="1"/>
      <c r="BDQ3" s="1"/>
      <c r="BDR3" s="1"/>
      <c r="BDS3" s="1"/>
      <c r="BDT3" s="1"/>
      <c r="BDU3" s="1"/>
      <c r="BDV3" s="1"/>
      <c r="BDW3" s="1"/>
      <c r="BDX3" s="1"/>
      <c r="BDY3" s="1"/>
      <c r="BDZ3" s="1"/>
      <c r="BEA3" s="1"/>
      <c r="BEB3" s="1"/>
      <c r="BEC3" s="1"/>
      <c r="BED3" s="1"/>
      <c r="BEE3" s="1"/>
      <c r="BEF3" s="1"/>
      <c r="BEG3" s="1"/>
      <c r="BEH3" s="1"/>
      <c r="BEI3" s="1"/>
      <c r="BEJ3" s="1"/>
      <c r="BEK3" s="1"/>
      <c r="BEL3" s="1"/>
      <c r="BEM3" s="1"/>
      <c r="BEN3" s="1"/>
      <c r="BEO3" s="1"/>
      <c r="BEP3" s="1"/>
      <c r="BEQ3" s="1"/>
      <c r="BER3" s="1"/>
      <c r="BES3" s="1"/>
      <c r="BET3" s="1"/>
      <c r="BEU3" s="1"/>
      <c r="BEV3" s="1"/>
      <c r="BEW3" s="1"/>
      <c r="BEX3" s="1"/>
      <c r="BEY3" s="1"/>
      <c r="BEZ3" s="1"/>
      <c r="BFA3" s="1"/>
      <c r="BFB3" s="1"/>
      <c r="BFC3" s="1"/>
      <c r="BFD3" s="1"/>
      <c r="BFE3" s="1"/>
      <c r="BFF3" s="1"/>
      <c r="BFG3" s="1"/>
      <c r="BFH3" s="1"/>
      <c r="BFI3" s="1"/>
      <c r="BFJ3" s="1"/>
      <c r="BFK3" s="1"/>
      <c r="BFL3" s="1"/>
      <c r="BFM3" s="1"/>
      <c r="BFN3" s="1"/>
      <c r="BFO3" s="1"/>
      <c r="BFP3" s="1"/>
      <c r="BFQ3" s="1"/>
      <c r="BFR3" s="1"/>
      <c r="BFS3" s="1"/>
      <c r="BFT3" s="1"/>
      <c r="BFU3" s="1"/>
      <c r="BFV3" s="1"/>
      <c r="BFW3" s="1"/>
      <c r="BFX3" s="1"/>
      <c r="BFY3" s="1"/>
      <c r="BFZ3" s="1"/>
      <c r="BGA3" s="1"/>
      <c r="BGB3" s="1"/>
      <c r="BGC3" s="1"/>
      <c r="BGD3" s="1"/>
      <c r="BGE3" s="1"/>
      <c r="BGF3" s="1"/>
      <c r="BGG3" s="1"/>
      <c r="BGH3" s="1"/>
      <c r="BGI3" s="1"/>
      <c r="BGJ3" s="1"/>
      <c r="BGK3" s="1"/>
      <c r="BGL3" s="1"/>
      <c r="BGM3" s="1"/>
      <c r="BGN3" s="1"/>
      <c r="BGO3" s="1"/>
      <c r="BGP3" s="1"/>
      <c r="BGQ3" s="1"/>
      <c r="BGR3" s="1"/>
      <c r="BGS3" s="1"/>
      <c r="BGT3" s="1"/>
      <c r="BGU3" s="1"/>
      <c r="BGV3" s="1"/>
      <c r="BGW3" s="1"/>
      <c r="BGX3" s="1"/>
      <c r="BGY3" s="1"/>
      <c r="BGZ3" s="1"/>
      <c r="BHA3" s="1"/>
      <c r="BHB3" s="1"/>
      <c r="BHC3" s="1"/>
      <c r="BHD3" s="1"/>
      <c r="BHE3" s="1"/>
      <c r="BHF3" s="1"/>
      <c r="BHG3" s="1"/>
      <c r="BHH3" s="1"/>
      <c r="BHI3" s="1"/>
      <c r="BHJ3" s="1"/>
      <c r="BHK3" s="1"/>
      <c r="BHL3" s="1"/>
      <c r="BHM3" s="1"/>
      <c r="BHN3" s="1"/>
      <c r="BHO3" s="1"/>
      <c r="BHP3" s="1"/>
      <c r="BHQ3" s="1"/>
      <c r="BHR3" s="1"/>
      <c r="BHS3" s="1"/>
      <c r="BHT3" s="1"/>
      <c r="BHU3" s="1"/>
      <c r="BHV3" s="1"/>
      <c r="BHW3" s="1"/>
      <c r="BHX3" s="1"/>
      <c r="BHY3" s="1"/>
      <c r="BHZ3" s="1"/>
      <c r="BIA3" s="1"/>
      <c r="BIB3" s="1"/>
      <c r="BIC3" s="1"/>
      <c r="BID3" s="1"/>
      <c r="BIE3" s="1"/>
      <c r="BIF3" s="1"/>
      <c r="BIG3" s="1"/>
      <c r="BIH3" s="1"/>
      <c r="BII3" s="1"/>
      <c r="BIJ3" s="1"/>
      <c r="BIK3" s="1"/>
      <c r="BIL3" s="1"/>
      <c r="BIM3" s="1"/>
      <c r="BIN3" s="1"/>
      <c r="BIO3" s="1"/>
      <c r="BIP3" s="1"/>
      <c r="BIQ3" s="1"/>
      <c r="BIR3" s="1"/>
      <c r="BIS3" s="1"/>
      <c r="BIT3" s="1"/>
      <c r="BIU3" s="1"/>
      <c r="BIV3" s="1"/>
      <c r="BIW3" s="1"/>
      <c r="BIX3" s="1"/>
      <c r="BIY3" s="1"/>
      <c r="BIZ3" s="1"/>
      <c r="BJA3" s="1"/>
      <c r="BJB3" s="1"/>
      <c r="BJC3" s="1"/>
      <c r="BJD3" s="1"/>
      <c r="BJE3" s="1"/>
      <c r="BJF3" s="1"/>
      <c r="BJG3" s="1"/>
      <c r="BJH3" s="1"/>
      <c r="BJI3" s="1"/>
      <c r="BJJ3" s="1"/>
      <c r="BJK3" s="1"/>
      <c r="BJL3" s="1"/>
      <c r="BJM3" s="1"/>
      <c r="BJN3" s="1"/>
      <c r="BJO3" s="1"/>
      <c r="BJP3" s="1"/>
      <c r="BJQ3" s="1"/>
      <c r="BJR3" s="1"/>
      <c r="BJS3" s="1"/>
      <c r="BJT3" s="1"/>
      <c r="BJU3" s="1"/>
      <c r="BJV3" s="1"/>
      <c r="BJW3" s="1"/>
      <c r="BJX3" s="1"/>
      <c r="BJY3" s="1"/>
      <c r="BJZ3" s="1"/>
      <c r="BKA3" s="1"/>
      <c r="BKB3" s="1"/>
      <c r="BKC3" s="1"/>
      <c r="BKD3" s="1"/>
      <c r="BKE3" s="1"/>
      <c r="BKF3" s="1"/>
      <c r="BKG3" s="1"/>
      <c r="BKH3" s="1"/>
      <c r="BKI3" s="1"/>
      <c r="BKJ3" s="1"/>
      <c r="BKK3" s="1"/>
      <c r="BKL3" s="1"/>
      <c r="BKM3" s="1"/>
      <c r="BKN3" s="1"/>
      <c r="BKO3" s="1"/>
      <c r="BKP3" s="1"/>
      <c r="BKQ3" s="1"/>
      <c r="BKR3" s="1"/>
      <c r="BKS3" s="1"/>
      <c r="BKT3" s="1"/>
      <c r="BKU3" s="1"/>
      <c r="BKV3" s="1"/>
      <c r="BKW3" s="1"/>
      <c r="BKX3" s="1"/>
      <c r="BKY3" s="1"/>
      <c r="BKZ3" s="1"/>
      <c r="BLA3" s="1"/>
      <c r="BLB3" s="1"/>
      <c r="BLC3" s="1"/>
      <c r="BLD3" s="1"/>
      <c r="BLE3" s="1"/>
      <c r="BLF3" s="1"/>
      <c r="BLG3" s="1"/>
      <c r="BLH3" s="1"/>
      <c r="BLI3" s="1"/>
      <c r="BLJ3" s="1"/>
      <c r="BLK3" s="1"/>
      <c r="BLL3" s="1"/>
      <c r="BLM3" s="1"/>
      <c r="BLN3" s="1"/>
      <c r="BLO3" s="1"/>
      <c r="BLP3" s="1"/>
      <c r="BLQ3" s="1"/>
      <c r="BLR3" s="1"/>
      <c r="BLS3" s="1"/>
      <c r="BLT3" s="1"/>
      <c r="BLU3" s="1"/>
      <c r="BLV3" s="1"/>
      <c r="BLW3" s="1"/>
      <c r="BLX3" s="1"/>
      <c r="BLY3" s="1"/>
      <c r="BLZ3" s="1"/>
      <c r="BMA3" s="1"/>
      <c r="BMB3" s="1"/>
      <c r="BMC3" s="1"/>
      <c r="BMD3" s="1"/>
      <c r="BME3" s="1"/>
      <c r="BMF3" s="1"/>
      <c r="BMG3" s="1"/>
      <c r="BMH3" s="1"/>
      <c r="BMI3" s="1"/>
      <c r="BMJ3" s="1"/>
      <c r="BMK3" s="1"/>
      <c r="BML3" s="1"/>
      <c r="BMM3" s="1"/>
      <c r="BMN3" s="1"/>
      <c r="BMO3" s="1"/>
      <c r="BMP3" s="1"/>
      <c r="BMQ3" s="1"/>
      <c r="BMR3" s="1"/>
      <c r="BMS3" s="1"/>
      <c r="BMT3" s="1"/>
      <c r="BMU3" s="1"/>
      <c r="BMV3" s="1"/>
      <c r="BMW3" s="1"/>
      <c r="BMX3" s="1"/>
      <c r="BMY3" s="1"/>
      <c r="BMZ3" s="1"/>
      <c r="BNA3" s="1"/>
      <c r="BNB3" s="1"/>
      <c r="BNC3" s="1"/>
      <c r="BND3" s="1"/>
      <c r="BNE3" s="1"/>
      <c r="BNF3" s="1"/>
      <c r="BNG3" s="1"/>
      <c r="BNH3" s="1"/>
      <c r="BNI3" s="1"/>
      <c r="BNJ3" s="1"/>
      <c r="BNK3" s="1"/>
      <c r="BNL3" s="1"/>
      <c r="BNM3" s="1"/>
      <c r="BNN3" s="1"/>
      <c r="BNO3" s="1"/>
      <c r="BNP3" s="1"/>
      <c r="BNQ3" s="1"/>
      <c r="BNR3" s="1"/>
      <c r="BNS3" s="1"/>
      <c r="BNT3" s="1"/>
      <c r="BNU3" s="1"/>
      <c r="BNV3" s="1"/>
      <c r="BNW3" s="1"/>
      <c r="BNX3" s="1"/>
      <c r="BNY3" s="1"/>
      <c r="BNZ3" s="1"/>
      <c r="BOA3" s="1"/>
      <c r="BOB3" s="1"/>
      <c r="BOC3" s="1"/>
      <c r="BOD3" s="1"/>
      <c r="BOE3" s="1"/>
      <c r="BOF3" s="1"/>
      <c r="BOG3" s="1"/>
      <c r="BOH3" s="1"/>
      <c r="BOI3" s="1"/>
      <c r="BOJ3" s="1"/>
      <c r="BOK3" s="1"/>
      <c r="BOL3" s="1"/>
      <c r="BOM3" s="1"/>
      <c r="BON3" s="1"/>
      <c r="BOO3" s="1"/>
      <c r="BOP3" s="1"/>
      <c r="BOQ3" s="1"/>
      <c r="BOR3" s="1"/>
      <c r="BOS3" s="1"/>
      <c r="BOT3" s="1"/>
      <c r="BOU3" s="1"/>
      <c r="BOV3" s="1"/>
      <c r="BOW3" s="1"/>
      <c r="BOX3" s="1"/>
      <c r="BOY3" s="1"/>
      <c r="BOZ3" s="1"/>
      <c r="BPA3" s="1"/>
      <c r="BPB3" s="1"/>
      <c r="BPC3" s="1"/>
      <c r="BPD3" s="1"/>
      <c r="BPE3" s="1"/>
      <c r="BPF3" s="1"/>
      <c r="BPG3" s="1"/>
      <c r="BPH3" s="1"/>
      <c r="BPI3" s="1"/>
      <c r="BPJ3" s="1"/>
      <c r="BPK3" s="1"/>
      <c r="BPL3" s="1"/>
      <c r="BPM3" s="1"/>
      <c r="BPN3" s="1"/>
      <c r="BPO3" s="1"/>
      <c r="BPP3" s="1"/>
      <c r="BPQ3" s="1"/>
      <c r="BPR3" s="1"/>
      <c r="BPS3" s="1"/>
      <c r="BPT3" s="1"/>
      <c r="BPU3" s="1"/>
      <c r="BPV3" s="1"/>
      <c r="BPW3" s="1"/>
      <c r="BPX3" s="1"/>
      <c r="BPY3" s="1"/>
      <c r="BPZ3" s="1"/>
      <c r="BQA3" s="1"/>
      <c r="BQB3" s="1"/>
      <c r="BQC3" s="1"/>
      <c r="BQD3" s="1"/>
      <c r="BQE3" s="1"/>
      <c r="BQF3" s="1"/>
      <c r="BQG3" s="1"/>
      <c r="BQH3" s="1"/>
      <c r="BQI3" s="1"/>
      <c r="BQJ3" s="1"/>
      <c r="BQK3" s="1"/>
      <c r="BQL3" s="1"/>
      <c r="BQM3" s="1"/>
      <c r="BQN3" s="1"/>
      <c r="BQO3" s="1"/>
      <c r="BQP3" s="1"/>
      <c r="BQQ3" s="1"/>
      <c r="BQR3" s="1"/>
      <c r="BQS3" s="1"/>
      <c r="BQT3" s="1"/>
      <c r="BQU3" s="1"/>
      <c r="BQV3" s="1"/>
      <c r="BQW3" s="1"/>
      <c r="BQX3" s="1"/>
      <c r="BQY3" s="1"/>
      <c r="BQZ3" s="1"/>
      <c r="BRA3" s="1"/>
      <c r="BRB3" s="1"/>
      <c r="BRC3" s="1"/>
      <c r="BRD3" s="1"/>
      <c r="BRE3" s="1"/>
      <c r="BRF3" s="1"/>
      <c r="BRG3" s="1"/>
      <c r="BRH3" s="1"/>
      <c r="BRI3" s="1"/>
      <c r="BRJ3" s="1"/>
      <c r="BRK3" s="1"/>
      <c r="BRL3" s="1"/>
      <c r="BRM3" s="1"/>
      <c r="BRN3" s="1"/>
      <c r="BRO3" s="1"/>
      <c r="BRP3" s="1"/>
      <c r="BRQ3" s="1"/>
      <c r="BRR3" s="1"/>
      <c r="BRS3" s="1"/>
      <c r="BRT3" s="1"/>
      <c r="BRU3" s="1"/>
      <c r="BRV3" s="1"/>
      <c r="BRW3" s="1"/>
      <c r="BRX3" s="1"/>
      <c r="BRY3" s="1"/>
      <c r="BRZ3" s="1"/>
      <c r="BSA3" s="1"/>
      <c r="BSB3" s="1"/>
      <c r="BSC3" s="1"/>
      <c r="BSD3" s="1"/>
      <c r="BSE3" s="1"/>
      <c r="BSF3" s="1"/>
      <c r="BSG3" s="1"/>
      <c r="BSH3" s="1"/>
      <c r="BSI3" s="1"/>
      <c r="BSJ3" s="1"/>
      <c r="BSK3" s="1"/>
      <c r="BSL3" s="1"/>
      <c r="BSM3" s="1"/>
      <c r="BSN3" s="1"/>
      <c r="BSO3" s="1"/>
      <c r="BSP3" s="1"/>
      <c r="BSQ3" s="1"/>
      <c r="BSR3" s="1"/>
      <c r="BSS3" s="1"/>
      <c r="BST3" s="1"/>
      <c r="BSU3" s="1"/>
      <c r="BSV3" s="1"/>
      <c r="BSW3" s="1"/>
      <c r="BSX3" s="1"/>
      <c r="BSY3" s="1"/>
      <c r="BSZ3" s="1"/>
      <c r="BTA3" s="1"/>
      <c r="BTB3" s="1"/>
      <c r="BTC3" s="1"/>
      <c r="BTD3" s="1"/>
      <c r="BTE3" s="1"/>
      <c r="BTF3" s="1"/>
      <c r="BTG3" s="1"/>
      <c r="BTH3" s="1"/>
      <c r="BTI3" s="1"/>
      <c r="BTJ3" s="1"/>
      <c r="BTK3" s="1"/>
      <c r="BTL3" s="1"/>
      <c r="BTM3" s="1"/>
      <c r="BTN3" s="1"/>
      <c r="BTO3" s="1"/>
      <c r="BTP3" s="1"/>
      <c r="BTQ3" s="1"/>
      <c r="BTR3" s="1"/>
      <c r="BTS3" s="1"/>
      <c r="BTT3" s="1"/>
      <c r="BTU3" s="1"/>
      <c r="BTV3" s="1"/>
      <c r="BTW3" s="1"/>
      <c r="BTX3" s="1"/>
      <c r="BTY3" s="1"/>
      <c r="BTZ3" s="1"/>
      <c r="BUA3" s="1"/>
      <c r="BUB3" s="1"/>
      <c r="BUC3" s="1"/>
      <c r="BUD3" s="1"/>
      <c r="BUE3" s="1"/>
      <c r="BUF3" s="1"/>
      <c r="BUG3" s="1"/>
      <c r="BUH3" s="1"/>
      <c r="BUI3" s="1"/>
      <c r="BUJ3" s="1"/>
      <c r="BUK3" s="1"/>
      <c r="BUL3" s="1"/>
      <c r="BUM3" s="1"/>
      <c r="BUN3" s="1"/>
      <c r="BUO3" s="1"/>
      <c r="BUP3" s="1"/>
      <c r="BUQ3" s="1"/>
      <c r="BUR3" s="1"/>
      <c r="BUS3" s="1"/>
      <c r="BUT3" s="1"/>
      <c r="BUU3" s="1"/>
      <c r="BUV3" s="1"/>
      <c r="BUW3" s="1"/>
      <c r="BUX3" s="1"/>
      <c r="BUY3" s="1"/>
      <c r="BUZ3" s="1"/>
      <c r="BVA3" s="1"/>
      <c r="BVB3" s="1"/>
      <c r="BVC3" s="1"/>
      <c r="BVD3" s="1"/>
      <c r="BVE3" s="1"/>
      <c r="BVF3" s="1"/>
      <c r="BVG3" s="1"/>
      <c r="BVH3" s="1"/>
      <c r="BVI3" s="1"/>
      <c r="BVJ3" s="1"/>
      <c r="BVK3" s="1"/>
      <c r="BVL3" s="1"/>
      <c r="BVM3" s="1"/>
      <c r="BVN3" s="1"/>
      <c r="BVO3" s="1"/>
      <c r="BVP3" s="1"/>
      <c r="BVQ3" s="1"/>
      <c r="BVR3" s="1"/>
      <c r="BVS3" s="1"/>
      <c r="BVT3" s="1"/>
      <c r="BVU3" s="1"/>
      <c r="BVV3" s="1"/>
      <c r="BVW3" s="1"/>
      <c r="BVX3" s="1"/>
      <c r="BVY3" s="1"/>
      <c r="BVZ3" s="1"/>
      <c r="BWA3" s="1"/>
      <c r="BWB3" s="1"/>
      <c r="BWC3" s="1"/>
      <c r="BWD3" s="1"/>
      <c r="BWE3" s="1"/>
      <c r="BWF3" s="1"/>
      <c r="BWG3" s="1"/>
      <c r="BWH3" s="1"/>
      <c r="BWI3" s="1"/>
      <c r="BWJ3" s="1"/>
      <c r="BWK3" s="1"/>
      <c r="BWL3" s="1"/>
      <c r="BWM3" s="1"/>
      <c r="BWN3" s="1"/>
      <c r="BWO3" s="1"/>
      <c r="BWP3" s="1"/>
      <c r="BWQ3" s="1"/>
      <c r="BWR3" s="1"/>
      <c r="BWS3" s="1"/>
      <c r="BWT3" s="1"/>
      <c r="BWU3" s="1"/>
      <c r="BWV3" s="1"/>
      <c r="BWW3" s="1"/>
      <c r="BWX3" s="1"/>
      <c r="BWY3" s="1"/>
      <c r="BWZ3" s="1"/>
      <c r="BXA3" s="1"/>
      <c r="BXB3" s="1"/>
      <c r="BXC3" s="1"/>
      <c r="BXD3" s="1"/>
      <c r="BXE3" s="1"/>
      <c r="BXF3" s="1"/>
      <c r="BXG3" s="1"/>
      <c r="BXH3" s="1"/>
      <c r="BXI3" s="1"/>
      <c r="BXJ3" s="1"/>
      <c r="BXK3" s="1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1"/>
      <c r="BXZ3" s="1"/>
      <c r="BYA3" s="1"/>
      <c r="BYB3" s="1"/>
      <c r="BYC3" s="1"/>
      <c r="BYD3" s="1"/>
      <c r="BYE3" s="1"/>
      <c r="BYF3" s="1"/>
      <c r="BYG3" s="1"/>
      <c r="BYH3" s="1"/>
      <c r="BYI3" s="1"/>
      <c r="BYJ3" s="1"/>
      <c r="BYK3" s="1"/>
      <c r="BYL3" s="1"/>
      <c r="BYM3" s="1"/>
      <c r="BYN3" s="1"/>
      <c r="BYO3" s="1"/>
      <c r="BYP3" s="1"/>
      <c r="BYQ3" s="1"/>
      <c r="BYR3" s="1"/>
      <c r="BYS3" s="1"/>
      <c r="BYT3" s="1"/>
      <c r="BYU3" s="1"/>
      <c r="BYV3" s="1"/>
      <c r="BYW3" s="1"/>
      <c r="BYX3" s="1"/>
      <c r="BYY3" s="1"/>
      <c r="BYZ3" s="1"/>
      <c r="BZA3" s="1"/>
      <c r="BZB3" s="1"/>
      <c r="BZC3" s="1"/>
      <c r="BZD3" s="1"/>
      <c r="BZE3" s="1"/>
      <c r="BZF3" s="1"/>
      <c r="BZG3" s="1"/>
      <c r="BZH3" s="1"/>
      <c r="BZI3" s="1"/>
      <c r="BZJ3" s="1"/>
      <c r="BZK3" s="1"/>
      <c r="BZL3" s="1"/>
      <c r="BZM3" s="1"/>
      <c r="BZN3" s="1"/>
      <c r="BZO3" s="1"/>
      <c r="BZP3" s="1"/>
      <c r="BZQ3" s="1"/>
      <c r="BZR3" s="1"/>
      <c r="BZS3" s="1"/>
      <c r="BZT3" s="1"/>
      <c r="BZU3" s="1"/>
      <c r="BZV3" s="1"/>
      <c r="BZW3" s="1"/>
      <c r="BZX3" s="1"/>
      <c r="BZY3" s="1"/>
      <c r="BZZ3" s="1"/>
      <c r="CAA3" s="1"/>
      <c r="CAB3" s="1"/>
      <c r="CAC3" s="1"/>
      <c r="CAD3" s="1"/>
      <c r="CAE3" s="1"/>
      <c r="CAF3" s="1"/>
      <c r="CAG3" s="1"/>
      <c r="CAH3" s="1"/>
      <c r="CAI3" s="1"/>
      <c r="CAJ3" s="1"/>
      <c r="CAK3" s="1"/>
      <c r="CAL3" s="1"/>
      <c r="CAM3" s="1"/>
      <c r="CAN3" s="1"/>
      <c r="CAO3" s="1"/>
      <c r="CAP3" s="1"/>
      <c r="CAQ3" s="1"/>
      <c r="CAR3" s="1"/>
      <c r="CAS3" s="1"/>
      <c r="CAT3" s="1"/>
      <c r="CAU3" s="1"/>
      <c r="CAV3" s="1"/>
      <c r="CAW3" s="1"/>
      <c r="CAX3" s="1"/>
      <c r="CAY3" s="1"/>
      <c r="CAZ3" s="1"/>
      <c r="CBA3" s="1"/>
      <c r="CBB3" s="1"/>
      <c r="CBC3" s="1"/>
      <c r="CBD3" s="1"/>
      <c r="CBE3" s="1"/>
      <c r="CBF3" s="1"/>
      <c r="CBG3" s="1"/>
      <c r="CBH3" s="1"/>
      <c r="CBI3" s="1"/>
      <c r="CBJ3" s="1"/>
      <c r="CBK3" s="1"/>
      <c r="CBL3" s="1"/>
      <c r="CBM3" s="1"/>
      <c r="CBN3" s="1"/>
      <c r="CBO3" s="1"/>
      <c r="CBP3" s="1"/>
      <c r="CBQ3" s="1"/>
      <c r="CBR3" s="1"/>
      <c r="CBS3" s="1"/>
      <c r="CBT3" s="1"/>
      <c r="CBU3" s="1"/>
      <c r="CBV3" s="1"/>
      <c r="CBW3" s="1"/>
      <c r="CBX3" s="1"/>
      <c r="CBY3" s="1"/>
      <c r="CBZ3" s="1"/>
      <c r="CCA3" s="1"/>
      <c r="CCB3" s="1"/>
      <c r="CCC3" s="1"/>
      <c r="CCD3" s="1"/>
      <c r="CCE3" s="1"/>
      <c r="CCF3" s="1"/>
      <c r="CCG3" s="1"/>
      <c r="CCH3" s="1"/>
      <c r="CCI3" s="1"/>
      <c r="CCJ3" s="1"/>
      <c r="CCK3" s="1"/>
      <c r="CCL3" s="1"/>
      <c r="CCM3" s="1"/>
      <c r="CCN3" s="1"/>
      <c r="CCO3" s="1"/>
      <c r="CCP3" s="1"/>
      <c r="CCQ3" s="1"/>
      <c r="CCR3" s="1"/>
      <c r="CCS3" s="1"/>
      <c r="CCT3" s="1"/>
      <c r="CCU3" s="1"/>
      <c r="CCV3" s="1"/>
      <c r="CCW3" s="1"/>
      <c r="CCX3" s="1"/>
      <c r="CCY3" s="1"/>
      <c r="CCZ3" s="1"/>
      <c r="CDA3" s="1"/>
      <c r="CDB3" s="1"/>
      <c r="CDC3" s="1"/>
      <c r="CDD3" s="1"/>
      <c r="CDE3" s="1"/>
      <c r="CDF3" s="1"/>
      <c r="CDG3" s="1"/>
      <c r="CDH3" s="1"/>
      <c r="CDI3" s="1"/>
      <c r="CDJ3" s="1"/>
      <c r="CDK3" s="1"/>
      <c r="CDL3" s="1"/>
      <c r="CDM3" s="1"/>
      <c r="CDN3" s="1"/>
      <c r="CDO3" s="1"/>
      <c r="CDP3" s="1"/>
      <c r="CDQ3" s="1"/>
      <c r="CDR3" s="1"/>
      <c r="CDS3" s="1"/>
      <c r="CDT3" s="1"/>
      <c r="CDU3" s="1"/>
      <c r="CDV3" s="1"/>
      <c r="CDW3" s="1"/>
      <c r="CDX3" s="1"/>
      <c r="CDY3" s="1"/>
      <c r="CDZ3" s="1"/>
      <c r="CEA3" s="1"/>
      <c r="CEB3" s="1"/>
      <c r="CEC3" s="1"/>
      <c r="CED3" s="1"/>
      <c r="CEE3" s="1"/>
      <c r="CEF3" s="1"/>
      <c r="CEG3" s="1"/>
      <c r="CEH3" s="1"/>
      <c r="CEI3" s="1"/>
      <c r="CEJ3" s="1"/>
      <c r="CEK3" s="1"/>
      <c r="CEL3" s="1"/>
      <c r="CEM3" s="1"/>
      <c r="CEN3" s="1"/>
      <c r="CEO3" s="1"/>
      <c r="CEP3" s="1"/>
      <c r="CEQ3" s="1"/>
      <c r="CER3" s="1"/>
      <c r="CES3" s="1"/>
      <c r="CET3" s="1"/>
      <c r="CEU3" s="1"/>
      <c r="CEV3" s="1"/>
      <c r="CEW3" s="1"/>
      <c r="CEX3" s="1"/>
      <c r="CEY3" s="1"/>
      <c r="CEZ3" s="1"/>
      <c r="CFA3" s="1"/>
      <c r="CFB3" s="1"/>
      <c r="CFC3" s="1"/>
      <c r="CFD3" s="1"/>
      <c r="CFE3" s="1"/>
      <c r="CFF3" s="1"/>
      <c r="CFG3" s="1"/>
      <c r="CFH3" s="1"/>
      <c r="CFI3" s="1"/>
      <c r="CFJ3" s="1"/>
      <c r="CFK3" s="1"/>
      <c r="CFL3" s="1"/>
      <c r="CFM3" s="1"/>
      <c r="CFN3" s="1"/>
      <c r="CFO3" s="1"/>
      <c r="CFP3" s="1"/>
      <c r="CFQ3" s="1"/>
      <c r="CFR3" s="1"/>
      <c r="CFS3" s="1"/>
      <c r="CFT3" s="1"/>
      <c r="CFU3" s="1"/>
      <c r="CFV3" s="1"/>
      <c r="CFW3" s="1"/>
      <c r="CFX3" s="1"/>
      <c r="CFY3" s="1"/>
      <c r="CFZ3" s="1"/>
      <c r="CGA3" s="1"/>
      <c r="CGB3" s="1"/>
      <c r="CGC3" s="1"/>
      <c r="CGD3" s="1"/>
      <c r="CGE3" s="1"/>
      <c r="CGF3" s="1"/>
      <c r="CGG3" s="1"/>
      <c r="CGH3" s="1"/>
      <c r="CGI3" s="1"/>
      <c r="CGJ3" s="1"/>
      <c r="CGK3" s="1"/>
      <c r="CGL3" s="1"/>
      <c r="CGM3" s="1"/>
      <c r="CGN3" s="1"/>
      <c r="CGO3" s="1"/>
      <c r="CGP3" s="1"/>
      <c r="CGQ3" s="1"/>
      <c r="CGR3" s="1"/>
      <c r="CGS3" s="1"/>
      <c r="CGT3" s="1"/>
      <c r="CGU3" s="1"/>
      <c r="CGV3" s="1"/>
      <c r="CGW3" s="1"/>
      <c r="CGX3" s="1"/>
      <c r="CGY3" s="1"/>
      <c r="CGZ3" s="1"/>
      <c r="CHA3" s="1"/>
      <c r="CHB3" s="1"/>
      <c r="CHC3" s="1"/>
      <c r="CHD3" s="1"/>
      <c r="CHE3" s="1"/>
      <c r="CHF3" s="1"/>
      <c r="CHG3" s="1"/>
      <c r="CHH3" s="1"/>
      <c r="CHI3" s="1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1"/>
      <c r="CIE3" s="1"/>
      <c r="CIF3" s="1"/>
      <c r="CIG3" s="1"/>
      <c r="CIH3" s="1"/>
      <c r="CII3" s="1"/>
      <c r="CIJ3" s="1"/>
      <c r="CIK3" s="1"/>
      <c r="CIL3" s="1"/>
      <c r="CIM3" s="1"/>
      <c r="CIN3" s="1"/>
      <c r="CIO3" s="1"/>
      <c r="CIP3" s="1"/>
      <c r="CIQ3" s="1"/>
      <c r="CIR3" s="1"/>
      <c r="CIS3" s="1"/>
      <c r="CIT3" s="1"/>
      <c r="CIU3" s="1"/>
      <c r="CIV3" s="1"/>
      <c r="CIW3" s="1"/>
      <c r="CIX3" s="1"/>
      <c r="CIY3" s="1"/>
      <c r="CIZ3" s="1"/>
      <c r="CJA3" s="1"/>
      <c r="CJB3" s="1"/>
      <c r="CJC3" s="1"/>
      <c r="CJD3" s="1"/>
      <c r="CJE3" s="1"/>
      <c r="CJF3" s="1"/>
      <c r="CJG3" s="1"/>
      <c r="CJH3" s="1"/>
      <c r="CJI3" s="1"/>
      <c r="CJJ3" s="1"/>
      <c r="CJK3" s="1"/>
      <c r="CJL3" s="1"/>
      <c r="CJM3" s="1"/>
      <c r="CJN3" s="1"/>
      <c r="CJO3" s="1"/>
      <c r="CJP3" s="1"/>
      <c r="CJQ3" s="1"/>
      <c r="CJR3" s="1"/>
      <c r="CJS3" s="1"/>
      <c r="CJT3" s="1"/>
      <c r="CJU3" s="1"/>
      <c r="CJV3" s="1"/>
      <c r="CJW3" s="1"/>
      <c r="CJX3" s="1"/>
      <c r="CJY3" s="1"/>
      <c r="CJZ3" s="1"/>
      <c r="CKA3" s="1"/>
      <c r="CKB3" s="1"/>
      <c r="CKC3" s="1"/>
      <c r="CKD3" s="1"/>
      <c r="CKE3" s="1"/>
      <c r="CKF3" s="1"/>
      <c r="CKG3" s="1"/>
      <c r="CKH3" s="1"/>
      <c r="CKI3" s="1"/>
      <c r="CKJ3" s="1"/>
      <c r="CKK3" s="1"/>
      <c r="CKL3" s="1"/>
      <c r="CKM3" s="1"/>
      <c r="CKN3" s="1"/>
      <c r="CKO3" s="1"/>
      <c r="CKP3" s="1"/>
      <c r="CKQ3" s="1"/>
      <c r="CKR3" s="1"/>
      <c r="CKS3" s="1"/>
      <c r="CKT3" s="1"/>
      <c r="CKU3" s="1"/>
      <c r="CKV3" s="1"/>
      <c r="CKW3" s="1"/>
      <c r="CKX3" s="1"/>
      <c r="CKY3" s="1"/>
      <c r="CKZ3" s="1"/>
      <c r="CLA3" s="1"/>
      <c r="CLB3" s="1"/>
      <c r="CLC3" s="1"/>
      <c r="CLD3" s="1"/>
      <c r="CLE3" s="1"/>
      <c r="CLF3" s="1"/>
      <c r="CLG3" s="1"/>
      <c r="CLH3" s="1"/>
      <c r="CLI3" s="1"/>
      <c r="CLJ3" s="1"/>
      <c r="CLK3" s="1"/>
      <c r="CLL3" s="1"/>
      <c r="CLM3" s="1"/>
      <c r="CLN3" s="1"/>
      <c r="CLO3" s="1"/>
      <c r="CLP3" s="1"/>
      <c r="CLQ3" s="1"/>
      <c r="CLR3" s="1"/>
      <c r="CLS3" s="1"/>
      <c r="CLT3" s="1"/>
      <c r="CLU3" s="1"/>
      <c r="CLV3" s="1"/>
      <c r="CLW3" s="1"/>
      <c r="CLX3" s="1"/>
      <c r="CLY3" s="1"/>
      <c r="CLZ3" s="1"/>
      <c r="CMA3" s="1"/>
      <c r="CMB3" s="1"/>
      <c r="CMC3" s="1"/>
      <c r="CMD3" s="1"/>
      <c r="CME3" s="1"/>
      <c r="CMF3" s="1"/>
      <c r="CMG3" s="1"/>
      <c r="CMH3" s="1"/>
      <c r="CMI3" s="1"/>
      <c r="CMJ3" s="1"/>
      <c r="CMK3" s="1"/>
      <c r="CML3" s="1"/>
      <c r="CMM3" s="1"/>
      <c r="CMN3" s="1"/>
      <c r="CMO3" s="1"/>
      <c r="CMP3" s="1"/>
      <c r="CMQ3" s="1"/>
      <c r="CMR3" s="1"/>
      <c r="CMS3" s="1"/>
      <c r="CMT3" s="1"/>
      <c r="CMU3" s="1"/>
      <c r="CMV3" s="1"/>
      <c r="CMW3" s="1"/>
      <c r="CMX3" s="1"/>
      <c r="CMY3" s="1"/>
      <c r="CMZ3" s="1"/>
      <c r="CNA3" s="1"/>
      <c r="CNB3" s="1"/>
      <c r="CNC3" s="1"/>
      <c r="CND3" s="1"/>
      <c r="CNE3" s="1"/>
      <c r="CNF3" s="1"/>
      <c r="CNG3" s="1"/>
      <c r="CNH3" s="1"/>
      <c r="CNI3" s="1"/>
      <c r="CNJ3" s="1"/>
      <c r="CNK3" s="1"/>
      <c r="CNL3" s="1"/>
      <c r="CNM3" s="1"/>
      <c r="CNN3" s="1"/>
      <c r="CNO3" s="1"/>
      <c r="CNP3" s="1"/>
      <c r="CNQ3" s="1"/>
      <c r="CNR3" s="1"/>
      <c r="CNS3" s="1"/>
      <c r="CNT3" s="1"/>
      <c r="CNU3" s="1"/>
      <c r="CNV3" s="1"/>
      <c r="CNW3" s="1"/>
      <c r="CNX3" s="1"/>
      <c r="CNY3" s="1"/>
      <c r="CNZ3" s="1"/>
      <c r="COA3" s="1"/>
      <c r="COB3" s="1"/>
      <c r="COC3" s="1"/>
      <c r="COD3" s="1"/>
      <c r="COE3" s="1"/>
      <c r="COF3" s="1"/>
      <c r="COG3" s="1"/>
      <c r="COH3" s="1"/>
      <c r="COI3" s="1"/>
      <c r="COJ3" s="1"/>
      <c r="COK3" s="1"/>
      <c r="COL3" s="1"/>
      <c r="COM3" s="1"/>
      <c r="CON3" s="1"/>
      <c r="COO3" s="1"/>
      <c r="COP3" s="1"/>
      <c r="COQ3" s="1"/>
      <c r="COR3" s="1"/>
      <c r="COS3" s="1"/>
      <c r="COT3" s="1"/>
      <c r="COU3" s="1"/>
      <c r="COV3" s="1"/>
      <c r="COW3" s="1"/>
      <c r="COX3" s="1"/>
      <c r="COY3" s="1"/>
      <c r="COZ3" s="1"/>
      <c r="CPA3" s="1"/>
      <c r="CPB3" s="1"/>
      <c r="CPC3" s="1"/>
      <c r="CPD3" s="1"/>
      <c r="CPE3" s="1"/>
      <c r="CPF3" s="1"/>
      <c r="CPG3" s="1"/>
      <c r="CPH3" s="1"/>
      <c r="CPI3" s="1"/>
      <c r="CPJ3" s="1"/>
      <c r="CPK3" s="1"/>
      <c r="CPL3" s="1"/>
      <c r="CPM3" s="1"/>
      <c r="CPN3" s="1"/>
      <c r="CPO3" s="1"/>
      <c r="CPP3" s="1"/>
      <c r="CPQ3" s="1"/>
      <c r="CPR3" s="1"/>
      <c r="CPS3" s="1"/>
      <c r="CPT3" s="1"/>
      <c r="CPU3" s="1"/>
      <c r="CPV3" s="1"/>
      <c r="CPW3" s="1"/>
      <c r="CPX3" s="1"/>
      <c r="CPY3" s="1"/>
      <c r="CPZ3" s="1"/>
      <c r="CQA3" s="1"/>
      <c r="CQB3" s="1"/>
      <c r="CQC3" s="1"/>
      <c r="CQD3" s="1"/>
      <c r="CQE3" s="1"/>
      <c r="CQF3" s="1"/>
      <c r="CQG3" s="1"/>
      <c r="CQH3" s="1"/>
      <c r="CQI3" s="1"/>
      <c r="CQJ3" s="1"/>
      <c r="CQK3" s="1"/>
      <c r="CQL3" s="1"/>
      <c r="CQM3" s="1"/>
      <c r="CQN3" s="1"/>
      <c r="CQO3" s="1"/>
      <c r="CQP3" s="1"/>
      <c r="CQQ3" s="1"/>
      <c r="CQR3" s="1"/>
      <c r="CQS3" s="1"/>
      <c r="CQT3" s="1"/>
      <c r="CQU3" s="1"/>
      <c r="CQV3" s="1"/>
      <c r="CQW3" s="1"/>
      <c r="CQX3" s="1"/>
      <c r="CQY3" s="1"/>
      <c r="CQZ3" s="1"/>
      <c r="CRA3" s="1"/>
      <c r="CRB3" s="1"/>
      <c r="CRC3" s="1"/>
      <c r="CRD3" s="1"/>
      <c r="CRE3" s="1"/>
      <c r="CRF3" s="1"/>
      <c r="CRG3" s="1"/>
      <c r="CRH3" s="1"/>
      <c r="CRI3" s="1"/>
      <c r="CRJ3" s="1"/>
      <c r="CRK3" s="1"/>
      <c r="CRL3" s="1"/>
      <c r="CRM3" s="1"/>
      <c r="CRN3" s="1"/>
      <c r="CRO3" s="1"/>
      <c r="CRP3" s="1"/>
      <c r="CRQ3" s="1"/>
      <c r="CRR3" s="1"/>
      <c r="CRS3" s="1"/>
      <c r="CRT3" s="1"/>
      <c r="CRU3" s="1"/>
      <c r="CRV3" s="1"/>
      <c r="CRW3" s="1"/>
      <c r="CRX3" s="1"/>
      <c r="CRY3" s="1"/>
      <c r="CRZ3" s="1"/>
      <c r="CSA3" s="1"/>
      <c r="CSB3" s="1"/>
      <c r="CSC3" s="1"/>
      <c r="CSD3" s="1"/>
      <c r="CSE3" s="1"/>
      <c r="CSF3" s="1"/>
      <c r="CSG3" s="1"/>
      <c r="CSH3" s="1"/>
      <c r="CSI3" s="1"/>
      <c r="CSJ3" s="1"/>
      <c r="CSK3" s="1"/>
      <c r="CSL3" s="1"/>
      <c r="CSM3" s="1"/>
      <c r="CSN3" s="1"/>
      <c r="CSO3" s="1"/>
      <c r="CSP3" s="1"/>
      <c r="CSQ3" s="1"/>
      <c r="CSR3" s="1"/>
      <c r="CSS3" s="1"/>
      <c r="CST3" s="1"/>
      <c r="CSU3" s="1"/>
      <c r="CSV3" s="1"/>
      <c r="CSW3" s="1"/>
      <c r="CSX3" s="1"/>
      <c r="CSY3" s="1"/>
      <c r="CSZ3" s="1"/>
      <c r="CTA3" s="1"/>
      <c r="CTB3" s="1"/>
      <c r="CTC3" s="1"/>
      <c r="CTD3" s="1"/>
      <c r="CTE3" s="1"/>
      <c r="CTF3" s="1"/>
      <c r="CTG3" s="1"/>
      <c r="CTH3" s="1"/>
      <c r="CTI3" s="1"/>
      <c r="CTJ3" s="1"/>
      <c r="CTK3" s="1"/>
      <c r="CTL3" s="1"/>
      <c r="CTM3" s="1"/>
      <c r="CTN3" s="1"/>
      <c r="CTO3" s="1"/>
      <c r="CTP3" s="1"/>
      <c r="CTQ3" s="1"/>
      <c r="CTR3" s="1"/>
      <c r="CTS3" s="1"/>
      <c r="CTT3" s="1"/>
      <c r="CTU3" s="1"/>
      <c r="CTV3" s="1"/>
      <c r="CTW3" s="1"/>
      <c r="CTX3" s="1"/>
      <c r="CTY3" s="1"/>
      <c r="CTZ3" s="1"/>
      <c r="CUA3" s="1"/>
      <c r="CUB3" s="1"/>
      <c r="CUC3" s="1"/>
      <c r="CUD3" s="1"/>
      <c r="CUE3" s="1"/>
      <c r="CUF3" s="1"/>
      <c r="CUG3" s="1"/>
      <c r="CUH3" s="1"/>
      <c r="CUI3" s="1"/>
      <c r="CUJ3" s="1"/>
      <c r="CUK3" s="1"/>
      <c r="CUL3" s="1"/>
      <c r="CUM3" s="1"/>
      <c r="CUN3" s="1"/>
      <c r="CUO3" s="1"/>
      <c r="CUP3" s="1"/>
      <c r="CUQ3" s="1"/>
      <c r="CUR3" s="1"/>
      <c r="CUS3" s="1"/>
      <c r="CUT3" s="1"/>
      <c r="CUU3" s="1"/>
      <c r="CUV3" s="1"/>
      <c r="CUW3" s="1"/>
      <c r="CUX3" s="1"/>
      <c r="CUY3" s="1"/>
      <c r="CUZ3" s="1"/>
      <c r="CVA3" s="1"/>
      <c r="CVB3" s="1"/>
      <c r="CVC3" s="1"/>
      <c r="CVD3" s="1"/>
      <c r="CVE3" s="1"/>
      <c r="CVF3" s="1"/>
      <c r="CVG3" s="1"/>
      <c r="CVH3" s="1"/>
      <c r="CVI3" s="1"/>
      <c r="CVJ3" s="1"/>
      <c r="CVK3" s="1"/>
      <c r="CVL3" s="1"/>
      <c r="CVM3" s="1"/>
      <c r="CVN3" s="1"/>
      <c r="CVO3" s="1"/>
      <c r="CVP3" s="1"/>
      <c r="CVQ3" s="1"/>
      <c r="CVR3" s="1"/>
      <c r="CVS3" s="1"/>
      <c r="CVT3" s="1"/>
      <c r="CVU3" s="1"/>
      <c r="CVV3" s="1"/>
      <c r="CVW3" s="1"/>
      <c r="CVX3" s="1"/>
      <c r="CVY3" s="1"/>
      <c r="CVZ3" s="1"/>
      <c r="CWA3" s="1"/>
      <c r="CWB3" s="1"/>
      <c r="CWC3" s="1"/>
      <c r="CWD3" s="1"/>
      <c r="CWE3" s="1"/>
      <c r="CWF3" s="1"/>
      <c r="CWG3" s="1"/>
      <c r="CWH3" s="1"/>
      <c r="CWI3" s="1"/>
      <c r="CWJ3" s="1"/>
      <c r="CWK3" s="1"/>
      <c r="CWL3" s="1"/>
      <c r="CWM3" s="1"/>
      <c r="CWN3" s="1"/>
      <c r="CWO3" s="1"/>
      <c r="CWP3" s="1"/>
      <c r="CWQ3" s="1"/>
      <c r="CWR3" s="1"/>
      <c r="CWS3" s="1"/>
      <c r="CWT3" s="1"/>
      <c r="CWU3" s="1"/>
      <c r="CWV3" s="1"/>
      <c r="CWW3" s="1"/>
      <c r="CWX3" s="1"/>
      <c r="CWY3" s="1"/>
      <c r="CWZ3" s="1"/>
      <c r="CXA3" s="1"/>
      <c r="CXB3" s="1"/>
      <c r="CXC3" s="1"/>
      <c r="CXD3" s="1"/>
      <c r="CXE3" s="1"/>
      <c r="CXF3" s="1"/>
      <c r="CXG3" s="1"/>
      <c r="CXH3" s="1"/>
      <c r="CXI3" s="1"/>
      <c r="CXJ3" s="1"/>
      <c r="CXK3" s="1"/>
      <c r="CXL3" s="1"/>
      <c r="CXM3" s="1"/>
      <c r="CXN3" s="1"/>
      <c r="CXO3" s="1"/>
      <c r="CXP3" s="1"/>
      <c r="CXQ3" s="1"/>
      <c r="CXR3" s="1"/>
      <c r="CXS3" s="1"/>
      <c r="CXT3" s="1"/>
      <c r="CXU3" s="1"/>
      <c r="CXV3" s="1"/>
      <c r="CXW3" s="1"/>
      <c r="CXX3" s="1"/>
      <c r="CXY3" s="1"/>
      <c r="CXZ3" s="1"/>
      <c r="CYA3" s="1"/>
      <c r="CYB3" s="1"/>
      <c r="CYC3" s="1"/>
      <c r="CYD3" s="1"/>
      <c r="CYE3" s="1"/>
      <c r="CYF3" s="1"/>
      <c r="CYG3" s="1"/>
      <c r="CYH3" s="1"/>
      <c r="CYI3" s="1"/>
      <c r="CYJ3" s="1"/>
      <c r="CYK3" s="1"/>
      <c r="CYL3" s="1"/>
      <c r="CYM3" s="1"/>
      <c r="CYN3" s="1"/>
      <c r="CYO3" s="1"/>
      <c r="CYP3" s="1"/>
      <c r="CYQ3" s="1"/>
      <c r="CYR3" s="1"/>
      <c r="CYS3" s="1"/>
      <c r="CYT3" s="1"/>
      <c r="CYU3" s="1"/>
      <c r="CYV3" s="1"/>
      <c r="CYW3" s="1"/>
      <c r="CYX3" s="1"/>
      <c r="CYY3" s="1"/>
      <c r="CYZ3" s="1"/>
      <c r="CZA3" s="1"/>
      <c r="CZB3" s="1"/>
      <c r="CZC3" s="1"/>
      <c r="CZD3" s="1"/>
      <c r="CZE3" s="1"/>
      <c r="CZF3" s="1"/>
      <c r="CZG3" s="1"/>
      <c r="CZH3" s="1"/>
      <c r="CZI3" s="1"/>
      <c r="CZJ3" s="1"/>
      <c r="CZK3" s="1"/>
      <c r="CZL3" s="1"/>
      <c r="CZM3" s="1"/>
      <c r="CZN3" s="1"/>
      <c r="CZO3" s="1"/>
      <c r="CZP3" s="1"/>
      <c r="CZQ3" s="1"/>
      <c r="CZR3" s="1"/>
      <c r="CZS3" s="1"/>
      <c r="CZT3" s="1"/>
      <c r="CZU3" s="1"/>
      <c r="CZV3" s="1"/>
      <c r="CZW3" s="1"/>
      <c r="CZX3" s="1"/>
      <c r="CZY3" s="1"/>
      <c r="CZZ3" s="1"/>
      <c r="DAA3" s="1"/>
      <c r="DAB3" s="1"/>
      <c r="DAC3" s="1"/>
      <c r="DAD3" s="1"/>
      <c r="DAE3" s="1"/>
      <c r="DAF3" s="1"/>
      <c r="DAG3" s="1"/>
      <c r="DAH3" s="1"/>
      <c r="DAI3" s="1"/>
      <c r="DAJ3" s="1"/>
      <c r="DAK3" s="1"/>
      <c r="DAL3" s="1"/>
      <c r="DAM3" s="1"/>
      <c r="DAN3" s="1"/>
      <c r="DAO3" s="1"/>
      <c r="DAP3" s="1"/>
      <c r="DAQ3" s="1"/>
      <c r="DAR3" s="1"/>
      <c r="DAS3" s="1"/>
      <c r="DAT3" s="1"/>
      <c r="DAU3" s="1"/>
      <c r="DAV3" s="1"/>
      <c r="DAW3" s="1"/>
      <c r="DAX3" s="1"/>
      <c r="DAY3" s="1"/>
      <c r="DAZ3" s="1"/>
      <c r="DBA3" s="1"/>
      <c r="DBB3" s="1"/>
      <c r="DBC3" s="1"/>
      <c r="DBD3" s="1"/>
      <c r="DBE3" s="1"/>
      <c r="DBF3" s="1"/>
      <c r="DBG3" s="1"/>
      <c r="DBH3" s="1"/>
      <c r="DBI3" s="1"/>
      <c r="DBJ3" s="1"/>
      <c r="DBK3" s="1"/>
      <c r="DBL3" s="1"/>
      <c r="DBM3" s="1"/>
      <c r="DBN3" s="1"/>
      <c r="DBO3" s="1"/>
      <c r="DBP3" s="1"/>
      <c r="DBQ3" s="1"/>
      <c r="DBR3" s="1"/>
      <c r="DBS3" s="1"/>
      <c r="DBT3" s="1"/>
      <c r="DBU3" s="1"/>
      <c r="DBV3" s="1"/>
      <c r="DBW3" s="1"/>
      <c r="DBX3" s="1"/>
      <c r="DBY3" s="1"/>
      <c r="DBZ3" s="1"/>
      <c r="DCA3" s="1"/>
      <c r="DCB3" s="1"/>
      <c r="DCC3" s="1"/>
      <c r="DCD3" s="1"/>
      <c r="DCE3" s="1"/>
      <c r="DCF3" s="1"/>
      <c r="DCG3" s="1"/>
      <c r="DCH3" s="1"/>
      <c r="DCI3" s="1"/>
      <c r="DCJ3" s="1"/>
      <c r="DCK3" s="1"/>
      <c r="DCL3" s="1"/>
      <c r="DCM3" s="1"/>
      <c r="DCN3" s="1"/>
      <c r="DCO3" s="1"/>
      <c r="DCP3" s="1"/>
      <c r="DCQ3" s="1"/>
      <c r="DCR3" s="1"/>
      <c r="DCS3" s="1"/>
      <c r="DCT3" s="1"/>
      <c r="DCU3" s="1"/>
      <c r="DCV3" s="1"/>
      <c r="DCW3" s="1"/>
      <c r="DCX3" s="1"/>
      <c r="DCY3" s="1"/>
      <c r="DCZ3" s="1"/>
      <c r="DDA3" s="1"/>
      <c r="DDB3" s="1"/>
      <c r="DDC3" s="1"/>
      <c r="DDD3" s="1"/>
      <c r="DDE3" s="1"/>
      <c r="DDF3" s="1"/>
      <c r="DDG3" s="1"/>
      <c r="DDH3" s="1"/>
      <c r="DDI3" s="1"/>
      <c r="DDJ3" s="1"/>
      <c r="DDK3" s="1"/>
      <c r="DDL3" s="1"/>
      <c r="DDM3" s="1"/>
      <c r="DDN3" s="1"/>
      <c r="DDO3" s="1"/>
      <c r="DDP3" s="1"/>
      <c r="DDQ3" s="1"/>
      <c r="DDR3" s="1"/>
      <c r="DDS3" s="1"/>
      <c r="DDT3" s="1"/>
      <c r="DDU3" s="1"/>
      <c r="DDV3" s="1"/>
      <c r="DDW3" s="1"/>
      <c r="DDX3" s="1"/>
      <c r="DDY3" s="1"/>
      <c r="DDZ3" s="1"/>
      <c r="DEA3" s="1"/>
      <c r="DEB3" s="1"/>
      <c r="DEC3" s="1"/>
      <c r="DED3" s="1"/>
      <c r="DEE3" s="1"/>
      <c r="DEF3" s="1"/>
      <c r="DEG3" s="1"/>
      <c r="DEH3" s="1"/>
      <c r="DEI3" s="1"/>
      <c r="DEJ3" s="1"/>
      <c r="DEK3" s="1"/>
      <c r="DEL3" s="1"/>
      <c r="DEM3" s="1"/>
      <c r="DEN3" s="1"/>
      <c r="DEO3" s="1"/>
      <c r="DEP3" s="1"/>
      <c r="DEQ3" s="1"/>
      <c r="DER3" s="1"/>
      <c r="DES3" s="1"/>
      <c r="DET3" s="1"/>
      <c r="DEU3" s="1"/>
      <c r="DEV3" s="1"/>
      <c r="DEW3" s="1"/>
      <c r="DEX3" s="1"/>
      <c r="DEY3" s="1"/>
      <c r="DEZ3" s="1"/>
      <c r="DFA3" s="1"/>
      <c r="DFB3" s="1"/>
      <c r="DFC3" s="1"/>
      <c r="DFD3" s="1"/>
      <c r="DFE3" s="1"/>
      <c r="DFF3" s="1"/>
      <c r="DFG3" s="1"/>
      <c r="DFH3" s="1"/>
      <c r="DFI3" s="1"/>
      <c r="DFJ3" s="1"/>
      <c r="DFK3" s="1"/>
      <c r="DFL3" s="1"/>
      <c r="DFM3" s="1"/>
      <c r="DFN3" s="1"/>
      <c r="DFO3" s="1"/>
      <c r="DFP3" s="1"/>
      <c r="DFQ3" s="1"/>
      <c r="DFR3" s="1"/>
      <c r="DFS3" s="1"/>
      <c r="DFT3" s="1"/>
      <c r="DFU3" s="1"/>
      <c r="DFV3" s="1"/>
      <c r="DFW3" s="1"/>
      <c r="DFX3" s="1"/>
      <c r="DFY3" s="1"/>
      <c r="DFZ3" s="1"/>
      <c r="DGA3" s="1"/>
      <c r="DGB3" s="1"/>
      <c r="DGC3" s="1"/>
      <c r="DGD3" s="1"/>
      <c r="DGE3" s="1"/>
      <c r="DGF3" s="1"/>
      <c r="DGG3" s="1"/>
      <c r="DGH3" s="1"/>
      <c r="DGI3" s="1"/>
      <c r="DGJ3" s="1"/>
      <c r="DGK3" s="1"/>
      <c r="DGL3" s="1"/>
      <c r="DGM3" s="1"/>
      <c r="DGN3" s="1"/>
      <c r="DGO3" s="1"/>
      <c r="DGP3" s="1"/>
      <c r="DGQ3" s="1"/>
      <c r="DGR3" s="1"/>
      <c r="DGS3" s="1"/>
      <c r="DGT3" s="1"/>
      <c r="DGU3" s="1"/>
      <c r="DGV3" s="1"/>
      <c r="DGW3" s="1"/>
      <c r="DGX3" s="1"/>
      <c r="DGY3" s="1"/>
      <c r="DGZ3" s="1"/>
      <c r="DHA3" s="1"/>
      <c r="DHB3" s="1"/>
      <c r="DHC3" s="1"/>
      <c r="DHD3" s="1"/>
      <c r="DHE3" s="1"/>
      <c r="DHF3" s="1"/>
      <c r="DHG3" s="1"/>
      <c r="DHH3" s="1"/>
      <c r="DHI3" s="1"/>
      <c r="DHJ3" s="1"/>
      <c r="DHK3" s="1"/>
      <c r="DHL3" s="1"/>
      <c r="DHM3" s="1"/>
      <c r="DHN3" s="1"/>
      <c r="DHO3" s="1"/>
      <c r="DHP3" s="1"/>
      <c r="DHQ3" s="1"/>
      <c r="DHR3" s="1"/>
      <c r="DHS3" s="1"/>
      <c r="DHT3" s="1"/>
      <c r="DHU3" s="1"/>
      <c r="DHV3" s="1"/>
      <c r="DHW3" s="1"/>
      <c r="DHX3" s="1"/>
      <c r="DHY3" s="1"/>
      <c r="DHZ3" s="1"/>
      <c r="DIA3" s="1"/>
      <c r="DIB3" s="1"/>
      <c r="DIC3" s="1"/>
      <c r="DID3" s="1"/>
      <c r="DIE3" s="1"/>
      <c r="DIF3" s="1"/>
      <c r="DIG3" s="1"/>
      <c r="DIH3" s="1"/>
      <c r="DII3" s="1"/>
      <c r="DIJ3" s="1"/>
      <c r="DIK3" s="1"/>
      <c r="DIL3" s="1"/>
      <c r="DIM3" s="1"/>
      <c r="DIN3" s="1"/>
      <c r="DIO3" s="1"/>
      <c r="DIP3" s="1"/>
      <c r="DIQ3" s="1"/>
      <c r="DIR3" s="1"/>
      <c r="DIS3" s="1"/>
      <c r="DIT3" s="1"/>
      <c r="DIU3" s="1"/>
      <c r="DIV3" s="1"/>
      <c r="DIW3" s="1"/>
      <c r="DIX3" s="1"/>
      <c r="DIY3" s="1"/>
      <c r="DIZ3" s="1"/>
      <c r="DJA3" s="1"/>
      <c r="DJB3" s="1"/>
      <c r="DJC3" s="1"/>
      <c r="DJD3" s="1"/>
      <c r="DJE3" s="1"/>
      <c r="DJF3" s="1"/>
      <c r="DJG3" s="1"/>
      <c r="DJH3" s="1"/>
      <c r="DJI3" s="1"/>
      <c r="DJJ3" s="1"/>
      <c r="DJK3" s="1"/>
      <c r="DJL3" s="1"/>
      <c r="DJM3" s="1"/>
      <c r="DJN3" s="1"/>
      <c r="DJO3" s="1"/>
      <c r="DJP3" s="1"/>
      <c r="DJQ3" s="1"/>
      <c r="DJR3" s="1"/>
      <c r="DJS3" s="1"/>
      <c r="DJT3" s="1"/>
      <c r="DJU3" s="1"/>
      <c r="DJV3" s="1"/>
      <c r="DJW3" s="1"/>
      <c r="DJX3" s="1"/>
      <c r="DJY3" s="1"/>
      <c r="DJZ3" s="1"/>
      <c r="DKA3" s="1"/>
      <c r="DKB3" s="1"/>
      <c r="DKC3" s="1"/>
      <c r="DKD3" s="1"/>
      <c r="DKE3" s="1"/>
      <c r="DKF3" s="1"/>
      <c r="DKG3" s="1"/>
      <c r="DKH3" s="1"/>
      <c r="DKI3" s="1"/>
      <c r="DKJ3" s="1"/>
      <c r="DKK3" s="1"/>
      <c r="DKL3" s="1"/>
      <c r="DKM3" s="1"/>
      <c r="DKN3" s="1"/>
      <c r="DKO3" s="1"/>
      <c r="DKP3" s="1"/>
      <c r="DKQ3" s="1"/>
      <c r="DKR3" s="1"/>
      <c r="DKS3" s="1"/>
      <c r="DKT3" s="1"/>
      <c r="DKU3" s="1"/>
      <c r="DKV3" s="1"/>
      <c r="DKW3" s="1"/>
      <c r="DKX3" s="1"/>
      <c r="DKY3" s="1"/>
      <c r="DKZ3" s="1"/>
      <c r="DLA3" s="1"/>
      <c r="DLB3" s="1"/>
      <c r="DLC3" s="1"/>
      <c r="DLD3" s="1"/>
      <c r="DLE3" s="1"/>
      <c r="DLF3" s="1"/>
      <c r="DLG3" s="1"/>
      <c r="DLH3" s="1"/>
      <c r="DLI3" s="1"/>
      <c r="DLJ3" s="1"/>
      <c r="DLK3" s="1"/>
      <c r="DLL3" s="1"/>
      <c r="DLM3" s="1"/>
      <c r="DLN3" s="1"/>
      <c r="DLO3" s="1"/>
      <c r="DLP3" s="1"/>
      <c r="DLQ3" s="1"/>
      <c r="DLR3" s="1"/>
      <c r="DLS3" s="1"/>
      <c r="DLT3" s="1"/>
      <c r="DLU3" s="1"/>
      <c r="DLV3" s="1"/>
      <c r="DLW3" s="1"/>
      <c r="DLX3" s="1"/>
      <c r="DLY3" s="1"/>
      <c r="DLZ3" s="1"/>
      <c r="DMA3" s="1"/>
      <c r="DMB3" s="1"/>
      <c r="DMC3" s="1"/>
      <c r="DMD3" s="1"/>
      <c r="DME3" s="1"/>
      <c r="DMF3" s="1"/>
      <c r="DMG3" s="1"/>
      <c r="DMH3" s="1"/>
      <c r="DMI3" s="1"/>
      <c r="DMJ3" s="1"/>
      <c r="DMK3" s="1"/>
      <c r="DML3" s="1"/>
      <c r="DMM3" s="1"/>
      <c r="DMN3" s="1"/>
      <c r="DMO3" s="1"/>
      <c r="DMP3" s="1"/>
      <c r="DMQ3" s="1"/>
      <c r="DMR3" s="1"/>
      <c r="DMS3" s="1"/>
      <c r="DMT3" s="1"/>
      <c r="DMU3" s="1"/>
      <c r="DMV3" s="1"/>
      <c r="DMW3" s="1"/>
      <c r="DMX3" s="1"/>
      <c r="DMY3" s="1"/>
      <c r="DMZ3" s="1"/>
      <c r="DNA3" s="1"/>
      <c r="DNB3" s="1"/>
      <c r="DNC3" s="1"/>
      <c r="DND3" s="1"/>
      <c r="DNE3" s="1"/>
      <c r="DNF3" s="1"/>
      <c r="DNG3" s="1"/>
      <c r="DNH3" s="1"/>
      <c r="DNI3" s="1"/>
      <c r="DNJ3" s="1"/>
      <c r="DNK3" s="1"/>
      <c r="DNL3" s="1"/>
      <c r="DNM3" s="1"/>
      <c r="DNN3" s="1"/>
      <c r="DNO3" s="1"/>
      <c r="DNP3" s="1"/>
      <c r="DNQ3" s="1"/>
      <c r="DNR3" s="1"/>
      <c r="DNS3" s="1"/>
      <c r="DNT3" s="1"/>
      <c r="DNU3" s="1"/>
      <c r="DNV3" s="1"/>
      <c r="DNW3" s="1"/>
      <c r="DNX3" s="1"/>
      <c r="DNY3" s="1"/>
      <c r="DNZ3" s="1"/>
      <c r="DOA3" s="1"/>
      <c r="DOB3" s="1"/>
      <c r="DOC3" s="1"/>
      <c r="DOD3" s="1"/>
      <c r="DOE3" s="1"/>
      <c r="DOF3" s="1"/>
      <c r="DOG3" s="1"/>
      <c r="DOH3" s="1"/>
      <c r="DOI3" s="1"/>
      <c r="DOJ3" s="1"/>
      <c r="DOK3" s="1"/>
      <c r="DOL3" s="1"/>
      <c r="DOM3" s="1"/>
      <c r="DON3" s="1"/>
      <c r="DOO3" s="1"/>
      <c r="DOP3" s="1"/>
      <c r="DOQ3" s="1"/>
      <c r="DOR3" s="1"/>
      <c r="DOS3" s="1"/>
      <c r="DOT3" s="1"/>
      <c r="DOU3" s="1"/>
      <c r="DOV3" s="1"/>
      <c r="DOW3" s="1"/>
      <c r="DOX3" s="1"/>
      <c r="DOY3" s="1"/>
      <c r="DOZ3" s="1"/>
      <c r="DPA3" s="1"/>
      <c r="DPB3" s="1"/>
      <c r="DPC3" s="1"/>
      <c r="DPD3" s="1"/>
      <c r="DPE3" s="1"/>
      <c r="DPF3" s="1"/>
      <c r="DPG3" s="1"/>
      <c r="DPH3" s="1"/>
      <c r="DPI3" s="1"/>
      <c r="DPJ3" s="1"/>
      <c r="DPK3" s="1"/>
      <c r="DPL3" s="1"/>
      <c r="DPM3" s="1"/>
      <c r="DPN3" s="1"/>
      <c r="DPO3" s="1"/>
      <c r="DPP3" s="1"/>
      <c r="DPQ3" s="1"/>
      <c r="DPR3" s="1"/>
      <c r="DPS3" s="1"/>
      <c r="DPT3" s="1"/>
      <c r="DPU3" s="1"/>
      <c r="DPV3" s="1"/>
      <c r="DPW3" s="1"/>
      <c r="DPX3" s="1"/>
      <c r="DPY3" s="1"/>
      <c r="DPZ3" s="1"/>
      <c r="DQA3" s="1"/>
      <c r="DQB3" s="1"/>
      <c r="DQC3" s="1"/>
      <c r="DQD3" s="1"/>
      <c r="DQE3" s="1"/>
      <c r="DQF3" s="1"/>
      <c r="DQG3" s="1"/>
      <c r="DQH3" s="1"/>
      <c r="DQI3" s="1"/>
      <c r="DQJ3" s="1"/>
      <c r="DQK3" s="1"/>
      <c r="DQL3" s="1"/>
      <c r="DQM3" s="1"/>
      <c r="DQN3" s="1"/>
      <c r="DQO3" s="1"/>
      <c r="DQP3" s="1"/>
      <c r="DQQ3" s="1"/>
      <c r="DQR3" s="1"/>
      <c r="DQS3" s="1"/>
      <c r="DQT3" s="1"/>
      <c r="DQU3" s="1"/>
      <c r="DQV3" s="1"/>
      <c r="DQW3" s="1"/>
      <c r="DQX3" s="1"/>
      <c r="DQY3" s="1"/>
      <c r="DQZ3" s="1"/>
      <c r="DRA3" s="1"/>
      <c r="DRB3" s="1"/>
      <c r="DRC3" s="1"/>
      <c r="DRD3" s="1"/>
      <c r="DRE3" s="1"/>
      <c r="DRF3" s="1"/>
      <c r="DRG3" s="1"/>
      <c r="DRH3" s="1"/>
      <c r="DRI3" s="1"/>
      <c r="DRJ3" s="1"/>
      <c r="DRK3" s="1"/>
      <c r="DRL3" s="1"/>
      <c r="DRM3" s="1"/>
      <c r="DRN3" s="1"/>
      <c r="DRO3" s="1"/>
      <c r="DRP3" s="1"/>
      <c r="DRQ3" s="1"/>
      <c r="DRR3" s="1"/>
      <c r="DRS3" s="1"/>
      <c r="DRT3" s="1"/>
      <c r="DRU3" s="1"/>
      <c r="DRV3" s="1"/>
      <c r="DRW3" s="1"/>
      <c r="DRX3" s="1"/>
      <c r="DRY3" s="1"/>
      <c r="DRZ3" s="1"/>
      <c r="DSA3" s="1"/>
      <c r="DSB3" s="1"/>
      <c r="DSC3" s="1"/>
      <c r="DSD3" s="1"/>
      <c r="DSE3" s="1"/>
      <c r="DSF3" s="1"/>
      <c r="DSG3" s="1"/>
      <c r="DSH3" s="1"/>
      <c r="DSI3" s="1"/>
      <c r="DSJ3" s="1"/>
      <c r="DSK3" s="1"/>
      <c r="DSL3" s="1"/>
      <c r="DSM3" s="1"/>
      <c r="DSN3" s="1"/>
      <c r="DSO3" s="1"/>
      <c r="DSP3" s="1"/>
      <c r="DSQ3" s="1"/>
      <c r="DSR3" s="1"/>
      <c r="DSS3" s="1"/>
      <c r="DST3" s="1"/>
      <c r="DSU3" s="1"/>
      <c r="DSV3" s="1"/>
      <c r="DSW3" s="1"/>
      <c r="DSX3" s="1"/>
      <c r="DSY3" s="1"/>
      <c r="DSZ3" s="1"/>
      <c r="DTA3" s="1"/>
      <c r="DTB3" s="1"/>
      <c r="DTC3" s="1"/>
      <c r="DTD3" s="1"/>
      <c r="DTE3" s="1"/>
      <c r="DTF3" s="1"/>
      <c r="DTG3" s="1"/>
      <c r="DTH3" s="1"/>
      <c r="DTI3" s="1"/>
      <c r="DTJ3" s="1"/>
      <c r="DTK3" s="1"/>
      <c r="DTL3" s="1"/>
      <c r="DTM3" s="1"/>
      <c r="DTN3" s="1"/>
      <c r="DTO3" s="1"/>
      <c r="DTP3" s="1"/>
      <c r="DTQ3" s="1"/>
      <c r="DTR3" s="1"/>
      <c r="DTS3" s="1"/>
      <c r="DTT3" s="1"/>
      <c r="DTU3" s="1"/>
      <c r="DTV3" s="1"/>
      <c r="DTW3" s="1"/>
      <c r="DTX3" s="1"/>
      <c r="DTY3" s="1"/>
      <c r="DTZ3" s="1"/>
      <c r="DUA3" s="1"/>
      <c r="DUB3" s="1"/>
      <c r="DUC3" s="1"/>
      <c r="DUD3" s="1"/>
      <c r="DUE3" s="1"/>
      <c r="DUF3" s="1"/>
      <c r="DUG3" s="1"/>
      <c r="DUH3" s="1"/>
      <c r="DUI3" s="1"/>
      <c r="DUJ3" s="1"/>
      <c r="DUK3" s="1"/>
      <c r="DUL3" s="1"/>
      <c r="DUM3" s="1"/>
      <c r="DUN3" s="1"/>
      <c r="DUO3" s="1"/>
      <c r="DUP3" s="1"/>
      <c r="DUQ3" s="1"/>
      <c r="DUR3" s="1"/>
      <c r="DUS3" s="1"/>
      <c r="DUT3" s="1"/>
      <c r="DUU3" s="1"/>
      <c r="DUV3" s="1"/>
      <c r="DUW3" s="1"/>
      <c r="DUX3" s="1"/>
      <c r="DUY3" s="1"/>
      <c r="DUZ3" s="1"/>
      <c r="DVA3" s="1"/>
      <c r="DVB3" s="1"/>
      <c r="DVC3" s="1"/>
      <c r="DVD3" s="1"/>
      <c r="DVE3" s="1"/>
      <c r="DVF3" s="1"/>
      <c r="DVG3" s="1"/>
      <c r="DVH3" s="1"/>
      <c r="DVI3" s="1"/>
      <c r="DVJ3" s="1"/>
      <c r="DVK3" s="1"/>
      <c r="DVL3" s="1"/>
      <c r="DVM3" s="1"/>
      <c r="DVN3" s="1"/>
      <c r="DVO3" s="1"/>
      <c r="DVP3" s="1"/>
      <c r="DVQ3" s="1"/>
      <c r="DVR3" s="1"/>
      <c r="DVS3" s="1"/>
      <c r="DVT3" s="1"/>
      <c r="DVU3" s="1"/>
      <c r="DVV3" s="1"/>
      <c r="DVW3" s="1"/>
      <c r="DVX3" s="1"/>
      <c r="DVY3" s="1"/>
      <c r="DVZ3" s="1"/>
      <c r="DWA3" s="1"/>
      <c r="DWB3" s="1"/>
      <c r="DWC3" s="1"/>
      <c r="DWD3" s="1"/>
      <c r="DWE3" s="1"/>
      <c r="DWF3" s="1"/>
      <c r="DWG3" s="1"/>
      <c r="DWH3" s="1"/>
      <c r="DWI3" s="1"/>
      <c r="DWJ3" s="1"/>
      <c r="DWK3" s="1"/>
      <c r="DWL3" s="1"/>
      <c r="DWM3" s="1"/>
      <c r="DWN3" s="1"/>
      <c r="DWO3" s="1"/>
      <c r="DWP3" s="1"/>
      <c r="DWQ3" s="1"/>
      <c r="DWR3" s="1"/>
      <c r="DWS3" s="1"/>
      <c r="DWT3" s="1"/>
      <c r="DWU3" s="1"/>
      <c r="DWV3" s="1"/>
      <c r="DWW3" s="1"/>
      <c r="DWX3" s="1"/>
      <c r="DWY3" s="1"/>
      <c r="DWZ3" s="1"/>
      <c r="DXA3" s="1"/>
      <c r="DXB3" s="1"/>
      <c r="DXC3" s="1"/>
      <c r="DXD3" s="1"/>
      <c r="DXE3" s="1"/>
      <c r="DXF3" s="1"/>
      <c r="DXG3" s="1"/>
      <c r="DXH3" s="1"/>
      <c r="DXI3" s="1"/>
      <c r="DXJ3" s="1"/>
      <c r="DXK3" s="1"/>
      <c r="DXL3" s="1"/>
      <c r="DXM3" s="1"/>
      <c r="DXN3" s="1"/>
      <c r="DXO3" s="1"/>
      <c r="DXP3" s="1"/>
      <c r="DXQ3" s="1"/>
      <c r="DXR3" s="1"/>
      <c r="DXS3" s="1"/>
      <c r="DXT3" s="1"/>
      <c r="DXU3" s="1"/>
      <c r="DXV3" s="1"/>
      <c r="DXW3" s="1"/>
      <c r="DXX3" s="1"/>
      <c r="DXY3" s="1"/>
      <c r="DXZ3" s="1"/>
      <c r="DYA3" s="1"/>
      <c r="DYB3" s="1"/>
      <c r="DYC3" s="1"/>
      <c r="DYD3" s="1"/>
      <c r="DYE3" s="1"/>
      <c r="DYF3" s="1"/>
      <c r="DYG3" s="1"/>
      <c r="DYH3" s="1"/>
      <c r="DYI3" s="1"/>
      <c r="DYJ3" s="1"/>
      <c r="DYK3" s="1"/>
      <c r="DYL3" s="1"/>
      <c r="DYM3" s="1"/>
      <c r="DYN3" s="1"/>
      <c r="DYO3" s="1"/>
      <c r="DYP3" s="1"/>
      <c r="DYQ3" s="1"/>
      <c r="DYR3" s="1"/>
      <c r="DYS3" s="1"/>
      <c r="DYT3" s="1"/>
      <c r="DYU3" s="1"/>
      <c r="DYV3" s="1"/>
      <c r="DYW3" s="1"/>
      <c r="DYX3" s="1"/>
      <c r="DYY3" s="1"/>
      <c r="DYZ3" s="1"/>
      <c r="DZA3" s="1"/>
      <c r="DZB3" s="1"/>
      <c r="DZC3" s="1"/>
      <c r="DZD3" s="1"/>
      <c r="DZE3" s="1"/>
      <c r="DZF3" s="1"/>
      <c r="DZG3" s="1"/>
      <c r="DZH3" s="1"/>
      <c r="DZI3" s="1"/>
      <c r="DZJ3" s="1"/>
      <c r="DZK3" s="1"/>
      <c r="DZL3" s="1"/>
      <c r="DZM3" s="1"/>
      <c r="DZN3" s="1"/>
      <c r="DZO3" s="1"/>
      <c r="DZP3" s="1"/>
      <c r="DZQ3" s="1"/>
      <c r="DZR3" s="1"/>
      <c r="DZS3" s="1"/>
      <c r="DZT3" s="1"/>
      <c r="DZU3" s="1"/>
      <c r="DZV3" s="1"/>
      <c r="DZW3" s="1"/>
      <c r="DZX3" s="1"/>
      <c r="DZY3" s="1"/>
      <c r="DZZ3" s="1"/>
      <c r="EAA3" s="1"/>
      <c r="EAB3" s="1"/>
      <c r="EAC3" s="1"/>
      <c r="EAD3" s="1"/>
      <c r="EAE3" s="1"/>
      <c r="EAF3" s="1"/>
      <c r="EAG3" s="1"/>
      <c r="EAH3" s="1"/>
      <c r="EAI3" s="1"/>
      <c r="EAJ3" s="1"/>
      <c r="EAK3" s="1"/>
      <c r="EAL3" s="1"/>
      <c r="EAM3" s="1"/>
      <c r="EAN3" s="1"/>
      <c r="EAO3" s="1"/>
      <c r="EAP3" s="1"/>
      <c r="EAQ3" s="1"/>
      <c r="EAR3" s="1"/>
      <c r="EAS3" s="1"/>
      <c r="EAT3" s="1"/>
      <c r="EAU3" s="1"/>
      <c r="EAV3" s="1"/>
      <c r="EAW3" s="1"/>
      <c r="EAX3" s="1"/>
      <c r="EAY3" s="1"/>
      <c r="EAZ3" s="1"/>
      <c r="EBA3" s="1"/>
      <c r="EBB3" s="1"/>
      <c r="EBC3" s="1"/>
      <c r="EBD3" s="1"/>
      <c r="EBE3" s="1"/>
      <c r="EBF3" s="1"/>
      <c r="EBG3" s="1"/>
      <c r="EBH3" s="1"/>
      <c r="EBI3" s="1"/>
      <c r="EBJ3" s="1"/>
      <c r="EBK3" s="1"/>
      <c r="EBL3" s="1"/>
      <c r="EBM3" s="1"/>
      <c r="EBN3" s="1"/>
      <c r="EBO3" s="1"/>
      <c r="EBP3" s="1"/>
      <c r="EBQ3" s="1"/>
      <c r="EBR3" s="1"/>
      <c r="EBS3" s="1"/>
      <c r="EBT3" s="1"/>
      <c r="EBU3" s="1"/>
      <c r="EBV3" s="1"/>
      <c r="EBW3" s="1"/>
      <c r="EBX3" s="1"/>
      <c r="EBY3" s="1"/>
      <c r="EBZ3" s="1"/>
      <c r="ECA3" s="1"/>
      <c r="ECB3" s="1"/>
      <c r="ECC3" s="1"/>
      <c r="ECD3" s="1"/>
      <c r="ECE3" s="1"/>
      <c r="ECF3" s="1"/>
      <c r="ECG3" s="1"/>
      <c r="ECH3" s="1"/>
      <c r="ECI3" s="1"/>
      <c r="ECJ3" s="1"/>
      <c r="ECK3" s="1"/>
      <c r="ECL3" s="1"/>
      <c r="ECM3" s="1"/>
      <c r="ECN3" s="1"/>
      <c r="ECO3" s="1"/>
      <c r="ECP3" s="1"/>
      <c r="ECQ3" s="1"/>
      <c r="ECR3" s="1"/>
      <c r="ECS3" s="1"/>
      <c r="ECT3" s="1"/>
      <c r="ECU3" s="1"/>
      <c r="ECV3" s="1"/>
      <c r="ECW3" s="1"/>
      <c r="ECX3" s="1"/>
      <c r="ECY3" s="1"/>
      <c r="ECZ3" s="1"/>
      <c r="EDA3" s="1"/>
      <c r="EDB3" s="1"/>
      <c r="EDC3" s="1"/>
      <c r="EDD3" s="1"/>
      <c r="EDE3" s="1"/>
      <c r="EDF3" s="1"/>
      <c r="EDG3" s="1"/>
      <c r="EDH3" s="1"/>
      <c r="EDI3" s="1"/>
      <c r="EDJ3" s="1"/>
      <c r="EDK3" s="1"/>
      <c r="EDL3" s="1"/>
      <c r="EDM3" s="1"/>
      <c r="EDN3" s="1"/>
      <c r="EDO3" s="1"/>
      <c r="EDP3" s="1"/>
      <c r="EDQ3" s="1"/>
      <c r="EDR3" s="1"/>
      <c r="EDS3" s="1"/>
      <c r="EDT3" s="1"/>
      <c r="EDU3" s="1"/>
      <c r="EDV3" s="1"/>
      <c r="EDW3" s="1"/>
      <c r="EDX3" s="1"/>
      <c r="EDY3" s="1"/>
      <c r="EDZ3" s="1"/>
      <c r="EEA3" s="1"/>
      <c r="EEB3" s="1"/>
      <c r="EEC3" s="1"/>
      <c r="EED3" s="1"/>
      <c r="EEE3" s="1"/>
      <c r="EEF3" s="1"/>
      <c r="EEG3" s="1"/>
      <c r="EEH3" s="1"/>
      <c r="EEI3" s="1"/>
      <c r="EEJ3" s="1"/>
      <c r="EEK3" s="1"/>
      <c r="EEL3" s="1"/>
      <c r="EEM3" s="1"/>
      <c r="EEN3" s="1"/>
      <c r="EEO3" s="1"/>
      <c r="EEP3" s="1"/>
      <c r="EEQ3" s="1"/>
      <c r="EER3" s="1"/>
      <c r="EES3" s="1"/>
      <c r="EET3" s="1"/>
      <c r="EEU3" s="1"/>
      <c r="EEV3" s="1"/>
      <c r="EEW3" s="1"/>
      <c r="EEX3" s="1"/>
      <c r="EEY3" s="1"/>
      <c r="EEZ3" s="1"/>
      <c r="EFA3" s="1"/>
      <c r="EFB3" s="1"/>
      <c r="EFC3" s="1"/>
      <c r="EFD3" s="1"/>
      <c r="EFE3" s="1"/>
      <c r="EFF3" s="1"/>
      <c r="EFG3" s="1"/>
      <c r="EFH3" s="1"/>
      <c r="EFI3" s="1"/>
      <c r="EFJ3" s="1"/>
      <c r="EFK3" s="1"/>
      <c r="EFL3" s="1"/>
      <c r="EFM3" s="1"/>
      <c r="EFN3" s="1"/>
      <c r="EFO3" s="1"/>
      <c r="EFP3" s="1"/>
      <c r="EFQ3" s="1"/>
      <c r="EFR3" s="1"/>
      <c r="EFS3" s="1"/>
      <c r="EFT3" s="1"/>
      <c r="EFU3" s="1"/>
      <c r="EFV3" s="1"/>
      <c r="EFW3" s="1"/>
      <c r="EFX3" s="1"/>
      <c r="EFY3" s="1"/>
      <c r="EFZ3" s="1"/>
      <c r="EGA3" s="1"/>
      <c r="EGB3" s="1"/>
      <c r="EGC3" s="1"/>
      <c r="EGD3" s="1"/>
      <c r="EGE3" s="1"/>
      <c r="EGF3" s="1"/>
      <c r="EGG3" s="1"/>
      <c r="EGH3" s="1"/>
      <c r="EGI3" s="1"/>
      <c r="EGJ3" s="1"/>
      <c r="EGK3" s="1"/>
      <c r="EGL3" s="1"/>
      <c r="EGM3" s="1"/>
      <c r="EGN3" s="1"/>
      <c r="EGO3" s="1"/>
      <c r="EGP3" s="1"/>
      <c r="EGQ3" s="1"/>
      <c r="EGR3" s="1"/>
      <c r="EGS3" s="1"/>
      <c r="EGT3" s="1"/>
      <c r="EGU3" s="1"/>
      <c r="EGV3" s="1"/>
      <c r="EGW3" s="1"/>
      <c r="EGX3" s="1"/>
      <c r="EGY3" s="1"/>
      <c r="EGZ3" s="1"/>
      <c r="EHA3" s="1"/>
      <c r="EHB3" s="1"/>
      <c r="EHC3" s="1"/>
      <c r="EHD3" s="1"/>
      <c r="EHE3" s="1"/>
      <c r="EHF3" s="1"/>
      <c r="EHG3" s="1"/>
      <c r="EHH3" s="1"/>
      <c r="EHI3" s="1"/>
      <c r="EHJ3" s="1"/>
      <c r="EHK3" s="1"/>
      <c r="EHL3" s="1"/>
      <c r="EHM3" s="1"/>
      <c r="EHN3" s="1"/>
      <c r="EHO3" s="1"/>
      <c r="EHP3" s="1"/>
      <c r="EHQ3" s="1"/>
      <c r="EHR3" s="1"/>
      <c r="EHS3" s="1"/>
      <c r="EHT3" s="1"/>
      <c r="EHU3" s="1"/>
      <c r="EHV3" s="1"/>
      <c r="EHW3" s="1"/>
      <c r="EHX3" s="1"/>
      <c r="EHY3" s="1"/>
      <c r="EHZ3" s="1"/>
      <c r="EIA3" s="1"/>
      <c r="EIB3" s="1"/>
      <c r="EIC3" s="1"/>
      <c r="EID3" s="1"/>
      <c r="EIE3" s="1"/>
      <c r="EIF3" s="1"/>
      <c r="EIG3" s="1"/>
      <c r="EIH3" s="1"/>
      <c r="EII3" s="1"/>
      <c r="EIJ3" s="1"/>
      <c r="EIK3" s="1"/>
      <c r="EIL3" s="1"/>
      <c r="EIM3" s="1"/>
      <c r="EIN3" s="1"/>
      <c r="EIO3" s="1"/>
      <c r="EIP3" s="1"/>
      <c r="EIQ3" s="1"/>
      <c r="EIR3" s="1"/>
      <c r="EIS3" s="1"/>
      <c r="EIT3" s="1"/>
      <c r="EIU3" s="1"/>
      <c r="EIV3" s="1"/>
      <c r="EIW3" s="1"/>
      <c r="EIX3" s="1"/>
      <c r="EIY3" s="1"/>
      <c r="EIZ3" s="1"/>
      <c r="EJA3" s="1"/>
      <c r="EJB3" s="1"/>
      <c r="EJC3" s="1"/>
      <c r="EJD3" s="1"/>
      <c r="EJE3" s="1"/>
      <c r="EJF3" s="1"/>
      <c r="EJG3" s="1"/>
      <c r="EJH3" s="1"/>
      <c r="EJI3" s="1"/>
      <c r="EJJ3" s="1"/>
      <c r="EJK3" s="1"/>
      <c r="EJL3" s="1"/>
      <c r="EJM3" s="1"/>
      <c r="EJN3" s="1"/>
      <c r="EJO3" s="1"/>
      <c r="EJP3" s="1"/>
      <c r="EJQ3" s="1"/>
      <c r="EJR3" s="1"/>
      <c r="EJS3" s="1"/>
      <c r="EJT3" s="1"/>
      <c r="EJU3" s="1"/>
      <c r="EJV3" s="1"/>
      <c r="EJW3" s="1"/>
      <c r="EJX3" s="1"/>
      <c r="EJY3" s="1"/>
      <c r="EJZ3" s="1"/>
      <c r="EKA3" s="1"/>
      <c r="EKB3" s="1"/>
      <c r="EKC3" s="1"/>
      <c r="EKD3" s="1"/>
      <c r="EKE3" s="1"/>
      <c r="EKF3" s="1"/>
      <c r="EKG3" s="1"/>
      <c r="EKH3" s="1"/>
      <c r="EKI3" s="1"/>
      <c r="EKJ3" s="1"/>
      <c r="EKK3" s="1"/>
      <c r="EKL3" s="1"/>
      <c r="EKM3" s="1"/>
      <c r="EKN3" s="1"/>
      <c r="EKO3" s="1"/>
      <c r="EKP3" s="1"/>
      <c r="EKQ3" s="1"/>
      <c r="EKR3" s="1"/>
      <c r="EKS3" s="1"/>
      <c r="EKT3" s="1"/>
      <c r="EKU3" s="1"/>
      <c r="EKV3" s="1"/>
      <c r="EKW3" s="1"/>
      <c r="EKX3" s="1"/>
      <c r="EKY3" s="1"/>
      <c r="EKZ3" s="1"/>
      <c r="ELA3" s="1"/>
      <c r="ELB3" s="1"/>
      <c r="ELC3" s="1"/>
      <c r="ELD3" s="1"/>
      <c r="ELE3" s="1"/>
      <c r="ELF3" s="1"/>
      <c r="ELG3" s="1"/>
      <c r="ELH3" s="1"/>
      <c r="ELI3" s="1"/>
      <c r="ELJ3" s="1"/>
      <c r="ELK3" s="1"/>
      <c r="ELL3" s="1"/>
      <c r="ELM3" s="1"/>
      <c r="ELN3" s="1"/>
      <c r="ELO3" s="1"/>
      <c r="ELP3" s="1"/>
      <c r="ELQ3" s="1"/>
      <c r="ELR3" s="1"/>
      <c r="ELS3" s="1"/>
      <c r="ELT3" s="1"/>
      <c r="ELU3" s="1"/>
      <c r="ELV3" s="1"/>
      <c r="ELW3" s="1"/>
      <c r="ELX3" s="1"/>
      <c r="ELY3" s="1"/>
      <c r="ELZ3" s="1"/>
      <c r="EMA3" s="1"/>
      <c r="EMB3" s="1"/>
      <c r="EMC3" s="1"/>
      <c r="EMD3" s="1"/>
      <c r="EME3" s="1"/>
      <c r="EMF3" s="1"/>
      <c r="EMG3" s="1"/>
      <c r="EMH3" s="1"/>
      <c r="EMI3" s="1"/>
      <c r="EMJ3" s="1"/>
      <c r="EMK3" s="1"/>
      <c r="EML3" s="1"/>
      <c r="EMM3" s="1"/>
      <c r="EMN3" s="1"/>
      <c r="EMO3" s="1"/>
      <c r="EMP3" s="1"/>
      <c r="EMQ3" s="1"/>
      <c r="EMR3" s="1"/>
      <c r="EMS3" s="1"/>
      <c r="EMT3" s="1"/>
      <c r="EMU3" s="1"/>
      <c r="EMV3" s="1"/>
      <c r="EMW3" s="1"/>
      <c r="EMX3" s="1"/>
      <c r="EMY3" s="1"/>
      <c r="EMZ3" s="1"/>
      <c r="ENA3" s="1"/>
      <c r="ENB3" s="1"/>
      <c r="ENC3" s="1"/>
      <c r="END3" s="1"/>
      <c r="ENE3" s="1"/>
      <c r="ENF3" s="1"/>
      <c r="ENG3" s="1"/>
      <c r="ENH3" s="1"/>
      <c r="ENI3" s="1"/>
      <c r="ENJ3" s="1"/>
      <c r="ENK3" s="1"/>
      <c r="ENL3" s="1"/>
      <c r="ENM3" s="1"/>
      <c r="ENN3" s="1"/>
      <c r="ENO3" s="1"/>
      <c r="ENP3" s="1"/>
      <c r="ENQ3" s="1"/>
      <c r="ENR3" s="1"/>
      <c r="ENS3" s="1"/>
      <c r="ENT3" s="1"/>
      <c r="ENU3" s="1"/>
      <c r="ENV3" s="1"/>
      <c r="ENW3" s="1"/>
      <c r="ENX3" s="1"/>
      <c r="ENY3" s="1"/>
      <c r="ENZ3" s="1"/>
      <c r="EOA3" s="1"/>
      <c r="EOB3" s="1"/>
      <c r="EOC3" s="1"/>
      <c r="EOD3" s="1"/>
      <c r="EOE3" s="1"/>
      <c r="EOF3" s="1"/>
      <c r="EOG3" s="1"/>
      <c r="EOH3" s="1"/>
      <c r="EOI3" s="1"/>
      <c r="EOJ3" s="1"/>
      <c r="EOK3" s="1"/>
      <c r="EOL3" s="1"/>
      <c r="EOM3" s="1"/>
      <c r="EON3" s="1"/>
      <c r="EOO3" s="1"/>
      <c r="EOP3" s="1"/>
      <c r="EOQ3" s="1"/>
      <c r="EOR3" s="1"/>
      <c r="EOS3" s="1"/>
      <c r="EOT3" s="1"/>
      <c r="EOU3" s="1"/>
      <c r="EOV3" s="1"/>
      <c r="EOW3" s="1"/>
      <c r="EOX3" s="1"/>
      <c r="EOY3" s="1"/>
      <c r="EOZ3" s="1"/>
      <c r="EPA3" s="1"/>
      <c r="EPB3" s="1"/>
      <c r="EPC3" s="1"/>
      <c r="EPD3" s="1"/>
      <c r="EPE3" s="1"/>
      <c r="EPF3" s="1"/>
      <c r="EPG3" s="1"/>
      <c r="EPH3" s="1"/>
      <c r="EPI3" s="1"/>
      <c r="EPJ3" s="1"/>
      <c r="EPK3" s="1"/>
      <c r="EPL3" s="1"/>
      <c r="EPM3" s="1"/>
      <c r="EPN3" s="1"/>
      <c r="EPO3" s="1"/>
      <c r="EPP3" s="1"/>
      <c r="EPQ3" s="1"/>
      <c r="EPR3" s="1"/>
      <c r="EPS3" s="1"/>
      <c r="EPT3" s="1"/>
      <c r="EPU3" s="1"/>
      <c r="EPV3" s="1"/>
      <c r="EPW3" s="1"/>
      <c r="EPX3" s="1"/>
      <c r="EPY3" s="1"/>
      <c r="EPZ3" s="1"/>
      <c r="EQA3" s="1"/>
      <c r="EQB3" s="1"/>
      <c r="EQC3" s="1"/>
      <c r="EQD3" s="1"/>
      <c r="EQE3" s="1"/>
      <c r="EQF3" s="1"/>
      <c r="EQG3" s="1"/>
      <c r="EQH3" s="1"/>
      <c r="EQI3" s="1"/>
      <c r="EQJ3" s="1"/>
      <c r="EQK3" s="1"/>
      <c r="EQL3" s="1"/>
      <c r="EQM3" s="1"/>
      <c r="EQN3" s="1"/>
      <c r="EQO3" s="1"/>
      <c r="EQP3" s="1"/>
      <c r="EQQ3" s="1"/>
      <c r="EQR3" s="1"/>
      <c r="EQS3" s="1"/>
      <c r="EQT3" s="1"/>
      <c r="EQU3" s="1"/>
      <c r="EQV3" s="1"/>
      <c r="EQW3" s="1"/>
      <c r="EQX3" s="1"/>
      <c r="EQY3" s="1"/>
      <c r="EQZ3" s="1"/>
      <c r="ERA3" s="1"/>
      <c r="ERB3" s="1"/>
      <c r="ERC3" s="1"/>
      <c r="ERD3" s="1"/>
      <c r="ERE3" s="1"/>
      <c r="ERF3" s="1"/>
      <c r="ERG3" s="1"/>
      <c r="ERH3" s="1"/>
      <c r="ERI3" s="1"/>
      <c r="ERJ3" s="1"/>
      <c r="ERK3" s="1"/>
      <c r="ERL3" s="1"/>
      <c r="ERM3" s="1"/>
      <c r="ERN3" s="1"/>
      <c r="ERO3" s="1"/>
      <c r="ERP3" s="1"/>
      <c r="ERQ3" s="1"/>
      <c r="ERR3" s="1"/>
      <c r="ERS3" s="1"/>
      <c r="ERT3" s="1"/>
      <c r="ERU3" s="1"/>
      <c r="ERV3" s="1"/>
      <c r="ERW3" s="1"/>
      <c r="ERX3" s="1"/>
      <c r="ERY3" s="1"/>
      <c r="ERZ3" s="1"/>
      <c r="ESA3" s="1"/>
      <c r="ESB3" s="1"/>
      <c r="ESC3" s="1"/>
      <c r="ESD3" s="1"/>
      <c r="ESE3" s="1"/>
      <c r="ESF3" s="1"/>
      <c r="ESG3" s="1"/>
      <c r="ESH3" s="1"/>
      <c r="ESI3" s="1"/>
      <c r="ESJ3" s="1"/>
      <c r="ESK3" s="1"/>
      <c r="ESL3" s="1"/>
      <c r="ESM3" s="1"/>
      <c r="ESN3" s="1"/>
      <c r="ESO3" s="1"/>
      <c r="ESP3" s="1"/>
      <c r="ESQ3" s="1"/>
      <c r="ESR3" s="1"/>
      <c r="ESS3" s="1"/>
      <c r="EST3" s="1"/>
      <c r="ESU3" s="1"/>
      <c r="ESV3" s="1"/>
      <c r="ESW3" s="1"/>
      <c r="ESX3" s="1"/>
      <c r="ESY3" s="1"/>
      <c r="ESZ3" s="1"/>
      <c r="ETA3" s="1"/>
      <c r="ETB3" s="1"/>
      <c r="ETC3" s="1"/>
      <c r="ETD3" s="1"/>
      <c r="ETE3" s="1"/>
      <c r="ETF3" s="1"/>
      <c r="ETG3" s="1"/>
      <c r="ETH3" s="1"/>
      <c r="ETI3" s="1"/>
      <c r="ETJ3" s="1"/>
      <c r="ETK3" s="1"/>
      <c r="ETL3" s="1"/>
      <c r="ETM3" s="1"/>
      <c r="ETN3" s="1"/>
      <c r="ETO3" s="1"/>
      <c r="ETP3" s="1"/>
      <c r="ETQ3" s="1"/>
      <c r="ETR3" s="1"/>
      <c r="ETS3" s="1"/>
      <c r="ETT3" s="1"/>
      <c r="ETU3" s="1"/>
      <c r="ETV3" s="1"/>
      <c r="ETW3" s="1"/>
      <c r="ETX3" s="1"/>
      <c r="ETY3" s="1"/>
      <c r="ETZ3" s="1"/>
      <c r="EUA3" s="1"/>
      <c r="EUB3" s="1"/>
      <c r="EUC3" s="1"/>
      <c r="EUD3" s="1"/>
      <c r="EUE3" s="1"/>
      <c r="EUF3" s="1"/>
      <c r="EUG3" s="1"/>
      <c r="EUH3" s="1"/>
      <c r="EUI3" s="1"/>
      <c r="EUJ3" s="1"/>
      <c r="EUK3" s="1"/>
      <c r="EUL3" s="1"/>
      <c r="EUM3" s="1"/>
      <c r="EUN3" s="1"/>
      <c r="EUO3" s="1"/>
      <c r="EUP3" s="1"/>
      <c r="EUQ3" s="1"/>
      <c r="EUR3" s="1"/>
      <c r="EUS3" s="1"/>
      <c r="EUT3" s="1"/>
      <c r="EUU3" s="1"/>
      <c r="EUV3" s="1"/>
      <c r="EUW3" s="1"/>
      <c r="EUX3" s="1"/>
      <c r="EUY3" s="1"/>
      <c r="EUZ3" s="1"/>
      <c r="EVA3" s="1"/>
      <c r="EVB3" s="1"/>
      <c r="EVC3" s="1"/>
      <c r="EVD3" s="1"/>
      <c r="EVE3" s="1"/>
      <c r="EVF3" s="1"/>
      <c r="EVG3" s="1"/>
      <c r="EVH3" s="1"/>
      <c r="EVI3" s="1"/>
      <c r="EVJ3" s="1"/>
      <c r="EVK3" s="1"/>
      <c r="EVL3" s="1"/>
      <c r="EVM3" s="1"/>
      <c r="EVN3" s="1"/>
      <c r="EVO3" s="1"/>
      <c r="EVP3" s="1"/>
      <c r="EVQ3" s="1"/>
      <c r="EVR3" s="1"/>
      <c r="EVS3" s="1"/>
      <c r="EVT3" s="1"/>
      <c r="EVU3" s="1"/>
      <c r="EVV3" s="1"/>
      <c r="EVW3" s="1"/>
      <c r="EVX3" s="1"/>
      <c r="EVY3" s="1"/>
      <c r="EVZ3" s="1"/>
      <c r="EWA3" s="1"/>
      <c r="EWB3" s="1"/>
      <c r="EWC3" s="1"/>
      <c r="EWD3" s="1"/>
      <c r="EWE3" s="1"/>
      <c r="EWF3" s="1"/>
      <c r="EWG3" s="1"/>
      <c r="EWH3" s="1"/>
      <c r="EWI3" s="1"/>
      <c r="EWJ3" s="1"/>
      <c r="EWK3" s="1"/>
      <c r="EWL3" s="1"/>
      <c r="EWM3" s="1"/>
      <c r="EWN3" s="1"/>
      <c r="EWO3" s="1"/>
      <c r="EWP3" s="1"/>
      <c r="EWQ3" s="1"/>
      <c r="EWR3" s="1"/>
      <c r="EWS3" s="1"/>
      <c r="EWT3" s="1"/>
      <c r="EWU3" s="1"/>
      <c r="EWV3" s="1"/>
      <c r="EWW3" s="1"/>
      <c r="EWX3" s="1"/>
      <c r="EWY3" s="1"/>
      <c r="EWZ3" s="1"/>
      <c r="EXA3" s="1"/>
      <c r="EXB3" s="1"/>
      <c r="EXC3" s="1"/>
      <c r="EXD3" s="1"/>
      <c r="EXE3" s="1"/>
      <c r="EXF3" s="1"/>
      <c r="EXG3" s="1"/>
      <c r="EXH3" s="1"/>
      <c r="EXI3" s="1"/>
      <c r="EXJ3" s="1"/>
      <c r="EXK3" s="1"/>
      <c r="EXL3" s="1"/>
      <c r="EXM3" s="1"/>
      <c r="EXN3" s="1"/>
      <c r="EXO3" s="1"/>
      <c r="EXP3" s="1"/>
      <c r="EXQ3" s="1"/>
      <c r="EXR3" s="1"/>
      <c r="EXS3" s="1"/>
      <c r="EXT3" s="1"/>
      <c r="EXU3" s="1"/>
      <c r="EXV3" s="1"/>
      <c r="EXW3" s="1"/>
      <c r="EXX3" s="1"/>
      <c r="EXY3" s="1"/>
      <c r="EXZ3" s="1"/>
      <c r="EYA3" s="1"/>
      <c r="EYB3" s="1"/>
      <c r="EYC3" s="1"/>
      <c r="EYD3" s="1"/>
      <c r="EYE3" s="1"/>
      <c r="EYF3" s="1"/>
      <c r="EYG3" s="1"/>
      <c r="EYH3" s="1"/>
      <c r="EYI3" s="1"/>
      <c r="EYJ3" s="1"/>
      <c r="EYK3" s="1"/>
      <c r="EYL3" s="1"/>
      <c r="EYM3" s="1"/>
      <c r="EYN3" s="1"/>
      <c r="EYO3" s="1"/>
      <c r="EYP3" s="1"/>
      <c r="EYQ3" s="1"/>
      <c r="EYR3" s="1"/>
      <c r="EYS3" s="1"/>
      <c r="EYT3" s="1"/>
      <c r="EYU3" s="1"/>
      <c r="EYV3" s="1"/>
      <c r="EYW3" s="1"/>
      <c r="EYX3" s="1"/>
      <c r="EYY3" s="1"/>
      <c r="EYZ3" s="1"/>
      <c r="EZA3" s="1"/>
      <c r="EZB3" s="1"/>
      <c r="EZC3" s="1"/>
      <c r="EZD3" s="1"/>
      <c r="EZE3" s="1"/>
      <c r="EZF3" s="1"/>
      <c r="EZG3" s="1"/>
      <c r="EZH3" s="1"/>
      <c r="EZI3" s="1"/>
      <c r="EZJ3" s="1"/>
      <c r="EZK3" s="1"/>
      <c r="EZL3" s="1"/>
      <c r="EZM3" s="1"/>
      <c r="EZN3" s="1"/>
      <c r="EZO3" s="1"/>
      <c r="EZP3" s="1"/>
      <c r="EZQ3" s="1"/>
      <c r="EZR3" s="1"/>
      <c r="EZS3" s="1"/>
      <c r="EZT3" s="1"/>
      <c r="EZU3" s="1"/>
      <c r="EZV3" s="1"/>
      <c r="EZW3" s="1"/>
      <c r="EZX3" s="1"/>
      <c r="EZY3" s="1"/>
      <c r="EZZ3" s="1"/>
      <c r="FAA3" s="1"/>
      <c r="FAB3" s="1"/>
      <c r="FAC3" s="1"/>
      <c r="FAD3" s="1"/>
      <c r="FAE3" s="1"/>
      <c r="FAF3" s="1"/>
      <c r="FAG3" s="1"/>
      <c r="FAH3" s="1"/>
      <c r="FAI3" s="1"/>
      <c r="FAJ3" s="1"/>
      <c r="FAK3" s="1"/>
      <c r="FAL3" s="1"/>
      <c r="FAM3" s="1"/>
      <c r="FAN3" s="1"/>
      <c r="FAO3" s="1"/>
      <c r="FAP3" s="1"/>
      <c r="FAQ3" s="1"/>
      <c r="FAR3" s="1"/>
      <c r="FAS3" s="1"/>
      <c r="FAT3" s="1"/>
      <c r="FAU3" s="1"/>
      <c r="FAV3" s="1"/>
      <c r="FAW3" s="1"/>
      <c r="FAX3" s="1"/>
      <c r="FAY3" s="1"/>
      <c r="FAZ3" s="1"/>
      <c r="FBA3" s="1"/>
      <c r="FBB3" s="1"/>
      <c r="FBC3" s="1"/>
      <c r="FBD3" s="1"/>
      <c r="FBE3" s="1"/>
      <c r="FBF3" s="1"/>
      <c r="FBG3" s="1"/>
      <c r="FBH3" s="1"/>
      <c r="FBI3" s="1"/>
      <c r="FBJ3" s="1"/>
      <c r="FBK3" s="1"/>
      <c r="FBL3" s="1"/>
      <c r="FBM3" s="1"/>
      <c r="FBN3" s="1"/>
      <c r="FBO3" s="1"/>
      <c r="FBP3" s="1"/>
      <c r="FBQ3" s="1"/>
      <c r="FBR3" s="1"/>
      <c r="FBS3" s="1"/>
      <c r="FBT3" s="1"/>
      <c r="FBU3" s="1"/>
      <c r="FBV3" s="1"/>
      <c r="FBW3" s="1"/>
      <c r="FBX3" s="1"/>
      <c r="FBY3" s="1"/>
      <c r="FBZ3" s="1"/>
      <c r="FCA3" s="1"/>
      <c r="FCB3" s="1"/>
      <c r="FCC3" s="1"/>
      <c r="FCD3" s="1"/>
      <c r="FCE3" s="1"/>
      <c r="FCF3" s="1"/>
      <c r="FCG3" s="1"/>
      <c r="FCH3" s="1"/>
      <c r="FCI3" s="1"/>
      <c r="FCJ3" s="1"/>
      <c r="FCK3" s="1"/>
      <c r="FCL3" s="1"/>
      <c r="FCM3" s="1"/>
      <c r="FCN3" s="1"/>
      <c r="FCO3" s="1"/>
      <c r="FCP3" s="1"/>
      <c r="FCQ3" s="1"/>
      <c r="FCR3" s="1"/>
      <c r="FCS3" s="1"/>
      <c r="FCT3" s="1"/>
      <c r="FCU3" s="1"/>
      <c r="FCV3" s="1"/>
      <c r="FCW3" s="1"/>
      <c r="FCX3" s="1"/>
      <c r="FCY3" s="1"/>
      <c r="FCZ3" s="1"/>
      <c r="FDA3" s="1"/>
      <c r="FDB3" s="1"/>
      <c r="FDC3" s="1"/>
      <c r="FDD3" s="1"/>
      <c r="FDE3" s="1"/>
      <c r="FDF3" s="1"/>
      <c r="FDG3" s="1"/>
      <c r="FDH3" s="1"/>
      <c r="FDI3" s="1"/>
      <c r="FDJ3" s="1"/>
      <c r="FDK3" s="1"/>
      <c r="FDL3" s="1"/>
      <c r="FDM3" s="1"/>
      <c r="FDN3" s="1"/>
      <c r="FDO3" s="1"/>
      <c r="FDP3" s="1"/>
      <c r="FDQ3" s="1"/>
      <c r="FDR3" s="1"/>
      <c r="FDS3" s="1"/>
      <c r="FDT3" s="1"/>
      <c r="FDU3" s="1"/>
      <c r="FDV3" s="1"/>
      <c r="FDW3" s="1"/>
      <c r="FDX3" s="1"/>
      <c r="FDY3" s="1"/>
      <c r="FDZ3" s="1"/>
      <c r="FEA3" s="1"/>
      <c r="FEB3" s="1"/>
      <c r="FEC3" s="1"/>
      <c r="FED3" s="1"/>
      <c r="FEE3" s="1"/>
      <c r="FEF3" s="1"/>
      <c r="FEG3" s="1"/>
      <c r="FEH3" s="1"/>
      <c r="FEI3" s="1"/>
      <c r="FEJ3" s="1"/>
      <c r="FEK3" s="1"/>
      <c r="FEL3" s="1"/>
      <c r="FEM3" s="1"/>
      <c r="FEN3" s="1"/>
      <c r="FEO3" s="1"/>
      <c r="FEP3" s="1"/>
      <c r="FEQ3" s="1"/>
      <c r="FER3" s="1"/>
      <c r="FES3" s="1"/>
      <c r="FET3" s="1"/>
      <c r="FEU3" s="1"/>
      <c r="FEV3" s="1"/>
      <c r="FEW3" s="1"/>
      <c r="FEX3" s="1"/>
      <c r="FEY3" s="1"/>
      <c r="FEZ3" s="1"/>
      <c r="FFA3" s="1"/>
      <c r="FFB3" s="1"/>
      <c r="FFC3" s="1"/>
      <c r="FFD3" s="1"/>
      <c r="FFE3" s="1"/>
      <c r="FFF3" s="1"/>
      <c r="FFG3" s="1"/>
      <c r="FFH3" s="1"/>
      <c r="FFI3" s="1"/>
      <c r="FFJ3" s="1"/>
      <c r="FFK3" s="1"/>
      <c r="FFL3" s="1"/>
      <c r="FFM3" s="1"/>
      <c r="FFN3" s="1"/>
      <c r="FFO3" s="1"/>
      <c r="FFP3" s="1"/>
      <c r="FFQ3" s="1"/>
      <c r="FFR3" s="1"/>
      <c r="FFS3" s="1"/>
      <c r="FFT3" s="1"/>
      <c r="FFU3" s="1"/>
      <c r="FFV3" s="1"/>
      <c r="FFW3" s="1"/>
      <c r="FFX3" s="1"/>
      <c r="FFY3" s="1"/>
      <c r="FFZ3" s="1"/>
      <c r="FGA3" s="1"/>
      <c r="FGB3" s="1"/>
      <c r="FGC3" s="1"/>
      <c r="FGD3" s="1"/>
      <c r="FGE3" s="1"/>
      <c r="FGF3" s="1"/>
      <c r="FGG3" s="1"/>
      <c r="FGH3" s="1"/>
      <c r="FGI3" s="1"/>
      <c r="FGJ3" s="1"/>
      <c r="FGK3" s="1"/>
      <c r="FGL3" s="1"/>
      <c r="FGM3" s="1"/>
      <c r="FGN3" s="1"/>
      <c r="FGO3" s="1"/>
      <c r="FGP3" s="1"/>
      <c r="FGQ3" s="1"/>
      <c r="FGR3" s="1"/>
      <c r="FGS3" s="1"/>
      <c r="FGT3" s="1"/>
      <c r="FGU3" s="1"/>
      <c r="FGV3" s="1"/>
      <c r="FGW3" s="1"/>
      <c r="FGX3" s="1"/>
      <c r="FGY3" s="1"/>
      <c r="FGZ3" s="1"/>
      <c r="FHA3" s="1"/>
      <c r="FHB3" s="1"/>
      <c r="FHC3" s="1"/>
      <c r="FHD3" s="1"/>
      <c r="FHE3" s="1"/>
      <c r="FHF3" s="1"/>
      <c r="FHG3" s="1"/>
      <c r="FHH3" s="1"/>
      <c r="FHI3" s="1"/>
      <c r="FHJ3" s="1"/>
      <c r="FHK3" s="1"/>
      <c r="FHL3" s="1"/>
      <c r="FHM3" s="1"/>
      <c r="FHN3" s="1"/>
      <c r="FHO3" s="1"/>
      <c r="FHP3" s="1"/>
      <c r="FHQ3" s="1"/>
      <c r="FHR3" s="1"/>
      <c r="FHS3" s="1"/>
      <c r="FHT3" s="1"/>
      <c r="FHU3" s="1"/>
      <c r="FHV3" s="1"/>
      <c r="FHW3" s="1"/>
      <c r="FHX3" s="1"/>
      <c r="FHY3" s="1"/>
      <c r="FHZ3" s="1"/>
      <c r="FIA3" s="1"/>
      <c r="FIB3" s="1"/>
      <c r="FIC3" s="1"/>
      <c r="FID3" s="1"/>
      <c r="FIE3" s="1"/>
      <c r="FIF3" s="1"/>
      <c r="FIG3" s="1"/>
      <c r="FIH3" s="1"/>
      <c r="FII3" s="1"/>
      <c r="FIJ3" s="1"/>
      <c r="FIK3" s="1"/>
      <c r="FIL3" s="1"/>
      <c r="FIM3" s="1"/>
      <c r="FIN3" s="1"/>
      <c r="FIO3" s="1"/>
      <c r="FIP3" s="1"/>
      <c r="FIQ3" s="1"/>
      <c r="FIR3" s="1"/>
      <c r="FIS3" s="1"/>
      <c r="FIT3" s="1"/>
      <c r="FIU3" s="1"/>
      <c r="FIV3" s="1"/>
      <c r="FIW3" s="1"/>
      <c r="FIX3" s="1"/>
      <c r="FIY3" s="1"/>
      <c r="FIZ3" s="1"/>
      <c r="FJA3" s="1"/>
      <c r="FJB3" s="1"/>
      <c r="FJC3" s="1"/>
      <c r="FJD3" s="1"/>
      <c r="FJE3" s="1"/>
      <c r="FJF3" s="1"/>
      <c r="FJG3" s="1"/>
      <c r="FJH3" s="1"/>
      <c r="FJI3" s="1"/>
      <c r="FJJ3" s="1"/>
      <c r="FJK3" s="1"/>
      <c r="FJL3" s="1"/>
      <c r="FJM3" s="1"/>
      <c r="FJN3" s="1"/>
      <c r="FJO3" s="1"/>
      <c r="FJP3" s="1"/>
      <c r="FJQ3" s="1"/>
      <c r="FJR3" s="1"/>
      <c r="FJS3" s="1"/>
      <c r="FJT3" s="1"/>
      <c r="FJU3" s="1"/>
      <c r="FJV3" s="1"/>
      <c r="FJW3" s="1"/>
      <c r="FJX3" s="1"/>
      <c r="FJY3" s="1"/>
      <c r="FJZ3" s="1"/>
      <c r="FKA3" s="1"/>
      <c r="FKB3" s="1"/>
      <c r="FKC3" s="1"/>
      <c r="FKD3" s="1"/>
      <c r="FKE3" s="1"/>
      <c r="FKF3" s="1"/>
      <c r="FKG3" s="1"/>
      <c r="FKH3" s="1"/>
      <c r="FKI3" s="1"/>
      <c r="FKJ3" s="1"/>
      <c r="FKK3" s="1"/>
      <c r="FKL3" s="1"/>
      <c r="FKM3" s="1"/>
      <c r="FKN3" s="1"/>
      <c r="FKO3" s="1"/>
      <c r="FKP3" s="1"/>
      <c r="FKQ3" s="1"/>
      <c r="FKR3" s="1"/>
      <c r="FKS3" s="1"/>
      <c r="FKT3" s="1"/>
      <c r="FKU3" s="1"/>
      <c r="FKV3" s="1"/>
      <c r="FKW3" s="1"/>
      <c r="FKX3" s="1"/>
      <c r="FKY3" s="1"/>
      <c r="FKZ3" s="1"/>
      <c r="FLA3" s="1"/>
      <c r="FLB3" s="1"/>
      <c r="FLC3" s="1"/>
      <c r="FLD3" s="1"/>
      <c r="FLE3" s="1"/>
      <c r="FLF3" s="1"/>
      <c r="FLG3" s="1"/>
      <c r="FLH3" s="1"/>
      <c r="FLI3" s="1"/>
      <c r="FLJ3" s="1"/>
      <c r="FLK3" s="1"/>
      <c r="FLL3" s="1"/>
      <c r="FLM3" s="1"/>
      <c r="FLN3" s="1"/>
      <c r="FLO3" s="1"/>
      <c r="FLP3" s="1"/>
      <c r="FLQ3" s="1"/>
      <c r="FLR3" s="1"/>
      <c r="FLS3" s="1"/>
      <c r="FLT3" s="1"/>
      <c r="FLU3" s="1"/>
      <c r="FLV3" s="1"/>
      <c r="FLW3" s="1"/>
      <c r="FLX3" s="1"/>
      <c r="FLY3" s="1"/>
      <c r="FLZ3" s="1"/>
      <c r="FMA3" s="1"/>
      <c r="FMB3" s="1"/>
      <c r="FMC3" s="1"/>
      <c r="FMD3" s="1"/>
      <c r="FME3" s="1"/>
      <c r="FMF3" s="1"/>
      <c r="FMG3" s="1"/>
      <c r="FMH3" s="1"/>
      <c r="FMI3" s="1"/>
      <c r="FMJ3" s="1"/>
      <c r="FMK3" s="1"/>
      <c r="FML3" s="1"/>
      <c r="FMM3" s="1"/>
      <c r="FMN3" s="1"/>
      <c r="FMO3" s="1"/>
      <c r="FMP3" s="1"/>
      <c r="FMQ3" s="1"/>
      <c r="FMR3" s="1"/>
      <c r="FMS3" s="1"/>
      <c r="FMT3" s="1"/>
      <c r="FMU3" s="1"/>
      <c r="FMV3" s="1"/>
      <c r="FMW3" s="1"/>
      <c r="FMX3" s="1"/>
      <c r="FMY3" s="1"/>
      <c r="FMZ3" s="1"/>
      <c r="FNA3" s="1"/>
      <c r="FNB3" s="1"/>
      <c r="FNC3" s="1"/>
      <c r="FND3" s="1"/>
      <c r="FNE3" s="1"/>
      <c r="FNF3" s="1"/>
      <c r="FNG3" s="1"/>
      <c r="FNH3" s="1"/>
      <c r="FNI3" s="1"/>
      <c r="FNJ3" s="1"/>
      <c r="FNK3" s="1"/>
      <c r="FNL3" s="1"/>
      <c r="FNM3" s="1"/>
      <c r="FNN3" s="1"/>
      <c r="FNO3" s="1"/>
      <c r="FNP3" s="1"/>
      <c r="FNQ3" s="1"/>
      <c r="FNR3" s="1"/>
      <c r="FNS3" s="1"/>
      <c r="FNT3" s="1"/>
      <c r="FNU3" s="1"/>
      <c r="FNV3" s="1"/>
      <c r="FNW3" s="1"/>
      <c r="FNX3" s="1"/>
      <c r="FNY3" s="1"/>
      <c r="FNZ3" s="1"/>
      <c r="FOA3" s="1"/>
      <c r="FOB3" s="1"/>
      <c r="FOC3" s="1"/>
      <c r="FOD3" s="1"/>
      <c r="FOE3" s="1"/>
      <c r="FOF3" s="1"/>
      <c r="FOG3" s="1"/>
      <c r="FOH3" s="1"/>
      <c r="FOI3" s="1"/>
      <c r="FOJ3" s="1"/>
      <c r="FOK3" s="1"/>
      <c r="FOL3" s="1"/>
      <c r="FOM3" s="1"/>
      <c r="FON3" s="1"/>
      <c r="FOO3" s="1"/>
      <c r="FOP3" s="1"/>
      <c r="FOQ3" s="1"/>
      <c r="FOR3" s="1"/>
      <c r="FOS3" s="1"/>
      <c r="FOT3" s="1"/>
      <c r="FOU3" s="1"/>
      <c r="FOV3" s="1"/>
      <c r="FOW3" s="1"/>
      <c r="FOX3" s="1"/>
      <c r="FOY3" s="1"/>
      <c r="FOZ3" s="1"/>
      <c r="FPA3" s="1"/>
      <c r="FPB3" s="1"/>
      <c r="FPC3" s="1"/>
      <c r="FPD3" s="1"/>
      <c r="FPE3" s="1"/>
      <c r="FPF3" s="1"/>
      <c r="FPG3" s="1"/>
      <c r="FPH3" s="1"/>
      <c r="FPI3" s="1"/>
      <c r="FPJ3" s="1"/>
      <c r="FPK3" s="1"/>
      <c r="FPL3" s="1"/>
      <c r="FPM3" s="1"/>
      <c r="FPN3" s="1"/>
      <c r="FPO3" s="1"/>
      <c r="FPP3" s="1"/>
      <c r="FPQ3" s="1"/>
      <c r="FPR3" s="1"/>
      <c r="FPS3" s="1"/>
      <c r="FPT3" s="1"/>
      <c r="FPU3" s="1"/>
      <c r="FPV3" s="1"/>
      <c r="FPW3" s="1"/>
      <c r="FPX3" s="1"/>
      <c r="FPY3" s="1"/>
      <c r="FPZ3" s="1"/>
      <c r="FQA3" s="1"/>
      <c r="FQB3" s="1"/>
      <c r="FQC3" s="1"/>
      <c r="FQD3" s="1"/>
      <c r="FQE3" s="1"/>
      <c r="FQF3" s="1"/>
      <c r="FQG3" s="1"/>
      <c r="FQH3" s="1"/>
      <c r="FQI3" s="1"/>
      <c r="FQJ3" s="1"/>
      <c r="FQK3" s="1"/>
      <c r="FQL3" s="1"/>
      <c r="FQM3" s="1"/>
      <c r="FQN3" s="1"/>
      <c r="FQO3" s="1"/>
      <c r="FQP3" s="1"/>
      <c r="FQQ3" s="1"/>
      <c r="FQR3" s="1"/>
      <c r="FQS3" s="1"/>
      <c r="FQT3" s="1"/>
      <c r="FQU3" s="1"/>
      <c r="FQV3" s="1"/>
      <c r="FQW3" s="1"/>
      <c r="FQX3" s="1"/>
      <c r="FQY3" s="1"/>
      <c r="FQZ3" s="1"/>
      <c r="FRA3" s="1"/>
      <c r="FRB3" s="1"/>
      <c r="FRC3" s="1"/>
      <c r="FRD3" s="1"/>
      <c r="FRE3" s="1"/>
      <c r="FRF3" s="1"/>
      <c r="FRG3" s="1"/>
      <c r="FRH3" s="1"/>
      <c r="FRI3" s="1"/>
      <c r="FRJ3" s="1"/>
      <c r="FRK3" s="1"/>
      <c r="FRL3" s="1"/>
      <c r="FRM3" s="1"/>
      <c r="FRN3" s="1"/>
      <c r="FRO3" s="1"/>
      <c r="FRP3" s="1"/>
      <c r="FRQ3" s="1"/>
      <c r="FRR3" s="1"/>
      <c r="FRS3" s="1"/>
      <c r="FRT3" s="1"/>
      <c r="FRU3" s="1"/>
      <c r="FRV3" s="1"/>
      <c r="FRW3" s="1"/>
      <c r="FRX3" s="1"/>
      <c r="FRY3" s="1"/>
      <c r="FRZ3" s="1"/>
      <c r="FSA3" s="1"/>
      <c r="FSB3" s="1"/>
      <c r="FSC3" s="1"/>
      <c r="FSD3" s="1"/>
      <c r="FSE3" s="1"/>
      <c r="FSF3" s="1"/>
      <c r="FSG3" s="1"/>
      <c r="FSH3" s="1"/>
      <c r="FSI3" s="1"/>
      <c r="FSJ3" s="1"/>
      <c r="FSK3" s="1"/>
      <c r="FSL3" s="1"/>
      <c r="FSM3" s="1"/>
      <c r="FSN3" s="1"/>
      <c r="FSO3" s="1"/>
      <c r="FSP3" s="1"/>
      <c r="FSQ3" s="1"/>
      <c r="FSR3" s="1"/>
      <c r="FSS3" s="1"/>
      <c r="FST3" s="1"/>
      <c r="FSU3" s="1"/>
      <c r="FSV3" s="1"/>
      <c r="FSW3" s="1"/>
      <c r="FSX3" s="1"/>
      <c r="FSY3" s="1"/>
      <c r="FSZ3" s="1"/>
      <c r="FTA3" s="1"/>
      <c r="FTB3" s="1"/>
      <c r="FTC3" s="1"/>
      <c r="FTD3" s="1"/>
      <c r="FTE3" s="1"/>
      <c r="FTF3" s="1"/>
      <c r="FTG3" s="1"/>
      <c r="FTH3" s="1"/>
      <c r="FTI3" s="1"/>
      <c r="FTJ3" s="1"/>
      <c r="FTK3" s="1"/>
      <c r="FTL3" s="1"/>
      <c r="FTM3" s="1"/>
      <c r="FTN3" s="1"/>
      <c r="FTO3" s="1"/>
      <c r="FTP3" s="1"/>
      <c r="FTQ3" s="1"/>
      <c r="FTR3" s="1"/>
      <c r="FTS3" s="1"/>
      <c r="FTT3" s="1"/>
      <c r="FTU3" s="1"/>
      <c r="FTV3" s="1"/>
      <c r="FTW3" s="1"/>
      <c r="FTX3" s="1"/>
      <c r="FTY3" s="1"/>
      <c r="FTZ3" s="1"/>
      <c r="FUA3" s="1"/>
      <c r="FUB3" s="1"/>
      <c r="FUC3" s="1"/>
      <c r="FUD3" s="1"/>
      <c r="FUE3" s="1"/>
      <c r="FUF3" s="1"/>
      <c r="FUG3" s="1"/>
      <c r="FUH3" s="1"/>
      <c r="FUI3" s="1"/>
      <c r="FUJ3" s="1"/>
      <c r="FUK3" s="1"/>
      <c r="FUL3" s="1"/>
      <c r="FUM3" s="1"/>
      <c r="FUN3" s="1"/>
      <c r="FUO3" s="1"/>
      <c r="FUP3" s="1"/>
      <c r="FUQ3" s="1"/>
      <c r="FUR3" s="1"/>
      <c r="FUS3" s="1"/>
      <c r="FUT3" s="1"/>
      <c r="FUU3" s="1"/>
      <c r="FUV3" s="1"/>
      <c r="FUW3" s="1"/>
      <c r="FUX3" s="1"/>
      <c r="FUY3" s="1"/>
      <c r="FUZ3" s="1"/>
      <c r="FVA3" s="1"/>
      <c r="FVB3" s="1"/>
      <c r="FVC3" s="1"/>
      <c r="FVD3" s="1"/>
      <c r="FVE3" s="1"/>
      <c r="FVF3" s="1"/>
      <c r="FVG3" s="1"/>
      <c r="FVH3" s="1"/>
      <c r="FVI3" s="1"/>
      <c r="FVJ3" s="1"/>
      <c r="FVK3" s="1"/>
      <c r="FVL3" s="1"/>
      <c r="FVM3" s="1"/>
      <c r="FVN3" s="1"/>
      <c r="FVO3" s="1"/>
      <c r="FVP3" s="1"/>
      <c r="FVQ3" s="1"/>
      <c r="FVR3" s="1"/>
      <c r="FVS3" s="1"/>
      <c r="FVT3" s="1"/>
      <c r="FVU3" s="1"/>
      <c r="FVV3" s="1"/>
      <c r="FVW3" s="1"/>
      <c r="FVX3" s="1"/>
      <c r="FVY3" s="1"/>
      <c r="FVZ3" s="1"/>
      <c r="FWA3" s="1"/>
      <c r="FWB3" s="1"/>
      <c r="FWC3" s="1"/>
      <c r="FWD3" s="1"/>
      <c r="FWE3" s="1"/>
      <c r="FWF3" s="1"/>
      <c r="FWG3" s="1"/>
      <c r="FWH3" s="1"/>
      <c r="FWI3" s="1"/>
      <c r="FWJ3" s="1"/>
      <c r="FWK3" s="1"/>
      <c r="FWL3" s="1"/>
      <c r="FWM3" s="1"/>
      <c r="FWN3" s="1"/>
      <c r="FWO3" s="1"/>
      <c r="FWP3" s="1"/>
      <c r="FWQ3" s="1"/>
      <c r="FWR3" s="1"/>
      <c r="FWS3" s="1"/>
      <c r="FWT3" s="1"/>
      <c r="FWU3" s="1"/>
      <c r="FWV3" s="1"/>
      <c r="FWW3" s="1"/>
      <c r="FWX3" s="1"/>
      <c r="FWY3" s="1"/>
      <c r="FWZ3" s="1"/>
      <c r="FXA3" s="1"/>
      <c r="FXB3" s="1"/>
      <c r="FXC3" s="1"/>
      <c r="FXD3" s="1"/>
      <c r="FXE3" s="1"/>
      <c r="FXF3" s="1"/>
      <c r="FXG3" s="1"/>
      <c r="FXH3" s="1"/>
      <c r="FXI3" s="1"/>
      <c r="FXJ3" s="1"/>
      <c r="FXK3" s="1"/>
      <c r="FXL3" s="1"/>
      <c r="FXM3" s="1"/>
      <c r="FXN3" s="1"/>
      <c r="FXO3" s="1"/>
      <c r="FXP3" s="1"/>
      <c r="FXQ3" s="1"/>
      <c r="FXR3" s="1"/>
      <c r="FXS3" s="1"/>
      <c r="FXT3" s="1"/>
      <c r="FXU3" s="1"/>
      <c r="FXV3" s="1"/>
      <c r="FXW3" s="1"/>
      <c r="FXX3" s="1"/>
      <c r="FXY3" s="1"/>
      <c r="FXZ3" s="1"/>
      <c r="FYA3" s="1"/>
      <c r="FYB3" s="1"/>
      <c r="FYC3" s="1"/>
      <c r="FYD3" s="1"/>
      <c r="FYE3" s="1"/>
      <c r="FYF3" s="1"/>
      <c r="FYG3" s="1"/>
      <c r="FYH3" s="1"/>
      <c r="FYI3" s="1"/>
      <c r="FYJ3" s="1"/>
      <c r="FYK3" s="1"/>
      <c r="FYL3" s="1"/>
      <c r="FYM3" s="1"/>
      <c r="FYN3" s="1"/>
      <c r="FYO3" s="1"/>
      <c r="FYP3" s="1"/>
      <c r="FYQ3" s="1"/>
      <c r="FYR3" s="1"/>
      <c r="FYS3" s="1"/>
      <c r="FYT3" s="1"/>
      <c r="FYU3" s="1"/>
      <c r="FYV3" s="1"/>
      <c r="FYW3" s="1"/>
      <c r="FYX3" s="1"/>
      <c r="FYY3" s="1"/>
      <c r="FYZ3" s="1"/>
      <c r="FZA3" s="1"/>
      <c r="FZB3" s="1"/>
      <c r="FZC3" s="1"/>
      <c r="FZD3" s="1"/>
      <c r="FZE3" s="1"/>
      <c r="FZF3" s="1"/>
      <c r="FZG3" s="1"/>
      <c r="FZH3" s="1"/>
      <c r="FZI3" s="1"/>
      <c r="FZJ3" s="1"/>
      <c r="FZK3" s="1"/>
      <c r="FZL3" s="1"/>
      <c r="FZM3" s="1"/>
      <c r="FZN3" s="1"/>
      <c r="FZO3" s="1"/>
      <c r="FZP3" s="1"/>
      <c r="FZQ3" s="1"/>
      <c r="FZR3" s="1"/>
      <c r="FZS3" s="1"/>
      <c r="FZT3" s="1"/>
      <c r="FZU3" s="1"/>
      <c r="FZV3" s="1"/>
      <c r="FZW3" s="1"/>
      <c r="FZX3" s="1"/>
      <c r="FZY3" s="1"/>
      <c r="FZZ3" s="1"/>
      <c r="GAA3" s="1"/>
      <c r="GAB3" s="1"/>
      <c r="GAC3" s="1"/>
      <c r="GAD3" s="1"/>
      <c r="GAE3" s="1"/>
      <c r="GAF3" s="1"/>
      <c r="GAG3" s="1"/>
      <c r="GAH3" s="1"/>
      <c r="GAI3" s="1"/>
      <c r="GAJ3" s="1"/>
      <c r="GAK3" s="1"/>
      <c r="GAL3" s="1"/>
      <c r="GAM3" s="1"/>
      <c r="GAN3" s="1"/>
      <c r="GAO3" s="1"/>
      <c r="GAP3" s="1"/>
      <c r="GAQ3" s="1"/>
      <c r="GAR3" s="1"/>
      <c r="GAS3" s="1"/>
      <c r="GAT3" s="1"/>
      <c r="GAU3" s="1"/>
      <c r="GAV3" s="1"/>
      <c r="GAW3" s="1"/>
      <c r="GAX3" s="1"/>
      <c r="GAY3" s="1"/>
      <c r="GAZ3" s="1"/>
      <c r="GBA3" s="1"/>
      <c r="GBB3" s="1"/>
      <c r="GBC3" s="1"/>
      <c r="GBD3" s="1"/>
      <c r="GBE3" s="1"/>
      <c r="GBF3" s="1"/>
      <c r="GBG3" s="1"/>
      <c r="GBH3" s="1"/>
      <c r="GBI3" s="1"/>
      <c r="GBJ3" s="1"/>
      <c r="GBK3" s="1"/>
      <c r="GBL3" s="1"/>
      <c r="GBM3" s="1"/>
      <c r="GBN3" s="1"/>
      <c r="GBO3" s="1"/>
      <c r="GBP3" s="1"/>
      <c r="GBQ3" s="1"/>
      <c r="GBR3" s="1"/>
      <c r="GBS3" s="1"/>
      <c r="GBT3" s="1"/>
      <c r="GBU3" s="1"/>
      <c r="GBV3" s="1"/>
      <c r="GBW3" s="1"/>
      <c r="GBX3" s="1"/>
      <c r="GBY3" s="1"/>
      <c r="GBZ3" s="1"/>
      <c r="GCA3" s="1"/>
      <c r="GCB3" s="1"/>
      <c r="GCC3" s="1"/>
      <c r="GCD3" s="1"/>
      <c r="GCE3" s="1"/>
      <c r="GCF3" s="1"/>
      <c r="GCG3" s="1"/>
      <c r="GCH3" s="1"/>
      <c r="GCI3" s="1"/>
      <c r="GCJ3" s="1"/>
      <c r="GCK3" s="1"/>
      <c r="GCL3" s="1"/>
      <c r="GCM3" s="1"/>
      <c r="GCN3" s="1"/>
      <c r="GCO3" s="1"/>
      <c r="GCP3" s="1"/>
      <c r="GCQ3" s="1"/>
      <c r="GCR3" s="1"/>
      <c r="GCS3" s="1"/>
      <c r="GCT3" s="1"/>
      <c r="GCU3" s="1"/>
      <c r="GCV3" s="1"/>
      <c r="GCW3" s="1"/>
      <c r="GCX3" s="1"/>
      <c r="GCY3" s="1"/>
      <c r="GCZ3" s="1"/>
      <c r="GDA3" s="1"/>
      <c r="GDB3" s="1"/>
      <c r="GDC3" s="1"/>
      <c r="GDD3" s="1"/>
      <c r="GDE3" s="1"/>
      <c r="GDF3" s="1"/>
      <c r="GDG3" s="1"/>
      <c r="GDH3" s="1"/>
      <c r="GDI3" s="1"/>
      <c r="GDJ3" s="1"/>
      <c r="GDK3" s="1"/>
      <c r="GDL3" s="1"/>
      <c r="GDM3" s="1"/>
      <c r="GDN3" s="1"/>
      <c r="GDO3" s="1"/>
      <c r="GDP3" s="1"/>
      <c r="GDQ3" s="1"/>
      <c r="GDR3" s="1"/>
      <c r="GDS3" s="1"/>
      <c r="GDT3" s="1"/>
      <c r="GDU3" s="1"/>
      <c r="GDV3" s="1"/>
      <c r="GDW3" s="1"/>
      <c r="GDX3" s="1"/>
      <c r="GDY3" s="1"/>
      <c r="GDZ3" s="1"/>
      <c r="GEA3" s="1"/>
      <c r="GEB3" s="1"/>
      <c r="GEC3" s="1"/>
      <c r="GED3" s="1"/>
      <c r="GEE3" s="1"/>
      <c r="GEF3" s="1"/>
      <c r="GEG3" s="1"/>
      <c r="GEH3" s="1"/>
      <c r="GEI3" s="1"/>
      <c r="GEJ3" s="1"/>
      <c r="GEK3" s="1"/>
      <c r="GEL3" s="1"/>
      <c r="GEM3" s="1"/>
      <c r="GEN3" s="1"/>
      <c r="GEO3" s="1"/>
      <c r="GEP3" s="1"/>
      <c r="GEQ3" s="1"/>
      <c r="GER3" s="1"/>
      <c r="GES3" s="1"/>
      <c r="GET3" s="1"/>
      <c r="GEU3" s="1"/>
      <c r="GEV3" s="1"/>
      <c r="GEW3" s="1"/>
      <c r="GEX3" s="1"/>
      <c r="GEY3" s="1"/>
      <c r="GEZ3" s="1"/>
      <c r="GFA3" s="1"/>
      <c r="GFB3" s="1"/>
      <c r="GFC3" s="1"/>
      <c r="GFD3" s="1"/>
      <c r="GFE3" s="1"/>
      <c r="GFF3" s="1"/>
      <c r="GFG3" s="1"/>
      <c r="GFH3" s="1"/>
      <c r="GFI3" s="1"/>
      <c r="GFJ3" s="1"/>
      <c r="GFK3" s="1"/>
      <c r="GFL3" s="1"/>
      <c r="GFM3" s="1"/>
      <c r="GFN3" s="1"/>
      <c r="GFO3" s="1"/>
      <c r="GFP3" s="1"/>
      <c r="GFQ3" s="1"/>
      <c r="GFR3" s="1"/>
      <c r="GFS3" s="1"/>
      <c r="GFT3" s="1"/>
      <c r="GFU3" s="1"/>
      <c r="GFV3" s="1"/>
      <c r="GFW3" s="1"/>
      <c r="GFX3" s="1"/>
      <c r="GFY3" s="1"/>
      <c r="GFZ3" s="1"/>
      <c r="GGA3" s="1"/>
      <c r="GGB3" s="1"/>
      <c r="GGC3" s="1"/>
      <c r="GGD3" s="1"/>
      <c r="GGE3" s="1"/>
      <c r="GGF3" s="1"/>
      <c r="GGG3" s="1"/>
      <c r="GGH3" s="1"/>
      <c r="GGI3" s="1"/>
      <c r="GGJ3" s="1"/>
      <c r="GGK3" s="1"/>
      <c r="GGL3" s="1"/>
      <c r="GGM3" s="1"/>
      <c r="GGN3" s="1"/>
      <c r="GGO3" s="1"/>
      <c r="GGP3" s="1"/>
      <c r="GGQ3" s="1"/>
      <c r="GGR3" s="1"/>
      <c r="GGS3" s="1"/>
      <c r="GGT3" s="1"/>
      <c r="GGU3" s="1"/>
      <c r="GGV3" s="1"/>
      <c r="GGW3" s="1"/>
      <c r="GGX3" s="1"/>
      <c r="GGY3" s="1"/>
      <c r="GGZ3" s="1"/>
      <c r="GHA3" s="1"/>
      <c r="GHB3" s="1"/>
      <c r="GHC3" s="1"/>
      <c r="GHD3" s="1"/>
      <c r="GHE3" s="1"/>
      <c r="GHF3" s="1"/>
      <c r="GHG3" s="1"/>
      <c r="GHH3" s="1"/>
      <c r="GHI3" s="1"/>
      <c r="GHJ3" s="1"/>
      <c r="GHK3" s="1"/>
      <c r="GHL3" s="1"/>
      <c r="GHM3" s="1"/>
      <c r="GHN3" s="1"/>
      <c r="GHO3" s="1"/>
      <c r="GHP3" s="1"/>
      <c r="GHQ3" s="1"/>
      <c r="GHR3" s="1"/>
      <c r="GHS3" s="1"/>
      <c r="GHT3" s="1"/>
      <c r="GHU3" s="1"/>
      <c r="GHV3" s="1"/>
      <c r="GHW3" s="1"/>
      <c r="GHX3" s="1"/>
      <c r="GHY3" s="1"/>
      <c r="GHZ3" s="1"/>
      <c r="GIA3" s="1"/>
      <c r="GIB3" s="1"/>
      <c r="GIC3" s="1"/>
      <c r="GID3" s="1"/>
      <c r="GIE3" s="1"/>
      <c r="GIF3" s="1"/>
      <c r="GIG3" s="1"/>
      <c r="GIH3" s="1"/>
      <c r="GII3" s="1"/>
      <c r="GIJ3" s="1"/>
      <c r="GIK3" s="1"/>
      <c r="GIL3" s="1"/>
      <c r="GIM3" s="1"/>
      <c r="GIN3" s="1"/>
      <c r="GIO3" s="1"/>
      <c r="GIP3" s="1"/>
      <c r="GIQ3" s="1"/>
      <c r="GIR3" s="1"/>
      <c r="GIS3" s="1"/>
      <c r="GIT3" s="1"/>
      <c r="GIU3" s="1"/>
      <c r="GIV3" s="1"/>
      <c r="GIW3" s="1"/>
      <c r="GIX3" s="1"/>
      <c r="GIY3" s="1"/>
      <c r="GIZ3" s="1"/>
      <c r="GJA3" s="1"/>
      <c r="GJB3" s="1"/>
      <c r="GJC3" s="1"/>
      <c r="GJD3" s="1"/>
      <c r="GJE3" s="1"/>
      <c r="GJF3" s="1"/>
      <c r="GJG3" s="1"/>
      <c r="GJH3" s="1"/>
      <c r="GJI3" s="1"/>
      <c r="GJJ3" s="1"/>
      <c r="GJK3" s="1"/>
      <c r="GJL3" s="1"/>
      <c r="GJM3" s="1"/>
      <c r="GJN3" s="1"/>
      <c r="GJO3" s="1"/>
      <c r="GJP3" s="1"/>
      <c r="GJQ3" s="1"/>
      <c r="GJR3" s="1"/>
      <c r="GJS3" s="1"/>
      <c r="GJT3" s="1"/>
      <c r="GJU3" s="1"/>
      <c r="GJV3" s="1"/>
      <c r="GJW3" s="1"/>
      <c r="GJX3" s="1"/>
      <c r="GJY3" s="1"/>
      <c r="GJZ3" s="1"/>
      <c r="GKA3" s="1"/>
      <c r="GKB3" s="1"/>
      <c r="GKC3" s="1"/>
      <c r="GKD3" s="1"/>
      <c r="GKE3" s="1"/>
      <c r="GKF3" s="1"/>
      <c r="GKG3" s="1"/>
      <c r="GKH3" s="1"/>
      <c r="GKI3" s="1"/>
      <c r="GKJ3" s="1"/>
      <c r="GKK3" s="1"/>
      <c r="GKL3" s="1"/>
      <c r="GKM3" s="1"/>
      <c r="GKN3" s="1"/>
      <c r="GKO3" s="1"/>
      <c r="GKP3" s="1"/>
      <c r="GKQ3" s="1"/>
      <c r="GKR3" s="1"/>
      <c r="GKS3" s="1"/>
      <c r="GKT3" s="1"/>
      <c r="GKU3" s="1"/>
      <c r="GKV3" s="1"/>
      <c r="GKW3" s="1"/>
      <c r="GKX3" s="1"/>
      <c r="GKY3" s="1"/>
      <c r="GKZ3" s="1"/>
      <c r="GLA3" s="1"/>
      <c r="GLB3" s="1"/>
      <c r="GLC3" s="1"/>
      <c r="GLD3" s="1"/>
      <c r="GLE3" s="1"/>
      <c r="GLF3" s="1"/>
      <c r="GLG3" s="1"/>
      <c r="GLH3" s="1"/>
      <c r="GLI3" s="1"/>
      <c r="GLJ3" s="1"/>
      <c r="GLK3" s="1"/>
      <c r="GLL3" s="1"/>
      <c r="GLM3" s="1"/>
      <c r="GLN3" s="1"/>
      <c r="GLO3" s="1"/>
      <c r="GLP3" s="1"/>
      <c r="GLQ3" s="1"/>
      <c r="GLR3" s="1"/>
      <c r="GLS3" s="1"/>
      <c r="GLT3" s="1"/>
      <c r="GLU3" s="1"/>
      <c r="GLV3" s="1"/>
      <c r="GLW3" s="1"/>
      <c r="GLX3" s="1"/>
      <c r="GLY3" s="1"/>
      <c r="GLZ3" s="1"/>
      <c r="GMA3" s="1"/>
      <c r="GMB3" s="1"/>
      <c r="GMC3" s="1"/>
      <c r="GMD3" s="1"/>
      <c r="GME3" s="1"/>
      <c r="GMF3" s="1"/>
      <c r="GMG3" s="1"/>
      <c r="GMH3" s="1"/>
      <c r="GMI3" s="1"/>
      <c r="GMJ3" s="1"/>
      <c r="GMK3" s="1"/>
      <c r="GML3" s="1"/>
      <c r="GMM3" s="1"/>
      <c r="GMN3" s="1"/>
      <c r="GMO3" s="1"/>
      <c r="GMP3" s="1"/>
      <c r="GMQ3" s="1"/>
      <c r="GMR3" s="1"/>
      <c r="GMS3" s="1"/>
      <c r="GMT3" s="1"/>
      <c r="GMU3" s="1"/>
      <c r="GMV3" s="1"/>
      <c r="GMW3" s="1"/>
      <c r="GMX3" s="1"/>
      <c r="GMY3" s="1"/>
      <c r="GMZ3" s="1"/>
      <c r="GNA3" s="1"/>
      <c r="GNB3" s="1"/>
      <c r="GNC3" s="1"/>
      <c r="GND3" s="1"/>
      <c r="GNE3" s="1"/>
      <c r="GNF3" s="1"/>
      <c r="GNG3" s="1"/>
      <c r="GNH3" s="1"/>
      <c r="GNI3" s="1"/>
      <c r="GNJ3" s="1"/>
      <c r="GNK3" s="1"/>
      <c r="GNL3" s="1"/>
      <c r="GNM3" s="1"/>
      <c r="GNN3" s="1"/>
      <c r="GNO3" s="1"/>
      <c r="GNP3" s="1"/>
      <c r="GNQ3" s="1"/>
      <c r="GNR3" s="1"/>
      <c r="GNS3" s="1"/>
      <c r="GNT3" s="1"/>
      <c r="GNU3" s="1"/>
      <c r="GNV3" s="1"/>
      <c r="GNW3" s="1"/>
      <c r="GNX3" s="1"/>
      <c r="GNY3" s="1"/>
      <c r="GNZ3" s="1"/>
      <c r="GOA3" s="1"/>
      <c r="GOB3" s="1"/>
      <c r="GOC3" s="1"/>
      <c r="GOD3" s="1"/>
      <c r="GOE3" s="1"/>
      <c r="GOF3" s="1"/>
      <c r="GOG3" s="1"/>
      <c r="GOH3" s="1"/>
      <c r="GOI3" s="1"/>
      <c r="GOJ3" s="1"/>
      <c r="GOK3" s="1"/>
      <c r="GOL3" s="1"/>
      <c r="GOM3" s="1"/>
      <c r="GON3" s="1"/>
      <c r="GOO3" s="1"/>
      <c r="GOP3" s="1"/>
      <c r="GOQ3" s="1"/>
      <c r="GOR3" s="1"/>
      <c r="GOS3" s="1"/>
      <c r="GOT3" s="1"/>
      <c r="GOU3" s="1"/>
      <c r="GOV3" s="1"/>
      <c r="GOW3" s="1"/>
      <c r="GOX3" s="1"/>
      <c r="GOY3" s="1"/>
      <c r="GOZ3" s="1"/>
      <c r="GPA3" s="1"/>
      <c r="GPB3" s="1"/>
      <c r="GPC3" s="1"/>
      <c r="GPD3" s="1"/>
      <c r="GPE3" s="1"/>
      <c r="GPF3" s="1"/>
      <c r="GPG3" s="1"/>
      <c r="GPH3" s="1"/>
      <c r="GPI3" s="1"/>
      <c r="GPJ3" s="1"/>
      <c r="GPK3" s="1"/>
      <c r="GPL3" s="1"/>
      <c r="GPM3" s="1"/>
      <c r="GPN3" s="1"/>
      <c r="GPO3" s="1"/>
      <c r="GPP3" s="1"/>
      <c r="GPQ3" s="1"/>
      <c r="GPR3" s="1"/>
      <c r="GPS3" s="1"/>
      <c r="GPT3" s="1"/>
      <c r="GPU3" s="1"/>
      <c r="GPV3" s="1"/>
      <c r="GPW3" s="1"/>
      <c r="GPX3" s="1"/>
      <c r="GPY3" s="1"/>
      <c r="GPZ3" s="1"/>
      <c r="GQA3" s="1"/>
      <c r="GQB3" s="1"/>
      <c r="GQC3" s="1"/>
      <c r="GQD3" s="1"/>
      <c r="GQE3" s="1"/>
      <c r="GQF3" s="1"/>
      <c r="GQG3" s="1"/>
      <c r="GQH3" s="1"/>
      <c r="GQI3" s="1"/>
      <c r="GQJ3" s="1"/>
      <c r="GQK3" s="1"/>
      <c r="GQL3" s="1"/>
      <c r="GQM3" s="1"/>
      <c r="GQN3" s="1"/>
      <c r="GQO3" s="1"/>
      <c r="GQP3" s="1"/>
      <c r="GQQ3" s="1"/>
      <c r="GQR3" s="1"/>
      <c r="GQS3" s="1"/>
      <c r="GQT3" s="1"/>
      <c r="GQU3" s="1"/>
      <c r="GQV3" s="1"/>
      <c r="GQW3" s="1"/>
      <c r="GQX3" s="1"/>
      <c r="GQY3" s="1"/>
      <c r="GQZ3" s="1"/>
      <c r="GRA3" s="1"/>
      <c r="GRB3" s="1"/>
      <c r="GRC3" s="1"/>
      <c r="GRD3" s="1"/>
      <c r="GRE3" s="1"/>
      <c r="GRF3" s="1"/>
      <c r="GRG3" s="1"/>
      <c r="GRH3" s="1"/>
      <c r="GRI3" s="1"/>
      <c r="GRJ3" s="1"/>
      <c r="GRK3" s="1"/>
      <c r="GRL3" s="1"/>
      <c r="GRM3" s="1"/>
      <c r="GRN3" s="1"/>
      <c r="GRO3" s="1"/>
      <c r="GRP3" s="1"/>
      <c r="GRQ3" s="1"/>
      <c r="GRR3" s="1"/>
      <c r="GRS3" s="1"/>
      <c r="GRT3" s="1"/>
      <c r="GRU3" s="1"/>
      <c r="GRV3" s="1"/>
      <c r="GRW3" s="1"/>
      <c r="GRX3" s="1"/>
      <c r="GRY3" s="1"/>
      <c r="GRZ3" s="1"/>
      <c r="GSA3" s="1"/>
      <c r="GSB3" s="1"/>
      <c r="GSC3" s="1"/>
      <c r="GSD3" s="1"/>
      <c r="GSE3" s="1"/>
      <c r="GSF3" s="1"/>
      <c r="GSG3" s="1"/>
      <c r="GSH3" s="1"/>
      <c r="GSI3" s="1"/>
      <c r="GSJ3" s="1"/>
      <c r="GSK3" s="1"/>
      <c r="GSL3" s="1"/>
      <c r="GSM3" s="1"/>
      <c r="GSN3" s="1"/>
      <c r="GSO3" s="1"/>
      <c r="GSP3" s="1"/>
      <c r="GSQ3" s="1"/>
      <c r="GSR3" s="1"/>
      <c r="GSS3" s="1"/>
      <c r="GST3" s="1"/>
      <c r="GSU3" s="1"/>
      <c r="GSV3" s="1"/>
      <c r="GSW3" s="1"/>
      <c r="GSX3" s="1"/>
      <c r="GSY3" s="1"/>
      <c r="GSZ3" s="1"/>
      <c r="GTA3" s="1"/>
      <c r="GTB3" s="1"/>
      <c r="GTC3" s="1"/>
      <c r="GTD3" s="1"/>
      <c r="GTE3" s="1"/>
      <c r="GTF3" s="1"/>
      <c r="GTG3" s="1"/>
      <c r="GTH3" s="1"/>
      <c r="GTI3" s="1"/>
      <c r="GTJ3" s="1"/>
      <c r="GTK3" s="1"/>
      <c r="GTL3" s="1"/>
      <c r="GTM3" s="1"/>
      <c r="GTN3" s="1"/>
      <c r="GTO3" s="1"/>
      <c r="GTP3" s="1"/>
      <c r="GTQ3" s="1"/>
      <c r="GTR3" s="1"/>
      <c r="GTS3" s="1"/>
      <c r="GTT3" s="1"/>
      <c r="GTU3" s="1"/>
      <c r="GTV3" s="1"/>
      <c r="GTW3" s="1"/>
      <c r="GTX3" s="1"/>
      <c r="GTY3" s="1"/>
      <c r="GTZ3" s="1"/>
      <c r="GUA3" s="1"/>
      <c r="GUB3" s="1"/>
      <c r="GUC3" s="1"/>
      <c r="GUD3" s="1"/>
      <c r="GUE3" s="1"/>
      <c r="GUF3" s="1"/>
      <c r="GUG3" s="1"/>
      <c r="GUH3" s="1"/>
      <c r="GUI3" s="1"/>
      <c r="GUJ3" s="1"/>
      <c r="GUK3" s="1"/>
      <c r="GUL3" s="1"/>
      <c r="GUM3" s="1"/>
      <c r="GUN3" s="1"/>
      <c r="GUO3" s="1"/>
      <c r="GUP3" s="1"/>
      <c r="GUQ3" s="1"/>
      <c r="GUR3" s="1"/>
      <c r="GUS3" s="1"/>
      <c r="GUT3" s="1"/>
      <c r="GUU3" s="1"/>
      <c r="GUV3" s="1"/>
      <c r="GUW3" s="1"/>
      <c r="GUX3" s="1"/>
      <c r="GUY3" s="1"/>
      <c r="GUZ3" s="1"/>
      <c r="GVA3" s="1"/>
      <c r="GVB3" s="1"/>
      <c r="GVC3" s="1"/>
      <c r="GVD3" s="1"/>
      <c r="GVE3" s="1"/>
      <c r="GVF3" s="1"/>
      <c r="GVG3" s="1"/>
      <c r="GVH3" s="1"/>
      <c r="GVI3" s="1"/>
      <c r="GVJ3" s="1"/>
      <c r="GVK3" s="1"/>
      <c r="GVL3" s="1"/>
      <c r="GVM3" s="1"/>
      <c r="GVN3" s="1"/>
      <c r="GVO3" s="1"/>
      <c r="GVP3" s="1"/>
      <c r="GVQ3" s="1"/>
      <c r="GVR3" s="1"/>
      <c r="GVS3" s="1"/>
      <c r="GVT3" s="1"/>
      <c r="GVU3" s="1"/>
      <c r="GVV3" s="1"/>
      <c r="GVW3" s="1"/>
      <c r="GVX3" s="1"/>
      <c r="GVY3" s="1"/>
      <c r="GVZ3" s="1"/>
      <c r="GWA3" s="1"/>
      <c r="GWB3" s="1"/>
      <c r="GWC3" s="1"/>
      <c r="GWD3" s="1"/>
      <c r="GWE3" s="1"/>
      <c r="GWF3" s="1"/>
      <c r="GWG3" s="1"/>
      <c r="GWH3" s="1"/>
      <c r="GWI3" s="1"/>
      <c r="GWJ3" s="1"/>
      <c r="GWK3" s="1"/>
      <c r="GWL3" s="1"/>
      <c r="GWM3" s="1"/>
      <c r="GWN3" s="1"/>
      <c r="GWO3" s="1"/>
      <c r="GWP3" s="1"/>
      <c r="GWQ3" s="1"/>
      <c r="GWR3" s="1"/>
      <c r="GWS3" s="1"/>
      <c r="GWT3" s="1"/>
      <c r="GWU3" s="1"/>
      <c r="GWV3" s="1"/>
      <c r="GWW3" s="1"/>
      <c r="GWX3" s="1"/>
      <c r="GWY3" s="1"/>
      <c r="GWZ3" s="1"/>
      <c r="GXA3" s="1"/>
      <c r="GXB3" s="1"/>
      <c r="GXC3" s="1"/>
      <c r="GXD3" s="1"/>
      <c r="GXE3" s="1"/>
      <c r="GXF3" s="1"/>
      <c r="GXG3" s="1"/>
      <c r="GXH3" s="1"/>
      <c r="GXI3" s="1"/>
      <c r="GXJ3" s="1"/>
      <c r="GXK3" s="1"/>
      <c r="GXL3" s="1"/>
      <c r="GXM3" s="1"/>
      <c r="GXN3" s="1"/>
      <c r="GXO3" s="1"/>
      <c r="GXP3" s="1"/>
      <c r="GXQ3" s="1"/>
      <c r="GXR3" s="1"/>
      <c r="GXS3" s="1"/>
      <c r="GXT3" s="1"/>
      <c r="GXU3" s="1"/>
      <c r="GXV3" s="1"/>
      <c r="GXW3" s="1"/>
      <c r="GXX3" s="1"/>
      <c r="GXY3" s="1"/>
      <c r="GXZ3" s="1"/>
      <c r="GYA3" s="1"/>
      <c r="GYB3" s="1"/>
      <c r="GYC3" s="1"/>
      <c r="GYD3" s="1"/>
      <c r="GYE3" s="1"/>
      <c r="GYF3" s="1"/>
      <c r="GYG3" s="1"/>
      <c r="GYH3" s="1"/>
      <c r="GYI3" s="1"/>
      <c r="GYJ3" s="1"/>
      <c r="GYK3" s="1"/>
      <c r="GYL3" s="1"/>
      <c r="GYM3" s="1"/>
      <c r="GYN3" s="1"/>
      <c r="GYO3" s="1"/>
      <c r="GYP3" s="1"/>
      <c r="GYQ3" s="1"/>
      <c r="GYR3" s="1"/>
      <c r="GYS3" s="1"/>
      <c r="GYT3" s="1"/>
      <c r="GYU3" s="1"/>
      <c r="GYV3" s="1"/>
      <c r="GYW3" s="1"/>
      <c r="GYX3" s="1"/>
      <c r="GYY3" s="1"/>
      <c r="GYZ3" s="1"/>
      <c r="GZA3" s="1"/>
      <c r="GZB3" s="1"/>
      <c r="GZC3" s="1"/>
      <c r="GZD3" s="1"/>
      <c r="GZE3" s="1"/>
      <c r="GZF3" s="1"/>
      <c r="GZG3" s="1"/>
      <c r="GZH3" s="1"/>
      <c r="GZI3" s="1"/>
      <c r="GZJ3" s="1"/>
      <c r="GZK3" s="1"/>
      <c r="GZL3" s="1"/>
      <c r="GZM3" s="1"/>
      <c r="GZN3" s="1"/>
      <c r="GZO3" s="1"/>
      <c r="GZP3" s="1"/>
      <c r="GZQ3" s="1"/>
      <c r="GZR3" s="1"/>
      <c r="GZS3" s="1"/>
      <c r="GZT3" s="1"/>
      <c r="GZU3" s="1"/>
      <c r="GZV3" s="1"/>
      <c r="GZW3" s="1"/>
      <c r="GZX3" s="1"/>
      <c r="GZY3" s="1"/>
      <c r="GZZ3" s="1"/>
      <c r="HAA3" s="1"/>
      <c r="HAB3" s="1"/>
      <c r="HAC3" s="1"/>
      <c r="HAD3" s="1"/>
      <c r="HAE3" s="1"/>
      <c r="HAF3" s="1"/>
      <c r="HAG3" s="1"/>
      <c r="HAH3" s="1"/>
      <c r="HAI3" s="1"/>
      <c r="HAJ3" s="1"/>
      <c r="HAK3" s="1"/>
      <c r="HAL3" s="1"/>
      <c r="HAM3" s="1"/>
      <c r="HAN3" s="1"/>
      <c r="HAO3" s="1"/>
      <c r="HAP3" s="1"/>
      <c r="HAQ3" s="1"/>
      <c r="HAR3" s="1"/>
      <c r="HAS3" s="1"/>
      <c r="HAT3" s="1"/>
      <c r="HAU3" s="1"/>
      <c r="HAV3" s="1"/>
      <c r="HAW3" s="1"/>
      <c r="HAX3" s="1"/>
      <c r="HAY3" s="1"/>
      <c r="HAZ3" s="1"/>
      <c r="HBA3" s="1"/>
      <c r="HBB3" s="1"/>
      <c r="HBC3" s="1"/>
      <c r="HBD3" s="1"/>
      <c r="HBE3" s="1"/>
      <c r="HBF3" s="1"/>
      <c r="HBG3" s="1"/>
      <c r="HBH3" s="1"/>
      <c r="HBI3" s="1"/>
      <c r="HBJ3" s="1"/>
      <c r="HBK3" s="1"/>
      <c r="HBL3" s="1"/>
      <c r="HBM3" s="1"/>
      <c r="HBN3" s="1"/>
      <c r="HBO3" s="1"/>
      <c r="HBP3" s="1"/>
      <c r="HBQ3" s="1"/>
      <c r="HBR3" s="1"/>
      <c r="HBS3" s="1"/>
      <c r="HBT3" s="1"/>
      <c r="HBU3" s="1"/>
      <c r="HBV3" s="1"/>
      <c r="HBW3" s="1"/>
      <c r="HBX3" s="1"/>
      <c r="HBY3" s="1"/>
      <c r="HBZ3" s="1"/>
      <c r="HCA3" s="1"/>
      <c r="HCB3" s="1"/>
      <c r="HCC3" s="1"/>
      <c r="HCD3" s="1"/>
      <c r="HCE3" s="1"/>
      <c r="HCF3" s="1"/>
      <c r="HCG3" s="1"/>
      <c r="HCH3" s="1"/>
      <c r="HCI3" s="1"/>
      <c r="HCJ3" s="1"/>
      <c r="HCK3" s="1"/>
      <c r="HCL3" s="1"/>
      <c r="HCM3" s="1"/>
      <c r="HCN3" s="1"/>
      <c r="HCO3" s="1"/>
      <c r="HCP3" s="1"/>
      <c r="HCQ3" s="1"/>
      <c r="HCR3" s="1"/>
      <c r="HCS3" s="1"/>
      <c r="HCT3" s="1"/>
      <c r="HCU3" s="1"/>
      <c r="HCV3" s="1"/>
      <c r="HCW3" s="1"/>
      <c r="HCX3" s="1"/>
      <c r="HCY3" s="1"/>
      <c r="HCZ3" s="1"/>
      <c r="HDA3" s="1"/>
      <c r="HDB3" s="1"/>
      <c r="HDC3" s="1"/>
      <c r="HDD3" s="1"/>
      <c r="HDE3" s="1"/>
      <c r="HDF3" s="1"/>
      <c r="HDG3" s="1"/>
      <c r="HDH3" s="1"/>
      <c r="HDI3" s="1"/>
      <c r="HDJ3" s="1"/>
      <c r="HDK3" s="1"/>
      <c r="HDL3" s="1"/>
      <c r="HDM3" s="1"/>
      <c r="HDN3" s="1"/>
      <c r="HDO3" s="1"/>
      <c r="HDP3" s="1"/>
      <c r="HDQ3" s="1"/>
      <c r="HDR3" s="1"/>
      <c r="HDS3" s="1"/>
      <c r="HDT3" s="1"/>
      <c r="HDU3" s="1"/>
      <c r="HDV3" s="1"/>
      <c r="HDW3" s="1"/>
      <c r="HDX3" s="1"/>
      <c r="HDY3" s="1"/>
      <c r="HDZ3" s="1"/>
      <c r="HEA3" s="1"/>
      <c r="HEB3" s="1"/>
      <c r="HEC3" s="1"/>
      <c r="HED3" s="1"/>
      <c r="HEE3" s="1"/>
      <c r="HEF3" s="1"/>
      <c r="HEG3" s="1"/>
      <c r="HEH3" s="1"/>
      <c r="HEI3" s="1"/>
      <c r="HEJ3" s="1"/>
      <c r="HEK3" s="1"/>
      <c r="HEL3" s="1"/>
      <c r="HEM3" s="1"/>
      <c r="HEN3" s="1"/>
      <c r="HEO3" s="1"/>
      <c r="HEP3" s="1"/>
      <c r="HEQ3" s="1"/>
      <c r="HER3" s="1"/>
      <c r="HES3" s="1"/>
      <c r="HET3" s="1"/>
      <c r="HEU3" s="1"/>
      <c r="HEV3" s="1"/>
      <c r="HEW3" s="1"/>
      <c r="HEX3" s="1"/>
      <c r="HEY3" s="1"/>
      <c r="HEZ3" s="1"/>
      <c r="HFA3" s="1"/>
      <c r="HFB3" s="1"/>
      <c r="HFC3" s="1"/>
      <c r="HFD3" s="1"/>
      <c r="HFE3" s="1"/>
      <c r="HFF3" s="1"/>
      <c r="HFG3" s="1"/>
      <c r="HFH3" s="1"/>
      <c r="HFI3" s="1"/>
      <c r="HFJ3" s="1"/>
      <c r="HFK3" s="1"/>
      <c r="HFL3" s="1"/>
      <c r="HFM3" s="1"/>
      <c r="HFN3" s="1"/>
      <c r="HFO3" s="1"/>
      <c r="HFP3" s="1"/>
      <c r="HFQ3" s="1"/>
      <c r="HFR3" s="1"/>
      <c r="HFS3" s="1"/>
      <c r="HFT3" s="1"/>
      <c r="HFU3" s="1"/>
      <c r="HFV3" s="1"/>
      <c r="HFW3" s="1"/>
      <c r="HFX3" s="1"/>
      <c r="HFY3" s="1"/>
      <c r="HFZ3" s="1"/>
      <c r="HGA3" s="1"/>
      <c r="HGB3" s="1"/>
      <c r="HGC3" s="1"/>
      <c r="HGD3" s="1"/>
      <c r="HGE3" s="1"/>
      <c r="HGF3" s="1"/>
      <c r="HGG3" s="1"/>
      <c r="HGH3" s="1"/>
      <c r="HGI3" s="1"/>
      <c r="HGJ3" s="1"/>
      <c r="HGK3" s="1"/>
      <c r="HGL3" s="1"/>
      <c r="HGM3" s="1"/>
      <c r="HGN3" s="1"/>
      <c r="HGO3" s="1"/>
      <c r="HGP3" s="1"/>
      <c r="HGQ3" s="1"/>
      <c r="HGR3" s="1"/>
      <c r="HGS3" s="1"/>
      <c r="HGT3" s="1"/>
      <c r="HGU3" s="1"/>
      <c r="HGV3" s="1"/>
      <c r="HGW3" s="1"/>
      <c r="HGX3" s="1"/>
      <c r="HGY3" s="1"/>
      <c r="HGZ3" s="1"/>
      <c r="HHA3" s="1"/>
      <c r="HHB3" s="1"/>
      <c r="HHC3" s="1"/>
      <c r="HHD3" s="1"/>
      <c r="HHE3" s="1"/>
      <c r="HHF3" s="1"/>
      <c r="HHG3" s="1"/>
      <c r="HHH3" s="1"/>
      <c r="HHI3" s="1"/>
      <c r="HHJ3" s="1"/>
      <c r="HHK3" s="1"/>
      <c r="HHL3" s="1"/>
      <c r="HHM3" s="1"/>
      <c r="HHN3" s="1"/>
      <c r="HHO3" s="1"/>
      <c r="HHP3" s="1"/>
      <c r="HHQ3" s="1"/>
      <c r="HHR3" s="1"/>
      <c r="HHS3" s="1"/>
      <c r="HHT3" s="1"/>
      <c r="HHU3" s="1"/>
      <c r="HHV3" s="1"/>
      <c r="HHW3" s="1"/>
      <c r="HHX3" s="1"/>
      <c r="HHY3" s="1"/>
      <c r="HHZ3" s="1"/>
      <c r="HIA3" s="1"/>
      <c r="HIB3" s="1"/>
      <c r="HIC3" s="1"/>
      <c r="HID3" s="1"/>
      <c r="HIE3" s="1"/>
      <c r="HIF3" s="1"/>
      <c r="HIG3" s="1"/>
      <c r="HIH3" s="1"/>
      <c r="HII3" s="1"/>
      <c r="HIJ3" s="1"/>
      <c r="HIK3" s="1"/>
      <c r="HIL3" s="1"/>
      <c r="HIM3" s="1"/>
      <c r="HIN3" s="1"/>
      <c r="HIO3" s="1"/>
      <c r="HIP3" s="1"/>
      <c r="HIQ3" s="1"/>
      <c r="HIR3" s="1"/>
      <c r="HIS3" s="1"/>
      <c r="HIT3" s="1"/>
      <c r="HIU3" s="1"/>
      <c r="HIV3" s="1"/>
      <c r="HIW3" s="1"/>
      <c r="HIX3" s="1"/>
      <c r="HIY3" s="1"/>
      <c r="HIZ3" s="1"/>
      <c r="HJA3" s="1"/>
      <c r="HJB3" s="1"/>
      <c r="HJC3" s="1"/>
      <c r="HJD3" s="1"/>
      <c r="HJE3" s="1"/>
      <c r="HJF3" s="1"/>
      <c r="HJG3" s="1"/>
      <c r="HJH3" s="1"/>
      <c r="HJI3" s="1"/>
      <c r="HJJ3" s="1"/>
      <c r="HJK3" s="1"/>
      <c r="HJL3" s="1"/>
      <c r="HJM3" s="1"/>
      <c r="HJN3" s="1"/>
      <c r="HJO3" s="1"/>
      <c r="HJP3" s="1"/>
      <c r="HJQ3" s="1"/>
      <c r="HJR3" s="1"/>
      <c r="HJS3" s="1"/>
      <c r="HJT3" s="1"/>
      <c r="HJU3" s="1"/>
      <c r="HJV3" s="1"/>
      <c r="HJW3" s="1"/>
      <c r="HJX3" s="1"/>
      <c r="HJY3" s="1"/>
      <c r="HJZ3" s="1"/>
      <c r="HKA3" s="1"/>
      <c r="HKB3" s="1"/>
      <c r="HKC3" s="1"/>
      <c r="HKD3" s="1"/>
      <c r="HKE3" s="1"/>
      <c r="HKF3" s="1"/>
      <c r="HKG3" s="1"/>
      <c r="HKH3" s="1"/>
      <c r="HKI3" s="1"/>
      <c r="HKJ3" s="1"/>
      <c r="HKK3" s="1"/>
      <c r="HKL3" s="1"/>
      <c r="HKM3" s="1"/>
      <c r="HKN3" s="1"/>
      <c r="HKO3" s="1"/>
      <c r="HKP3" s="1"/>
      <c r="HKQ3" s="1"/>
      <c r="HKR3" s="1"/>
      <c r="HKS3" s="1"/>
      <c r="HKT3" s="1"/>
      <c r="HKU3" s="1"/>
      <c r="HKV3" s="1"/>
      <c r="HKW3" s="1"/>
      <c r="HKX3" s="1"/>
      <c r="HKY3" s="1"/>
      <c r="HKZ3" s="1"/>
      <c r="HLA3" s="1"/>
      <c r="HLB3" s="1"/>
      <c r="HLC3" s="1"/>
      <c r="HLD3" s="1"/>
      <c r="HLE3" s="1"/>
      <c r="HLF3" s="1"/>
      <c r="HLG3" s="1"/>
      <c r="HLH3" s="1"/>
      <c r="HLI3" s="1"/>
      <c r="HLJ3" s="1"/>
      <c r="HLK3" s="1"/>
      <c r="HLL3" s="1"/>
      <c r="HLM3" s="1"/>
      <c r="HLN3" s="1"/>
      <c r="HLO3" s="1"/>
      <c r="HLP3" s="1"/>
      <c r="HLQ3" s="1"/>
      <c r="HLR3" s="1"/>
      <c r="HLS3" s="1"/>
      <c r="HLT3" s="1"/>
      <c r="HLU3" s="1"/>
      <c r="HLV3" s="1"/>
      <c r="HLW3" s="1"/>
      <c r="HLX3" s="1"/>
      <c r="HLY3" s="1"/>
      <c r="HLZ3" s="1"/>
      <c r="HMA3" s="1"/>
      <c r="HMB3" s="1"/>
      <c r="HMC3" s="1"/>
      <c r="HMD3" s="1"/>
      <c r="HME3" s="1"/>
      <c r="HMF3" s="1"/>
      <c r="HMG3" s="1"/>
      <c r="HMH3" s="1"/>
      <c r="HMI3" s="1"/>
      <c r="HMJ3" s="1"/>
      <c r="HMK3" s="1"/>
      <c r="HML3" s="1"/>
      <c r="HMM3" s="1"/>
      <c r="HMN3" s="1"/>
      <c r="HMO3" s="1"/>
      <c r="HMP3" s="1"/>
      <c r="HMQ3" s="1"/>
      <c r="HMR3" s="1"/>
      <c r="HMS3" s="1"/>
      <c r="HMT3" s="1"/>
      <c r="HMU3" s="1"/>
      <c r="HMV3" s="1"/>
      <c r="HMW3" s="1"/>
      <c r="HMX3" s="1"/>
      <c r="HMY3" s="1"/>
      <c r="HMZ3" s="1"/>
      <c r="HNA3" s="1"/>
      <c r="HNB3" s="1"/>
      <c r="HNC3" s="1"/>
      <c r="HND3" s="1"/>
      <c r="HNE3" s="1"/>
      <c r="HNF3" s="1"/>
      <c r="HNG3" s="1"/>
      <c r="HNH3" s="1"/>
      <c r="HNI3" s="1"/>
      <c r="HNJ3" s="1"/>
      <c r="HNK3" s="1"/>
      <c r="HNL3" s="1"/>
      <c r="HNM3" s="1"/>
      <c r="HNN3" s="1"/>
      <c r="HNO3" s="1"/>
      <c r="HNP3" s="1"/>
      <c r="HNQ3" s="1"/>
      <c r="HNR3" s="1"/>
      <c r="HNS3" s="1"/>
      <c r="HNT3" s="1"/>
      <c r="HNU3" s="1"/>
      <c r="HNV3" s="1"/>
      <c r="HNW3" s="1"/>
      <c r="HNX3" s="1"/>
      <c r="HNY3" s="1"/>
      <c r="HNZ3" s="1"/>
      <c r="HOA3" s="1"/>
      <c r="HOB3" s="1"/>
      <c r="HOC3" s="1"/>
      <c r="HOD3" s="1"/>
      <c r="HOE3" s="1"/>
      <c r="HOF3" s="1"/>
      <c r="HOG3" s="1"/>
      <c r="HOH3" s="1"/>
      <c r="HOI3" s="1"/>
      <c r="HOJ3" s="1"/>
      <c r="HOK3" s="1"/>
      <c r="HOL3" s="1"/>
      <c r="HOM3" s="1"/>
      <c r="HON3" s="1"/>
      <c r="HOO3" s="1"/>
      <c r="HOP3" s="1"/>
      <c r="HOQ3" s="1"/>
      <c r="HOR3" s="1"/>
      <c r="HOS3" s="1"/>
      <c r="HOT3" s="1"/>
      <c r="HOU3" s="1"/>
      <c r="HOV3" s="1"/>
      <c r="HOW3" s="1"/>
      <c r="HOX3" s="1"/>
      <c r="HOY3" s="1"/>
      <c r="HOZ3" s="1"/>
      <c r="HPA3" s="1"/>
      <c r="HPB3" s="1"/>
      <c r="HPC3" s="1"/>
      <c r="HPD3" s="1"/>
      <c r="HPE3" s="1"/>
      <c r="HPF3" s="1"/>
      <c r="HPG3" s="1"/>
      <c r="HPH3" s="1"/>
      <c r="HPI3" s="1"/>
      <c r="HPJ3" s="1"/>
      <c r="HPK3" s="1"/>
      <c r="HPL3" s="1"/>
      <c r="HPM3" s="1"/>
      <c r="HPN3" s="1"/>
      <c r="HPO3" s="1"/>
      <c r="HPP3" s="1"/>
      <c r="HPQ3" s="1"/>
      <c r="HPR3" s="1"/>
      <c r="HPS3" s="1"/>
      <c r="HPT3" s="1"/>
      <c r="HPU3" s="1"/>
      <c r="HPV3" s="1"/>
      <c r="HPW3" s="1"/>
      <c r="HPX3" s="1"/>
      <c r="HPY3" s="1"/>
      <c r="HPZ3" s="1"/>
      <c r="HQA3" s="1"/>
      <c r="HQB3" s="1"/>
      <c r="HQC3" s="1"/>
      <c r="HQD3" s="1"/>
      <c r="HQE3" s="1"/>
      <c r="HQF3" s="1"/>
      <c r="HQG3" s="1"/>
      <c r="HQH3" s="1"/>
      <c r="HQI3" s="1"/>
      <c r="HQJ3" s="1"/>
      <c r="HQK3" s="1"/>
      <c r="HQL3" s="1"/>
      <c r="HQM3" s="1"/>
      <c r="HQN3" s="1"/>
      <c r="HQO3" s="1"/>
      <c r="HQP3" s="1"/>
      <c r="HQQ3" s="1"/>
      <c r="HQR3" s="1"/>
      <c r="HQS3" s="1"/>
      <c r="HQT3" s="1"/>
      <c r="HQU3" s="1"/>
      <c r="HQV3" s="1"/>
      <c r="HQW3" s="1"/>
      <c r="HQX3" s="1"/>
      <c r="HQY3" s="1"/>
      <c r="HQZ3" s="1"/>
      <c r="HRA3" s="1"/>
      <c r="HRB3" s="1"/>
      <c r="HRC3" s="1"/>
      <c r="HRD3" s="1"/>
      <c r="HRE3" s="1"/>
      <c r="HRF3" s="1"/>
      <c r="HRG3" s="1"/>
      <c r="HRH3" s="1"/>
      <c r="HRI3" s="1"/>
      <c r="HRJ3" s="1"/>
      <c r="HRK3" s="1"/>
      <c r="HRL3" s="1"/>
      <c r="HRM3" s="1"/>
      <c r="HRN3" s="1"/>
      <c r="HRO3" s="1"/>
      <c r="HRP3" s="1"/>
      <c r="HRQ3" s="1"/>
      <c r="HRR3" s="1"/>
      <c r="HRS3" s="1"/>
      <c r="HRT3" s="1"/>
      <c r="HRU3" s="1"/>
      <c r="HRV3" s="1"/>
      <c r="HRW3" s="1"/>
      <c r="HRX3" s="1"/>
      <c r="HRY3" s="1"/>
      <c r="HRZ3" s="1"/>
      <c r="HSA3" s="1"/>
      <c r="HSB3" s="1"/>
      <c r="HSC3" s="1"/>
      <c r="HSD3" s="1"/>
      <c r="HSE3" s="1"/>
      <c r="HSF3" s="1"/>
      <c r="HSG3" s="1"/>
      <c r="HSH3" s="1"/>
      <c r="HSI3" s="1"/>
      <c r="HSJ3" s="1"/>
      <c r="HSK3" s="1"/>
      <c r="HSL3" s="1"/>
      <c r="HSM3" s="1"/>
      <c r="HSN3" s="1"/>
      <c r="HSO3" s="1"/>
      <c r="HSP3" s="1"/>
      <c r="HSQ3" s="1"/>
      <c r="HSR3" s="1"/>
      <c r="HSS3" s="1"/>
      <c r="HST3" s="1"/>
      <c r="HSU3" s="1"/>
      <c r="HSV3" s="1"/>
      <c r="HSW3" s="1"/>
      <c r="HSX3" s="1"/>
      <c r="HSY3" s="1"/>
      <c r="HSZ3" s="1"/>
      <c r="HTA3" s="1"/>
      <c r="HTB3" s="1"/>
      <c r="HTC3" s="1"/>
      <c r="HTD3" s="1"/>
      <c r="HTE3" s="1"/>
      <c r="HTF3" s="1"/>
      <c r="HTG3" s="1"/>
      <c r="HTH3" s="1"/>
      <c r="HTI3" s="1"/>
      <c r="HTJ3" s="1"/>
      <c r="HTK3" s="1"/>
      <c r="HTL3" s="1"/>
      <c r="HTM3" s="1"/>
      <c r="HTN3" s="1"/>
      <c r="HTO3" s="1"/>
      <c r="HTP3" s="1"/>
      <c r="HTQ3" s="1"/>
      <c r="HTR3" s="1"/>
      <c r="HTS3" s="1"/>
      <c r="HTT3" s="1"/>
      <c r="HTU3" s="1"/>
      <c r="HTV3" s="1"/>
      <c r="HTW3" s="1"/>
      <c r="HTX3" s="1"/>
      <c r="HTY3" s="1"/>
      <c r="HTZ3" s="1"/>
      <c r="HUA3" s="1"/>
      <c r="HUB3" s="1"/>
      <c r="HUC3" s="1"/>
      <c r="HUD3" s="1"/>
      <c r="HUE3" s="1"/>
      <c r="HUF3" s="1"/>
      <c r="HUG3" s="1"/>
      <c r="HUH3" s="1"/>
      <c r="HUI3" s="1"/>
      <c r="HUJ3" s="1"/>
      <c r="HUK3" s="1"/>
      <c r="HUL3" s="1"/>
      <c r="HUM3" s="1"/>
      <c r="HUN3" s="1"/>
      <c r="HUO3" s="1"/>
      <c r="HUP3" s="1"/>
      <c r="HUQ3" s="1"/>
      <c r="HUR3" s="1"/>
      <c r="HUS3" s="1"/>
      <c r="HUT3" s="1"/>
      <c r="HUU3" s="1"/>
      <c r="HUV3" s="1"/>
      <c r="HUW3" s="1"/>
      <c r="HUX3" s="1"/>
      <c r="HUY3" s="1"/>
      <c r="HUZ3" s="1"/>
      <c r="HVA3" s="1"/>
      <c r="HVB3" s="1"/>
      <c r="HVC3" s="1"/>
      <c r="HVD3" s="1"/>
      <c r="HVE3" s="1"/>
      <c r="HVF3" s="1"/>
      <c r="HVG3" s="1"/>
      <c r="HVH3" s="1"/>
      <c r="HVI3" s="1"/>
      <c r="HVJ3" s="1"/>
      <c r="HVK3" s="1"/>
      <c r="HVL3" s="1"/>
      <c r="HVM3" s="1"/>
      <c r="HVN3" s="1"/>
      <c r="HVO3" s="1"/>
      <c r="HVP3" s="1"/>
      <c r="HVQ3" s="1"/>
      <c r="HVR3" s="1"/>
      <c r="HVS3" s="1"/>
      <c r="HVT3" s="1"/>
      <c r="HVU3" s="1"/>
      <c r="HVV3" s="1"/>
      <c r="HVW3" s="1"/>
      <c r="HVX3" s="1"/>
      <c r="HVY3" s="1"/>
      <c r="HVZ3" s="1"/>
      <c r="HWA3" s="1"/>
      <c r="HWB3" s="1"/>
      <c r="HWC3" s="1"/>
      <c r="HWD3" s="1"/>
      <c r="HWE3" s="1"/>
      <c r="HWF3" s="1"/>
      <c r="HWG3" s="1"/>
      <c r="HWH3" s="1"/>
      <c r="HWI3" s="1"/>
      <c r="HWJ3" s="1"/>
      <c r="HWK3" s="1"/>
      <c r="HWL3" s="1"/>
      <c r="HWM3" s="1"/>
      <c r="HWN3" s="1"/>
      <c r="HWO3" s="1"/>
      <c r="HWP3" s="1"/>
      <c r="HWQ3" s="1"/>
      <c r="HWR3" s="1"/>
      <c r="HWS3" s="1"/>
      <c r="HWT3" s="1"/>
      <c r="HWU3" s="1"/>
      <c r="HWV3" s="1"/>
      <c r="HWW3" s="1"/>
      <c r="HWX3" s="1"/>
      <c r="HWY3" s="1"/>
      <c r="HWZ3" s="1"/>
      <c r="HXA3" s="1"/>
      <c r="HXB3" s="1"/>
      <c r="HXC3" s="1"/>
      <c r="HXD3" s="1"/>
      <c r="HXE3" s="1"/>
      <c r="HXF3" s="1"/>
      <c r="HXG3" s="1"/>
      <c r="HXH3" s="1"/>
      <c r="HXI3" s="1"/>
      <c r="HXJ3" s="1"/>
      <c r="HXK3" s="1"/>
      <c r="HXL3" s="1"/>
      <c r="HXM3" s="1"/>
      <c r="HXN3" s="1"/>
      <c r="HXO3" s="1"/>
      <c r="HXP3" s="1"/>
      <c r="HXQ3" s="1"/>
      <c r="HXR3" s="1"/>
      <c r="HXS3" s="1"/>
      <c r="HXT3" s="1"/>
      <c r="HXU3" s="1"/>
      <c r="HXV3" s="1"/>
      <c r="HXW3" s="1"/>
      <c r="HXX3" s="1"/>
      <c r="HXY3" s="1"/>
      <c r="HXZ3" s="1"/>
      <c r="HYA3" s="1"/>
      <c r="HYB3" s="1"/>
      <c r="HYC3" s="1"/>
      <c r="HYD3" s="1"/>
      <c r="HYE3" s="1"/>
      <c r="HYF3" s="1"/>
      <c r="HYG3" s="1"/>
      <c r="HYH3" s="1"/>
      <c r="HYI3" s="1"/>
      <c r="HYJ3" s="1"/>
      <c r="HYK3" s="1"/>
      <c r="HYL3" s="1"/>
      <c r="HYM3" s="1"/>
      <c r="HYN3" s="1"/>
      <c r="HYO3" s="1"/>
      <c r="HYP3" s="1"/>
      <c r="HYQ3" s="1"/>
      <c r="HYR3" s="1"/>
      <c r="HYS3" s="1"/>
      <c r="HYT3" s="1"/>
      <c r="HYU3" s="1"/>
      <c r="HYV3" s="1"/>
      <c r="HYW3" s="1"/>
      <c r="HYX3" s="1"/>
      <c r="HYY3" s="1"/>
      <c r="HYZ3" s="1"/>
      <c r="HZA3" s="1"/>
      <c r="HZB3" s="1"/>
      <c r="HZC3" s="1"/>
      <c r="HZD3" s="1"/>
      <c r="HZE3" s="1"/>
      <c r="HZF3" s="1"/>
      <c r="HZG3" s="1"/>
      <c r="HZH3" s="1"/>
      <c r="HZI3" s="1"/>
      <c r="HZJ3" s="1"/>
      <c r="HZK3" s="1"/>
      <c r="HZL3" s="1"/>
      <c r="HZM3" s="1"/>
      <c r="HZN3" s="1"/>
      <c r="HZO3" s="1"/>
      <c r="HZP3" s="1"/>
      <c r="HZQ3" s="1"/>
      <c r="HZR3" s="1"/>
      <c r="HZS3" s="1"/>
      <c r="HZT3" s="1"/>
      <c r="HZU3" s="1"/>
      <c r="HZV3" s="1"/>
      <c r="HZW3" s="1"/>
      <c r="HZX3" s="1"/>
      <c r="HZY3" s="1"/>
      <c r="HZZ3" s="1"/>
      <c r="IAA3" s="1"/>
      <c r="IAB3" s="1"/>
      <c r="IAC3" s="1"/>
      <c r="IAD3" s="1"/>
      <c r="IAE3" s="1"/>
      <c r="IAF3" s="1"/>
      <c r="IAG3" s="1"/>
      <c r="IAH3" s="1"/>
      <c r="IAI3" s="1"/>
      <c r="IAJ3" s="1"/>
      <c r="IAK3" s="1"/>
      <c r="IAL3" s="1"/>
      <c r="IAM3" s="1"/>
      <c r="IAN3" s="1"/>
      <c r="IAO3" s="1"/>
      <c r="IAP3" s="1"/>
      <c r="IAQ3" s="1"/>
      <c r="IAR3" s="1"/>
      <c r="IAS3" s="1"/>
      <c r="IAT3" s="1"/>
      <c r="IAU3" s="1"/>
      <c r="IAV3" s="1"/>
      <c r="IAW3" s="1"/>
      <c r="IAX3" s="1"/>
      <c r="IAY3" s="1"/>
      <c r="IAZ3" s="1"/>
      <c r="IBA3" s="1"/>
      <c r="IBB3" s="1"/>
      <c r="IBC3" s="1"/>
      <c r="IBD3" s="1"/>
      <c r="IBE3" s="1"/>
      <c r="IBF3" s="1"/>
      <c r="IBG3" s="1"/>
      <c r="IBH3" s="1"/>
      <c r="IBI3" s="1"/>
      <c r="IBJ3" s="1"/>
      <c r="IBK3" s="1"/>
      <c r="IBL3" s="1"/>
      <c r="IBM3" s="1"/>
      <c r="IBN3" s="1"/>
      <c r="IBO3" s="1"/>
      <c r="IBP3" s="1"/>
      <c r="IBQ3" s="1"/>
      <c r="IBR3" s="1"/>
      <c r="IBS3" s="1"/>
      <c r="IBT3" s="1"/>
      <c r="IBU3" s="1"/>
      <c r="IBV3" s="1"/>
      <c r="IBW3" s="1"/>
      <c r="IBX3" s="1"/>
      <c r="IBY3" s="1"/>
      <c r="IBZ3" s="1"/>
      <c r="ICA3" s="1"/>
      <c r="ICB3" s="1"/>
      <c r="ICC3" s="1"/>
      <c r="ICD3" s="1"/>
      <c r="ICE3" s="1"/>
      <c r="ICF3" s="1"/>
      <c r="ICG3" s="1"/>
      <c r="ICH3" s="1"/>
      <c r="ICI3" s="1"/>
      <c r="ICJ3" s="1"/>
      <c r="ICK3" s="1"/>
      <c r="ICL3" s="1"/>
      <c r="ICM3" s="1"/>
      <c r="ICN3" s="1"/>
      <c r="ICO3" s="1"/>
      <c r="ICP3" s="1"/>
      <c r="ICQ3" s="1"/>
      <c r="ICR3" s="1"/>
      <c r="ICS3" s="1"/>
      <c r="ICT3" s="1"/>
      <c r="ICU3" s="1"/>
      <c r="ICV3" s="1"/>
      <c r="ICW3" s="1"/>
      <c r="ICX3" s="1"/>
      <c r="ICY3" s="1"/>
      <c r="ICZ3" s="1"/>
      <c r="IDA3" s="1"/>
      <c r="IDB3" s="1"/>
      <c r="IDC3" s="1"/>
      <c r="IDD3" s="1"/>
      <c r="IDE3" s="1"/>
      <c r="IDF3" s="1"/>
      <c r="IDG3" s="1"/>
      <c r="IDH3" s="1"/>
      <c r="IDI3" s="1"/>
      <c r="IDJ3" s="1"/>
      <c r="IDK3" s="1"/>
      <c r="IDL3" s="1"/>
      <c r="IDM3" s="1"/>
      <c r="IDN3" s="1"/>
      <c r="IDO3" s="1"/>
      <c r="IDP3" s="1"/>
      <c r="IDQ3" s="1"/>
      <c r="IDR3" s="1"/>
      <c r="IDS3" s="1"/>
      <c r="IDT3" s="1"/>
      <c r="IDU3" s="1"/>
      <c r="IDV3" s="1"/>
      <c r="IDW3" s="1"/>
      <c r="IDX3" s="1"/>
      <c r="IDY3" s="1"/>
      <c r="IDZ3" s="1"/>
      <c r="IEA3" s="1"/>
      <c r="IEB3" s="1"/>
      <c r="IEC3" s="1"/>
      <c r="IED3" s="1"/>
      <c r="IEE3" s="1"/>
      <c r="IEF3" s="1"/>
      <c r="IEG3" s="1"/>
      <c r="IEH3" s="1"/>
      <c r="IEI3" s="1"/>
      <c r="IEJ3" s="1"/>
      <c r="IEK3" s="1"/>
      <c r="IEL3" s="1"/>
      <c r="IEM3" s="1"/>
      <c r="IEN3" s="1"/>
      <c r="IEO3" s="1"/>
      <c r="IEP3" s="1"/>
      <c r="IEQ3" s="1"/>
      <c r="IER3" s="1"/>
      <c r="IES3" s="1"/>
      <c r="IET3" s="1"/>
      <c r="IEU3" s="1"/>
      <c r="IEV3" s="1"/>
      <c r="IEW3" s="1"/>
      <c r="IEX3" s="1"/>
      <c r="IEY3" s="1"/>
      <c r="IEZ3" s="1"/>
      <c r="IFA3" s="1"/>
      <c r="IFB3" s="1"/>
      <c r="IFC3" s="1"/>
      <c r="IFD3" s="1"/>
      <c r="IFE3" s="1"/>
      <c r="IFF3" s="1"/>
      <c r="IFG3" s="1"/>
      <c r="IFH3" s="1"/>
      <c r="IFI3" s="1"/>
      <c r="IFJ3" s="1"/>
      <c r="IFK3" s="1"/>
      <c r="IFL3" s="1"/>
      <c r="IFM3" s="1"/>
      <c r="IFN3" s="1"/>
      <c r="IFO3" s="1"/>
      <c r="IFP3" s="1"/>
      <c r="IFQ3" s="1"/>
      <c r="IFR3" s="1"/>
      <c r="IFS3" s="1"/>
      <c r="IFT3" s="1"/>
      <c r="IFU3" s="1"/>
      <c r="IFV3" s="1"/>
      <c r="IFW3" s="1"/>
      <c r="IFX3" s="1"/>
      <c r="IFY3" s="1"/>
      <c r="IFZ3" s="1"/>
      <c r="IGA3" s="1"/>
      <c r="IGB3" s="1"/>
      <c r="IGC3" s="1"/>
      <c r="IGD3" s="1"/>
      <c r="IGE3" s="1"/>
      <c r="IGF3" s="1"/>
      <c r="IGG3" s="1"/>
      <c r="IGH3" s="1"/>
      <c r="IGI3" s="1"/>
      <c r="IGJ3" s="1"/>
      <c r="IGK3" s="1"/>
      <c r="IGL3" s="1"/>
      <c r="IGM3" s="1"/>
      <c r="IGN3" s="1"/>
      <c r="IGO3" s="1"/>
      <c r="IGP3" s="1"/>
      <c r="IGQ3" s="1"/>
      <c r="IGR3" s="1"/>
      <c r="IGS3" s="1"/>
      <c r="IGT3" s="1"/>
      <c r="IGU3" s="1"/>
      <c r="IGV3" s="1"/>
      <c r="IGW3" s="1"/>
      <c r="IGX3" s="1"/>
      <c r="IGY3" s="1"/>
      <c r="IGZ3" s="1"/>
      <c r="IHA3" s="1"/>
      <c r="IHB3" s="1"/>
      <c r="IHC3" s="1"/>
      <c r="IHD3" s="1"/>
      <c r="IHE3" s="1"/>
      <c r="IHF3" s="1"/>
      <c r="IHG3" s="1"/>
      <c r="IHH3" s="1"/>
      <c r="IHI3" s="1"/>
      <c r="IHJ3" s="1"/>
      <c r="IHK3" s="1"/>
      <c r="IHL3" s="1"/>
      <c r="IHM3" s="1"/>
      <c r="IHN3" s="1"/>
      <c r="IHO3" s="1"/>
      <c r="IHP3" s="1"/>
      <c r="IHQ3" s="1"/>
      <c r="IHR3" s="1"/>
      <c r="IHS3" s="1"/>
      <c r="IHT3" s="1"/>
      <c r="IHU3" s="1"/>
      <c r="IHV3" s="1"/>
      <c r="IHW3" s="1"/>
      <c r="IHX3" s="1"/>
      <c r="IHY3" s="1"/>
      <c r="IHZ3" s="1"/>
      <c r="IIA3" s="1"/>
      <c r="IIB3" s="1"/>
      <c r="IIC3" s="1"/>
      <c r="IID3" s="1"/>
      <c r="IIE3" s="1"/>
      <c r="IIF3" s="1"/>
      <c r="IIG3" s="1"/>
      <c r="IIH3" s="1"/>
      <c r="III3" s="1"/>
      <c r="IIJ3" s="1"/>
      <c r="IIK3" s="1"/>
      <c r="IIL3" s="1"/>
      <c r="IIM3" s="1"/>
      <c r="IIN3" s="1"/>
      <c r="IIO3" s="1"/>
      <c r="IIP3" s="1"/>
      <c r="IIQ3" s="1"/>
      <c r="IIR3" s="1"/>
      <c r="IIS3" s="1"/>
      <c r="IIT3" s="1"/>
      <c r="IIU3" s="1"/>
      <c r="IIV3" s="1"/>
      <c r="IIW3" s="1"/>
      <c r="IIX3" s="1"/>
      <c r="IIY3" s="1"/>
      <c r="IIZ3" s="1"/>
      <c r="IJA3" s="1"/>
      <c r="IJB3" s="1"/>
      <c r="IJC3" s="1"/>
      <c r="IJD3" s="1"/>
      <c r="IJE3" s="1"/>
      <c r="IJF3" s="1"/>
      <c r="IJG3" s="1"/>
      <c r="IJH3" s="1"/>
      <c r="IJI3" s="1"/>
      <c r="IJJ3" s="1"/>
      <c r="IJK3" s="1"/>
      <c r="IJL3" s="1"/>
      <c r="IJM3" s="1"/>
      <c r="IJN3" s="1"/>
      <c r="IJO3" s="1"/>
      <c r="IJP3" s="1"/>
      <c r="IJQ3" s="1"/>
      <c r="IJR3" s="1"/>
      <c r="IJS3" s="1"/>
      <c r="IJT3" s="1"/>
      <c r="IJU3" s="1"/>
      <c r="IJV3" s="1"/>
      <c r="IJW3" s="1"/>
      <c r="IJX3" s="1"/>
      <c r="IJY3" s="1"/>
      <c r="IJZ3" s="1"/>
      <c r="IKA3" s="1"/>
      <c r="IKB3" s="1"/>
      <c r="IKC3" s="1"/>
      <c r="IKD3" s="1"/>
      <c r="IKE3" s="1"/>
      <c r="IKF3" s="1"/>
      <c r="IKG3" s="1"/>
      <c r="IKH3" s="1"/>
      <c r="IKI3" s="1"/>
      <c r="IKJ3" s="1"/>
      <c r="IKK3" s="1"/>
      <c r="IKL3" s="1"/>
      <c r="IKM3" s="1"/>
      <c r="IKN3" s="1"/>
      <c r="IKO3" s="1"/>
      <c r="IKP3" s="1"/>
      <c r="IKQ3" s="1"/>
      <c r="IKR3" s="1"/>
      <c r="IKS3" s="1"/>
      <c r="IKT3" s="1"/>
      <c r="IKU3" s="1"/>
      <c r="IKV3" s="1"/>
      <c r="IKW3" s="1"/>
      <c r="IKX3" s="1"/>
      <c r="IKY3" s="1"/>
      <c r="IKZ3" s="1"/>
      <c r="ILA3" s="1"/>
      <c r="ILB3" s="1"/>
      <c r="ILC3" s="1"/>
      <c r="ILD3" s="1"/>
      <c r="ILE3" s="1"/>
      <c r="ILF3" s="1"/>
      <c r="ILG3" s="1"/>
      <c r="ILH3" s="1"/>
      <c r="ILI3" s="1"/>
      <c r="ILJ3" s="1"/>
      <c r="ILK3" s="1"/>
      <c r="ILL3" s="1"/>
      <c r="ILM3" s="1"/>
      <c r="ILN3" s="1"/>
      <c r="ILO3" s="1"/>
      <c r="ILP3" s="1"/>
      <c r="ILQ3" s="1"/>
      <c r="ILR3" s="1"/>
      <c r="ILS3" s="1"/>
      <c r="ILT3" s="1"/>
      <c r="ILU3" s="1"/>
      <c r="ILV3" s="1"/>
      <c r="ILW3" s="1"/>
      <c r="ILX3" s="1"/>
      <c r="ILY3" s="1"/>
      <c r="ILZ3" s="1"/>
      <c r="IMA3" s="1"/>
      <c r="IMB3" s="1"/>
      <c r="IMC3" s="1"/>
      <c r="IMD3" s="1"/>
      <c r="IME3" s="1"/>
      <c r="IMF3" s="1"/>
      <c r="IMG3" s="1"/>
      <c r="IMH3" s="1"/>
      <c r="IMI3" s="1"/>
      <c r="IMJ3" s="1"/>
      <c r="IMK3" s="1"/>
      <c r="IML3" s="1"/>
      <c r="IMM3" s="1"/>
      <c r="IMN3" s="1"/>
      <c r="IMO3" s="1"/>
      <c r="IMP3" s="1"/>
      <c r="IMQ3" s="1"/>
      <c r="IMR3" s="1"/>
      <c r="IMS3" s="1"/>
      <c r="IMT3" s="1"/>
      <c r="IMU3" s="1"/>
      <c r="IMV3" s="1"/>
      <c r="IMW3" s="1"/>
      <c r="IMX3" s="1"/>
      <c r="IMY3" s="1"/>
      <c r="IMZ3" s="1"/>
      <c r="INA3" s="1"/>
      <c r="INB3" s="1"/>
      <c r="INC3" s="1"/>
      <c r="IND3" s="1"/>
      <c r="INE3" s="1"/>
      <c r="INF3" s="1"/>
      <c r="ING3" s="1"/>
      <c r="INH3" s="1"/>
      <c r="INI3" s="1"/>
      <c r="INJ3" s="1"/>
      <c r="INK3" s="1"/>
      <c r="INL3" s="1"/>
      <c r="INM3" s="1"/>
      <c r="INN3" s="1"/>
      <c r="INO3" s="1"/>
      <c r="INP3" s="1"/>
      <c r="INQ3" s="1"/>
      <c r="INR3" s="1"/>
      <c r="INS3" s="1"/>
      <c r="INT3" s="1"/>
      <c r="INU3" s="1"/>
      <c r="INV3" s="1"/>
      <c r="INW3" s="1"/>
      <c r="INX3" s="1"/>
      <c r="INY3" s="1"/>
      <c r="INZ3" s="1"/>
      <c r="IOA3" s="1"/>
      <c r="IOB3" s="1"/>
      <c r="IOC3" s="1"/>
      <c r="IOD3" s="1"/>
      <c r="IOE3" s="1"/>
      <c r="IOF3" s="1"/>
      <c r="IOG3" s="1"/>
      <c r="IOH3" s="1"/>
      <c r="IOI3" s="1"/>
      <c r="IOJ3" s="1"/>
      <c r="IOK3" s="1"/>
      <c r="IOL3" s="1"/>
      <c r="IOM3" s="1"/>
      <c r="ION3" s="1"/>
      <c r="IOO3" s="1"/>
      <c r="IOP3" s="1"/>
      <c r="IOQ3" s="1"/>
      <c r="IOR3" s="1"/>
      <c r="IOS3" s="1"/>
      <c r="IOT3" s="1"/>
      <c r="IOU3" s="1"/>
      <c r="IOV3" s="1"/>
      <c r="IOW3" s="1"/>
      <c r="IOX3" s="1"/>
      <c r="IOY3" s="1"/>
      <c r="IOZ3" s="1"/>
      <c r="IPA3" s="1"/>
      <c r="IPB3" s="1"/>
      <c r="IPC3" s="1"/>
      <c r="IPD3" s="1"/>
      <c r="IPE3" s="1"/>
      <c r="IPF3" s="1"/>
      <c r="IPG3" s="1"/>
      <c r="IPH3" s="1"/>
      <c r="IPI3" s="1"/>
      <c r="IPJ3" s="1"/>
      <c r="IPK3" s="1"/>
      <c r="IPL3" s="1"/>
      <c r="IPM3" s="1"/>
      <c r="IPN3" s="1"/>
      <c r="IPO3" s="1"/>
      <c r="IPP3" s="1"/>
      <c r="IPQ3" s="1"/>
      <c r="IPR3" s="1"/>
      <c r="IPS3" s="1"/>
      <c r="IPT3" s="1"/>
      <c r="IPU3" s="1"/>
      <c r="IPV3" s="1"/>
      <c r="IPW3" s="1"/>
      <c r="IPX3" s="1"/>
      <c r="IPY3" s="1"/>
      <c r="IPZ3" s="1"/>
      <c r="IQA3" s="1"/>
      <c r="IQB3" s="1"/>
      <c r="IQC3" s="1"/>
      <c r="IQD3" s="1"/>
      <c r="IQE3" s="1"/>
      <c r="IQF3" s="1"/>
      <c r="IQG3" s="1"/>
      <c r="IQH3" s="1"/>
      <c r="IQI3" s="1"/>
      <c r="IQJ3" s="1"/>
      <c r="IQK3" s="1"/>
      <c r="IQL3" s="1"/>
      <c r="IQM3" s="1"/>
      <c r="IQN3" s="1"/>
      <c r="IQO3" s="1"/>
      <c r="IQP3" s="1"/>
      <c r="IQQ3" s="1"/>
      <c r="IQR3" s="1"/>
      <c r="IQS3" s="1"/>
      <c r="IQT3" s="1"/>
      <c r="IQU3" s="1"/>
      <c r="IQV3" s="1"/>
      <c r="IQW3" s="1"/>
      <c r="IQX3" s="1"/>
      <c r="IQY3" s="1"/>
      <c r="IQZ3" s="1"/>
      <c r="IRA3" s="1"/>
      <c r="IRB3" s="1"/>
      <c r="IRC3" s="1"/>
      <c r="IRD3" s="1"/>
      <c r="IRE3" s="1"/>
      <c r="IRF3" s="1"/>
      <c r="IRG3" s="1"/>
      <c r="IRH3" s="1"/>
      <c r="IRI3" s="1"/>
      <c r="IRJ3" s="1"/>
      <c r="IRK3" s="1"/>
      <c r="IRL3" s="1"/>
      <c r="IRM3" s="1"/>
      <c r="IRN3" s="1"/>
      <c r="IRO3" s="1"/>
      <c r="IRP3" s="1"/>
      <c r="IRQ3" s="1"/>
      <c r="IRR3" s="1"/>
      <c r="IRS3" s="1"/>
      <c r="IRT3" s="1"/>
      <c r="IRU3" s="1"/>
      <c r="IRV3" s="1"/>
      <c r="IRW3" s="1"/>
      <c r="IRX3" s="1"/>
      <c r="IRY3" s="1"/>
      <c r="IRZ3" s="1"/>
      <c r="ISA3" s="1"/>
      <c r="ISB3" s="1"/>
      <c r="ISC3" s="1"/>
      <c r="ISD3" s="1"/>
      <c r="ISE3" s="1"/>
      <c r="ISF3" s="1"/>
      <c r="ISG3" s="1"/>
      <c r="ISH3" s="1"/>
      <c r="ISI3" s="1"/>
      <c r="ISJ3" s="1"/>
      <c r="ISK3" s="1"/>
      <c r="ISL3" s="1"/>
      <c r="ISM3" s="1"/>
      <c r="ISN3" s="1"/>
      <c r="ISO3" s="1"/>
      <c r="ISP3" s="1"/>
      <c r="ISQ3" s="1"/>
      <c r="ISR3" s="1"/>
      <c r="ISS3" s="1"/>
      <c r="IST3" s="1"/>
      <c r="ISU3" s="1"/>
      <c r="ISV3" s="1"/>
      <c r="ISW3" s="1"/>
      <c r="ISX3" s="1"/>
      <c r="ISY3" s="1"/>
      <c r="ISZ3" s="1"/>
      <c r="ITA3" s="1"/>
      <c r="ITB3" s="1"/>
      <c r="ITC3" s="1"/>
      <c r="ITD3" s="1"/>
      <c r="ITE3" s="1"/>
      <c r="ITF3" s="1"/>
      <c r="ITG3" s="1"/>
      <c r="ITH3" s="1"/>
      <c r="ITI3" s="1"/>
      <c r="ITJ3" s="1"/>
      <c r="ITK3" s="1"/>
      <c r="ITL3" s="1"/>
      <c r="ITM3" s="1"/>
      <c r="ITN3" s="1"/>
      <c r="ITO3" s="1"/>
      <c r="ITP3" s="1"/>
      <c r="ITQ3" s="1"/>
      <c r="ITR3" s="1"/>
      <c r="ITS3" s="1"/>
      <c r="ITT3" s="1"/>
      <c r="ITU3" s="1"/>
      <c r="ITV3" s="1"/>
      <c r="ITW3" s="1"/>
      <c r="ITX3" s="1"/>
      <c r="ITY3" s="1"/>
      <c r="ITZ3" s="1"/>
      <c r="IUA3" s="1"/>
      <c r="IUB3" s="1"/>
      <c r="IUC3" s="1"/>
      <c r="IUD3" s="1"/>
      <c r="IUE3" s="1"/>
      <c r="IUF3" s="1"/>
      <c r="IUG3" s="1"/>
      <c r="IUH3" s="1"/>
      <c r="IUI3" s="1"/>
      <c r="IUJ3" s="1"/>
      <c r="IUK3" s="1"/>
      <c r="IUL3" s="1"/>
      <c r="IUM3" s="1"/>
      <c r="IUN3" s="1"/>
      <c r="IUO3" s="1"/>
      <c r="IUP3" s="1"/>
      <c r="IUQ3" s="1"/>
      <c r="IUR3" s="1"/>
      <c r="IUS3" s="1"/>
      <c r="IUT3" s="1"/>
      <c r="IUU3" s="1"/>
      <c r="IUV3" s="1"/>
      <c r="IUW3" s="1"/>
      <c r="IUX3" s="1"/>
      <c r="IUY3" s="1"/>
      <c r="IUZ3" s="1"/>
      <c r="IVA3" s="1"/>
      <c r="IVB3" s="1"/>
      <c r="IVC3" s="1"/>
      <c r="IVD3" s="1"/>
      <c r="IVE3" s="1"/>
      <c r="IVF3" s="1"/>
      <c r="IVG3" s="1"/>
      <c r="IVH3" s="1"/>
      <c r="IVI3" s="1"/>
      <c r="IVJ3" s="1"/>
      <c r="IVK3" s="1"/>
      <c r="IVL3" s="1"/>
      <c r="IVM3" s="1"/>
      <c r="IVN3" s="1"/>
      <c r="IVO3" s="1"/>
      <c r="IVP3" s="1"/>
      <c r="IVQ3" s="1"/>
      <c r="IVR3" s="1"/>
      <c r="IVS3" s="1"/>
      <c r="IVT3" s="1"/>
      <c r="IVU3" s="1"/>
      <c r="IVV3" s="1"/>
      <c r="IVW3" s="1"/>
      <c r="IVX3" s="1"/>
      <c r="IVY3" s="1"/>
      <c r="IVZ3" s="1"/>
      <c r="IWA3" s="1"/>
      <c r="IWB3" s="1"/>
      <c r="IWC3" s="1"/>
      <c r="IWD3" s="1"/>
      <c r="IWE3" s="1"/>
      <c r="IWF3" s="1"/>
      <c r="IWG3" s="1"/>
      <c r="IWH3" s="1"/>
      <c r="IWI3" s="1"/>
      <c r="IWJ3" s="1"/>
      <c r="IWK3" s="1"/>
      <c r="IWL3" s="1"/>
      <c r="IWM3" s="1"/>
      <c r="IWN3" s="1"/>
      <c r="IWO3" s="1"/>
      <c r="IWP3" s="1"/>
      <c r="IWQ3" s="1"/>
      <c r="IWR3" s="1"/>
      <c r="IWS3" s="1"/>
      <c r="IWT3" s="1"/>
      <c r="IWU3" s="1"/>
      <c r="IWV3" s="1"/>
      <c r="IWW3" s="1"/>
      <c r="IWX3" s="1"/>
      <c r="IWY3" s="1"/>
      <c r="IWZ3" s="1"/>
      <c r="IXA3" s="1"/>
      <c r="IXB3" s="1"/>
      <c r="IXC3" s="1"/>
      <c r="IXD3" s="1"/>
      <c r="IXE3" s="1"/>
      <c r="IXF3" s="1"/>
      <c r="IXG3" s="1"/>
      <c r="IXH3" s="1"/>
      <c r="IXI3" s="1"/>
      <c r="IXJ3" s="1"/>
      <c r="IXK3" s="1"/>
      <c r="IXL3" s="1"/>
      <c r="IXM3" s="1"/>
      <c r="IXN3" s="1"/>
      <c r="IXO3" s="1"/>
      <c r="IXP3" s="1"/>
      <c r="IXQ3" s="1"/>
      <c r="IXR3" s="1"/>
      <c r="IXS3" s="1"/>
      <c r="IXT3" s="1"/>
      <c r="IXU3" s="1"/>
      <c r="IXV3" s="1"/>
      <c r="IXW3" s="1"/>
      <c r="IXX3" s="1"/>
      <c r="IXY3" s="1"/>
      <c r="IXZ3" s="1"/>
      <c r="IYA3" s="1"/>
      <c r="IYB3" s="1"/>
      <c r="IYC3" s="1"/>
      <c r="IYD3" s="1"/>
      <c r="IYE3" s="1"/>
      <c r="IYF3" s="1"/>
      <c r="IYG3" s="1"/>
      <c r="IYH3" s="1"/>
      <c r="IYI3" s="1"/>
      <c r="IYJ3" s="1"/>
      <c r="IYK3" s="1"/>
      <c r="IYL3" s="1"/>
      <c r="IYM3" s="1"/>
      <c r="IYN3" s="1"/>
      <c r="IYO3" s="1"/>
      <c r="IYP3" s="1"/>
      <c r="IYQ3" s="1"/>
      <c r="IYR3" s="1"/>
      <c r="IYS3" s="1"/>
      <c r="IYT3" s="1"/>
      <c r="IYU3" s="1"/>
      <c r="IYV3" s="1"/>
      <c r="IYW3" s="1"/>
      <c r="IYX3" s="1"/>
      <c r="IYY3" s="1"/>
      <c r="IYZ3" s="1"/>
      <c r="IZA3" s="1"/>
      <c r="IZB3" s="1"/>
      <c r="IZC3" s="1"/>
      <c r="IZD3" s="1"/>
      <c r="IZE3" s="1"/>
      <c r="IZF3" s="1"/>
      <c r="IZG3" s="1"/>
      <c r="IZH3" s="1"/>
      <c r="IZI3" s="1"/>
      <c r="IZJ3" s="1"/>
      <c r="IZK3" s="1"/>
      <c r="IZL3" s="1"/>
      <c r="IZM3" s="1"/>
      <c r="IZN3" s="1"/>
      <c r="IZO3" s="1"/>
      <c r="IZP3" s="1"/>
      <c r="IZQ3" s="1"/>
      <c r="IZR3" s="1"/>
      <c r="IZS3" s="1"/>
      <c r="IZT3" s="1"/>
      <c r="IZU3" s="1"/>
      <c r="IZV3" s="1"/>
      <c r="IZW3" s="1"/>
      <c r="IZX3" s="1"/>
      <c r="IZY3" s="1"/>
      <c r="IZZ3" s="1"/>
      <c r="JAA3" s="1"/>
      <c r="JAB3" s="1"/>
      <c r="JAC3" s="1"/>
      <c r="JAD3" s="1"/>
      <c r="JAE3" s="1"/>
      <c r="JAF3" s="1"/>
      <c r="JAG3" s="1"/>
      <c r="JAH3" s="1"/>
      <c r="JAI3" s="1"/>
      <c r="JAJ3" s="1"/>
      <c r="JAK3" s="1"/>
      <c r="JAL3" s="1"/>
      <c r="JAM3" s="1"/>
      <c r="JAN3" s="1"/>
      <c r="JAO3" s="1"/>
      <c r="JAP3" s="1"/>
      <c r="JAQ3" s="1"/>
      <c r="JAR3" s="1"/>
      <c r="JAS3" s="1"/>
      <c r="JAT3" s="1"/>
      <c r="JAU3" s="1"/>
      <c r="JAV3" s="1"/>
      <c r="JAW3" s="1"/>
      <c r="JAX3" s="1"/>
      <c r="JAY3" s="1"/>
      <c r="JAZ3" s="1"/>
      <c r="JBA3" s="1"/>
      <c r="JBB3" s="1"/>
      <c r="JBC3" s="1"/>
      <c r="JBD3" s="1"/>
      <c r="JBE3" s="1"/>
      <c r="JBF3" s="1"/>
      <c r="JBG3" s="1"/>
      <c r="JBH3" s="1"/>
      <c r="JBI3" s="1"/>
      <c r="JBJ3" s="1"/>
      <c r="JBK3" s="1"/>
      <c r="JBL3" s="1"/>
      <c r="JBM3" s="1"/>
      <c r="JBN3" s="1"/>
      <c r="JBO3" s="1"/>
      <c r="JBP3" s="1"/>
      <c r="JBQ3" s="1"/>
      <c r="JBR3" s="1"/>
      <c r="JBS3" s="1"/>
      <c r="JBT3" s="1"/>
      <c r="JBU3" s="1"/>
      <c r="JBV3" s="1"/>
      <c r="JBW3" s="1"/>
      <c r="JBX3" s="1"/>
      <c r="JBY3" s="1"/>
      <c r="JBZ3" s="1"/>
      <c r="JCA3" s="1"/>
      <c r="JCB3" s="1"/>
      <c r="JCC3" s="1"/>
      <c r="JCD3" s="1"/>
      <c r="JCE3" s="1"/>
      <c r="JCF3" s="1"/>
      <c r="JCG3" s="1"/>
      <c r="JCH3" s="1"/>
      <c r="JCI3" s="1"/>
      <c r="JCJ3" s="1"/>
      <c r="JCK3" s="1"/>
      <c r="JCL3" s="1"/>
      <c r="JCM3" s="1"/>
      <c r="JCN3" s="1"/>
      <c r="JCO3" s="1"/>
      <c r="JCP3" s="1"/>
      <c r="JCQ3" s="1"/>
      <c r="JCR3" s="1"/>
      <c r="JCS3" s="1"/>
      <c r="JCT3" s="1"/>
      <c r="JCU3" s="1"/>
      <c r="JCV3" s="1"/>
      <c r="JCW3" s="1"/>
      <c r="JCX3" s="1"/>
      <c r="JCY3" s="1"/>
      <c r="JCZ3" s="1"/>
      <c r="JDA3" s="1"/>
      <c r="JDB3" s="1"/>
      <c r="JDC3" s="1"/>
      <c r="JDD3" s="1"/>
      <c r="JDE3" s="1"/>
      <c r="JDF3" s="1"/>
      <c r="JDG3" s="1"/>
      <c r="JDH3" s="1"/>
      <c r="JDI3" s="1"/>
      <c r="JDJ3" s="1"/>
      <c r="JDK3" s="1"/>
      <c r="JDL3" s="1"/>
      <c r="JDM3" s="1"/>
      <c r="JDN3" s="1"/>
      <c r="JDO3" s="1"/>
      <c r="JDP3" s="1"/>
      <c r="JDQ3" s="1"/>
      <c r="JDR3" s="1"/>
      <c r="JDS3" s="1"/>
      <c r="JDT3" s="1"/>
      <c r="JDU3" s="1"/>
      <c r="JDV3" s="1"/>
      <c r="JDW3" s="1"/>
      <c r="JDX3" s="1"/>
      <c r="JDY3" s="1"/>
      <c r="JDZ3" s="1"/>
      <c r="JEA3" s="1"/>
      <c r="JEB3" s="1"/>
      <c r="JEC3" s="1"/>
      <c r="JED3" s="1"/>
      <c r="JEE3" s="1"/>
      <c r="JEF3" s="1"/>
      <c r="JEG3" s="1"/>
      <c r="JEH3" s="1"/>
      <c r="JEI3" s="1"/>
      <c r="JEJ3" s="1"/>
      <c r="JEK3" s="1"/>
      <c r="JEL3" s="1"/>
      <c r="JEM3" s="1"/>
      <c r="JEN3" s="1"/>
      <c r="JEO3" s="1"/>
      <c r="JEP3" s="1"/>
      <c r="JEQ3" s="1"/>
      <c r="JER3" s="1"/>
      <c r="JES3" s="1"/>
      <c r="JET3" s="1"/>
      <c r="JEU3" s="1"/>
      <c r="JEV3" s="1"/>
      <c r="JEW3" s="1"/>
      <c r="JEX3" s="1"/>
      <c r="JEY3" s="1"/>
      <c r="JEZ3" s="1"/>
      <c r="JFA3" s="1"/>
      <c r="JFB3" s="1"/>
      <c r="JFC3" s="1"/>
      <c r="JFD3" s="1"/>
      <c r="JFE3" s="1"/>
      <c r="JFF3" s="1"/>
      <c r="JFG3" s="1"/>
      <c r="JFH3" s="1"/>
      <c r="JFI3" s="1"/>
      <c r="JFJ3" s="1"/>
      <c r="JFK3" s="1"/>
      <c r="JFL3" s="1"/>
      <c r="JFM3" s="1"/>
      <c r="JFN3" s="1"/>
      <c r="JFO3" s="1"/>
      <c r="JFP3" s="1"/>
      <c r="JFQ3" s="1"/>
      <c r="JFR3" s="1"/>
      <c r="JFS3" s="1"/>
      <c r="JFT3" s="1"/>
      <c r="JFU3" s="1"/>
      <c r="JFV3" s="1"/>
      <c r="JFW3" s="1"/>
      <c r="JFX3" s="1"/>
      <c r="JFY3" s="1"/>
      <c r="JFZ3" s="1"/>
      <c r="JGA3" s="1"/>
      <c r="JGB3" s="1"/>
      <c r="JGC3" s="1"/>
      <c r="JGD3" s="1"/>
      <c r="JGE3" s="1"/>
      <c r="JGF3" s="1"/>
      <c r="JGG3" s="1"/>
      <c r="JGH3" s="1"/>
      <c r="JGI3" s="1"/>
      <c r="JGJ3" s="1"/>
      <c r="JGK3" s="1"/>
      <c r="JGL3" s="1"/>
      <c r="JGM3" s="1"/>
      <c r="JGN3" s="1"/>
      <c r="JGO3" s="1"/>
      <c r="JGP3" s="1"/>
      <c r="JGQ3" s="1"/>
      <c r="JGR3" s="1"/>
      <c r="JGS3" s="1"/>
      <c r="JGT3" s="1"/>
      <c r="JGU3" s="1"/>
      <c r="JGV3" s="1"/>
      <c r="JGW3" s="1"/>
      <c r="JGX3" s="1"/>
      <c r="JGY3" s="1"/>
      <c r="JGZ3" s="1"/>
      <c r="JHA3" s="1"/>
      <c r="JHB3" s="1"/>
      <c r="JHC3" s="1"/>
      <c r="JHD3" s="1"/>
      <c r="JHE3" s="1"/>
      <c r="JHF3" s="1"/>
      <c r="JHG3" s="1"/>
      <c r="JHH3" s="1"/>
      <c r="JHI3" s="1"/>
      <c r="JHJ3" s="1"/>
      <c r="JHK3" s="1"/>
      <c r="JHL3" s="1"/>
      <c r="JHM3" s="1"/>
      <c r="JHN3" s="1"/>
      <c r="JHO3" s="1"/>
      <c r="JHP3" s="1"/>
      <c r="JHQ3" s="1"/>
      <c r="JHR3" s="1"/>
      <c r="JHS3" s="1"/>
      <c r="JHT3" s="1"/>
      <c r="JHU3" s="1"/>
      <c r="JHV3" s="1"/>
      <c r="JHW3" s="1"/>
      <c r="JHX3" s="1"/>
      <c r="JHY3" s="1"/>
      <c r="JHZ3" s="1"/>
      <c r="JIA3" s="1"/>
      <c r="JIB3" s="1"/>
      <c r="JIC3" s="1"/>
      <c r="JID3" s="1"/>
      <c r="JIE3" s="1"/>
      <c r="JIF3" s="1"/>
      <c r="JIG3" s="1"/>
      <c r="JIH3" s="1"/>
      <c r="JII3" s="1"/>
      <c r="JIJ3" s="1"/>
      <c r="JIK3" s="1"/>
      <c r="JIL3" s="1"/>
      <c r="JIM3" s="1"/>
      <c r="JIN3" s="1"/>
      <c r="JIO3" s="1"/>
      <c r="JIP3" s="1"/>
      <c r="JIQ3" s="1"/>
      <c r="JIR3" s="1"/>
      <c r="JIS3" s="1"/>
      <c r="JIT3" s="1"/>
      <c r="JIU3" s="1"/>
      <c r="JIV3" s="1"/>
      <c r="JIW3" s="1"/>
      <c r="JIX3" s="1"/>
      <c r="JIY3" s="1"/>
      <c r="JIZ3" s="1"/>
      <c r="JJA3" s="1"/>
      <c r="JJB3" s="1"/>
      <c r="JJC3" s="1"/>
      <c r="JJD3" s="1"/>
      <c r="JJE3" s="1"/>
      <c r="JJF3" s="1"/>
      <c r="JJG3" s="1"/>
      <c r="JJH3" s="1"/>
      <c r="JJI3" s="1"/>
      <c r="JJJ3" s="1"/>
      <c r="JJK3" s="1"/>
      <c r="JJL3" s="1"/>
      <c r="JJM3" s="1"/>
      <c r="JJN3" s="1"/>
      <c r="JJO3" s="1"/>
      <c r="JJP3" s="1"/>
      <c r="JJQ3" s="1"/>
      <c r="JJR3" s="1"/>
      <c r="JJS3" s="1"/>
      <c r="JJT3" s="1"/>
      <c r="JJU3" s="1"/>
      <c r="JJV3" s="1"/>
      <c r="JJW3" s="1"/>
      <c r="JJX3" s="1"/>
      <c r="JJY3" s="1"/>
      <c r="JJZ3" s="1"/>
      <c r="JKA3" s="1"/>
      <c r="JKB3" s="1"/>
      <c r="JKC3" s="1"/>
      <c r="JKD3" s="1"/>
      <c r="JKE3" s="1"/>
      <c r="JKF3" s="1"/>
      <c r="JKG3" s="1"/>
      <c r="JKH3" s="1"/>
      <c r="JKI3" s="1"/>
      <c r="JKJ3" s="1"/>
      <c r="JKK3" s="1"/>
      <c r="JKL3" s="1"/>
      <c r="JKM3" s="1"/>
      <c r="JKN3" s="1"/>
      <c r="JKO3" s="1"/>
      <c r="JKP3" s="1"/>
      <c r="JKQ3" s="1"/>
      <c r="JKR3" s="1"/>
      <c r="JKS3" s="1"/>
      <c r="JKT3" s="1"/>
      <c r="JKU3" s="1"/>
      <c r="JKV3" s="1"/>
      <c r="JKW3" s="1"/>
      <c r="JKX3" s="1"/>
      <c r="JKY3" s="1"/>
      <c r="JKZ3" s="1"/>
      <c r="JLA3" s="1"/>
      <c r="JLB3" s="1"/>
      <c r="JLC3" s="1"/>
      <c r="JLD3" s="1"/>
      <c r="JLE3" s="1"/>
      <c r="JLF3" s="1"/>
      <c r="JLG3" s="1"/>
      <c r="JLH3" s="1"/>
      <c r="JLI3" s="1"/>
      <c r="JLJ3" s="1"/>
      <c r="JLK3" s="1"/>
      <c r="JLL3" s="1"/>
      <c r="JLM3" s="1"/>
      <c r="JLN3" s="1"/>
      <c r="JLO3" s="1"/>
      <c r="JLP3" s="1"/>
      <c r="JLQ3" s="1"/>
      <c r="JLR3" s="1"/>
      <c r="JLS3" s="1"/>
      <c r="JLT3" s="1"/>
      <c r="JLU3" s="1"/>
      <c r="JLV3" s="1"/>
      <c r="JLW3" s="1"/>
      <c r="JLX3" s="1"/>
      <c r="JLY3" s="1"/>
      <c r="JLZ3" s="1"/>
      <c r="JMA3" s="1"/>
      <c r="JMB3" s="1"/>
      <c r="JMC3" s="1"/>
      <c r="JMD3" s="1"/>
      <c r="JME3" s="1"/>
      <c r="JMF3" s="1"/>
      <c r="JMG3" s="1"/>
      <c r="JMH3" s="1"/>
      <c r="JMI3" s="1"/>
      <c r="JMJ3" s="1"/>
      <c r="JMK3" s="1"/>
      <c r="JML3" s="1"/>
      <c r="JMM3" s="1"/>
      <c r="JMN3" s="1"/>
      <c r="JMO3" s="1"/>
      <c r="JMP3" s="1"/>
      <c r="JMQ3" s="1"/>
      <c r="JMR3" s="1"/>
      <c r="JMS3" s="1"/>
      <c r="JMT3" s="1"/>
      <c r="JMU3" s="1"/>
      <c r="JMV3" s="1"/>
      <c r="JMW3" s="1"/>
      <c r="JMX3" s="1"/>
      <c r="JMY3" s="1"/>
      <c r="JMZ3" s="1"/>
      <c r="JNA3" s="1"/>
      <c r="JNB3" s="1"/>
      <c r="JNC3" s="1"/>
      <c r="JND3" s="1"/>
      <c r="JNE3" s="1"/>
      <c r="JNF3" s="1"/>
      <c r="JNG3" s="1"/>
      <c r="JNH3" s="1"/>
      <c r="JNI3" s="1"/>
      <c r="JNJ3" s="1"/>
      <c r="JNK3" s="1"/>
      <c r="JNL3" s="1"/>
      <c r="JNM3" s="1"/>
      <c r="JNN3" s="1"/>
      <c r="JNO3" s="1"/>
      <c r="JNP3" s="1"/>
      <c r="JNQ3" s="1"/>
      <c r="JNR3" s="1"/>
      <c r="JNS3" s="1"/>
      <c r="JNT3" s="1"/>
      <c r="JNU3" s="1"/>
      <c r="JNV3" s="1"/>
      <c r="JNW3" s="1"/>
      <c r="JNX3" s="1"/>
      <c r="JNY3" s="1"/>
      <c r="JNZ3" s="1"/>
      <c r="JOA3" s="1"/>
      <c r="JOB3" s="1"/>
      <c r="JOC3" s="1"/>
      <c r="JOD3" s="1"/>
      <c r="JOE3" s="1"/>
      <c r="JOF3" s="1"/>
      <c r="JOG3" s="1"/>
      <c r="JOH3" s="1"/>
      <c r="JOI3" s="1"/>
      <c r="JOJ3" s="1"/>
      <c r="JOK3" s="1"/>
      <c r="JOL3" s="1"/>
      <c r="JOM3" s="1"/>
      <c r="JON3" s="1"/>
      <c r="JOO3" s="1"/>
      <c r="JOP3" s="1"/>
      <c r="JOQ3" s="1"/>
      <c r="JOR3" s="1"/>
      <c r="JOS3" s="1"/>
      <c r="JOT3" s="1"/>
      <c r="JOU3" s="1"/>
      <c r="JOV3" s="1"/>
      <c r="JOW3" s="1"/>
      <c r="JOX3" s="1"/>
      <c r="JOY3" s="1"/>
      <c r="JOZ3" s="1"/>
      <c r="JPA3" s="1"/>
      <c r="JPB3" s="1"/>
      <c r="JPC3" s="1"/>
      <c r="JPD3" s="1"/>
      <c r="JPE3" s="1"/>
      <c r="JPF3" s="1"/>
      <c r="JPG3" s="1"/>
      <c r="JPH3" s="1"/>
      <c r="JPI3" s="1"/>
      <c r="JPJ3" s="1"/>
      <c r="JPK3" s="1"/>
      <c r="JPL3" s="1"/>
      <c r="JPM3" s="1"/>
      <c r="JPN3" s="1"/>
      <c r="JPO3" s="1"/>
      <c r="JPP3" s="1"/>
      <c r="JPQ3" s="1"/>
      <c r="JPR3" s="1"/>
      <c r="JPS3" s="1"/>
      <c r="JPT3" s="1"/>
      <c r="JPU3" s="1"/>
      <c r="JPV3" s="1"/>
      <c r="JPW3" s="1"/>
      <c r="JPX3" s="1"/>
      <c r="JPY3" s="1"/>
      <c r="JPZ3" s="1"/>
      <c r="JQA3" s="1"/>
      <c r="JQB3" s="1"/>
      <c r="JQC3" s="1"/>
      <c r="JQD3" s="1"/>
      <c r="JQE3" s="1"/>
      <c r="JQF3" s="1"/>
      <c r="JQG3" s="1"/>
      <c r="JQH3" s="1"/>
      <c r="JQI3" s="1"/>
      <c r="JQJ3" s="1"/>
      <c r="JQK3" s="1"/>
      <c r="JQL3" s="1"/>
      <c r="JQM3" s="1"/>
      <c r="JQN3" s="1"/>
      <c r="JQO3" s="1"/>
      <c r="JQP3" s="1"/>
      <c r="JQQ3" s="1"/>
      <c r="JQR3" s="1"/>
      <c r="JQS3" s="1"/>
      <c r="JQT3" s="1"/>
      <c r="JQU3" s="1"/>
      <c r="JQV3" s="1"/>
      <c r="JQW3" s="1"/>
      <c r="JQX3" s="1"/>
      <c r="JQY3" s="1"/>
      <c r="JQZ3" s="1"/>
      <c r="JRA3" s="1"/>
      <c r="JRB3" s="1"/>
      <c r="JRC3" s="1"/>
      <c r="JRD3" s="1"/>
      <c r="JRE3" s="1"/>
      <c r="JRF3" s="1"/>
      <c r="JRG3" s="1"/>
      <c r="JRH3" s="1"/>
      <c r="JRI3" s="1"/>
      <c r="JRJ3" s="1"/>
      <c r="JRK3" s="1"/>
      <c r="JRL3" s="1"/>
      <c r="JRM3" s="1"/>
      <c r="JRN3" s="1"/>
      <c r="JRO3" s="1"/>
      <c r="JRP3" s="1"/>
      <c r="JRQ3" s="1"/>
      <c r="JRR3" s="1"/>
      <c r="JRS3" s="1"/>
      <c r="JRT3" s="1"/>
      <c r="JRU3" s="1"/>
      <c r="JRV3" s="1"/>
      <c r="JRW3" s="1"/>
      <c r="JRX3" s="1"/>
      <c r="JRY3" s="1"/>
      <c r="JRZ3" s="1"/>
      <c r="JSA3" s="1"/>
      <c r="JSB3" s="1"/>
      <c r="JSC3" s="1"/>
      <c r="JSD3" s="1"/>
      <c r="JSE3" s="1"/>
      <c r="JSF3" s="1"/>
      <c r="JSG3" s="1"/>
      <c r="JSH3" s="1"/>
      <c r="JSI3" s="1"/>
      <c r="JSJ3" s="1"/>
      <c r="JSK3" s="1"/>
      <c r="JSL3" s="1"/>
      <c r="JSM3" s="1"/>
      <c r="JSN3" s="1"/>
      <c r="JSO3" s="1"/>
      <c r="JSP3" s="1"/>
      <c r="JSQ3" s="1"/>
      <c r="JSR3" s="1"/>
      <c r="JSS3" s="1"/>
      <c r="JST3" s="1"/>
      <c r="JSU3" s="1"/>
      <c r="JSV3" s="1"/>
      <c r="JSW3" s="1"/>
      <c r="JSX3" s="1"/>
      <c r="JSY3" s="1"/>
      <c r="JSZ3" s="1"/>
      <c r="JTA3" s="1"/>
      <c r="JTB3" s="1"/>
      <c r="JTC3" s="1"/>
      <c r="JTD3" s="1"/>
      <c r="JTE3" s="1"/>
      <c r="JTF3" s="1"/>
      <c r="JTG3" s="1"/>
      <c r="JTH3" s="1"/>
      <c r="JTI3" s="1"/>
      <c r="JTJ3" s="1"/>
      <c r="JTK3" s="1"/>
      <c r="JTL3" s="1"/>
      <c r="JTM3" s="1"/>
      <c r="JTN3" s="1"/>
      <c r="JTO3" s="1"/>
      <c r="JTP3" s="1"/>
      <c r="JTQ3" s="1"/>
      <c r="JTR3" s="1"/>
      <c r="JTS3" s="1"/>
      <c r="JTT3" s="1"/>
      <c r="JTU3" s="1"/>
      <c r="JTV3" s="1"/>
      <c r="JTW3" s="1"/>
      <c r="JTX3" s="1"/>
      <c r="JTY3" s="1"/>
      <c r="JTZ3" s="1"/>
      <c r="JUA3" s="1"/>
      <c r="JUB3" s="1"/>
      <c r="JUC3" s="1"/>
      <c r="JUD3" s="1"/>
      <c r="JUE3" s="1"/>
      <c r="JUF3" s="1"/>
      <c r="JUG3" s="1"/>
      <c r="JUH3" s="1"/>
      <c r="JUI3" s="1"/>
      <c r="JUJ3" s="1"/>
      <c r="JUK3" s="1"/>
      <c r="JUL3" s="1"/>
      <c r="JUM3" s="1"/>
      <c r="JUN3" s="1"/>
      <c r="JUO3" s="1"/>
      <c r="JUP3" s="1"/>
      <c r="JUQ3" s="1"/>
      <c r="JUR3" s="1"/>
      <c r="JUS3" s="1"/>
      <c r="JUT3" s="1"/>
      <c r="JUU3" s="1"/>
      <c r="JUV3" s="1"/>
      <c r="JUW3" s="1"/>
      <c r="JUX3" s="1"/>
      <c r="JUY3" s="1"/>
      <c r="JUZ3" s="1"/>
      <c r="JVA3" s="1"/>
      <c r="JVB3" s="1"/>
      <c r="JVC3" s="1"/>
      <c r="JVD3" s="1"/>
      <c r="JVE3" s="1"/>
      <c r="JVF3" s="1"/>
      <c r="JVG3" s="1"/>
      <c r="JVH3" s="1"/>
      <c r="JVI3" s="1"/>
      <c r="JVJ3" s="1"/>
      <c r="JVK3" s="1"/>
      <c r="JVL3" s="1"/>
      <c r="JVM3" s="1"/>
      <c r="JVN3" s="1"/>
      <c r="JVO3" s="1"/>
      <c r="JVP3" s="1"/>
      <c r="JVQ3" s="1"/>
      <c r="JVR3" s="1"/>
      <c r="JVS3" s="1"/>
      <c r="JVT3" s="1"/>
      <c r="JVU3" s="1"/>
      <c r="JVV3" s="1"/>
      <c r="JVW3" s="1"/>
      <c r="JVX3" s="1"/>
      <c r="JVY3" s="1"/>
      <c r="JVZ3" s="1"/>
      <c r="JWA3" s="1"/>
      <c r="JWB3" s="1"/>
      <c r="JWC3" s="1"/>
      <c r="JWD3" s="1"/>
      <c r="JWE3" s="1"/>
      <c r="JWF3" s="1"/>
      <c r="JWG3" s="1"/>
      <c r="JWH3" s="1"/>
      <c r="JWI3" s="1"/>
      <c r="JWJ3" s="1"/>
      <c r="JWK3" s="1"/>
      <c r="JWL3" s="1"/>
      <c r="JWM3" s="1"/>
      <c r="JWN3" s="1"/>
      <c r="JWO3" s="1"/>
      <c r="JWP3" s="1"/>
      <c r="JWQ3" s="1"/>
      <c r="JWR3" s="1"/>
      <c r="JWS3" s="1"/>
      <c r="JWT3" s="1"/>
      <c r="JWU3" s="1"/>
      <c r="JWV3" s="1"/>
      <c r="JWW3" s="1"/>
      <c r="JWX3" s="1"/>
      <c r="JWY3" s="1"/>
      <c r="JWZ3" s="1"/>
      <c r="JXA3" s="1"/>
      <c r="JXB3" s="1"/>
      <c r="JXC3" s="1"/>
      <c r="JXD3" s="1"/>
      <c r="JXE3" s="1"/>
      <c r="JXF3" s="1"/>
      <c r="JXG3" s="1"/>
      <c r="JXH3" s="1"/>
      <c r="JXI3" s="1"/>
      <c r="JXJ3" s="1"/>
      <c r="JXK3" s="1"/>
      <c r="JXL3" s="1"/>
      <c r="JXM3" s="1"/>
      <c r="JXN3" s="1"/>
      <c r="JXO3" s="1"/>
      <c r="JXP3" s="1"/>
      <c r="JXQ3" s="1"/>
      <c r="JXR3" s="1"/>
      <c r="JXS3" s="1"/>
      <c r="JXT3" s="1"/>
      <c r="JXU3" s="1"/>
      <c r="JXV3" s="1"/>
      <c r="JXW3" s="1"/>
      <c r="JXX3" s="1"/>
      <c r="JXY3" s="1"/>
      <c r="JXZ3" s="1"/>
      <c r="JYA3" s="1"/>
      <c r="JYB3" s="1"/>
      <c r="JYC3" s="1"/>
      <c r="JYD3" s="1"/>
      <c r="JYE3" s="1"/>
      <c r="JYF3" s="1"/>
      <c r="JYG3" s="1"/>
      <c r="JYH3" s="1"/>
      <c r="JYI3" s="1"/>
      <c r="JYJ3" s="1"/>
      <c r="JYK3" s="1"/>
      <c r="JYL3" s="1"/>
      <c r="JYM3" s="1"/>
      <c r="JYN3" s="1"/>
      <c r="JYO3" s="1"/>
      <c r="JYP3" s="1"/>
      <c r="JYQ3" s="1"/>
      <c r="JYR3" s="1"/>
      <c r="JYS3" s="1"/>
      <c r="JYT3" s="1"/>
      <c r="JYU3" s="1"/>
      <c r="JYV3" s="1"/>
      <c r="JYW3" s="1"/>
      <c r="JYX3" s="1"/>
      <c r="JYY3" s="1"/>
      <c r="JYZ3" s="1"/>
      <c r="JZA3" s="1"/>
      <c r="JZB3" s="1"/>
      <c r="JZC3" s="1"/>
      <c r="JZD3" s="1"/>
      <c r="JZE3" s="1"/>
      <c r="JZF3" s="1"/>
      <c r="JZG3" s="1"/>
      <c r="JZH3" s="1"/>
      <c r="JZI3" s="1"/>
      <c r="JZJ3" s="1"/>
      <c r="JZK3" s="1"/>
      <c r="JZL3" s="1"/>
      <c r="JZM3" s="1"/>
      <c r="JZN3" s="1"/>
      <c r="JZO3" s="1"/>
      <c r="JZP3" s="1"/>
      <c r="JZQ3" s="1"/>
      <c r="JZR3" s="1"/>
      <c r="JZS3" s="1"/>
      <c r="JZT3" s="1"/>
      <c r="JZU3" s="1"/>
      <c r="JZV3" s="1"/>
      <c r="JZW3" s="1"/>
      <c r="JZX3" s="1"/>
      <c r="JZY3" s="1"/>
      <c r="JZZ3" s="1"/>
      <c r="KAA3" s="1"/>
      <c r="KAB3" s="1"/>
      <c r="KAC3" s="1"/>
      <c r="KAD3" s="1"/>
      <c r="KAE3" s="1"/>
      <c r="KAF3" s="1"/>
      <c r="KAG3" s="1"/>
      <c r="KAH3" s="1"/>
      <c r="KAI3" s="1"/>
      <c r="KAJ3" s="1"/>
      <c r="KAK3" s="1"/>
      <c r="KAL3" s="1"/>
      <c r="KAM3" s="1"/>
      <c r="KAN3" s="1"/>
      <c r="KAO3" s="1"/>
      <c r="KAP3" s="1"/>
      <c r="KAQ3" s="1"/>
      <c r="KAR3" s="1"/>
      <c r="KAS3" s="1"/>
      <c r="KAT3" s="1"/>
      <c r="KAU3" s="1"/>
      <c r="KAV3" s="1"/>
      <c r="KAW3" s="1"/>
      <c r="KAX3" s="1"/>
      <c r="KAY3" s="1"/>
      <c r="KAZ3" s="1"/>
      <c r="KBA3" s="1"/>
      <c r="KBB3" s="1"/>
      <c r="KBC3" s="1"/>
      <c r="KBD3" s="1"/>
      <c r="KBE3" s="1"/>
      <c r="KBF3" s="1"/>
      <c r="KBG3" s="1"/>
      <c r="KBH3" s="1"/>
      <c r="KBI3" s="1"/>
      <c r="KBJ3" s="1"/>
      <c r="KBK3" s="1"/>
      <c r="KBL3" s="1"/>
      <c r="KBM3" s="1"/>
      <c r="KBN3" s="1"/>
      <c r="KBO3" s="1"/>
      <c r="KBP3" s="1"/>
      <c r="KBQ3" s="1"/>
      <c r="KBR3" s="1"/>
      <c r="KBS3" s="1"/>
      <c r="KBT3" s="1"/>
      <c r="KBU3" s="1"/>
      <c r="KBV3" s="1"/>
      <c r="KBW3" s="1"/>
      <c r="KBX3" s="1"/>
      <c r="KBY3" s="1"/>
      <c r="KBZ3" s="1"/>
      <c r="KCA3" s="1"/>
      <c r="KCB3" s="1"/>
      <c r="KCC3" s="1"/>
      <c r="KCD3" s="1"/>
      <c r="KCE3" s="1"/>
      <c r="KCF3" s="1"/>
      <c r="KCG3" s="1"/>
      <c r="KCH3" s="1"/>
      <c r="KCI3" s="1"/>
      <c r="KCJ3" s="1"/>
      <c r="KCK3" s="1"/>
      <c r="KCL3" s="1"/>
      <c r="KCM3" s="1"/>
      <c r="KCN3" s="1"/>
      <c r="KCO3" s="1"/>
      <c r="KCP3" s="1"/>
      <c r="KCQ3" s="1"/>
      <c r="KCR3" s="1"/>
      <c r="KCS3" s="1"/>
      <c r="KCT3" s="1"/>
      <c r="KCU3" s="1"/>
      <c r="KCV3" s="1"/>
      <c r="KCW3" s="1"/>
      <c r="KCX3" s="1"/>
      <c r="KCY3" s="1"/>
      <c r="KCZ3" s="1"/>
      <c r="KDA3" s="1"/>
      <c r="KDB3" s="1"/>
      <c r="KDC3" s="1"/>
      <c r="KDD3" s="1"/>
      <c r="KDE3" s="1"/>
      <c r="KDF3" s="1"/>
      <c r="KDG3" s="1"/>
      <c r="KDH3" s="1"/>
      <c r="KDI3" s="1"/>
      <c r="KDJ3" s="1"/>
      <c r="KDK3" s="1"/>
      <c r="KDL3" s="1"/>
      <c r="KDM3" s="1"/>
      <c r="KDN3" s="1"/>
      <c r="KDO3" s="1"/>
      <c r="KDP3" s="1"/>
      <c r="KDQ3" s="1"/>
      <c r="KDR3" s="1"/>
      <c r="KDS3" s="1"/>
      <c r="KDT3" s="1"/>
      <c r="KDU3" s="1"/>
      <c r="KDV3" s="1"/>
      <c r="KDW3" s="1"/>
      <c r="KDX3" s="1"/>
      <c r="KDY3" s="1"/>
      <c r="KDZ3" s="1"/>
      <c r="KEA3" s="1"/>
      <c r="KEB3" s="1"/>
      <c r="KEC3" s="1"/>
      <c r="KED3" s="1"/>
      <c r="KEE3" s="1"/>
      <c r="KEF3" s="1"/>
      <c r="KEG3" s="1"/>
      <c r="KEH3" s="1"/>
      <c r="KEI3" s="1"/>
      <c r="KEJ3" s="1"/>
      <c r="KEK3" s="1"/>
      <c r="KEL3" s="1"/>
      <c r="KEM3" s="1"/>
      <c r="KEN3" s="1"/>
      <c r="KEO3" s="1"/>
      <c r="KEP3" s="1"/>
      <c r="KEQ3" s="1"/>
      <c r="KER3" s="1"/>
      <c r="KES3" s="1"/>
      <c r="KET3" s="1"/>
      <c r="KEU3" s="1"/>
      <c r="KEV3" s="1"/>
      <c r="KEW3" s="1"/>
      <c r="KEX3" s="1"/>
      <c r="KEY3" s="1"/>
      <c r="KEZ3" s="1"/>
      <c r="KFA3" s="1"/>
      <c r="KFB3" s="1"/>
      <c r="KFC3" s="1"/>
      <c r="KFD3" s="1"/>
      <c r="KFE3" s="1"/>
      <c r="KFF3" s="1"/>
      <c r="KFG3" s="1"/>
      <c r="KFH3" s="1"/>
      <c r="KFI3" s="1"/>
      <c r="KFJ3" s="1"/>
      <c r="KFK3" s="1"/>
      <c r="KFL3" s="1"/>
      <c r="KFM3" s="1"/>
      <c r="KFN3" s="1"/>
      <c r="KFO3" s="1"/>
      <c r="KFP3" s="1"/>
      <c r="KFQ3" s="1"/>
      <c r="KFR3" s="1"/>
      <c r="KFS3" s="1"/>
      <c r="KFT3" s="1"/>
      <c r="KFU3" s="1"/>
      <c r="KFV3" s="1"/>
      <c r="KFW3" s="1"/>
      <c r="KFX3" s="1"/>
      <c r="KFY3" s="1"/>
      <c r="KFZ3" s="1"/>
      <c r="KGA3" s="1"/>
      <c r="KGB3" s="1"/>
      <c r="KGC3" s="1"/>
      <c r="KGD3" s="1"/>
      <c r="KGE3" s="1"/>
      <c r="KGF3" s="1"/>
      <c r="KGG3" s="1"/>
      <c r="KGH3" s="1"/>
      <c r="KGI3" s="1"/>
      <c r="KGJ3" s="1"/>
      <c r="KGK3" s="1"/>
      <c r="KGL3" s="1"/>
      <c r="KGM3" s="1"/>
      <c r="KGN3" s="1"/>
      <c r="KGO3" s="1"/>
      <c r="KGP3" s="1"/>
      <c r="KGQ3" s="1"/>
      <c r="KGR3" s="1"/>
      <c r="KGS3" s="1"/>
      <c r="KGT3" s="1"/>
      <c r="KGU3" s="1"/>
      <c r="KGV3" s="1"/>
      <c r="KGW3" s="1"/>
      <c r="KGX3" s="1"/>
      <c r="KGY3" s="1"/>
      <c r="KGZ3" s="1"/>
      <c r="KHA3" s="1"/>
      <c r="KHB3" s="1"/>
      <c r="KHC3" s="1"/>
      <c r="KHD3" s="1"/>
      <c r="KHE3" s="1"/>
      <c r="KHF3" s="1"/>
      <c r="KHG3" s="1"/>
      <c r="KHH3" s="1"/>
      <c r="KHI3" s="1"/>
      <c r="KHJ3" s="1"/>
      <c r="KHK3" s="1"/>
      <c r="KHL3" s="1"/>
      <c r="KHM3" s="1"/>
      <c r="KHN3" s="1"/>
      <c r="KHO3" s="1"/>
      <c r="KHP3" s="1"/>
      <c r="KHQ3" s="1"/>
      <c r="KHR3" s="1"/>
      <c r="KHS3" s="1"/>
      <c r="KHT3" s="1"/>
      <c r="KHU3" s="1"/>
      <c r="KHV3" s="1"/>
      <c r="KHW3" s="1"/>
      <c r="KHX3" s="1"/>
      <c r="KHY3" s="1"/>
      <c r="KHZ3" s="1"/>
      <c r="KIA3" s="1"/>
      <c r="KIB3" s="1"/>
      <c r="KIC3" s="1"/>
      <c r="KID3" s="1"/>
      <c r="KIE3" s="1"/>
      <c r="KIF3" s="1"/>
      <c r="KIG3" s="1"/>
      <c r="KIH3" s="1"/>
      <c r="KII3" s="1"/>
      <c r="KIJ3" s="1"/>
      <c r="KIK3" s="1"/>
      <c r="KIL3" s="1"/>
      <c r="KIM3" s="1"/>
      <c r="KIN3" s="1"/>
      <c r="KIO3" s="1"/>
      <c r="KIP3" s="1"/>
      <c r="KIQ3" s="1"/>
      <c r="KIR3" s="1"/>
      <c r="KIS3" s="1"/>
      <c r="KIT3" s="1"/>
      <c r="KIU3" s="1"/>
      <c r="KIV3" s="1"/>
      <c r="KIW3" s="1"/>
      <c r="KIX3" s="1"/>
      <c r="KIY3" s="1"/>
      <c r="KIZ3" s="1"/>
      <c r="KJA3" s="1"/>
      <c r="KJB3" s="1"/>
      <c r="KJC3" s="1"/>
      <c r="KJD3" s="1"/>
      <c r="KJE3" s="1"/>
      <c r="KJF3" s="1"/>
      <c r="KJG3" s="1"/>
      <c r="KJH3" s="1"/>
      <c r="KJI3" s="1"/>
      <c r="KJJ3" s="1"/>
      <c r="KJK3" s="1"/>
      <c r="KJL3" s="1"/>
      <c r="KJM3" s="1"/>
      <c r="KJN3" s="1"/>
      <c r="KJO3" s="1"/>
      <c r="KJP3" s="1"/>
      <c r="KJQ3" s="1"/>
      <c r="KJR3" s="1"/>
      <c r="KJS3" s="1"/>
      <c r="KJT3" s="1"/>
      <c r="KJU3" s="1"/>
      <c r="KJV3" s="1"/>
      <c r="KJW3" s="1"/>
      <c r="KJX3" s="1"/>
      <c r="KJY3" s="1"/>
      <c r="KJZ3" s="1"/>
      <c r="KKA3" s="1"/>
      <c r="KKB3" s="1"/>
      <c r="KKC3" s="1"/>
      <c r="KKD3" s="1"/>
      <c r="KKE3" s="1"/>
      <c r="KKF3" s="1"/>
      <c r="KKG3" s="1"/>
      <c r="KKH3" s="1"/>
      <c r="KKI3" s="1"/>
      <c r="KKJ3" s="1"/>
      <c r="KKK3" s="1"/>
      <c r="KKL3" s="1"/>
      <c r="KKM3" s="1"/>
      <c r="KKN3" s="1"/>
      <c r="KKO3" s="1"/>
      <c r="KKP3" s="1"/>
      <c r="KKQ3" s="1"/>
      <c r="KKR3" s="1"/>
      <c r="KKS3" s="1"/>
      <c r="KKT3" s="1"/>
      <c r="KKU3" s="1"/>
      <c r="KKV3" s="1"/>
      <c r="KKW3" s="1"/>
      <c r="KKX3" s="1"/>
      <c r="KKY3" s="1"/>
      <c r="KKZ3" s="1"/>
      <c r="KLA3" s="1"/>
      <c r="KLB3" s="1"/>
      <c r="KLC3" s="1"/>
      <c r="KLD3" s="1"/>
      <c r="KLE3" s="1"/>
      <c r="KLF3" s="1"/>
      <c r="KLG3" s="1"/>
      <c r="KLH3" s="1"/>
      <c r="KLI3" s="1"/>
      <c r="KLJ3" s="1"/>
      <c r="KLK3" s="1"/>
      <c r="KLL3" s="1"/>
      <c r="KLM3" s="1"/>
      <c r="KLN3" s="1"/>
      <c r="KLO3" s="1"/>
      <c r="KLP3" s="1"/>
      <c r="KLQ3" s="1"/>
      <c r="KLR3" s="1"/>
      <c r="KLS3" s="1"/>
      <c r="KLT3" s="1"/>
      <c r="KLU3" s="1"/>
      <c r="KLV3" s="1"/>
      <c r="KLW3" s="1"/>
      <c r="KLX3" s="1"/>
      <c r="KLY3" s="1"/>
      <c r="KLZ3" s="1"/>
      <c r="KMA3" s="1"/>
      <c r="KMB3" s="1"/>
      <c r="KMC3" s="1"/>
      <c r="KMD3" s="1"/>
      <c r="KME3" s="1"/>
      <c r="KMF3" s="1"/>
      <c r="KMG3" s="1"/>
      <c r="KMH3" s="1"/>
      <c r="KMI3" s="1"/>
      <c r="KMJ3" s="1"/>
      <c r="KMK3" s="1"/>
      <c r="KML3" s="1"/>
      <c r="KMM3" s="1"/>
      <c r="KMN3" s="1"/>
      <c r="KMO3" s="1"/>
      <c r="KMP3" s="1"/>
      <c r="KMQ3" s="1"/>
      <c r="KMR3" s="1"/>
      <c r="KMS3" s="1"/>
      <c r="KMT3" s="1"/>
      <c r="KMU3" s="1"/>
      <c r="KMV3" s="1"/>
      <c r="KMW3" s="1"/>
      <c r="KMX3" s="1"/>
      <c r="KMY3" s="1"/>
      <c r="KMZ3" s="1"/>
      <c r="KNA3" s="1"/>
      <c r="KNB3" s="1"/>
      <c r="KNC3" s="1"/>
      <c r="KND3" s="1"/>
      <c r="KNE3" s="1"/>
      <c r="KNF3" s="1"/>
      <c r="KNG3" s="1"/>
      <c r="KNH3" s="1"/>
      <c r="KNI3" s="1"/>
      <c r="KNJ3" s="1"/>
      <c r="KNK3" s="1"/>
      <c r="KNL3" s="1"/>
      <c r="KNM3" s="1"/>
      <c r="KNN3" s="1"/>
      <c r="KNO3" s="1"/>
      <c r="KNP3" s="1"/>
      <c r="KNQ3" s="1"/>
      <c r="KNR3" s="1"/>
      <c r="KNS3" s="1"/>
      <c r="KNT3" s="1"/>
      <c r="KNU3" s="1"/>
      <c r="KNV3" s="1"/>
      <c r="KNW3" s="1"/>
      <c r="KNX3" s="1"/>
      <c r="KNY3" s="1"/>
      <c r="KNZ3" s="1"/>
      <c r="KOA3" s="1"/>
      <c r="KOB3" s="1"/>
      <c r="KOC3" s="1"/>
      <c r="KOD3" s="1"/>
      <c r="KOE3" s="1"/>
      <c r="KOF3" s="1"/>
      <c r="KOG3" s="1"/>
      <c r="KOH3" s="1"/>
      <c r="KOI3" s="1"/>
      <c r="KOJ3" s="1"/>
      <c r="KOK3" s="1"/>
      <c r="KOL3" s="1"/>
      <c r="KOM3" s="1"/>
      <c r="KON3" s="1"/>
      <c r="KOO3" s="1"/>
      <c r="KOP3" s="1"/>
      <c r="KOQ3" s="1"/>
      <c r="KOR3" s="1"/>
      <c r="KOS3" s="1"/>
      <c r="KOT3" s="1"/>
      <c r="KOU3" s="1"/>
      <c r="KOV3" s="1"/>
      <c r="KOW3" s="1"/>
      <c r="KOX3" s="1"/>
      <c r="KOY3" s="1"/>
      <c r="KOZ3" s="1"/>
      <c r="KPA3" s="1"/>
      <c r="KPB3" s="1"/>
      <c r="KPC3" s="1"/>
      <c r="KPD3" s="1"/>
      <c r="KPE3" s="1"/>
      <c r="KPF3" s="1"/>
      <c r="KPG3" s="1"/>
      <c r="KPH3" s="1"/>
      <c r="KPI3" s="1"/>
      <c r="KPJ3" s="1"/>
      <c r="KPK3" s="1"/>
      <c r="KPL3" s="1"/>
      <c r="KPM3" s="1"/>
      <c r="KPN3" s="1"/>
      <c r="KPO3" s="1"/>
      <c r="KPP3" s="1"/>
      <c r="KPQ3" s="1"/>
      <c r="KPR3" s="1"/>
      <c r="KPS3" s="1"/>
      <c r="KPT3" s="1"/>
      <c r="KPU3" s="1"/>
      <c r="KPV3" s="1"/>
      <c r="KPW3" s="1"/>
      <c r="KPX3" s="1"/>
      <c r="KPY3" s="1"/>
      <c r="KPZ3" s="1"/>
      <c r="KQA3" s="1"/>
      <c r="KQB3" s="1"/>
      <c r="KQC3" s="1"/>
      <c r="KQD3" s="1"/>
      <c r="KQE3" s="1"/>
      <c r="KQF3" s="1"/>
      <c r="KQG3" s="1"/>
      <c r="KQH3" s="1"/>
      <c r="KQI3" s="1"/>
      <c r="KQJ3" s="1"/>
      <c r="KQK3" s="1"/>
      <c r="KQL3" s="1"/>
      <c r="KQM3" s="1"/>
      <c r="KQN3" s="1"/>
      <c r="KQO3" s="1"/>
      <c r="KQP3" s="1"/>
      <c r="KQQ3" s="1"/>
      <c r="KQR3" s="1"/>
      <c r="KQS3" s="1"/>
      <c r="KQT3" s="1"/>
      <c r="KQU3" s="1"/>
      <c r="KQV3" s="1"/>
      <c r="KQW3" s="1"/>
      <c r="KQX3" s="1"/>
      <c r="KQY3" s="1"/>
      <c r="KQZ3" s="1"/>
      <c r="KRA3" s="1"/>
      <c r="KRB3" s="1"/>
      <c r="KRC3" s="1"/>
      <c r="KRD3" s="1"/>
      <c r="KRE3" s="1"/>
      <c r="KRF3" s="1"/>
      <c r="KRG3" s="1"/>
      <c r="KRH3" s="1"/>
      <c r="KRI3" s="1"/>
      <c r="KRJ3" s="1"/>
      <c r="KRK3" s="1"/>
      <c r="KRL3" s="1"/>
      <c r="KRM3" s="1"/>
      <c r="KRN3" s="1"/>
      <c r="KRO3" s="1"/>
      <c r="KRP3" s="1"/>
      <c r="KRQ3" s="1"/>
      <c r="KRR3" s="1"/>
      <c r="KRS3" s="1"/>
      <c r="KRT3" s="1"/>
      <c r="KRU3" s="1"/>
      <c r="KRV3" s="1"/>
      <c r="KRW3" s="1"/>
      <c r="KRX3" s="1"/>
      <c r="KRY3" s="1"/>
      <c r="KRZ3" s="1"/>
      <c r="KSA3" s="1"/>
      <c r="KSB3" s="1"/>
      <c r="KSC3" s="1"/>
      <c r="KSD3" s="1"/>
      <c r="KSE3" s="1"/>
      <c r="KSF3" s="1"/>
      <c r="KSG3" s="1"/>
      <c r="KSH3" s="1"/>
      <c r="KSI3" s="1"/>
      <c r="KSJ3" s="1"/>
      <c r="KSK3" s="1"/>
      <c r="KSL3" s="1"/>
      <c r="KSM3" s="1"/>
      <c r="KSN3" s="1"/>
      <c r="KSO3" s="1"/>
      <c r="KSP3" s="1"/>
      <c r="KSQ3" s="1"/>
      <c r="KSR3" s="1"/>
      <c r="KSS3" s="1"/>
      <c r="KST3" s="1"/>
      <c r="KSU3" s="1"/>
      <c r="KSV3" s="1"/>
      <c r="KSW3" s="1"/>
      <c r="KSX3" s="1"/>
      <c r="KSY3" s="1"/>
      <c r="KSZ3" s="1"/>
      <c r="KTA3" s="1"/>
      <c r="KTB3" s="1"/>
      <c r="KTC3" s="1"/>
      <c r="KTD3" s="1"/>
      <c r="KTE3" s="1"/>
      <c r="KTF3" s="1"/>
      <c r="KTG3" s="1"/>
      <c r="KTH3" s="1"/>
      <c r="KTI3" s="1"/>
      <c r="KTJ3" s="1"/>
      <c r="KTK3" s="1"/>
      <c r="KTL3" s="1"/>
      <c r="KTM3" s="1"/>
      <c r="KTN3" s="1"/>
      <c r="KTO3" s="1"/>
      <c r="KTP3" s="1"/>
      <c r="KTQ3" s="1"/>
      <c r="KTR3" s="1"/>
      <c r="KTS3" s="1"/>
      <c r="KTT3" s="1"/>
      <c r="KTU3" s="1"/>
      <c r="KTV3" s="1"/>
      <c r="KTW3" s="1"/>
      <c r="KTX3" s="1"/>
      <c r="KTY3" s="1"/>
      <c r="KTZ3" s="1"/>
      <c r="KUA3" s="1"/>
      <c r="KUB3" s="1"/>
      <c r="KUC3" s="1"/>
      <c r="KUD3" s="1"/>
      <c r="KUE3" s="1"/>
      <c r="KUF3" s="1"/>
      <c r="KUG3" s="1"/>
      <c r="KUH3" s="1"/>
      <c r="KUI3" s="1"/>
      <c r="KUJ3" s="1"/>
      <c r="KUK3" s="1"/>
      <c r="KUL3" s="1"/>
      <c r="KUM3" s="1"/>
      <c r="KUN3" s="1"/>
      <c r="KUO3" s="1"/>
      <c r="KUP3" s="1"/>
      <c r="KUQ3" s="1"/>
      <c r="KUR3" s="1"/>
      <c r="KUS3" s="1"/>
      <c r="KUT3" s="1"/>
      <c r="KUU3" s="1"/>
      <c r="KUV3" s="1"/>
      <c r="KUW3" s="1"/>
      <c r="KUX3" s="1"/>
      <c r="KUY3" s="1"/>
      <c r="KUZ3" s="1"/>
      <c r="KVA3" s="1"/>
      <c r="KVB3" s="1"/>
      <c r="KVC3" s="1"/>
      <c r="KVD3" s="1"/>
      <c r="KVE3" s="1"/>
      <c r="KVF3" s="1"/>
      <c r="KVG3" s="1"/>
      <c r="KVH3" s="1"/>
      <c r="KVI3" s="1"/>
      <c r="KVJ3" s="1"/>
      <c r="KVK3" s="1"/>
      <c r="KVL3" s="1"/>
      <c r="KVM3" s="1"/>
      <c r="KVN3" s="1"/>
      <c r="KVO3" s="1"/>
      <c r="KVP3" s="1"/>
      <c r="KVQ3" s="1"/>
      <c r="KVR3" s="1"/>
      <c r="KVS3" s="1"/>
      <c r="KVT3" s="1"/>
      <c r="KVU3" s="1"/>
      <c r="KVV3" s="1"/>
      <c r="KVW3" s="1"/>
      <c r="KVX3" s="1"/>
      <c r="KVY3" s="1"/>
      <c r="KVZ3" s="1"/>
      <c r="KWA3" s="1"/>
      <c r="KWB3" s="1"/>
      <c r="KWC3" s="1"/>
      <c r="KWD3" s="1"/>
      <c r="KWE3" s="1"/>
      <c r="KWF3" s="1"/>
      <c r="KWG3" s="1"/>
      <c r="KWH3" s="1"/>
      <c r="KWI3" s="1"/>
      <c r="KWJ3" s="1"/>
      <c r="KWK3" s="1"/>
      <c r="KWL3" s="1"/>
      <c r="KWM3" s="1"/>
      <c r="KWN3" s="1"/>
      <c r="KWO3" s="1"/>
      <c r="KWP3" s="1"/>
      <c r="KWQ3" s="1"/>
      <c r="KWR3" s="1"/>
      <c r="KWS3" s="1"/>
      <c r="KWT3" s="1"/>
      <c r="KWU3" s="1"/>
      <c r="KWV3" s="1"/>
      <c r="KWW3" s="1"/>
      <c r="KWX3" s="1"/>
      <c r="KWY3" s="1"/>
      <c r="KWZ3" s="1"/>
      <c r="KXA3" s="1"/>
      <c r="KXB3" s="1"/>
      <c r="KXC3" s="1"/>
      <c r="KXD3" s="1"/>
      <c r="KXE3" s="1"/>
      <c r="KXF3" s="1"/>
      <c r="KXG3" s="1"/>
      <c r="KXH3" s="1"/>
      <c r="KXI3" s="1"/>
      <c r="KXJ3" s="1"/>
      <c r="KXK3" s="1"/>
      <c r="KXL3" s="1"/>
      <c r="KXM3" s="1"/>
      <c r="KXN3" s="1"/>
      <c r="KXO3" s="1"/>
      <c r="KXP3" s="1"/>
      <c r="KXQ3" s="1"/>
      <c r="KXR3" s="1"/>
      <c r="KXS3" s="1"/>
      <c r="KXT3" s="1"/>
      <c r="KXU3" s="1"/>
      <c r="KXV3" s="1"/>
      <c r="KXW3" s="1"/>
      <c r="KXX3" s="1"/>
      <c r="KXY3" s="1"/>
      <c r="KXZ3" s="1"/>
      <c r="KYA3" s="1"/>
      <c r="KYB3" s="1"/>
      <c r="KYC3" s="1"/>
      <c r="KYD3" s="1"/>
      <c r="KYE3" s="1"/>
      <c r="KYF3" s="1"/>
      <c r="KYG3" s="1"/>
      <c r="KYH3" s="1"/>
      <c r="KYI3" s="1"/>
      <c r="KYJ3" s="1"/>
      <c r="KYK3" s="1"/>
      <c r="KYL3" s="1"/>
      <c r="KYM3" s="1"/>
      <c r="KYN3" s="1"/>
      <c r="KYO3" s="1"/>
      <c r="KYP3" s="1"/>
      <c r="KYQ3" s="1"/>
      <c r="KYR3" s="1"/>
      <c r="KYS3" s="1"/>
      <c r="KYT3" s="1"/>
      <c r="KYU3" s="1"/>
      <c r="KYV3" s="1"/>
      <c r="KYW3" s="1"/>
      <c r="KYX3" s="1"/>
      <c r="KYY3" s="1"/>
      <c r="KYZ3" s="1"/>
      <c r="KZA3" s="1"/>
      <c r="KZB3" s="1"/>
      <c r="KZC3" s="1"/>
      <c r="KZD3" s="1"/>
      <c r="KZE3" s="1"/>
      <c r="KZF3" s="1"/>
      <c r="KZG3" s="1"/>
      <c r="KZH3" s="1"/>
      <c r="KZI3" s="1"/>
      <c r="KZJ3" s="1"/>
      <c r="KZK3" s="1"/>
      <c r="KZL3" s="1"/>
      <c r="KZM3" s="1"/>
      <c r="KZN3" s="1"/>
      <c r="KZO3" s="1"/>
      <c r="KZP3" s="1"/>
      <c r="KZQ3" s="1"/>
      <c r="KZR3" s="1"/>
      <c r="KZS3" s="1"/>
      <c r="KZT3" s="1"/>
      <c r="KZU3" s="1"/>
      <c r="KZV3" s="1"/>
      <c r="KZW3" s="1"/>
      <c r="KZX3" s="1"/>
      <c r="KZY3" s="1"/>
      <c r="KZZ3" s="1"/>
      <c r="LAA3" s="1"/>
      <c r="LAB3" s="1"/>
      <c r="LAC3" s="1"/>
      <c r="LAD3" s="1"/>
      <c r="LAE3" s="1"/>
      <c r="LAF3" s="1"/>
      <c r="LAG3" s="1"/>
      <c r="LAH3" s="1"/>
      <c r="LAI3" s="1"/>
      <c r="LAJ3" s="1"/>
      <c r="LAK3" s="1"/>
      <c r="LAL3" s="1"/>
      <c r="LAM3" s="1"/>
      <c r="LAN3" s="1"/>
      <c r="LAO3" s="1"/>
      <c r="LAP3" s="1"/>
      <c r="LAQ3" s="1"/>
      <c r="LAR3" s="1"/>
      <c r="LAS3" s="1"/>
      <c r="LAT3" s="1"/>
      <c r="LAU3" s="1"/>
      <c r="LAV3" s="1"/>
      <c r="LAW3" s="1"/>
      <c r="LAX3" s="1"/>
      <c r="LAY3" s="1"/>
      <c r="LAZ3" s="1"/>
      <c r="LBA3" s="1"/>
      <c r="LBB3" s="1"/>
      <c r="LBC3" s="1"/>
      <c r="LBD3" s="1"/>
      <c r="LBE3" s="1"/>
      <c r="LBF3" s="1"/>
      <c r="LBG3" s="1"/>
      <c r="LBH3" s="1"/>
      <c r="LBI3" s="1"/>
      <c r="LBJ3" s="1"/>
      <c r="LBK3" s="1"/>
      <c r="LBL3" s="1"/>
      <c r="LBM3" s="1"/>
      <c r="LBN3" s="1"/>
      <c r="LBO3" s="1"/>
      <c r="LBP3" s="1"/>
      <c r="LBQ3" s="1"/>
      <c r="LBR3" s="1"/>
      <c r="LBS3" s="1"/>
      <c r="LBT3" s="1"/>
      <c r="LBU3" s="1"/>
      <c r="LBV3" s="1"/>
      <c r="LBW3" s="1"/>
      <c r="LBX3" s="1"/>
      <c r="LBY3" s="1"/>
      <c r="LBZ3" s="1"/>
      <c r="LCA3" s="1"/>
      <c r="LCB3" s="1"/>
      <c r="LCC3" s="1"/>
      <c r="LCD3" s="1"/>
      <c r="LCE3" s="1"/>
      <c r="LCF3" s="1"/>
      <c r="LCG3" s="1"/>
      <c r="LCH3" s="1"/>
      <c r="LCI3" s="1"/>
      <c r="LCJ3" s="1"/>
      <c r="LCK3" s="1"/>
      <c r="LCL3" s="1"/>
      <c r="LCM3" s="1"/>
      <c r="LCN3" s="1"/>
      <c r="LCO3" s="1"/>
      <c r="LCP3" s="1"/>
      <c r="LCQ3" s="1"/>
      <c r="LCR3" s="1"/>
      <c r="LCS3" s="1"/>
      <c r="LCT3" s="1"/>
      <c r="LCU3" s="1"/>
      <c r="LCV3" s="1"/>
      <c r="LCW3" s="1"/>
      <c r="LCX3" s="1"/>
      <c r="LCY3" s="1"/>
      <c r="LCZ3" s="1"/>
      <c r="LDA3" s="1"/>
      <c r="LDB3" s="1"/>
      <c r="LDC3" s="1"/>
      <c r="LDD3" s="1"/>
      <c r="LDE3" s="1"/>
      <c r="LDF3" s="1"/>
      <c r="LDG3" s="1"/>
      <c r="LDH3" s="1"/>
      <c r="LDI3" s="1"/>
      <c r="LDJ3" s="1"/>
      <c r="LDK3" s="1"/>
      <c r="LDL3" s="1"/>
      <c r="LDM3" s="1"/>
      <c r="LDN3" s="1"/>
      <c r="LDO3" s="1"/>
      <c r="LDP3" s="1"/>
      <c r="LDQ3" s="1"/>
      <c r="LDR3" s="1"/>
      <c r="LDS3" s="1"/>
      <c r="LDT3" s="1"/>
      <c r="LDU3" s="1"/>
      <c r="LDV3" s="1"/>
      <c r="LDW3" s="1"/>
      <c r="LDX3" s="1"/>
      <c r="LDY3" s="1"/>
      <c r="LDZ3" s="1"/>
      <c r="LEA3" s="1"/>
      <c r="LEB3" s="1"/>
      <c r="LEC3" s="1"/>
      <c r="LED3" s="1"/>
      <c r="LEE3" s="1"/>
      <c r="LEF3" s="1"/>
      <c r="LEG3" s="1"/>
      <c r="LEH3" s="1"/>
      <c r="LEI3" s="1"/>
      <c r="LEJ3" s="1"/>
      <c r="LEK3" s="1"/>
      <c r="LEL3" s="1"/>
      <c r="LEM3" s="1"/>
      <c r="LEN3" s="1"/>
      <c r="LEO3" s="1"/>
      <c r="LEP3" s="1"/>
      <c r="LEQ3" s="1"/>
      <c r="LER3" s="1"/>
      <c r="LES3" s="1"/>
      <c r="LET3" s="1"/>
      <c r="LEU3" s="1"/>
      <c r="LEV3" s="1"/>
      <c r="LEW3" s="1"/>
      <c r="LEX3" s="1"/>
      <c r="LEY3" s="1"/>
      <c r="LEZ3" s="1"/>
      <c r="LFA3" s="1"/>
      <c r="LFB3" s="1"/>
      <c r="LFC3" s="1"/>
      <c r="LFD3" s="1"/>
      <c r="LFE3" s="1"/>
      <c r="LFF3" s="1"/>
      <c r="LFG3" s="1"/>
      <c r="LFH3" s="1"/>
      <c r="LFI3" s="1"/>
      <c r="LFJ3" s="1"/>
      <c r="LFK3" s="1"/>
      <c r="LFL3" s="1"/>
      <c r="LFM3" s="1"/>
      <c r="LFN3" s="1"/>
      <c r="LFO3" s="1"/>
      <c r="LFP3" s="1"/>
      <c r="LFQ3" s="1"/>
      <c r="LFR3" s="1"/>
      <c r="LFS3" s="1"/>
      <c r="LFT3" s="1"/>
      <c r="LFU3" s="1"/>
      <c r="LFV3" s="1"/>
      <c r="LFW3" s="1"/>
      <c r="LFX3" s="1"/>
      <c r="LFY3" s="1"/>
      <c r="LFZ3" s="1"/>
      <c r="LGA3" s="1"/>
      <c r="LGB3" s="1"/>
      <c r="LGC3" s="1"/>
      <c r="LGD3" s="1"/>
      <c r="LGE3" s="1"/>
      <c r="LGF3" s="1"/>
      <c r="LGG3" s="1"/>
      <c r="LGH3" s="1"/>
      <c r="LGI3" s="1"/>
      <c r="LGJ3" s="1"/>
      <c r="LGK3" s="1"/>
      <c r="LGL3" s="1"/>
      <c r="LGM3" s="1"/>
      <c r="LGN3" s="1"/>
      <c r="LGO3" s="1"/>
      <c r="LGP3" s="1"/>
      <c r="LGQ3" s="1"/>
      <c r="LGR3" s="1"/>
      <c r="LGS3" s="1"/>
      <c r="LGT3" s="1"/>
      <c r="LGU3" s="1"/>
      <c r="LGV3" s="1"/>
      <c r="LGW3" s="1"/>
      <c r="LGX3" s="1"/>
      <c r="LGY3" s="1"/>
      <c r="LGZ3" s="1"/>
      <c r="LHA3" s="1"/>
      <c r="LHB3" s="1"/>
      <c r="LHC3" s="1"/>
      <c r="LHD3" s="1"/>
      <c r="LHE3" s="1"/>
      <c r="LHF3" s="1"/>
      <c r="LHG3" s="1"/>
      <c r="LHH3" s="1"/>
      <c r="LHI3" s="1"/>
      <c r="LHJ3" s="1"/>
      <c r="LHK3" s="1"/>
      <c r="LHL3" s="1"/>
      <c r="LHM3" s="1"/>
      <c r="LHN3" s="1"/>
      <c r="LHO3" s="1"/>
      <c r="LHP3" s="1"/>
      <c r="LHQ3" s="1"/>
      <c r="LHR3" s="1"/>
      <c r="LHS3" s="1"/>
      <c r="LHT3" s="1"/>
      <c r="LHU3" s="1"/>
      <c r="LHV3" s="1"/>
      <c r="LHW3" s="1"/>
      <c r="LHX3" s="1"/>
      <c r="LHY3" s="1"/>
      <c r="LHZ3" s="1"/>
      <c r="LIA3" s="1"/>
      <c r="LIB3" s="1"/>
      <c r="LIC3" s="1"/>
      <c r="LID3" s="1"/>
      <c r="LIE3" s="1"/>
      <c r="LIF3" s="1"/>
      <c r="LIG3" s="1"/>
      <c r="LIH3" s="1"/>
      <c r="LII3" s="1"/>
      <c r="LIJ3" s="1"/>
      <c r="LIK3" s="1"/>
      <c r="LIL3" s="1"/>
      <c r="LIM3" s="1"/>
      <c r="LIN3" s="1"/>
      <c r="LIO3" s="1"/>
      <c r="LIP3" s="1"/>
      <c r="LIQ3" s="1"/>
      <c r="LIR3" s="1"/>
      <c r="LIS3" s="1"/>
      <c r="LIT3" s="1"/>
      <c r="LIU3" s="1"/>
      <c r="LIV3" s="1"/>
      <c r="LIW3" s="1"/>
      <c r="LIX3" s="1"/>
      <c r="LIY3" s="1"/>
      <c r="LIZ3" s="1"/>
      <c r="LJA3" s="1"/>
      <c r="LJB3" s="1"/>
      <c r="LJC3" s="1"/>
      <c r="LJD3" s="1"/>
      <c r="LJE3" s="1"/>
      <c r="LJF3" s="1"/>
      <c r="LJG3" s="1"/>
      <c r="LJH3" s="1"/>
      <c r="LJI3" s="1"/>
      <c r="LJJ3" s="1"/>
      <c r="LJK3" s="1"/>
      <c r="LJL3" s="1"/>
      <c r="LJM3" s="1"/>
      <c r="LJN3" s="1"/>
      <c r="LJO3" s="1"/>
      <c r="LJP3" s="1"/>
      <c r="LJQ3" s="1"/>
      <c r="LJR3" s="1"/>
      <c r="LJS3" s="1"/>
      <c r="LJT3" s="1"/>
      <c r="LJU3" s="1"/>
      <c r="LJV3" s="1"/>
      <c r="LJW3" s="1"/>
      <c r="LJX3" s="1"/>
      <c r="LJY3" s="1"/>
      <c r="LJZ3" s="1"/>
      <c r="LKA3" s="1"/>
      <c r="LKB3" s="1"/>
      <c r="LKC3" s="1"/>
      <c r="LKD3" s="1"/>
      <c r="LKE3" s="1"/>
      <c r="LKF3" s="1"/>
      <c r="LKG3" s="1"/>
      <c r="LKH3" s="1"/>
      <c r="LKI3" s="1"/>
      <c r="LKJ3" s="1"/>
      <c r="LKK3" s="1"/>
      <c r="LKL3" s="1"/>
      <c r="LKM3" s="1"/>
      <c r="LKN3" s="1"/>
      <c r="LKO3" s="1"/>
      <c r="LKP3" s="1"/>
      <c r="LKQ3" s="1"/>
      <c r="LKR3" s="1"/>
      <c r="LKS3" s="1"/>
      <c r="LKT3" s="1"/>
      <c r="LKU3" s="1"/>
      <c r="LKV3" s="1"/>
      <c r="LKW3" s="1"/>
      <c r="LKX3" s="1"/>
      <c r="LKY3" s="1"/>
      <c r="LKZ3" s="1"/>
      <c r="LLA3" s="1"/>
      <c r="LLB3" s="1"/>
      <c r="LLC3" s="1"/>
      <c r="LLD3" s="1"/>
      <c r="LLE3" s="1"/>
      <c r="LLF3" s="1"/>
      <c r="LLG3" s="1"/>
      <c r="LLH3" s="1"/>
      <c r="LLI3" s="1"/>
      <c r="LLJ3" s="1"/>
      <c r="LLK3" s="1"/>
      <c r="LLL3" s="1"/>
      <c r="LLM3" s="1"/>
      <c r="LLN3" s="1"/>
      <c r="LLO3" s="1"/>
      <c r="LLP3" s="1"/>
      <c r="LLQ3" s="1"/>
      <c r="LLR3" s="1"/>
      <c r="LLS3" s="1"/>
      <c r="LLT3" s="1"/>
      <c r="LLU3" s="1"/>
      <c r="LLV3" s="1"/>
      <c r="LLW3" s="1"/>
      <c r="LLX3" s="1"/>
      <c r="LLY3" s="1"/>
      <c r="LLZ3" s="1"/>
      <c r="LMA3" s="1"/>
      <c r="LMB3" s="1"/>
      <c r="LMC3" s="1"/>
      <c r="LMD3" s="1"/>
      <c r="LME3" s="1"/>
      <c r="LMF3" s="1"/>
      <c r="LMG3" s="1"/>
      <c r="LMH3" s="1"/>
      <c r="LMI3" s="1"/>
      <c r="LMJ3" s="1"/>
      <c r="LMK3" s="1"/>
      <c r="LML3" s="1"/>
      <c r="LMM3" s="1"/>
      <c r="LMN3" s="1"/>
      <c r="LMO3" s="1"/>
      <c r="LMP3" s="1"/>
      <c r="LMQ3" s="1"/>
      <c r="LMR3" s="1"/>
      <c r="LMS3" s="1"/>
      <c r="LMT3" s="1"/>
      <c r="LMU3" s="1"/>
      <c r="LMV3" s="1"/>
      <c r="LMW3" s="1"/>
      <c r="LMX3" s="1"/>
      <c r="LMY3" s="1"/>
      <c r="LMZ3" s="1"/>
      <c r="LNA3" s="1"/>
      <c r="LNB3" s="1"/>
      <c r="LNC3" s="1"/>
      <c r="LND3" s="1"/>
      <c r="LNE3" s="1"/>
      <c r="LNF3" s="1"/>
      <c r="LNG3" s="1"/>
      <c r="LNH3" s="1"/>
      <c r="LNI3" s="1"/>
      <c r="LNJ3" s="1"/>
      <c r="LNK3" s="1"/>
      <c r="LNL3" s="1"/>
      <c r="LNM3" s="1"/>
      <c r="LNN3" s="1"/>
      <c r="LNO3" s="1"/>
      <c r="LNP3" s="1"/>
      <c r="LNQ3" s="1"/>
      <c r="LNR3" s="1"/>
      <c r="LNS3" s="1"/>
      <c r="LNT3" s="1"/>
      <c r="LNU3" s="1"/>
      <c r="LNV3" s="1"/>
      <c r="LNW3" s="1"/>
      <c r="LNX3" s="1"/>
      <c r="LNY3" s="1"/>
      <c r="LNZ3" s="1"/>
      <c r="LOA3" s="1"/>
      <c r="LOB3" s="1"/>
      <c r="LOC3" s="1"/>
      <c r="LOD3" s="1"/>
      <c r="LOE3" s="1"/>
      <c r="LOF3" s="1"/>
      <c r="LOG3" s="1"/>
      <c r="LOH3" s="1"/>
      <c r="LOI3" s="1"/>
      <c r="LOJ3" s="1"/>
      <c r="LOK3" s="1"/>
      <c r="LOL3" s="1"/>
      <c r="LOM3" s="1"/>
      <c r="LON3" s="1"/>
      <c r="LOO3" s="1"/>
      <c r="LOP3" s="1"/>
      <c r="LOQ3" s="1"/>
      <c r="LOR3" s="1"/>
      <c r="LOS3" s="1"/>
      <c r="LOT3" s="1"/>
      <c r="LOU3" s="1"/>
      <c r="LOV3" s="1"/>
      <c r="LOW3" s="1"/>
      <c r="LOX3" s="1"/>
      <c r="LOY3" s="1"/>
      <c r="LOZ3" s="1"/>
      <c r="LPA3" s="1"/>
      <c r="LPB3" s="1"/>
      <c r="LPC3" s="1"/>
      <c r="LPD3" s="1"/>
      <c r="LPE3" s="1"/>
      <c r="LPF3" s="1"/>
      <c r="LPG3" s="1"/>
      <c r="LPH3" s="1"/>
      <c r="LPI3" s="1"/>
      <c r="LPJ3" s="1"/>
      <c r="LPK3" s="1"/>
      <c r="LPL3" s="1"/>
      <c r="LPM3" s="1"/>
      <c r="LPN3" s="1"/>
      <c r="LPO3" s="1"/>
      <c r="LPP3" s="1"/>
      <c r="LPQ3" s="1"/>
      <c r="LPR3" s="1"/>
      <c r="LPS3" s="1"/>
      <c r="LPT3" s="1"/>
      <c r="LPU3" s="1"/>
      <c r="LPV3" s="1"/>
      <c r="LPW3" s="1"/>
      <c r="LPX3" s="1"/>
      <c r="LPY3" s="1"/>
      <c r="LPZ3" s="1"/>
      <c r="LQA3" s="1"/>
      <c r="LQB3" s="1"/>
      <c r="LQC3" s="1"/>
      <c r="LQD3" s="1"/>
      <c r="LQE3" s="1"/>
      <c r="LQF3" s="1"/>
      <c r="LQG3" s="1"/>
      <c r="LQH3" s="1"/>
      <c r="LQI3" s="1"/>
      <c r="LQJ3" s="1"/>
      <c r="LQK3" s="1"/>
      <c r="LQL3" s="1"/>
      <c r="LQM3" s="1"/>
      <c r="LQN3" s="1"/>
      <c r="LQO3" s="1"/>
      <c r="LQP3" s="1"/>
      <c r="LQQ3" s="1"/>
      <c r="LQR3" s="1"/>
      <c r="LQS3" s="1"/>
      <c r="LQT3" s="1"/>
      <c r="LQU3" s="1"/>
      <c r="LQV3" s="1"/>
      <c r="LQW3" s="1"/>
      <c r="LQX3" s="1"/>
      <c r="LQY3" s="1"/>
      <c r="LQZ3" s="1"/>
      <c r="LRA3" s="1"/>
      <c r="LRB3" s="1"/>
      <c r="LRC3" s="1"/>
      <c r="LRD3" s="1"/>
      <c r="LRE3" s="1"/>
      <c r="LRF3" s="1"/>
      <c r="LRG3" s="1"/>
      <c r="LRH3" s="1"/>
      <c r="LRI3" s="1"/>
      <c r="LRJ3" s="1"/>
      <c r="LRK3" s="1"/>
      <c r="LRL3" s="1"/>
      <c r="LRM3" s="1"/>
      <c r="LRN3" s="1"/>
      <c r="LRO3" s="1"/>
      <c r="LRP3" s="1"/>
      <c r="LRQ3" s="1"/>
      <c r="LRR3" s="1"/>
      <c r="LRS3" s="1"/>
      <c r="LRT3" s="1"/>
      <c r="LRU3" s="1"/>
      <c r="LRV3" s="1"/>
      <c r="LRW3" s="1"/>
      <c r="LRX3" s="1"/>
      <c r="LRY3" s="1"/>
      <c r="LRZ3" s="1"/>
      <c r="LSA3" s="1"/>
      <c r="LSB3" s="1"/>
      <c r="LSC3" s="1"/>
      <c r="LSD3" s="1"/>
      <c r="LSE3" s="1"/>
      <c r="LSF3" s="1"/>
      <c r="LSG3" s="1"/>
      <c r="LSH3" s="1"/>
      <c r="LSI3" s="1"/>
      <c r="LSJ3" s="1"/>
      <c r="LSK3" s="1"/>
      <c r="LSL3" s="1"/>
      <c r="LSM3" s="1"/>
      <c r="LSN3" s="1"/>
      <c r="LSO3" s="1"/>
      <c r="LSP3" s="1"/>
      <c r="LSQ3" s="1"/>
      <c r="LSR3" s="1"/>
      <c r="LSS3" s="1"/>
      <c r="LST3" s="1"/>
      <c r="LSU3" s="1"/>
      <c r="LSV3" s="1"/>
      <c r="LSW3" s="1"/>
      <c r="LSX3" s="1"/>
      <c r="LSY3" s="1"/>
      <c r="LSZ3" s="1"/>
      <c r="LTA3" s="1"/>
      <c r="LTB3" s="1"/>
      <c r="LTC3" s="1"/>
      <c r="LTD3" s="1"/>
      <c r="LTE3" s="1"/>
      <c r="LTF3" s="1"/>
      <c r="LTG3" s="1"/>
      <c r="LTH3" s="1"/>
      <c r="LTI3" s="1"/>
      <c r="LTJ3" s="1"/>
      <c r="LTK3" s="1"/>
      <c r="LTL3" s="1"/>
      <c r="LTM3" s="1"/>
      <c r="LTN3" s="1"/>
      <c r="LTO3" s="1"/>
      <c r="LTP3" s="1"/>
      <c r="LTQ3" s="1"/>
      <c r="LTR3" s="1"/>
      <c r="LTS3" s="1"/>
      <c r="LTT3" s="1"/>
      <c r="LTU3" s="1"/>
      <c r="LTV3" s="1"/>
      <c r="LTW3" s="1"/>
      <c r="LTX3" s="1"/>
      <c r="LTY3" s="1"/>
      <c r="LTZ3" s="1"/>
      <c r="LUA3" s="1"/>
      <c r="LUB3" s="1"/>
      <c r="LUC3" s="1"/>
      <c r="LUD3" s="1"/>
      <c r="LUE3" s="1"/>
      <c r="LUF3" s="1"/>
      <c r="LUG3" s="1"/>
      <c r="LUH3" s="1"/>
      <c r="LUI3" s="1"/>
      <c r="LUJ3" s="1"/>
      <c r="LUK3" s="1"/>
      <c r="LUL3" s="1"/>
      <c r="LUM3" s="1"/>
      <c r="LUN3" s="1"/>
      <c r="LUO3" s="1"/>
      <c r="LUP3" s="1"/>
      <c r="LUQ3" s="1"/>
      <c r="LUR3" s="1"/>
      <c r="LUS3" s="1"/>
      <c r="LUT3" s="1"/>
      <c r="LUU3" s="1"/>
      <c r="LUV3" s="1"/>
      <c r="LUW3" s="1"/>
      <c r="LUX3" s="1"/>
      <c r="LUY3" s="1"/>
      <c r="LUZ3" s="1"/>
      <c r="LVA3" s="1"/>
      <c r="LVB3" s="1"/>
      <c r="LVC3" s="1"/>
      <c r="LVD3" s="1"/>
      <c r="LVE3" s="1"/>
      <c r="LVF3" s="1"/>
      <c r="LVG3" s="1"/>
      <c r="LVH3" s="1"/>
      <c r="LVI3" s="1"/>
      <c r="LVJ3" s="1"/>
      <c r="LVK3" s="1"/>
      <c r="LVL3" s="1"/>
      <c r="LVM3" s="1"/>
      <c r="LVN3" s="1"/>
      <c r="LVO3" s="1"/>
      <c r="LVP3" s="1"/>
      <c r="LVQ3" s="1"/>
      <c r="LVR3" s="1"/>
      <c r="LVS3" s="1"/>
      <c r="LVT3" s="1"/>
      <c r="LVU3" s="1"/>
      <c r="LVV3" s="1"/>
      <c r="LVW3" s="1"/>
      <c r="LVX3" s="1"/>
      <c r="LVY3" s="1"/>
      <c r="LVZ3" s="1"/>
      <c r="LWA3" s="1"/>
      <c r="LWB3" s="1"/>
      <c r="LWC3" s="1"/>
      <c r="LWD3" s="1"/>
      <c r="LWE3" s="1"/>
      <c r="LWF3" s="1"/>
      <c r="LWG3" s="1"/>
      <c r="LWH3" s="1"/>
      <c r="LWI3" s="1"/>
      <c r="LWJ3" s="1"/>
      <c r="LWK3" s="1"/>
      <c r="LWL3" s="1"/>
      <c r="LWM3" s="1"/>
      <c r="LWN3" s="1"/>
      <c r="LWO3" s="1"/>
      <c r="LWP3" s="1"/>
      <c r="LWQ3" s="1"/>
      <c r="LWR3" s="1"/>
      <c r="LWS3" s="1"/>
      <c r="LWT3" s="1"/>
      <c r="LWU3" s="1"/>
      <c r="LWV3" s="1"/>
      <c r="LWW3" s="1"/>
      <c r="LWX3" s="1"/>
      <c r="LWY3" s="1"/>
      <c r="LWZ3" s="1"/>
      <c r="LXA3" s="1"/>
      <c r="LXB3" s="1"/>
      <c r="LXC3" s="1"/>
      <c r="LXD3" s="1"/>
      <c r="LXE3" s="1"/>
      <c r="LXF3" s="1"/>
      <c r="LXG3" s="1"/>
      <c r="LXH3" s="1"/>
      <c r="LXI3" s="1"/>
      <c r="LXJ3" s="1"/>
      <c r="LXK3" s="1"/>
      <c r="LXL3" s="1"/>
      <c r="LXM3" s="1"/>
      <c r="LXN3" s="1"/>
      <c r="LXO3" s="1"/>
      <c r="LXP3" s="1"/>
      <c r="LXQ3" s="1"/>
      <c r="LXR3" s="1"/>
      <c r="LXS3" s="1"/>
      <c r="LXT3" s="1"/>
      <c r="LXU3" s="1"/>
      <c r="LXV3" s="1"/>
      <c r="LXW3" s="1"/>
      <c r="LXX3" s="1"/>
      <c r="LXY3" s="1"/>
      <c r="LXZ3" s="1"/>
      <c r="LYA3" s="1"/>
      <c r="LYB3" s="1"/>
      <c r="LYC3" s="1"/>
      <c r="LYD3" s="1"/>
      <c r="LYE3" s="1"/>
      <c r="LYF3" s="1"/>
      <c r="LYG3" s="1"/>
      <c r="LYH3" s="1"/>
      <c r="LYI3" s="1"/>
      <c r="LYJ3" s="1"/>
      <c r="LYK3" s="1"/>
      <c r="LYL3" s="1"/>
      <c r="LYM3" s="1"/>
      <c r="LYN3" s="1"/>
      <c r="LYO3" s="1"/>
      <c r="LYP3" s="1"/>
      <c r="LYQ3" s="1"/>
      <c r="LYR3" s="1"/>
      <c r="LYS3" s="1"/>
      <c r="LYT3" s="1"/>
      <c r="LYU3" s="1"/>
      <c r="LYV3" s="1"/>
      <c r="LYW3" s="1"/>
      <c r="LYX3" s="1"/>
      <c r="LYY3" s="1"/>
      <c r="LYZ3" s="1"/>
      <c r="LZA3" s="1"/>
      <c r="LZB3" s="1"/>
      <c r="LZC3" s="1"/>
      <c r="LZD3" s="1"/>
      <c r="LZE3" s="1"/>
      <c r="LZF3" s="1"/>
      <c r="LZG3" s="1"/>
      <c r="LZH3" s="1"/>
      <c r="LZI3" s="1"/>
      <c r="LZJ3" s="1"/>
      <c r="LZK3" s="1"/>
      <c r="LZL3" s="1"/>
      <c r="LZM3" s="1"/>
      <c r="LZN3" s="1"/>
      <c r="LZO3" s="1"/>
      <c r="LZP3" s="1"/>
      <c r="LZQ3" s="1"/>
      <c r="LZR3" s="1"/>
      <c r="LZS3" s="1"/>
      <c r="LZT3" s="1"/>
      <c r="LZU3" s="1"/>
      <c r="LZV3" s="1"/>
      <c r="LZW3" s="1"/>
      <c r="LZX3" s="1"/>
      <c r="LZY3" s="1"/>
      <c r="LZZ3" s="1"/>
      <c r="MAA3" s="1"/>
      <c r="MAB3" s="1"/>
      <c r="MAC3" s="1"/>
      <c r="MAD3" s="1"/>
      <c r="MAE3" s="1"/>
      <c r="MAF3" s="1"/>
      <c r="MAG3" s="1"/>
      <c r="MAH3" s="1"/>
      <c r="MAI3" s="1"/>
      <c r="MAJ3" s="1"/>
      <c r="MAK3" s="1"/>
      <c r="MAL3" s="1"/>
      <c r="MAM3" s="1"/>
      <c r="MAN3" s="1"/>
      <c r="MAO3" s="1"/>
      <c r="MAP3" s="1"/>
      <c r="MAQ3" s="1"/>
      <c r="MAR3" s="1"/>
      <c r="MAS3" s="1"/>
      <c r="MAT3" s="1"/>
      <c r="MAU3" s="1"/>
      <c r="MAV3" s="1"/>
      <c r="MAW3" s="1"/>
      <c r="MAX3" s="1"/>
      <c r="MAY3" s="1"/>
      <c r="MAZ3" s="1"/>
      <c r="MBA3" s="1"/>
      <c r="MBB3" s="1"/>
      <c r="MBC3" s="1"/>
      <c r="MBD3" s="1"/>
      <c r="MBE3" s="1"/>
      <c r="MBF3" s="1"/>
      <c r="MBG3" s="1"/>
      <c r="MBH3" s="1"/>
      <c r="MBI3" s="1"/>
      <c r="MBJ3" s="1"/>
      <c r="MBK3" s="1"/>
      <c r="MBL3" s="1"/>
      <c r="MBM3" s="1"/>
      <c r="MBN3" s="1"/>
      <c r="MBO3" s="1"/>
      <c r="MBP3" s="1"/>
      <c r="MBQ3" s="1"/>
      <c r="MBR3" s="1"/>
      <c r="MBS3" s="1"/>
      <c r="MBT3" s="1"/>
      <c r="MBU3" s="1"/>
      <c r="MBV3" s="1"/>
      <c r="MBW3" s="1"/>
      <c r="MBX3" s="1"/>
      <c r="MBY3" s="1"/>
      <c r="MBZ3" s="1"/>
      <c r="MCA3" s="1"/>
      <c r="MCB3" s="1"/>
      <c r="MCC3" s="1"/>
      <c r="MCD3" s="1"/>
      <c r="MCE3" s="1"/>
      <c r="MCF3" s="1"/>
      <c r="MCG3" s="1"/>
      <c r="MCH3" s="1"/>
      <c r="MCI3" s="1"/>
      <c r="MCJ3" s="1"/>
      <c r="MCK3" s="1"/>
      <c r="MCL3" s="1"/>
      <c r="MCM3" s="1"/>
      <c r="MCN3" s="1"/>
      <c r="MCO3" s="1"/>
      <c r="MCP3" s="1"/>
      <c r="MCQ3" s="1"/>
      <c r="MCR3" s="1"/>
      <c r="MCS3" s="1"/>
      <c r="MCT3" s="1"/>
      <c r="MCU3" s="1"/>
      <c r="MCV3" s="1"/>
      <c r="MCW3" s="1"/>
      <c r="MCX3" s="1"/>
      <c r="MCY3" s="1"/>
      <c r="MCZ3" s="1"/>
      <c r="MDA3" s="1"/>
      <c r="MDB3" s="1"/>
      <c r="MDC3" s="1"/>
      <c r="MDD3" s="1"/>
      <c r="MDE3" s="1"/>
      <c r="MDF3" s="1"/>
      <c r="MDG3" s="1"/>
      <c r="MDH3" s="1"/>
      <c r="MDI3" s="1"/>
      <c r="MDJ3" s="1"/>
      <c r="MDK3" s="1"/>
      <c r="MDL3" s="1"/>
      <c r="MDM3" s="1"/>
      <c r="MDN3" s="1"/>
      <c r="MDO3" s="1"/>
      <c r="MDP3" s="1"/>
      <c r="MDQ3" s="1"/>
      <c r="MDR3" s="1"/>
      <c r="MDS3" s="1"/>
      <c r="MDT3" s="1"/>
      <c r="MDU3" s="1"/>
      <c r="MDV3" s="1"/>
      <c r="MDW3" s="1"/>
      <c r="MDX3" s="1"/>
      <c r="MDY3" s="1"/>
      <c r="MDZ3" s="1"/>
      <c r="MEA3" s="1"/>
      <c r="MEB3" s="1"/>
      <c r="MEC3" s="1"/>
      <c r="MED3" s="1"/>
      <c r="MEE3" s="1"/>
      <c r="MEF3" s="1"/>
      <c r="MEG3" s="1"/>
      <c r="MEH3" s="1"/>
      <c r="MEI3" s="1"/>
      <c r="MEJ3" s="1"/>
      <c r="MEK3" s="1"/>
      <c r="MEL3" s="1"/>
      <c r="MEM3" s="1"/>
      <c r="MEN3" s="1"/>
      <c r="MEO3" s="1"/>
      <c r="MEP3" s="1"/>
      <c r="MEQ3" s="1"/>
      <c r="MER3" s="1"/>
      <c r="MES3" s="1"/>
      <c r="MET3" s="1"/>
      <c r="MEU3" s="1"/>
      <c r="MEV3" s="1"/>
      <c r="MEW3" s="1"/>
      <c r="MEX3" s="1"/>
      <c r="MEY3" s="1"/>
      <c r="MEZ3" s="1"/>
      <c r="MFA3" s="1"/>
      <c r="MFB3" s="1"/>
      <c r="MFC3" s="1"/>
      <c r="MFD3" s="1"/>
      <c r="MFE3" s="1"/>
      <c r="MFF3" s="1"/>
      <c r="MFG3" s="1"/>
      <c r="MFH3" s="1"/>
      <c r="MFI3" s="1"/>
      <c r="MFJ3" s="1"/>
      <c r="MFK3" s="1"/>
      <c r="MFL3" s="1"/>
      <c r="MFM3" s="1"/>
      <c r="MFN3" s="1"/>
      <c r="MFO3" s="1"/>
      <c r="MFP3" s="1"/>
      <c r="MFQ3" s="1"/>
      <c r="MFR3" s="1"/>
      <c r="MFS3" s="1"/>
      <c r="MFT3" s="1"/>
      <c r="MFU3" s="1"/>
      <c r="MFV3" s="1"/>
      <c r="MFW3" s="1"/>
      <c r="MFX3" s="1"/>
      <c r="MFY3" s="1"/>
      <c r="MFZ3" s="1"/>
      <c r="MGA3" s="1"/>
      <c r="MGB3" s="1"/>
      <c r="MGC3" s="1"/>
      <c r="MGD3" s="1"/>
      <c r="MGE3" s="1"/>
      <c r="MGF3" s="1"/>
      <c r="MGG3" s="1"/>
      <c r="MGH3" s="1"/>
      <c r="MGI3" s="1"/>
      <c r="MGJ3" s="1"/>
      <c r="MGK3" s="1"/>
      <c r="MGL3" s="1"/>
      <c r="MGM3" s="1"/>
      <c r="MGN3" s="1"/>
      <c r="MGO3" s="1"/>
      <c r="MGP3" s="1"/>
      <c r="MGQ3" s="1"/>
      <c r="MGR3" s="1"/>
      <c r="MGS3" s="1"/>
      <c r="MGT3" s="1"/>
      <c r="MGU3" s="1"/>
      <c r="MGV3" s="1"/>
      <c r="MGW3" s="1"/>
      <c r="MGX3" s="1"/>
      <c r="MGY3" s="1"/>
      <c r="MGZ3" s="1"/>
      <c r="MHA3" s="1"/>
      <c r="MHB3" s="1"/>
      <c r="MHC3" s="1"/>
      <c r="MHD3" s="1"/>
      <c r="MHE3" s="1"/>
      <c r="MHF3" s="1"/>
      <c r="MHG3" s="1"/>
      <c r="MHH3" s="1"/>
      <c r="MHI3" s="1"/>
      <c r="MHJ3" s="1"/>
      <c r="MHK3" s="1"/>
      <c r="MHL3" s="1"/>
      <c r="MHM3" s="1"/>
      <c r="MHN3" s="1"/>
      <c r="MHO3" s="1"/>
      <c r="MHP3" s="1"/>
      <c r="MHQ3" s="1"/>
      <c r="MHR3" s="1"/>
      <c r="MHS3" s="1"/>
      <c r="MHT3" s="1"/>
      <c r="MHU3" s="1"/>
      <c r="MHV3" s="1"/>
      <c r="MHW3" s="1"/>
      <c r="MHX3" s="1"/>
      <c r="MHY3" s="1"/>
      <c r="MHZ3" s="1"/>
      <c r="MIA3" s="1"/>
      <c r="MIB3" s="1"/>
      <c r="MIC3" s="1"/>
      <c r="MID3" s="1"/>
      <c r="MIE3" s="1"/>
      <c r="MIF3" s="1"/>
      <c r="MIG3" s="1"/>
      <c r="MIH3" s="1"/>
      <c r="MII3" s="1"/>
      <c r="MIJ3" s="1"/>
      <c r="MIK3" s="1"/>
      <c r="MIL3" s="1"/>
      <c r="MIM3" s="1"/>
      <c r="MIN3" s="1"/>
      <c r="MIO3" s="1"/>
      <c r="MIP3" s="1"/>
      <c r="MIQ3" s="1"/>
      <c r="MIR3" s="1"/>
      <c r="MIS3" s="1"/>
      <c r="MIT3" s="1"/>
      <c r="MIU3" s="1"/>
      <c r="MIV3" s="1"/>
      <c r="MIW3" s="1"/>
      <c r="MIX3" s="1"/>
      <c r="MIY3" s="1"/>
      <c r="MIZ3" s="1"/>
      <c r="MJA3" s="1"/>
      <c r="MJB3" s="1"/>
      <c r="MJC3" s="1"/>
      <c r="MJD3" s="1"/>
      <c r="MJE3" s="1"/>
      <c r="MJF3" s="1"/>
      <c r="MJG3" s="1"/>
      <c r="MJH3" s="1"/>
      <c r="MJI3" s="1"/>
      <c r="MJJ3" s="1"/>
      <c r="MJK3" s="1"/>
      <c r="MJL3" s="1"/>
      <c r="MJM3" s="1"/>
      <c r="MJN3" s="1"/>
      <c r="MJO3" s="1"/>
      <c r="MJP3" s="1"/>
      <c r="MJQ3" s="1"/>
      <c r="MJR3" s="1"/>
      <c r="MJS3" s="1"/>
      <c r="MJT3" s="1"/>
      <c r="MJU3" s="1"/>
      <c r="MJV3" s="1"/>
      <c r="MJW3" s="1"/>
      <c r="MJX3" s="1"/>
      <c r="MJY3" s="1"/>
      <c r="MJZ3" s="1"/>
      <c r="MKA3" s="1"/>
      <c r="MKB3" s="1"/>
      <c r="MKC3" s="1"/>
      <c r="MKD3" s="1"/>
      <c r="MKE3" s="1"/>
      <c r="MKF3" s="1"/>
      <c r="MKG3" s="1"/>
      <c r="MKH3" s="1"/>
      <c r="MKI3" s="1"/>
      <c r="MKJ3" s="1"/>
      <c r="MKK3" s="1"/>
      <c r="MKL3" s="1"/>
      <c r="MKM3" s="1"/>
      <c r="MKN3" s="1"/>
      <c r="MKO3" s="1"/>
      <c r="MKP3" s="1"/>
      <c r="MKQ3" s="1"/>
      <c r="MKR3" s="1"/>
      <c r="MKS3" s="1"/>
      <c r="MKT3" s="1"/>
      <c r="MKU3" s="1"/>
      <c r="MKV3" s="1"/>
      <c r="MKW3" s="1"/>
      <c r="MKX3" s="1"/>
      <c r="MKY3" s="1"/>
      <c r="MKZ3" s="1"/>
      <c r="MLA3" s="1"/>
      <c r="MLB3" s="1"/>
      <c r="MLC3" s="1"/>
      <c r="MLD3" s="1"/>
      <c r="MLE3" s="1"/>
      <c r="MLF3" s="1"/>
      <c r="MLG3" s="1"/>
      <c r="MLH3" s="1"/>
      <c r="MLI3" s="1"/>
      <c r="MLJ3" s="1"/>
      <c r="MLK3" s="1"/>
      <c r="MLL3" s="1"/>
      <c r="MLM3" s="1"/>
      <c r="MLN3" s="1"/>
      <c r="MLO3" s="1"/>
      <c r="MLP3" s="1"/>
      <c r="MLQ3" s="1"/>
      <c r="MLR3" s="1"/>
      <c r="MLS3" s="1"/>
      <c r="MLT3" s="1"/>
      <c r="MLU3" s="1"/>
      <c r="MLV3" s="1"/>
      <c r="MLW3" s="1"/>
      <c r="MLX3" s="1"/>
      <c r="MLY3" s="1"/>
      <c r="MLZ3" s="1"/>
      <c r="MMA3" s="1"/>
      <c r="MMB3" s="1"/>
      <c r="MMC3" s="1"/>
      <c r="MMD3" s="1"/>
      <c r="MME3" s="1"/>
      <c r="MMF3" s="1"/>
      <c r="MMG3" s="1"/>
      <c r="MMH3" s="1"/>
      <c r="MMI3" s="1"/>
      <c r="MMJ3" s="1"/>
      <c r="MMK3" s="1"/>
      <c r="MML3" s="1"/>
      <c r="MMM3" s="1"/>
      <c r="MMN3" s="1"/>
      <c r="MMO3" s="1"/>
      <c r="MMP3" s="1"/>
      <c r="MMQ3" s="1"/>
      <c r="MMR3" s="1"/>
      <c r="MMS3" s="1"/>
      <c r="MMT3" s="1"/>
      <c r="MMU3" s="1"/>
      <c r="MMV3" s="1"/>
      <c r="MMW3" s="1"/>
      <c r="MMX3" s="1"/>
      <c r="MMY3" s="1"/>
      <c r="MMZ3" s="1"/>
      <c r="MNA3" s="1"/>
      <c r="MNB3" s="1"/>
      <c r="MNC3" s="1"/>
      <c r="MND3" s="1"/>
      <c r="MNE3" s="1"/>
      <c r="MNF3" s="1"/>
      <c r="MNG3" s="1"/>
      <c r="MNH3" s="1"/>
      <c r="MNI3" s="1"/>
      <c r="MNJ3" s="1"/>
      <c r="MNK3" s="1"/>
      <c r="MNL3" s="1"/>
      <c r="MNM3" s="1"/>
      <c r="MNN3" s="1"/>
      <c r="MNO3" s="1"/>
      <c r="MNP3" s="1"/>
      <c r="MNQ3" s="1"/>
      <c r="MNR3" s="1"/>
      <c r="MNS3" s="1"/>
      <c r="MNT3" s="1"/>
      <c r="MNU3" s="1"/>
      <c r="MNV3" s="1"/>
      <c r="MNW3" s="1"/>
      <c r="MNX3" s="1"/>
      <c r="MNY3" s="1"/>
      <c r="MNZ3" s="1"/>
      <c r="MOA3" s="1"/>
      <c r="MOB3" s="1"/>
      <c r="MOC3" s="1"/>
      <c r="MOD3" s="1"/>
      <c r="MOE3" s="1"/>
      <c r="MOF3" s="1"/>
      <c r="MOG3" s="1"/>
      <c r="MOH3" s="1"/>
      <c r="MOI3" s="1"/>
      <c r="MOJ3" s="1"/>
      <c r="MOK3" s="1"/>
      <c r="MOL3" s="1"/>
      <c r="MOM3" s="1"/>
      <c r="MON3" s="1"/>
      <c r="MOO3" s="1"/>
      <c r="MOP3" s="1"/>
      <c r="MOQ3" s="1"/>
      <c r="MOR3" s="1"/>
      <c r="MOS3" s="1"/>
      <c r="MOT3" s="1"/>
      <c r="MOU3" s="1"/>
      <c r="MOV3" s="1"/>
      <c r="MOW3" s="1"/>
      <c r="MOX3" s="1"/>
      <c r="MOY3" s="1"/>
      <c r="MOZ3" s="1"/>
      <c r="MPA3" s="1"/>
      <c r="MPB3" s="1"/>
      <c r="MPC3" s="1"/>
      <c r="MPD3" s="1"/>
      <c r="MPE3" s="1"/>
      <c r="MPF3" s="1"/>
      <c r="MPG3" s="1"/>
      <c r="MPH3" s="1"/>
      <c r="MPI3" s="1"/>
      <c r="MPJ3" s="1"/>
      <c r="MPK3" s="1"/>
      <c r="MPL3" s="1"/>
      <c r="MPM3" s="1"/>
      <c r="MPN3" s="1"/>
      <c r="MPO3" s="1"/>
      <c r="MPP3" s="1"/>
      <c r="MPQ3" s="1"/>
      <c r="MPR3" s="1"/>
      <c r="MPS3" s="1"/>
      <c r="MPT3" s="1"/>
      <c r="MPU3" s="1"/>
      <c r="MPV3" s="1"/>
      <c r="MPW3" s="1"/>
      <c r="MPX3" s="1"/>
      <c r="MPY3" s="1"/>
      <c r="MPZ3" s="1"/>
      <c r="MQA3" s="1"/>
      <c r="MQB3" s="1"/>
      <c r="MQC3" s="1"/>
      <c r="MQD3" s="1"/>
      <c r="MQE3" s="1"/>
      <c r="MQF3" s="1"/>
      <c r="MQG3" s="1"/>
      <c r="MQH3" s="1"/>
      <c r="MQI3" s="1"/>
      <c r="MQJ3" s="1"/>
      <c r="MQK3" s="1"/>
      <c r="MQL3" s="1"/>
      <c r="MQM3" s="1"/>
      <c r="MQN3" s="1"/>
      <c r="MQO3" s="1"/>
      <c r="MQP3" s="1"/>
      <c r="MQQ3" s="1"/>
      <c r="MQR3" s="1"/>
      <c r="MQS3" s="1"/>
      <c r="MQT3" s="1"/>
      <c r="MQU3" s="1"/>
      <c r="MQV3" s="1"/>
      <c r="MQW3" s="1"/>
      <c r="MQX3" s="1"/>
      <c r="MQY3" s="1"/>
      <c r="MQZ3" s="1"/>
      <c r="MRA3" s="1"/>
      <c r="MRB3" s="1"/>
      <c r="MRC3" s="1"/>
      <c r="MRD3" s="1"/>
      <c r="MRE3" s="1"/>
      <c r="MRF3" s="1"/>
      <c r="MRG3" s="1"/>
      <c r="MRH3" s="1"/>
      <c r="MRI3" s="1"/>
      <c r="MRJ3" s="1"/>
      <c r="MRK3" s="1"/>
      <c r="MRL3" s="1"/>
      <c r="MRM3" s="1"/>
      <c r="MRN3" s="1"/>
      <c r="MRO3" s="1"/>
      <c r="MRP3" s="1"/>
      <c r="MRQ3" s="1"/>
      <c r="MRR3" s="1"/>
      <c r="MRS3" s="1"/>
      <c r="MRT3" s="1"/>
      <c r="MRU3" s="1"/>
      <c r="MRV3" s="1"/>
      <c r="MRW3" s="1"/>
      <c r="MRX3" s="1"/>
      <c r="MRY3" s="1"/>
      <c r="MRZ3" s="1"/>
      <c r="MSA3" s="1"/>
      <c r="MSB3" s="1"/>
      <c r="MSC3" s="1"/>
      <c r="MSD3" s="1"/>
      <c r="MSE3" s="1"/>
      <c r="MSF3" s="1"/>
      <c r="MSG3" s="1"/>
      <c r="MSH3" s="1"/>
      <c r="MSI3" s="1"/>
      <c r="MSJ3" s="1"/>
      <c r="MSK3" s="1"/>
      <c r="MSL3" s="1"/>
      <c r="MSM3" s="1"/>
      <c r="MSN3" s="1"/>
      <c r="MSO3" s="1"/>
      <c r="MSP3" s="1"/>
      <c r="MSQ3" s="1"/>
      <c r="MSR3" s="1"/>
      <c r="MSS3" s="1"/>
      <c r="MST3" s="1"/>
      <c r="MSU3" s="1"/>
      <c r="MSV3" s="1"/>
      <c r="MSW3" s="1"/>
      <c r="MSX3" s="1"/>
      <c r="MSY3" s="1"/>
      <c r="MSZ3" s="1"/>
      <c r="MTA3" s="1"/>
      <c r="MTB3" s="1"/>
      <c r="MTC3" s="1"/>
      <c r="MTD3" s="1"/>
      <c r="MTE3" s="1"/>
      <c r="MTF3" s="1"/>
      <c r="MTG3" s="1"/>
      <c r="MTH3" s="1"/>
      <c r="MTI3" s="1"/>
      <c r="MTJ3" s="1"/>
      <c r="MTK3" s="1"/>
      <c r="MTL3" s="1"/>
      <c r="MTM3" s="1"/>
      <c r="MTN3" s="1"/>
      <c r="MTO3" s="1"/>
      <c r="MTP3" s="1"/>
      <c r="MTQ3" s="1"/>
      <c r="MTR3" s="1"/>
      <c r="MTS3" s="1"/>
      <c r="MTT3" s="1"/>
      <c r="MTU3" s="1"/>
      <c r="MTV3" s="1"/>
      <c r="MTW3" s="1"/>
      <c r="MTX3" s="1"/>
      <c r="MTY3" s="1"/>
      <c r="MTZ3" s="1"/>
      <c r="MUA3" s="1"/>
      <c r="MUB3" s="1"/>
      <c r="MUC3" s="1"/>
      <c r="MUD3" s="1"/>
      <c r="MUE3" s="1"/>
      <c r="MUF3" s="1"/>
      <c r="MUG3" s="1"/>
      <c r="MUH3" s="1"/>
      <c r="MUI3" s="1"/>
      <c r="MUJ3" s="1"/>
      <c r="MUK3" s="1"/>
      <c r="MUL3" s="1"/>
      <c r="MUM3" s="1"/>
      <c r="MUN3" s="1"/>
      <c r="MUO3" s="1"/>
      <c r="MUP3" s="1"/>
      <c r="MUQ3" s="1"/>
      <c r="MUR3" s="1"/>
      <c r="MUS3" s="1"/>
      <c r="MUT3" s="1"/>
      <c r="MUU3" s="1"/>
      <c r="MUV3" s="1"/>
      <c r="MUW3" s="1"/>
      <c r="MUX3" s="1"/>
      <c r="MUY3" s="1"/>
      <c r="MUZ3" s="1"/>
      <c r="MVA3" s="1"/>
      <c r="MVB3" s="1"/>
      <c r="MVC3" s="1"/>
      <c r="MVD3" s="1"/>
      <c r="MVE3" s="1"/>
      <c r="MVF3" s="1"/>
      <c r="MVG3" s="1"/>
      <c r="MVH3" s="1"/>
      <c r="MVI3" s="1"/>
      <c r="MVJ3" s="1"/>
      <c r="MVK3" s="1"/>
      <c r="MVL3" s="1"/>
      <c r="MVM3" s="1"/>
      <c r="MVN3" s="1"/>
      <c r="MVO3" s="1"/>
      <c r="MVP3" s="1"/>
      <c r="MVQ3" s="1"/>
      <c r="MVR3" s="1"/>
      <c r="MVS3" s="1"/>
      <c r="MVT3" s="1"/>
      <c r="MVU3" s="1"/>
      <c r="MVV3" s="1"/>
      <c r="MVW3" s="1"/>
      <c r="MVX3" s="1"/>
      <c r="MVY3" s="1"/>
      <c r="MVZ3" s="1"/>
      <c r="MWA3" s="1"/>
      <c r="MWB3" s="1"/>
      <c r="MWC3" s="1"/>
      <c r="MWD3" s="1"/>
      <c r="MWE3" s="1"/>
      <c r="MWF3" s="1"/>
      <c r="MWG3" s="1"/>
      <c r="MWH3" s="1"/>
      <c r="MWI3" s="1"/>
      <c r="MWJ3" s="1"/>
      <c r="MWK3" s="1"/>
      <c r="MWL3" s="1"/>
      <c r="MWM3" s="1"/>
      <c r="MWN3" s="1"/>
      <c r="MWO3" s="1"/>
      <c r="MWP3" s="1"/>
      <c r="MWQ3" s="1"/>
      <c r="MWR3" s="1"/>
      <c r="MWS3" s="1"/>
      <c r="MWT3" s="1"/>
      <c r="MWU3" s="1"/>
      <c r="MWV3" s="1"/>
      <c r="MWW3" s="1"/>
      <c r="MWX3" s="1"/>
      <c r="MWY3" s="1"/>
      <c r="MWZ3" s="1"/>
      <c r="MXA3" s="1"/>
      <c r="MXB3" s="1"/>
      <c r="MXC3" s="1"/>
      <c r="MXD3" s="1"/>
      <c r="MXE3" s="1"/>
      <c r="MXF3" s="1"/>
      <c r="MXG3" s="1"/>
      <c r="MXH3" s="1"/>
      <c r="MXI3" s="1"/>
      <c r="MXJ3" s="1"/>
      <c r="MXK3" s="1"/>
      <c r="MXL3" s="1"/>
      <c r="MXM3" s="1"/>
      <c r="MXN3" s="1"/>
      <c r="MXO3" s="1"/>
      <c r="MXP3" s="1"/>
      <c r="MXQ3" s="1"/>
      <c r="MXR3" s="1"/>
      <c r="MXS3" s="1"/>
      <c r="MXT3" s="1"/>
      <c r="MXU3" s="1"/>
      <c r="MXV3" s="1"/>
      <c r="MXW3" s="1"/>
      <c r="MXX3" s="1"/>
      <c r="MXY3" s="1"/>
      <c r="MXZ3" s="1"/>
      <c r="MYA3" s="1"/>
      <c r="MYB3" s="1"/>
      <c r="MYC3" s="1"/>
      <c r="MYD3" s="1"/>
      <c r="MYE3" s="1"/>
      <c r="MYF3" s="1"/>
      <c r="MYG3" s="1"/>
      <c r="MYH3" s="1"/>
      <c r="MYI3" s="1"/>
      <c r="MYJ3" s="1"/>
      <c r="MYK3" s="1"/>
      <c r="MYL3" s="1"/>
      <c r="MYM3" s="1"/>
      <c r="MYN3" s="1"/>
      <c r="MYO3" s="1"/>
      <c r="MYP3" s="1"/>
      <c r="MYQ3" s="1"/>
      <c r="MYR3" s="1"/>
      <c r="MYS3" s="1"/>
      <c r="MYT3" s="1"/>
      <c r="MYU3" s="1"/>
      <c r="MYV3" s="1"/>
      <c r="MYW3" s="1"/>
      <c r="MYX3" s="1"/>
      <c r="MYY3" s="1"/>
      <c r="MYZ3" s="1"/>
      <c r="MZA3" s="1"/>
      <c r="MZB3" s="1"/>
      <c r="MZC3" s="1"/>
      <c r="MZD3" s="1"/>
      <c r="MZE3" s="1"/>
      <c r="MZF3" s="1"/>
      <c r="MZG3" s="1"/>
      <c r="MZH3" s="1"/>
      <c r="MZI3" s="1"/>
      <c r="MZJ3" s="1"/>
      <c r="MZK3" s="1"/>
      <c r="MZL3" s="1"/>
      <c r="MZM3" s="1"/>
      <c r="MZN3" s="1"/>
      <c r="MZO3" s="1"/>
      <c r="MZP3" s="1"/>
      <c r="MZQ3" s="1"/>
      <c r="MZR3" s="1"/>
      <c r="MZS3" s="1"/>
      <c r="MZT3" s="1"/>
      <c r="MZU3" s="1"/>
      <c r="MZV3" s="1"/>
      <c r="MZW3" s="1"/>
      <c r="MZX3" s="1"/>
      <c r="MZY3" s="1"/>
      <c r="MZZ3" s="1"/>
      <c r="NAA3" s="1"/>
      <c r="NAB3" s="1"/>
      <c r="NAC3" s="1"/>
      <c r="NAD3" s="1"/>
      <c r="NAE3" s="1"/>
      <c r="NAF3" s="1"/>
      <c r="NAG3" s="1"/>
      <c r="NAH3" s="1"/>
      <c r="NAI3" s="1"/>
      <c r="NAJ3" s="1"/>
      <c r="NAK3" s="1"/>
      <c r="NAL3" s="1"/>
      <c r="NAM3" s="1"/>
      <c r="NAN3" s="1"/>
      <c r="NAO3" s="1"/>
      <c r="NAP3" s="1"/>
      <c r="NAQ3" s="1"/>
      <c r="NAR3" s="1"/>
      <c r="NAS3" s="1"/>
      <c r="NAT3" s="1"/>
      <c r="NAU3" s="1"/>
      <c r="NAV3" s="1"/>
      <c r="NAW3" s="1"/>
      <c r="NAX3" s="1"/>
      <c r="NAY3" s="1"/>
      <c r="NAZ3" s="1"/>
      <c r="NBA3" s="1"/>
      <c r="NBB3" s="1"/>
      <c r="NBC3" s="1"/>
      <c r="NBD3" s="1"/>
      <c r="NBE3" s="1"/>
      <c r="NBF3" s="1"/>
      <c r="NBG3" s="1"/>
      <c r="NBH3" s="1"/>
      <c r="NBI3" s="1"/>
      <c r="NBJ3" s="1"/>
      <c r="NBK3" s="1"/>
      <c r="NBL3" s="1"/>
      <c r="NBM3" s="1"/>
      <c r="NBN3" s="1"/>
      <c r="NBO3" s="1"/>
      <c r="NBP3" s="1"/>
      <c r="NBQ3" s="1"/>
      <c r="NBR3" s="1"/>
      <c r="NBS3" s="1"/>
      <c r="NBT3" s="1"/>
      <c r="NBU3" s="1"/>
      <c r="NBV3" s="1"/>
      <c r="NBW3" s="1"/>
      <c r="NBX3" s="1"/>
      <c r="NBY3" s="1"/>
      <c r="NBZ3" s="1"/>
      <c r="NCA3" s="1"/>
      <c r="NCB3" s="1"/>
      <c r="NCC3" s="1"/>
      <c r="NCD3" s="1"/>
      <c r="NCE3" s="1"/>
      <c r="NCF3" s="1"/>
      <c r="NCG3" s="1"/>
      <c r="NCH3" s="1"/>
      <c r="NCI3" s="1"/>
      <c r="NCJ3" s="1"/>
      <c r="NCK3" s="1"/>
      <c r="NCL3" s="1"/>
      <c r="NCM3" s="1"/>
      <c r="NCN3" s="1"/>
      <c r="NCO3" s="1"/>
      <c r="NCP3" s="1"/>
      <c r="NCQ3" s="1"/>
      <c r="NCR3" s="1"/>
      <c r="NCS3" s="1"/>
      <c r="NCT3" s="1"/>
      <c r="NCU3" s="1"/>
      <c r="NCV3" s="1"/>
      <c r="NCW3" s="1"/>
      <c r="NCX3" s="1"/>
      <c r="NCY3" s="1"/>
      <c r="NCZ3" s="1"/>
      <c r="NDA3" s="1"/>
      <c r="NDB3" s="1"/>
      <c r="NDC3" s="1"/>
      <c r="NDD3" s="1"/>
      <c r="NDE3" s="1"/>
      <c r="NDF3" s="1"/>
      <c r="NDG3" s="1"/>
      <c r="NDH3" s="1"/>
      <c r="NDI3" s="1"/>
      <c r="NDJ3" s="1"/>
      <c r="NDK3" s="1"/>
      <c r="NDL3" s="1"/>
      <c r="NDM3" s="1"/>
      <c r="NDN3" s="1"/>
      <c r="NDO3" s="1"/>
      <c r="NDP3" s="1"/>
      <c r="NDQ3" s="1"/>
      <c r="NDR3" s="1"/>
      <c r="NDS3" s="1"/>
      <c r="NDT3" s="1"/>
      <c r="NDU3" s="1"/>
      <c r="NDV3" s="1"/>
      <c r="NDW3" s="1"/>
      <c r="NDX3" s="1"/>
      <c r="NDY3" s="1"/>
      <c r="NDZ3" s="1"/>
      <c r="NEA3" s="1"/>
      <c r="NEB3" s="1"/>
      <c r="NEC3" s="1"/>
      <c r="NED3" s="1"/>
      <c r="NEE3" s="1"/>
      <c r="NEF3" s="1"/>
      <c r="NEG3" s="1"/>
      <c r="NEH3" s="1"/>
      <c r="NEI3" s="1"/>
      <c r="NEJ3" s="1"/>
      <c r="NEK3" s="1"/>
      <c r="NEL3" s="1"/>
      <c r="NEM3" s="1"/>
      <c r="NEN3" s="1"/>
      <c r="NEO3" s="1"/>
      <c r="NEP3" s="1"/>
      <c r="NEQ3" s="1"/>
      <c r="NER3" s="1"/>
      <c r="NES3" s="1"/>
      <c r="NET3" s="1"/>
      <c r="NEU3" s="1"/>
      <c r="NEV3" s="1"/>
      <c r="NEW3" s="1"/>
      <c r="NEX3" s="1"/>
      <c r="NEY3" s="1"/>
      <c r="NEZ3" s="1"/>
      <c r="NFA3" s="1"/>
      <c r="NFB3" s="1"/>
      <c r="NFC3" s="1"/>
      <c r="NFD3" s="1"/>
      <c r="NFE3" s="1"/>
      <c r="NFF3" s="1"/>
      <c r="NFG3" s="1"/>
      <c r="NFH3" s="1"/>
      <c r="NFI3" s="1"/>
      <c r="NFJ3" s="1"/>
      <c r="NFK3" s="1"/>
      <c r="NFL3" s="1"/>
      <c r="NFM3" s="1"/>
      <c r="NFN3" s="1"/>
      <c r="NFO3" s="1"/>
      <c r="NFP3" s="1"/>
      <c r="NFQ3" s="1"/>
      <c r="NFR3" s="1"/>
      <c r="NFS3" s="1"/>
      <c r="NFT3" s="1"/>
      <c r="NFU3" s="1"/>
      <c r="NFV3" s="1"/>
      <c r="NFW3" s="1"/>
      <c r="NFX3" s="1"/>
      <c r="NFY3" s="1"/>
      <c r="NFZ3" s="1"/>
      <c r="NGA3" s="1"/>
      <c r="NGB3" s="1"/>
      <c r="NGC3" s="1"/>
      <c r="NGD3" s="1"/>
      <c r="NGE3" s="1"/>
      <c r="NGF3" s="1"/>
      <c r="NGG3" s="1"/>
      <c r="NGH3" s="1"/>
      <c r="NGI3" s="1"/>
      <c r="NGJ3" s="1"/>
      <c r="NGK3" s="1"/>
      <c r="NGL3" s="1"/>
      <c r="NGM3" s="1"/>
      <c r="NGN3" s="1"/>
      <c r="NGO3" s="1"/>
      <c r="NGP3" s="1"/>
      <c r="NGQ3" s="1"/>
      <c r="NGR3" s="1"/>
      <c r="NGS3" s="1"/>
      <c r="NGT3" s="1"/>
      <c r="NGU3" s="1"/>
      <c r="NGV3" s="1"/>
      <c r="NGW3" s="1"/>
      <c r="NGX3" s="1"/>
      <c r="NGY3" s="1"/>
      <c r="NGZ3" s="1"/>
      <c r="NHA3" s="1"/>
      <c r="NHB3" s="1"/>
      <c r="NHC3" s="1"/>
      <c r="NHD3" s="1"/>
      <c r="NHE3" s="1"/>
      <c r="NHF3" s="1"/>
      <c r="NHG3" s="1"/>
      <c r="NHH3" s="1"/>
      <c r="NHI3" s="1"/>
      <c r="NHJ3" s="1"/>
      <c r="NHK3" s="1"/>
      <c r="NHL3" s="1"/>
      <c r="NHM3" s="1"/>
      <c r="NHN3" s="1"/>
      <c r="NHO3" s="1"/>
      <c r="NHP3" s="1"/>
      <c r="NHQ3" s="1"/>
      <c r="NHR3" s="1"/>
      <c r="NHS3" s="1"/>
      <c r="NHT3" s="1"/>
      <c r="NHU3" s="1"/>
      <c r="NHV3" s="1"/>
      <c r="NHW3" s="1"/>
      <c r="NHX3" s="1"/>
      <c r="NHY3" s="1"/>
      <c r="NHZ3" s="1"/>
      <c r="NIA3" s="1"/>
      <c r="NIB3" s="1"/>
      <c r="NIC3" s="1"/>
      <c r="NID3" s="1"/>
      <c r="NIE3" s="1"/>
      <c r="NIF3" s="1"/>
      <c r="NIG3" s="1"/>
      <c r="NIH3" s="1"/>
      <c r="NII3" s="1"/>
      <c r="NIJ3" s="1"/>
      <c r="NIK3" s="1"/>
      <c r="NIL3" s="1"/>
      <c r="NIM3" s="1"/>
      <c r="NIN3" s="1"/>
      <c r="NIO3" s="1"/>
      <c r="NIP3" s="1"/>
      <c r="NIQ3" s="1"/>
      <c r="NIR3" s="1"/>
      <c r="NIS3" s="1"/>
      <c r="NIT3" s="1"/>
      <c r="NIU3" s="1"/>
      <c r="NIV3" s="1"/>
      <c r="NIW3" s="1"/>
      <c r="NIX3" s="1"/>
      <c r="NIY3" s="1"/>
      <c r="NIZ3" s="1"/>
      <c r="NJA3" s="1"/>
      <c r="NJB3" s="1"/>
      <c r="NJC3" s="1"/>
      <c r="NJD3" s="1"/>
      <c r="NJE3" s="1"/>
      <c r="NJF3" s="1"/>
      <c r="NJG3" s="1"/>
      <c r="NJH3" s="1"/>
      <c r="NJI3" s="1"/>
      <c r="NJJ3" s="1"/>
      <c r="NJK3" s="1"/>
      <c r="NJL3" s="1"/>
      <c r="NJM3" s="1"/>
      <c r="NJN3" s="1"/>
      <c r="NJO3" s="1"/>
      <c r="NJP3" s="1"/>
      <c r="NJQ3" s="1"/>
      <c r="NJR3" s="1"/>
      <c r="NJS3" s="1"/>
      <c r="NJT3" s="1"/>
      <c r="NJU3" s="1"/>
      <c r="NJV3" s="1"/>
      <c r="NJW3" s="1"/>
      <c r="NJX3" s="1"/>
      <c r="NJY3" s="1"/>
      <c r="NJZ3" s="1"/>
      <c r="NKA3" s="1"/>
      <c r="NKB3" s="1"/>
      <c r="NKC3" s="1"/>
      <c r="NKD3" s="1"/>
      <c r="NKE3" s="1"/>
      <c r="NKF3" s="1"/>
      <c r="NKG3" s="1"/>
      <c r="NKH3" s="1"/>
      <c r="NKI3" s="1"/>
      <c r="NKJ3" s="1"/>
      <c r="NKK3" s="1"/>
      <c r="NKL3" s="1"/>
      <c r="NKM3" s="1"/>
      <c r="NKN3" s="1"/>
      <c r="NKO3" s="1"/>
      <c r="NKP3" s="1"/>
      <c r="NKQ3" s="1"/>
      <c r="NKR3" s="1"/>
      <c r="NKS3" s="1"/>
      <c r="NKT3" s="1"/>
      <c r="NKU3" s="1"/>
      <c r="NKV3" s="1"/>
      <c r="NKW3" s="1"/>
      <c r="NKX3" s="1"/>
      <c r="NKY3" s="1"/>
      <c r="NKZ3" s="1"/>
      <c r="NLA3" s="1"/>
      <c r="NLB3" s="1"/>
      <c r="NLC3" s="1"/>
      <c r="NLD3" s="1"/>
      <c r="NLE3" s="1"/>
      <c r="NLF3" s="1"/>
      <c r="NLG3" s="1"/>
      <c r="NLH3" s="1"/>
      <c r="NLI3" s="1"/>
      <c r="NLJ3" s="1"/>
      <c r="NLK3" s="1"/>
      <c r="NLL3" s="1"/>
      <c r="NLM3" s="1"/>
      <c r="NLN3" s="1"/>
      <c r="NLO3" s="1"/>
      <c r="NLP3" s="1"/>
      <c r="NLQ3" s="1"/>
      <c r="NLR3" s="1"/>
      <c r="NLS3" s="1"/>
      <c r="NLT3" s="1"/>
      <c r="NLU3" s="1"/>
      <c r="NLV3" s="1"/>
      <c r="NLW3" s="1"/>
      <c r="NLX3" s="1"/>
      <c r="NLY3" s="1"/>
      <c r="NLZ3" s="1"/>
      <c r="NMA3" s="1"/>
      <c r="NMB3" s="1"/>
      <c r="NMC3" s="1"/>
      <c r="NMD3" s="1"/>
      <c r="NME3" s="1"/>
      <c r="NMF3" s="1"/>
      <c r="NMG3" s="1"/>
      <c r="NMH3" s="1"/>
      <c r="NMI3" s="1"/>
      <c r="NMJ3" s="1"/>
      <c r="NMK3" s="1"/>
      <c r="NML3" s="1"/>
      <c r="NMM3" s="1"/>
      <c r="NMN3" s="1"/>
      <c r="NMO3" s="1"/>
      <c r="NMP3" s="1"/>
      <c r="NMQ3" s="1"/>
      <c r="NMR3" s="1"/>
      <c r="NMS3" s="1"/>
      <c r="NMT3" s="1"/>
      <c r="NMU3" s="1"/>
      <c r="NMV3" s="1"/>
      <c r="NMW3" s="1"/>
      <c r="NMX3" s="1"/>
      <c r="NMY3" s="1"/>
      <c r="NMZ3" s="1"/>
      <c r="NNA3" s="1"/>
      <c r="NNB3" s="1"/>
      <c r="NNC3" s="1"/>
      <c r="NND3" s="1"/>
      <c r="NNE3" s="1"/>
      <c r="NNF3" s="1"/>
      <c r="NNG3" s="1"/>
      <c r="NNH3" s="1"/>
      <c r="NNI3" s="1"/>
      <c r="NNJ3" s="1"/>
      <c r="NNK3" s="1"/>
      <c r="NNL3" s="1"/>
      <c r="NNM3" s="1"/>
      <c r="NNN3" s="1"/>
      <c r="NNO3" s="1"/>
      <c r="NNP3" s="1"/>
      <c r="NNQ3" s="1"/>
      <c r="NNR3" s="1"/>
      <c r="NNS3" s="1"/>
      <c r="NNT3" s="1"/>
      <c r="NNU3" s="1"/>
      <c r="NNV3" s="1"/>
      <c r="NNW3" s="1"/>
      <c r="NNX3" s="1"/>
      <c r="NNY3" s="1"/>
      <c r="NNZ3" s="1"/>
      <c r="NOA3" s="1"/>
      <c r="NOB3" s="1"/>
      <c r="NOC3" s="1"/>
      <c r="NOD3" s="1"/>
      <c r="NOE3" s="1"/>
      <c r="NOF3" s="1"/>
      <c r="NOG3" s="1"/>
      <c r="NOH3" s="1"/>
      <c r="NOI3" s="1"/>
      <c r="NOJ3" s="1"/>
      <c r="NOK3" s="1"/>
      <c r="NOL3" s="1"/>
      <c r="NOM3" s="1"/>
      <c r="NON3" s="1"/>
      <c r="NOO3" s="1"/>
      <c r="NOP3" s="1"/>
      <c r="NOQ3" s="1"/>
      <c r="NOR3" s="1"/>
      <c r="NOS3" s="1"/>
      <c r="NOT3" s="1"/>
      <c r="NOU3" s="1"/>
      <c r="NOV3" s="1"/>
      <c r="NOW3" s="1"/>
      <c r="NOX3" s="1"/>
      <c r="NOY3" s="1"/>
      <c r="NOZ3" s="1"/>
      <c r="NPA3" s="1"/>
      <c r="NPB3" s="1"/>
      <c r="NPC3" s="1"/>
      <c r="NPD3" s="1"/>
      <c r="NPE3" s="1"/>
      <c r="NPF3" s="1"/>
      <c r="NPG3" s="1"/>
      <c r="NPH3" s="1"/>
      <c r="NPI3" s="1"/>
      <c r="NPJ3" s="1"/>
      <c r="NPK3" s="1"/>
      <c r="NPL3" s="1"/>
      <c r="NPM3" s="1"/>
      <c r="NPN3" s="1"/>
      <c r="NPO3" s="1"/>
      <c r="NPP3" s="1"/>
      <c r="NPQ3" s="1"/>
      <c r="NPR3" s="1"/>
      <c r="NPS3" s="1"/>
      <c r="NPT3" s="1"/>
      <c r="NPU3" s="1"/>
      <c r="NPV3" s="1"/>
      <c r="NPW3" s="1"/>
      <c r="NPX3" s="1"/>
      <c r="NPY3" s="1"/>
      <c r="NPZ3" s="1"/>
      <c r="NQA3" s="1"/>
      <c r="NQB3" s="1"/>
      <c r="NQC3" s="1"/>
      <c r="NQD3" s="1"/>
      <c r="NQE3" s="1"/>
      <c r="NQF3" s="1"/>
      <c r="NQG3" s="1"/>
      <c r="NQH3" s="1"/>
      <c r="NQI3" s="1"/>
      <c r="NQJ3" s="1"/>
      <c r="NQK3" s="1"/>
      <c r="NQL3" s="1"/>
      <c r="NQM3" s="1"/>
      <c r="NQN3" s="1"/>
      <c r="NQO3" s="1"/>
      <c r="NQP3" s="1"/>
      <c r="NQQ3" s="1"/>
      <c r="NQR3" s="1"/>
      <c r="NQS3" s="1"/>
      <c r="NQT3" s="1"/>
      <c r="NQU3" s="1"/>
      <c r="NQV3" s="1"/>
      <c r="NQW3" s="1"/>
      <c r="NQX3" s="1"/>
      <c r="NQY3" s="1"/>
      <c r="NQZ3" s="1"/>
      <c r="NRA3" s="1"/>
      <c r="NRB3" s="1"/>
      <c r="NRC3" s="1"/>
      <c r="NRD3" s="1"/>
      <c r="NRE3" s="1"/>
      <c r="NRF3" s="1"/>
      <c r="NRG3" s="1"/>
      <c r="NRH3" s="1"/>
      <c r="NRI3" s="1"/>
      <c r="NRJ3" s="1"/>
      <c r="NRK3" s="1"/>
      <c r="NRL3" s="1"/>
      <c r="NRM3" s="1"/>
      <c r="NRN3" s="1"/>
      <c r="NRO3" s="1"/>
      <c r="NRP3" s="1"/>
      <c r="NRQ3" s="1"/>
      <c r="NRR3" s="1"/>
      <c r="NRS3" s="1"/>
      <c r="NRT3" s="1"/>
      <c r="NRU3" s="1"/>
      <c r="NRV3" s="1"/>
      <c r="NRW3" s="1"/>
      <c r="NRX3" s="1"/>
      <c r="NRY3" s="1"/>
      <c r="NRZ3" s="1"/>
      <c r="NSA3" s="1"/>
      <c r="NSB3" s="1"/>
      <c r="NSC3" s="1"/>
      <c r="NSD3" s="1"/>
      <c r="NSE3" s="1"/>
      <c r="NSF3" s="1"/>
      <c r="NSG3" s="1"/>
      <c r="NSH3" s="1"/>
      <c r="NSI3" s="1"/>
      <c r="NSJ3" s="1"/>
      <c r="NSK3" s="1"/>
      <c r="NSL3" s="1"/>
      <c r="NSM3" s="1"/>
      <c r="NSN3" s="1"/>
      <c r="NSO3" s="1"/>
      <c r="NSP3" s="1"/>
      <c r="NSQ3" s="1"/>
      <c r="NSR3" s="1"/>
      <c r="NSS3" s="1"/>
      <c r="NST3" s="1"/>
      <c r="NSU3" s="1"/>
      <c r="NSV3" s="1"/>
      <c r="NSW3" s="1"/>
      <c r="NSX3" s="1"/>
      <c r="NSY3" s="1"/>
      <c r="NSZ3" s="1"/>
      <c r="NTA3" s="1"/>
      <c r="NTB3" s="1"/>
      <c r="NTC3" s="1"/>
      <c r="NTD3" s="1"/>
      <c r="NTE3" s="1"/>
      <c r="NTF3" s="1"/>
      <c r="NTG3" s="1"/>
      <c r="NTH3" s="1"/>
      <c r="NTI3" s="1"/>
      <c r="NTJ3" s="1"/>
      <c r="NTK3" s="1"/>
      <c r="NTL3" s="1"/>
      <c r="NTM3" s="1"/>
      <c r="NTN3" s="1"/>
      <c r="NTO3" s="1"/>
      <c r="NTP3" s="1"/>
      <c r="NTQ3" s="1"/>
      <c r="NTR3" s="1"/>
      <c r="NTS3" s="1"/>
      <c r="NTT3" s="1"/>
      <c r="NTU3" s="1"/>
      <c r="NTV3" s="1"/>
      <c r="NTW3" s="1"/>
      <c r="NTX3" s="1"/>
      <c r="NTY3" s="1"/>
      <c r="NTZ3" s="1"/>
      <c r="NUA3" s="1"/>
      <c r="NUB3" s="1"/>
      <c r="NUC3" s="1"/>
      <c r="NUD3" s="1"/>
      <c r="NUE3" s="1"/>
      <c r="NUF3" s="1"/>
      <c r="NUG3" s="1"/>
      <c r="NUH3" s="1"/>
      <c r="NUI3" s="1"/>
      <c r="NUJ3" s="1"/>
      <c r="NUK3" s="1"/>
      <c r="NUL3" s="1"/>
      <c r="NUM3" s="1"/>
      <c r="NUN3" s="1"/>
      <c r="NUO3" s="1"/>
      <c r="NUP3" s="1"/>
      <c r="NUQ3" s="1"/>
      <c r="NUR3" s="1"/>
      <c r="NUS3" s="1"/>
      <c r="NUT3" s="1"/>
      <c r="NUU3" s="1"/>
      <c r="NUV3" s="1"/>
      <c r="NUW3" s="1"/>
      <c r="NUX3" s="1"/>
      <c r="NUY3" s="1"/>
      <c r="NUZ3" s="1"/>
      <c r="NVA3" s="1"/>
      <c r="NVB3" s="1"/>
      <c r="NVC3" s="1"/>
      <c r="NVD3" s="1"/>
      <c r="NVE3" s="1"/>
      <c r="NVF3" s="1"/>
      <c r="NVG3" s="1"/>
      <c r="NVH3" s="1"/>
      <c r="NVI3" s="1"/>
      <c r="NVJ3" s="1"/>
      <c r="NVK3" s="1"/>
      <c r="NVL3" s="1"/>
      <c r="NVM3" s="1"/>
      <c r="NVN3" s="1"/>
      <c r="NVO3" s="1"/>
      <c r="NVP3" s="1"/>
      <c r="NVQ3" s="1"/>
      <c r="NVR3" s="1"/>
      <c r="NVS3" s="1"/>
      <c r="NVT3" s="1"/>
      <c r="NVU3" s="1"/>
      <c r="NVV3" s="1"/>
      <c r="NVW3" s="1"/>
      <c r="NVX3" s="1"/>
      <c r="NVY3" s="1"/>
      <c r="NVZ3" s="1"/>
      <c r="NWA3" s="1"/>
      <c r="NWB3" s="1"/>
      <c r="NWC3" s="1"/>
      <c r="NWD3" s="1"/>
      <c r="NWE3" s="1"/>
      <c r="NWF3" s="1"/>
      <c r="NWG3" s="1"/>
      <c r="NWH3" s="1"/>
      <c r="NWI3" s="1"/>
      <c r="NWJ3" s="1"/>
      <c r="NWK3" s="1"/>
      <c r="NWL3" s="1"/>
      <c r="NWM3" s="1"/>
      <c r="NWN3" s="1"/>
      <c r="NWO3" s="1"/>
      <c r="NWP3" s="1"/>
      <c r="NWQ3" s="1"/>
      <c r="NWR3" s="1"/>
      <c r="NWS3" s="1"/>
      <c r="NWT3" s="1"/>
      <c r="NWU3" s="1"/>
      <c r="NWV3" s="1"/>
      <c r="NWW3" s="1"/>
      <c r="NWX3" s="1"/>
      <c r="NWY3" s="1"/>
      <c r="NWZ3" s="1"/>
      <c r="NXA3" s="1"/>
      <c r="NXB3" s="1"/>
      <c r="NXC3" s="1"/>
      <c r="NXD3" s="1"/>
      <c r="NXE3" s="1"/>
      <c r="NXF3" s="1"/>
      <c r="NXG3" s="1"/>
      <c r="NXH3" s="1"/>
      <c r="NXI3" s="1"/>
      <c r="NXJ3" s="1"/>
      <c r="NXK3" s="1"/>
      <c r="NXL3" s="1"/>
      <c r="NXM3" s="1"/>
      <c r="NXN3" s="1"/>
      <c r="NXO3" s="1"/>
      <c r="NXP3" s="1"/>
      <c r="NXQ3" s="1"/>
      <c r="NXR3" s="1"/>
      <c r="NXS3" s="1"/>
      <c r="NXT3" s="1"/>
      <c r="NXU3" s="1"/>
      <c r="NXV3" s="1"/>
      <c r="NXW3" s="1"/>
      <c r="NXX3" s="1"/>
      <c r="NXY3" s="1"/>
      <c r="NXZ3" s="1"/>
      <c r="NYA3" s="1"/>
      <c r="NYB3" s="1"/>
      <c r="NYC3" s="1"/>
      <c r="NYD3" s="1"/>
      <c r="NYE3" s="1"/>
      <c r="NYF3" s="1"/>
      <c r="NYG3" s="1"/>
      <c r="NYH3" s="1"/>
      <c r="NYI3" s="1"/>
      <c r="NYJ3" s="1"/>
      <c r="NYK3" s="1"/>
      <c r="NYL3" s="1"/>
      <c r="NYM3" s="1"/>
      <c r="NYN3" s="1"/>
      <c r="NYO3" s="1"/>
      <c r="NYP3" s="1"/>
      <c r="NYQ3" s="1"/>
      <c r="NYR3" s="1"/>
      <c r="NYS3" s="1"/>
      <c r="NYT3" s="1"/>
      <c r="NYU3" s="1"/>
      <c r="NYV3" s="1"/>
      <c r="NYW3" s="1"/>
      <c r="NYX3" s="1"/>
      <c r="NYY3" s="1"/>
      <c r="NYZ3" s="1"/>
      <c r="NZA3" s="1"/>
      <c r="NZB3" s="1"/>
      <c r="NZC3" s="1"/>
      <c r="NZD3" s="1"/>
      <c r="NZE3" s="1"/>
      <c r="NZF3" s="1"/>
      <c r="NZG3" s="1"/>
      <c r="NZH3" s="1"/>
      <c r="NZI3" s="1"/>
      <c r="NZJ3" s="1"/>
      <c r="NZK3" s="1"/>
      <c r="NZL3" s="1"/>
      <c r="NZM3" s="1"/>
      <c r="NZN3" s="1"/>
      <c r="NZO3" s="1"/>
      <c r="NZP3" s="1"/>
      <c r="NZQ3" s="1"/>
      <c r="NZR3" s="1"/>
      <c r="NZS3" s="1"/>
      <c r="NZT3" s="1"/>
      <c r="NZU3" s="1"/>
      <c r="NZV3" s="1"/>
      <c r="NZW3" s="1"/>
      <c r="NZX3" s="1"/>
      <c r="NZY3" s="1"/>
      <c r="NZZ3" s="1"/>
      <c r="OAA3" s="1"/>
      <c r="OAB3" s="1"/>
      <c r="OAC3" s="1"/>
      <c r="OAD3" s="1"/>
      <c r="OAE3" s="1"/>
      <c r="OAF3" s="1"/>
      <c r="OAG3" s="1"/>
      <c r="OAH3" s="1"/>
      <c r="OAI3" s="1"/>
      <c r="OAJ3" s="1"/>
      <c r="OAK3" s="1"/>
      <c r="OAL3" s="1"/>
      <c r="OAM3" s="1"/>
      <c r="OAN3" s="1"/>
      <c r="OAO3" s="1"/>
      <c r="OAP3" s="1"/>
      <c r="OAQ3" s="1"/>
      <c r="OAR3" s="1"/>
      <c r="OAS3" s="1"/>
      <c r="OAT3" s="1"/>
      <c r="OAU3" s="1"/>
      <c r="OAV3" s="1"/>
      <c r="OAW3" s="1"/>
      <c r="OAX3" s="1"/>
      <c r="OAY3" s="1"/>
      <c r="OAZ3" s="1"/>
      <c r="OBA3" s="1"/>
      <c r="OBB3" s="1"/>
      <c r="OBC3" s="1"/>
      <c r="OBD3" s="1"/>
      <c r="OBE3" s="1"/>
      <c r="OBF3" s="1"/>
      <c r="OBG3" s="1"/>
      <c r="OBH3" s="1"/>
      <c r="OBI3" s="1"/>
      <c r="OBJ3" s="1"/>
      <c r="OBK3" s="1"/>
      <c r="OBL3" s="1"/>
      <c r="OBM3" s="1"/>
      <c r="OBN3" s="1"/>
      <c r="OBO3" s="1"/>
      <c r="OBP3" s="1"/>
      <c r="OBQ3" s="1"/>
      <c r="OBR3" s="1"/>
      <c r="OBS3" s="1"/>
      <c r="OBT3" s="1"/>
      <c r="OBU3" s="1"/>
      <c r="OBV3" s="1"/>
      <c r="OBW3" s="1"/>
      <c r="OBX3" s="1"/>
      <c r="OBY3" s="1"/>
      <c r="OBZ3" s="1"/>
      <c r="OCA3" s="1"/>
      <c r="OCB3" s="1"/>
      <c r="OCC3" s="1"/>
      <c r="OCD3" s="1"/>
      <c r="OCE3" s="1"/>
      <c r="OCF3" s="1"/>
      <c r="OCG3" s="1"/>
      <c r="OCH3" s="1"/>
      <c r="OCI3" s="1"/>
      <c r="OCJ3" s="1"/>
      <c r="OCK3" s="1"/>
      <c r="OCL3" s="1"/>
      <c r="OCM3" s="1"/>
      <c r="OCN3" s="1"/>
      <c r="OCO3" s="1"/>
      <c r="OCP3" s="1"/>
      <c r="OCQ3" s="1"/>
      <c r="OCR3" s="1"/>
      <c r="OCS3" s="1"/>
      <c r="OCT3" s="1"/>
      <c r="OCU3" s="1"/>
      <c r="OCV3" s="1"/>
      <c r="OCW3" s="1"/>
      <c r="OCX3" s="1"/>
      <c r="OCY3" s="1"/>
      <c r="OCZ3" s="1"/>
      <c r="ODA3" s="1"/>
      <c r="ODB3" s="1"/>
      <c r="ODC3" s="1"/>
      <c r="ODD3" s="1"/>
      <c r="ODE3" s="1"/>
      <c r="ODF3" s="1"/>
      <c r="ODG3" s="1"/>
      <c r="ODH3" s="1"/>
      <c r="ODI3" s="1"/>
      <c r="ODJ3" s="1"/>
      <c r="ODK3" s="1"/>
      <c r="ODL3" s="1"/>
      <c r="ODM3" s="1"/>
      <c r="ODN3" s="1"/>
      <c r="ODO3" s="1"/>
      <c r="ODP3" s="1"/>
      <c r="ODQ3" s="1"/>
      <c r="ODR3" s="1"/>
      <c r="ODS3" s="1"/>
      <c r="ODT3" s="1"/>
      <c r="ODU3" s="1"/>
      <c r="ODV3" s="1"/>
      <c r="ODW3" s="1"/>
      <c r="ODX3" s="1"/>
      <c r="ODY3" s="1"/>
      <c r="ODZ3" s="1"/>
      <c r="OEA3" s="1"/>
      <c r="OEB3" s="1"/>
      <c r="OEC3" s="1"/>
      <c r="OED3" s="1"/>
      <c r="OEE3" s="1"/>
      <c r="OEF3" s="1"/>
      <c r="OEG3" s="1"/>
      <c r="OEH3" s="1"/>
      <c r="OEI3" s="1"/>
      <c r="OEJ3" s="1"/>
      <c r="OEK3" s="1"/>
      <c r="OEL3" s="1"/>
      <c r="OEM3" s="1"/>
      <c r="OEN3" s="1"/>
      <c r="OEO3" s="1"/>
      <c r="OEP3" s="1"/>
      <c r="OEQ3" s="1"/>
      <c r="OER3" s="1"/>
      <c r="OES3" s="1"/>
      <c r="OET3" s="1"/>
      <c r="OEU3" s="1"/>
      <c r="OEV3" s="1"/>
      <c r="OEW3" s="1"/>
      <c r="OEX3" s="1"/>
      <c r="OEY3" s="1"/>
      <c r="OEZ3" s="1"/>
      <c r="OFA3" s="1"/>
      <c r="OFB3" s="1"/>
      <c r="OFC3" s="1"/>
      <c r="OFD3" s="1"/>
      <c r="OFE3" s="1"/>
      <c r="OFF3" s="1"/>
      <c r="OFG3" s="1"/>
      <c r="OFH3" s="1"/>
      <c r="OFI3" s="1"/>
      <c r="OFJ3" s="1"/>
      <c r="OFK3" s="1"/>
      <c r="OFL3" s="1"/>
      <c r="OFM3" s="1"/>
      <c r="OFN3" s="1"/>
      <c r="OFO3" s="1"/>
      <c r="OFP3" s="1"/>
      <c r="OFQ3" s="1"/>
      <c r="OFR3" s="1"/>
      <c r="OFS3" s="1"/>
      <c r="OFT3" s="1"/>
      <c r="OFU3" s="1"/>
      <c r="OFV3" s="1"/>
      <c r="OFW3" s="1"/>
      <c r="OFX3" s="1"/>
      <c r="OFY3" s="1"/>
      <c r="OFZ3" s="1"/>
      <c r="OGA3" s="1"/>
      <c r="OGB3" s="1"/>
      <c r="OGC3" s="1"/>
      <c r="OGD3" s="1"/>
      <c r="OGE3" s="1"/>
      <c r="OGF3" s="1"/>
      <c r="OGG3" s="1"/>
      <c r="OGH3" s="1"/>
      <c r="OGI3" s="1"/>
      <c r="OGJ3" s="1"/>
      <c r="OGK3" s="1"/>
      <c r="OGL3" s="1"/>
      <c r="OGM3" s="1"/>
      <c r="OGN3" s="1"/>
      <c r="OGO3" s="1"/>
      <c r="OGP3" s="1"/>
      <c r="OGQ3" s="1"/>
      <c r="OGR3" s="1"/>
      <c r="OGS3" s="1"/>
      <c r="OGT3" s="1"/>
      <c r="OGU3" s="1"/>
      <c r="OGV3" s="1"/>
      <c r="OGW3" s="1"/>
      <c r="OGX3" s="1"/>
      <c r="OGY3" s="1"/>
      <c r="OGZ3" s="1"/>
      <c r="OHA3" s="1"/>
      <c r="OHB3" s="1"/>
      <c r="OHC3" s="1"/>
      <c r="OHD3" s="1"/>
      <c r="OHE3" s="1"/>
      <c r="OHF3" s="1"/>
      <c r="OHG3" s="1"/>
      <c r="OHH3" s="1"/>
      <c r="OHI3" s="1"/>
      <c r="OHJ3" s="1"/>
      <c r="OHK3" s="1"/>
      <c r="OHL3" s="1"/>
      <c r="OHM3" s="1"/>
      <c r="OHN3" s="1"/>
      <c r="OHO3" s="1"/>
      <c r="OHP3" s="1"/>
      <c r="OHQ3" s="1"/>
      <c r="OHR3" s="1"/>
      <c r="OHS3" s="1"/>
      <c r="OHT3" s="1"/>
      <c r="OHU3" s="1"/>
      <c r="OHV3" s="1"/>
      <c r="OHW3" s="1"/>
      <c r="OHX3" s="1"/>
      <c r="OHY3" s="1"/>
      <c r="OHZ3" s="1"/>
      <c r="OIA3" s="1"/>
      <c r="OIB3" s="1"/>
      <c r="OIC3" s="1"/>
      <c r="OID3" s="1"/>
      <c r="OIE3" s="1"/>
      <c r="OIF3" s="1"/>
      <c r="OIG3" s="1"/>
      <c r="OIH3" s="1"/>
      <c r="OII3" s="1"/>
      <c r="OIJ3" s="1"/>
      <c r="OIK3" s="1"/>
      <c r="OIL3" s="1"/>
      <c r="OIM3" s="1"/>
      <c r="OIN3" s="1"/>
      <c r="OIO3" s="1"/>
      <c r="OIP3" s="1"/>
      <c r="OIQ3" s="1"/>
      <c r="OIR3" s="1"/>
      <c r="OIS3" s="1"/>
      <c r="OIT3" s="1"/>
      <c r="OIU3" s="1"/>
      <c r="OIV3" s="1"/>
      <c r="OIW3" s="1"/>
      <c r="OIX3" s="1"/>
      <c r="OIY3" s="1"/>
      <c r="OIZ3" s="1"/>
      <c r="OJA3" s="1"/>
      <c r="OJB3" s="1"/>
      <c r="OJC3" s="1"/>
      <c r="OJD3" s="1"/>
      <c r="OJE3" s="1"/>
      <c r="OJF3" s="1"/>
      <c r="OJG3" s="1"/>
      <c r="OJH3" s="1"/>
      <c r="OJI3" s="1"/>
      <c r="OJJ3" s="1"/>
      <c r="OJK3" s="1"/>
      <c r="OJL3" s="1"/>
      <c r="OJM3" s="1"/>
      <c r="OJN3" s="1"/>
      <c r="OJO3" s="1"/>
      <c r="OJP3" s="1"/>
      <c r="OJQ3" s="1"/>
      <c r="OJR3" s="1"/>
      <c r="OJS3" s="1"/>
      <c r="OJT3" s="1"/>
      <c r="OJU3" s="1"/>
      <c r="OJV3" s="1"/>
      <c r="OJW3" s="1"/>
      <c r="OJX3" s="1"/>
      <c r="OJY3" s="1"/>
      <c r="OJZ3" s="1"/>
      <c r="OKA3" s="1"/>
      <c r="OKB3" s="1"/>
      <c r="OKC3" s="1"/>
      <c r="OKD3" s="1"/>
      <c r="OKE3" s="1"/>
      <c r="OKF3" s="1"/>
      <c r="OKG3" s="1"/>
      <c r="OKH3" s="1"/>
      <c r="OKI3" s="1"/>
      <c r="OKJ3" s="1"/>
      <c r="OKK3" s="1"/>
      <c r="OKL3" s="1"/>
      <c r="OKM3" s="1"/>
      <c r="OKN3" s="1"/>
      <c r="OKO3" s="1"/>
      <c r="OKP3" s="1"/>
      <c r="OKQ3" s="1"/>
      <c r="OKR3" s="1"/>
      <c r="OKS3" s="1"/>
      <c r="OKT3" s="1"/>
      <c r="OKU3" s="1"/>
      <c r="OKV3" s="1"/>
      <c r="OKW3" s="1"/>
      <c r="OKX3" s="1"/>
      <c r="OKY3" s="1"/>
      <c r="OKZ3" s="1"/>
      <c r="OLA3" s="1"/>
      <c r="OLB3" s="1"/>
      <c r="OLC3" s="1"/>
      <c r="OLD3" s="1"/>
      <c r="OLE3" s="1"/>
      <c r="OLF3" s="1"/>
      <c r="OLG3" s="1"/>
      <c r="OLH3" s="1"/>
      <c r="OLI3" s="1"/>
      <c r="OLJ3" s="1"/>
      <c r="OLK3" s="1"/>
      <c r="OLL3" s="1"/>
      <c r="OLM3" s="1"/>
      <c r="OLN3" s="1"/>
      <c r="OLO3" s="1"/>
      <c r="OLP3" s="1"/>
      <c r="OLQ3" s="1"/>
      <c r="OLR3" s="1"/>
      <c r="OLS3" s="1"/>
      <c r="OLT3" s="1"/>
      <c r="OLU3" s="1"/>
      <c r="OLV3" s="1"/>
      <c r="OLW3" s="1"/>
      <c r="OLX3" s="1"/>
      <c r="OLY3" s="1"/>
      <c r="OLZ3" s="1"/>
      <c r="OMA3" s="1"/>
      <c r="OMB3" s="1"/>
      <c r="OMC3" s="1"/>
      <c r="OMD3" s="1"/>
      <c r="OME3" s="1"/>
      <c r="OMF3" s="1"/>
      <c r="OMG3" s="1"/>
      <c r="OMH3" s="1"/>
      <c r="OMI3" s="1"/>
      <c r="OMJ3" s="1"/>
      <c r="OMK3" s="1"/>
      <c r="OML3" s="1"/>
      <c r="OMM3" s="1"/>
      <c r="OMN3" s="1"/>
      <c r="OMO3" s="1"/>
      <c r="OMP3" s="1"/>
      <c r="OMQ3" s="1"/>
      <c r="OMR3" s="1"/>
      <c r="OMS3" s="1"/>
      <c r="OMT3" s="1"/>
      <c r="OMU3" s="1"/>
      <c r="OMV3" s="1"/>
      <c r="OMW3" s="1"/>
      <c r="OMX3" s="1"/>
      <c r="OMY3" s="1"/>
      <c r="OMZ3" s="1"/>
      <c r="ONA3" s="1"/>
      <c r="ONB3" s="1"/>
      <c r="ONC3" s="1"/>
      <c r="OND3" s="1"/>
      <c r="ONE3" s="1"/>
      <c r="ONF3" s="1"/>
      <c r="ONG3" s="1"/>
      <c r="ONH3" s="1"/>
      <c r="ONI3" s="1"/>
      <c r="ONJ3" s="1"/>
      <c r="ONK3" s="1"/>
      <c r="ONL3" s="1"/>
      <c r="ONM3" s="1"/>
      <c r="ONN3" s="1"/>
      <c r="ONO3" s="1"/>
      <c r="ONP3" s="1"/>
      <c r="ONQ3" s="1"/>
      <c r="ONR3" s="1"/>
      <c r="ONS3" s="1"/>
      <c r="ONT3" s="1"/>
      <c r="ONU3" s="1"/>
      <c r="ONV3" s="1"/>
      <c r="ONW3" s="1"/>
      <c r="ONX3" s="1"/>
      <c r="ONY3" s="1"/>
      <c r="ONZ3" s="1"/>
      <c r="OOA3" s="1"/>
      <c r="OOB3" s="1"/>
      <c r="OOC3" s="1"/>
      <c r="OOD3" s="1"/>
      <c r="OOE3" s="1"/>
      <c r="OOF3" s="1"/>
      <c r="OOG3" s="1"/>
      <c r="OOH3" s="1"/>
      <c r="OOI3" s="1"/>
      <c r="OOJ3" s="1"/>
      <c r="OOK3" s="1"/>
      <c r="OOL3" s="1"/>
      <c r="OOM3" s="1"/>
      <c r="OON3" s="1"/>
      <c r="OOO3" s="1"/>
      <c r="OOP3" s="1"/>
      <c r="OOQ3" s="1"/>
      <c r="OOR3" s="1"/>
      <c r="OOS3" s="1"/>
      <c r="OOT3" s="1"/>
      <c r="OOU3" s="1"/>
      <c r="OOV3" s="1"/>
      <c r="OOW3" s="1"/>
      <c r="OOX3" s="1"/>
      <c r="OOY3" s="1"/>
      <c r="OOZ3" s="1"/>
      <c r="OPA3" s="1"/>
      <c r="OPB3" s="1"/>
      <c r="OPC3" s="1"/>
      <c r="OPD3" s="1"/>
      <c r="OPE3" s="1"/>
      <c r="OPF3" s="1"/>
      <c r="OPG3" s="1"/>
      <c r="OPH3" s="1"/>
      <c r="OPI3" s="1"/>
      <c r="OPJ3" s="1"/>
      <c r="OPK3" s="1"/>
      <c r="OPL3" s="1"/>
      <c r="OPM3" s="1"/>
      <c r="OPN3" s="1"/>
      <c r="OPO3" s="1"/>
      <c r="OPP3" s="1"/>
      <c r="OPQ3" s="1"/>
      <c r="OPR3" s="1"/>
      <c r="OPS3" s="1"/>
      <c r="OPT3" s="1"/>
      <c r="OPU3" s="1"/>
      <c r="OPV3" s="1"/>
      <c r="OPW3" s="1"/>
      <c r="OPX3" s="1"/>
      <c r="OPY3" s="1"/>
      <c r="OPZ3" s="1"/>
      <c r="OQA3" s="1"/>
      <c r="OQB3" s="1"/>
      <c r="OQC3" s="1"/>
      <c r="OQD3" s="1"/>
      <c r="OQE3" s="1"/>
      <c r="OQF3" s="1"/>
      <c r="OQG3" s="1"/>
      <c r="OQH3" s="1"/>
      <c r="OQI3" s="1"/>
      <c r="OQJ3" s="1"/>
      <c r="OQK3" s="1"/>
      <c r="OQL3" s="1"/>
      <c r="OQM3" s="1"/>
      <c r="OQN3" s="1"/>
      <c r="OQO3" s="1"/>
      <c r="OQP3" s="1"/>
      <c r="OQQ3" s="1"/>
      <c r="OQR3" s="1"/>
      <c r="OQS3" s="1"/>
      <c r="OQT3" s="1"/>
      <c r="OQU3" s="1"/>
      <c r="OQV3" s="1"/>
      <c r="OQW3" s="1"/>
      <c r="OQX3" s="1"/>
      <c r="OQY3" s="1"/>
      <c r="OQZ3" s="1"/>
      <c r="ORA3" s="1"/>
      <c r="ORB3" s="1"/>
      <c r="ORC3" s="1"/>
      <c r="ORD3" s="1"/>
      <c r="ORE3" s="1"/>
      <c r="ORF3" s="1"/>
      <c r="ORG3" s="1"/>
      <c r="ORH3" s="1"/>
      <c r="ORI3" s="1"/>
      <c r="ORJ3" s="1"/>
      <c r="ORK3" s="1"/>
      <c r="ORL3" s="1"/>
      <c r="ORM3" s="1"/>
      <c r="ORN3" s="1"/>
      <c r="ORO3" s="1"/>
      <c r="ORP3" s="1"/>
      <c r="ORQ3" s="1"/>
      <c r="ORR3" s="1"/>
      <c r="ORS3" s="1"/>
      <c r="ORT3" s="1"/>
      <c r="ORU3" s="1"/>
      <c r="ORV3" s="1"/>
      <c r="ORW3" s="1"/>
      <c r="ORX3" s="1"/>
      <c r="ORY3" s="1"/>
      <c r="ORZ3" s="1"/>
      <c r="OSA3" s="1"/>
      <c r="OSB3" s="1"/>
      <c r="OSC3" s="1"/>
      <c r="OSD3" s="1"/>
      <c r="OSE3" s="1"/>
      <c r="OSF3" s="1"/>
      <c r="OSG3" s="1"/>
      <c r="OSH3" s="1"/>
      <c r="OSI3" s="1"/>
      <c r="OSJ3" s="1"/>
      <c r="OSK3" s="1"/>
      <c r="OSL3" s="1"/>
      <c r="OSM3" s="1"/>
      <c r="OSN3" s="1"/>
      <c r="OSO3" s="1"/>
      <c r="OSP3" s="1"/>
      <c r="OSQ3" s="1"/>
      <c r="OSR3" s="1"/>
      <c r="OSS3" s="1"/>
      <c r="OST3" s="1"/>
      <c r="OSU3" s="1"/>
      <c r="OSV3" s="1"/>
      <c r="OSW3" s="1"/>
      <c r="OSX3" s="1"/>
      <c r="OSY3" s="1"/>
      <c r="OSZ3" s="1"/>
      <c r="OTA3" s="1"/>
      <c r="OTB3" s="1"/>
      <c r="OTC3" s="1"/>
      <c r="OTD3" s="1"/>
      <c r="OTE3" s="1"/>
      <c r="OTF3" s="1"/>
      <c r="OTG3" s="1"/>
      <c r="OTH3" s="1"/>
      <c r="OTI3" s="1"/>
      <c r="OTJ3" s="1"/>
      <c r="OTK3" s="1"/>
      <c r="OTL3" s="1"/>
      <c r="OTM3" s="1"/>
      <c r="OTN3" s="1"/>
      <c r="OTO3" s="1"/>
      <c r="OTP3" s="1"/>
      <c r="OTQ3" s="1"/>
      <c r="OTR3" s="1"/>
      <c r="OTS3" s="1"/>
      <c r="OTT3" s="1"/>
      <c r="OTU3" s="1"/>
      <c r="OTV3" s="1"/>
      <c r="OTW3" s="1"/>
      <c r="OTX3" s="1"/>
      <c r="OTY3" s="1"/>
      <c r="OTZ3" s="1"/>
      <c r="OUA3" s="1"/>
      <c r="OUB3" s="1"/>
      <c r="OUC3" s="1"/>
      <c r="OUD3" s="1"/>
      <c r="OUE3" s="1"/>
      <c r="OUF3" s="1"/>
      <c r="OUG3" s="1"/>
      <c r="OUH3" s="1"/>
      <c r="OUI3" s="1"/>
      <c r="OUJ3" s="1"/>
      <c r="OUK3" s="1"/>
      <c r="OUL3" s="1"/>
      <c r="OUM3" s="1"/>
      <c r="OUN3" s="1"/>
      <c r="OUO3" s="1"/>
      <c r="OUP3" s="1"/>
      <c r="OUQ3" s="1"/>
      <c r="OUR3" s="1"/>
      <c r="OUS3" s="1"/>
      <c r="OUT3" s="1"/>
      <c r="OUU3" s="1"/>
      <c r="OUV3" s="1"/>
      <c r="OUW3" s="1"/>
      <c r="OUX3" s="1"/>
      <c r="OUY3" s="1"/>
      <c r="OUZ3" s="1"/>
      <c r="OVA3" s="1"/>
      <c r="OVB3" s="1"/>
      <c r="OVC3" s="1"/>
      <c r="OVD3" s="1"/>
      <c r="OVE3" s="1"/>
      <c r="OVF3" s="1"/>
      <c r="OVG3" s="1"/>
      <c r="OVH3" s="1"/>
      <c r="OVI3" s="1"/>
      <c r="OVJ3" s="1"/>
      <c r="OVK3" s="1"/>
      <c r="OVL3" s="1"/>
      <c r="OVM3" s="1"/>
      <c r="OVN3" s="1"/>
      <c r="OVO3" s="1"/>
      <c r="OVP3" s="1"/>
      <c r="OVQ3" s="1"/>
      <c r="OVR3" s="1"/>
      <c r="OVS3" s="1"/>
      <c r="OVT3" s="1"/>
      <c r="OVU3" s="1"/>
      <c r="OVV3" s="1"/>
      <c r="OVW3" s="1"/>
      <c r="OVX3" s="1"/>
      <c r="OVY3" s="1"/>
      <c r="OVZ3" s="1"/>
      <c r="OWA3" s="1"/>
      <c r="OWB3" s="1"/>
      <c r="OWC3" s="1"/>
      <c r="OWD3" s="1"/>
      <c r="OWE3" s="1"/>
      <c r="OWF3" s="1"/>
      <c r="OWG3" s="1"/>
      <c r="OWH3" s="1"/>
      <c r="OWI3" s="1"/>
      <c r="OWJ3" s="1"/>
      <c r="OWK3" s="1"/>
      <c r="OWL3" s="1"/>
      <c r="OWM3" s="1"/>
      <c r="OWN3" s="1"/>
      <c r="OWO3" s="1"/>
      <c r="OWP3" s="1"/>
      <c r="OWQ3" s="1"/>
      <c r="OWR3" s="1"/>
      <c r="OWS3" s="1"/>
      <c r="OWT3" s="1"/>
      <c r="OWU3" s="1"/>
      <c r="OWV3" s="1"/>
      <c r="OWW3" s="1"/>
      <c r="OWX3" s="1"/>
      <c r="OWY3" s="1"/>
      <c r="OWZ3" s="1"/>
      <c r="OXA3" s="1"/>
      <c r="OXB3" s="1"/>
      <c r="OXC3" s="1"/>
      <c r="OXD3" s="1"/>
      <c r="OXE3" s="1"/>
      <c r="OXF3" s="1"/>
      <c r="OXG3" s="1"/>
      <c r="OXH3" s="1"/>
      <c r="OXI3" s="1"/>
      <c r="OXJ3" s="1"/>
      <c r="OXK3" s="1"/>
      <c r="OXL3" s="1"/>
      <c r="OXM3" s="1"/>
      <c r="OXN3" s="1"/>
      <c r="OXO3" s="1"/>
      <c r="OXP3" s="1"/>
      <c r="OXQ3" s="1"/>
      <c r="OXR3" s="1"/>
      <c r="OXS3" s="1"/>
      <c r="OXT3" s="1"/>
      <c r="OXU3" s="1"/>
      <c r="OXV3" s="1"/>
      <c r="OXW3" s="1"/>
      <c r="OXX3" s="1"/>
      <c r="OXY3" s="1"/>
      <c r="OXZ3" s="1"/>
      <c r="OYA3" s="1"/>
      <c r="OYB3" s="1"/>
      <c r="OYC3" s="1"/>
      <c r="OYD3" s="1"/>
      <c r="OYE3" s="1"/>
      <c r="OYF3" s="1"/>
      <c r="OYG3" s="1"/>
      <c r="OYH3" s="1"/>
      <c r="OYI3" s="1"/>
      <c r="OYJ3" s="1"/>
      <c r="OYK3" s="1"/>
      <c r="OYL3" s="1"/>
      <c r="OYM3" s="1"/>
      <c r="OYN3" s="1"/>
      <c r="OYO3" s="1"/>
      <c r="OYP3" s="1"/>
      <c r="OYQ3" s="1"/>
      <c r="OYR3" s="1"/>
      <c r="OYS3" s="1"/>
      <c r="OYT3" s="1"/>
      <c r="OYU3" s="1"/>
      <c r="OYV3" s="1"/>
      <c r="OYW3" s="1"/>
      <c r="OYX3" s="1"/>
      <c r="OYY3" s="1"/>
      <c r="OYZ3" s="1"/>
      <c r="OZA3" s="1"/>
      <c r="OZB3" s="1"/>
      <c r="OZC3" s="1"/>
      <c r="OZD3" s="1"/>
      <c r="OZE3" s="1"/>
      <c r="OZF3" s="1"/>
      <c r="OZG3" s="1"/>
      <c r="OZH3" s="1"/>
      <c r="OZI3" s="1"/>
      <c r="OZJ3" s="1"/>
      <c r="OZK3" s="1"/>
      <c r="OZL3" s="1"/>
      <c r="OZM3" s="1"/>
      <c r="OZN3" s="1"/>
      <c r="OZO3" s="1"/>
      <c r="OZP3" s="1"/>
      <c r="OZQ3" s="1"/>
      <c r="OZR3" s="1"/>
      <c r="OZS3" s="1"/>
      <c r="OZT3" s="1"/>
      <c r="OZU3" s="1"/>
      <c r="OZV3" s="1"/>
      <c r="OZW3" s="1"/>
      <c r="OZX3" s="1"/>
      <c r="OZY3" s="1"/>
      <c r="OZZ3" s="1"/>
      <c r="PAA3" s="1"/>
      <c r="PAB3" s="1"/>
      <c r="PAC3" s="1"/>
      <c r="PAD3" s="1"/>
      <c r="PAE3" s="1"/>
      <c r="PAF3" s="1"/>
      <c r="PAG3" s="1"/>
      <c r="PAH3" s="1"/>
      <c r="PAI3" s="1"/>
      <c r="PAJ3" s="1"/>
      <c r="PAK3" s="1"/>
      <c r="PAL3" s="1"/>
      <c r="PAM3" s="1"/>
      <c r="PAN3" s="1"/>
      <c r="PAO3" s="1"/>
      <c r="PAP3" s="1"/>
      <c r="PAQ3" s="1"/>
      <c r="PAR3" s="1"/>
      <c r="PAS3" s="1"/>
      <c r="PAT3" s="1"/>
      <c r="PAU3" s="1"/>
      <c r="PAV3" s="1"/>
      <c r="PAW3" s="1"/>
      <c r="PAX3" s="1"/>
      <c r="PAY3" s="1"/>
      <c r="PAZ3" s="1"/>
      <c r="PBA3" s="1"/>
      <c r="PBB3" s="1"/>
      <c r="PBC3" s="1"/>
      <c r="PBD3" s="1"/>
      <c r="PBE3" s="1"/>
      <c r="PBF3" s="1"/>
      <c r="PBG3" s="1"/>
      <c r="PBH3" s="1"/>
      <c r="PBI3" s="1"/>
      <c r="PBJ3" s="1"/>
      <c r="PBK3" s="1"/>
      <c r="PBL3" s="1"/>
      <c r="PBM3" s="1"/>
      <c r="PBN3" s="1"/>
      <c r="PBO3" s="1"/>
      <c r="PBP3" s="1"/>
      <c r="PBQ3" s="1"/>
      <c r="PBR3" s="1"/>
      <c r="PBS3" s="1"/>
      <c r="PBT3" s="1"/>
      <c r="PBU3" s="1"/>
      <c r="PBV3" s="1"/>
      <c r="PBW3" s="1"/>
      <c r="PBX3" s="1"/>
      <c r="PBY3" s="1"/>
      <c r="PBZ3" s="1"/>
      <c r="PCA3" s="1"/>
      <c r="PCB3" s="1"/>
      <c r="PCC3" s="1"/>
      <c r="PCD3" s="1"/>
      <c r="PCE3" s="1"/>
      <c r="PCF3" s="1"/>
      <c r="PCG3" s="1"/>
      <c r="PCH3" s="1"/>
      <c r="PCI3" s="1"/>
      <c r="PCJ3" s="1"/>
      <c r="PCK3" s="1"/>
      <c r="PCL3" s="1"/>
      <c r="PCM3" s="1"/>
      <c r="PCN3" s="1"/>
      <c r="PCO3" s="1"/>
      <c r="PCP3" s="1"/>
      <c r="PCQ3" s="1"/>
      <c r="PCR3" s="1"/>
      <c r="PCS3" s="1"/>
      <c r="PCT3" s="1"/>
      <c r="PCU3" s="1"/>
      <c r="PCV3" s="1"/>
      <c r="PCW3" s="1"/>
      <c r="PCX3" s="1"/>
      <c r="PCY3" s="1"/>
      <c r="PCZ3" s="1"/>
      <c r="PDA3" s="1"/>
      <c r="PDB3" s="1"/>
      <c r="PDC3" s="1"/>
      <c r="PDD3" s="1"/>
      <c r="PDE3" s="1"/>
      <c r="PDF3" s="1"/>
      <c r="PDG3" s="1"/>
      <c r="PDH3" s="1"/>
      <c r="PDI3" s="1"/>
      <c r="PDJ3" s="1"/>
      <c r="PDK3" s="1"/>
      <c r="PDL3" s="1"/>
      <c r="PDM3" s="1"/>
      <c r="PDN3" s="1"/>
      <c r="PDO3" s="1"/>
      <c r="PDP3" s="1"/>
      <c r="PDQ3" s="1"/>
      <c r="PDR3" s="1"/>
      <c r="PDS3" s="1"/>
      <c r="PDT3" s="1"/>
      <c r="PDU3" s="1"/>
      <c r="PDV3" s="1"/>
      <c r="PDW3" s="1"/>
      <c r="PDX3" s="1"/>
      <c r="PDY3" s="1"/>
      <c r="PDZ3" s="1"/>
      <c r="PEA3" s="1"/>
      <c r="PEB3" s="1"/>
      <c r="PEC3" s="1"/>
      <c r="PED3" s="1"/>
      <c r="PEE3" s="1"/>
      <c r="PEF3" s="1"/>
      <c r="PEG3" s="1"/>
      <c r="PEH3" s="1"/>
      <c r="PEI3" s="1"/>
      <c r="PEJ3" s="1"/>
      <c r="PEK3" s="1"/>
      <c r="PEL3" s="1"/>
      <c r="PEM3" s="1"/>
      <c r="PEN3" s="1"/>
      <c r="PEO3" s="1"/>
      <c r="PEP3" s="1"/>
      <c r="PEQ3" s="1"/>
      <c r="PER3" s="1"/>
      <c r="PES3" s="1"/>
      <c r="PET3" s="1"/>
      <c r="PEU3" s="1"/>
      <c r="PEV3" s="1"/>
      <c r="PEW3" s="1"/>
      <c r="PEX3" s="1"/>
      <c r="PEY3" s="1"/>
      <c r="PEZ3" s="1"/>
      <c r="PFA3" s="1"/>
      <c r="PFB3" s="1"/>
      <c r="PFC3" s="1"/>
      <c r="PFD3" s="1"/>
      <c r="PFE3" s="1"/>
      <c r="PFF3" s="1"/>
      <c r="PFG3" s="1"/>
      <c r="PFH3" s="1"/>
      <c r="PFI3" s="1"/>
      <c r="PFJ3" s="1"/>
      <c r="PFK3" s="1"/>
      <c r="PFL3" s="1"/>
      <c r="PFM3" s="1"/>
      <c r="PFN3" s="1"/>
      <c r="PFO3" s="1"/>
      <c r="PFP3" s="1"/>
      <c r="PFQ3" s="1"/>
      <c r="PFR3" s="1"/>
      <c r="PFS3" s="1"/>
      <c r="PFT3" s="1"/>
      <c r="PFU3" s="1"/>
      <c r="PFV3" s="1"/>
      <c r="PFW3" s="1"/>
      <c r="PFX3" s="1"/>
      <c r="PFY3" s="1"/>
      <c r="PFZ3" s="1"/>
      <c r="PGA3" s="1"/>
      <c r="PGB3" s="1"/>
      <c r="PGC3" s="1"/>
      <c r="PGD3" s="1"/>
      <c r="PGE3" s="1"/>
      <c r="PGF3" s="1"/>
      <c r="PGG3" s="1"/>
      <c r="PGH3" s="1"/>
      <c r="PGI3" s="1"/>
      <c r="PGJ3" s="1"/>
      <c r="PGK3" s="1"/>
      <c r="PGL3" s="1"/>
      <c r="PGM3" s="1"/>
      <c r="PGN3" s="1"/>
      <c r="PGO3" s="1"/>
      <c r="PGP3" s="1"/>
      <c r="PGQ3" s="1"/>
      <c r="PGR3" s="1"/>
      <c r="PGS3" s="1"/>
      <c r="PGT3" s="1"/>
      <c r="PGU3" s="1"/>
      <c r="PGV3" s="1"/>
      <c r="PGW3" s="1"/>
      <c r="PGX3" s="1"/>
      <c r="PGY3" s="1"/>
      <c r="PGZ3" s="1"/>
      <c r="PHA3" s="1"/>
      <c r="PHB3" s="1"/>
      <c r="PHC3" s="1"/>
      <c r="PHD3" s="1"/>
      <c r="PHE3" s="1"/>
      <c r="PHF3" s="1"/>
      <c r="PHG3" s="1"/>
      <c r="PHH3" s="1"/>
      <c r="PHI3" s="1"/>
      <c r="PHJ3" s="1"/>
      <c r="PHK3" s="1"/>
      <c r="PHL3" s="1"/>
      <c r="PHM3" s="1"/>
      <c r="PHN3" s="1"/>
      <c r="PHO3" s="1"/>
      <c r="PHP3" s="1"/>
      <c r="PHQ3" s="1"/>
      <c r="PHR3" s="1"/>
      <c r="PHS3" s="1"/>
      <c r="PHT3" s="1"/>
      <c r="PHU3" s="1"/>
      <c r="PHV3" s="1"/>
      <c r="PHW3" s="1"/>
      <c r="PHX3" s="1"/>
      <c r="PHY3" s="1"/>
      <c r="PHZ3" s="1"/>
      <c r="PIA3" s="1"/>
      <c r="PIB3" s="1"/>
      <c r="PIC3" s="1"/>
      <c r="PID3" s="1"/>
      <c r="PIE3" s="1"/>
      <c r="PIF3" s="1"/>
      <c r="PIG3" s="1"/>
      <c r="PIH3" s="1"/>
      <c r="PII3" s="1"/>
      <c r="PIJ3" s="1"/>
      <c r="PIK3" s="1"/>
      <c r="PIL3" s="1"/>
      <c r="PIM3" s="1"/>
      <c r="PIN3" s="1"/>
      <c r="PIO3" s="1"/>
      <c r="PIP3" s="1"/>
      <c r="PIQ3" s="1"/>
      <c r="PIR3" s="1"/>
      <c r="PIS3" s="1"/>
      <c r="PIT3" s="1"/>
      <c r="PIU3" s="1"/>
      <c r="PIV3" s="1"/>
      <c r="PIW3" s="1"/>
      <c r="PIX3" s="1"/>
      <c r="PIY3" s="1"/>
      <c r="PIZ3" s="1"/>
      <c r="PJA3" s="1"/>
      <c r="PJB3" s="1"/>
      <c r="PJC3" s="1"/>
      <c r="PJD3" s="1"/>
      <c r="PJE3" s="1"/>
      <c r="PJF3" s="1"/>
      <c r="PJG3" s="1"/>
      <c r="PJH3" s="1"/>
      <c r="PJI3" s="1"/>
      <c r="PJJ3" s="1"/>
      <c r="PJK3" s="1"/>
      <c r="PJL3" s="1"/>
      <c r="PJM3" s="1"/>
      <c r="PJN3" s="1"/>
      <c r="PJO3" s="1"/>
      <c r="PJP3" s="1"/>
      <c r="PJQ3" s="1"/>
      <c r="PJR3" s="1"/>
      <c r="PJS3" s="1"/>
      <c r="PJT3" s="1"/>
      <c r="PJU3" s="1"/>
      <c r="PJV3" s="1"/>
      <c r="PJW3" s="1"/>
      <c r="PJX3" s="1"/>
      <c r="PJY3" s="1"/>
      <c r="PJZ3" s="1"/>
      <c r="PKA3" s="1"/>
      <c r="PKB3" s="1"/>
      <c r="PKC3" s="1"/>
      <c r="PKD3" s="1"/>
      <c r="PKE3" s="1"/>
      <c r="PKF3" s="1"/>
      <c r="PKG3" s="1"/>
      <c r="PKH3" s="1"/>
      <c r="PKI3" s="1"/>
      <c r="PKJ3" s="1"/>
      <c r="PKK3" s="1"/>
      <c r="PKL3" s="1"/>
      <c r="PKM3" s="1"/>
      <c r="PKN3" s="1"/>
      <c r="PKO3" s="1"/>
      <c r="PKP3" s="1"/>
      <c r="PKQ3" s="1"/>
      <c r="PKR3" s="1"/>
      <c r="PKS3" s="1"/>
      <c r="PKT3" s="1"/>
      <c r="PKU3" s="1"/>
      <c r="PKV3" s="1"/>
      <c r="PKW3" s="1"/>
      <c r="PKX3" s="1"/>
      <c r="PKY3" s="1"/>
      <c r="PKZ3" s="1"/>
      <c r="PLA3" s="1"/>
      <c r="PLB3" s="1"/>
      <c r="PLC3" s="1"/>
      <c r="PLD3" s="1"/>
      <c r="PLE3" s="1"/>
      <c r="PLF3" s="1"/>
      <c r="PLG3" s="1"/>
      <c r="PLH3" s="1"/>
      <c r="PLI3" s="1"/>
      <c r="PLJ3" s="1"/>
      <c r="PLK3" s="1"/>
      <c r="PLL3" s="1"/>
      <c r="PLM3" s="1"/>
      <c r="PLN3" s="1"/>
      <c r="PLO3" s="1"/>
      <c r="PLP3" s="1"/>
      <c r="PLQ3" s="1"/>
      <c r="PLR3" s="1"/>
      <c r="PLS3" s="1"/>
      <c r="PLT3" s="1"/>
      <c r="PLU3" s="1"/>
      <c r="PLV3" s="1"/>
      <c r="PLW3" s="1"/>
      <c r="PLX3" s="1"/>
      <c r="PLY3" s="1"/>
      <c r="PLZ3" s="1"/>
      <c r="PMA3" s="1"/>
      <c r="PMB3" s="1"/>
      <c r="PMC3" s="1"/>
      <c r="PMD3" s="1"/>
      <c r="PME3" s="1"/>
      <c r="PMF3" s="1"/>
      <c r="PMG3" s="1"/>
      <c r="PMH3" s="1"/>
      <c r="PMI3" s="1"/>
      <c r="PMJ3" s="1"/>
      <c r="PMK3" s="1"/>
      <c r="PML3" s="1"/>
      <c r="PMM3" s="1"/>
      <c r="PMN3" s="1"/>
      <c r="PMO3" s="1"/>
      <c r="PMP3" s="1"/>
      <c r="PMQ3" s="1"/>
      <c r="PMR3" s="1"/>
      <c r="PMS3" s="1"/>
      <c r="PMT3" s="1"/>
      <c r="PMU3" s="1"/>
      <c r="PMV3" s="1"/>
      <c r="PMW3" s="1"/>
      <c r="PMX3" s="1"/>
      <c r="PMY3" s="1"/>
      <c r="PMZ3" s="1"/>
      <c r="PNA3" s="1"/>
      <c r="PNB3" s="1"/>
      <c r="PNC3" s="1"/>
      <c r="PND3" s="1"/>
      <c r="PNE3" s="1"/>
      <c r="PNF3" s="1"/>
      <c r="PNG3" s="1"/>
      <c r="PNH3" s="1"/>
      <c r="PNI3" s="1"/>
      <c r="PNJ3" s="1"/>
      <c r="PNK3" s="1"/>
      <c r="PNL3" s="1"/>
      <c r="PNM3" s="1"/>
      <c r="PNN3" s="1"/>
      <c r="PNO3" s="1"/>
      <c r="PNP3" s="1"/>
      <c r="PNQ3" s="1"/>
      <c r="PNR3" s="1"/>
      <c r="PNS3" s="1"/>
      <c r="PNT3" s="1"/>
      <c r="PNU3" s="1"/>
      <c r="PNV3" s="1"/>
      <c r="PNW3" s="1"/>
      <c r="PNX3" s="1"/>
      <c r="PNY3" s="1"/>
      <c r="PNZ3" s="1"/>
      <c r="POA3" s="1"/>
      <c r="POB3" s="1"/>
      <c r="POC3" s="1"/>
      <c r="POD3" s="1"/>
      <c r="POE3" s="1"/>
      <c r="POF3" s="1"/>
      <c r="POG3" s="1"/>
      <c r="POH3" s="1"/>
      <c r="POI3" s="1"/>
      <c r="POJ3" s="1"/>
      <c r="POK3" s="1"/>
      <c r="POL3" s="1"/>
      <c r="POM3" s="1"/>
      <c r="PON3" s="1"/>
      <c r="POO3" s="1"/>
      <c r="POP3" s="1"/>
      <c r="POQ3" s="1"/>
      <c r="POR3" s="1"/>
      <c r="POS3" s="1"/>
      <c r="POT3" s="1"/>
      <c r="POU3" s="1"/>
      <c r="POV3" s="1"/>
      <c r="POW3" s="1"/>
      <c r="POX3" s="1"/>
      <c r="POY3" s="1"/>
      <c r="POZ3" s="1"/>
      <c r="PPA3" s="1"/>
      <c r="PPB3" s="1"/>
      <c r="PPC3" s="1"/>
      <c r="PPD3" s="1"/>
      <c r="PPE3" s="1"/>
      <c r="PPF3" s="1"/>
      <c r="PPG3" s="1"/>
      <c r="PPH3" s="1"/>
      <c r="PPI3" s="1"/>
      <c r="PPJ3" s="1"/>
      <c r="PPK3" s="1"/>
      <c r="PPL3" s="1"/>
      <c r="PPM3" s="1"/>
      <c r="PPN3" s="1"/>
      <c r="PPO3" s="1"/>
      <c r="PPP3" s="1"/>
      <c r="PPQ3" s="1"/>
      <c r="PPR3" s="1"/>
      <c r="PPS3" s="1"/>
      <c r="PPT3" s="1"/>
      <c r="PPU3" s="1"/>
      <c r="PPV3" s="1"/>
      <c r="PPW3" s="1"/>
      <c r="PPX3" s="1"/>
      <c r="PPY3" s="1"/>
      <c r="PPZ3" s="1"/>
      <c r="PQA3" s="1"/>
      <c r="PQB3" s="1"/>
      <c r="PQC3" s="1"/>
      <c r="PQD3" s="1"/>
      <c r="PQE3" s="1"/>
      <c r="PQF3" s="1"/>
      <c r="PQG3" s="1"/>
      <c r="PQH3" s="1"/>
      <c r="PQI3" s="1"/>
      <c r="PQJ3" s="1"/>
      <c r="PQK3" s="1"/>
      <c r="PQL3" s="1"/>
      <c r="PQM3" s="1"/>
      <c r="PQN3" s="1"/>
      <c r="PQO3" s="1"/>
      <c r="PQP3" s="1"/>
      <c r="PQQ3" s="1"/>
      <c r="PQR3" s="1"/>
      <c r="PQS3" s="1"/>
      <c r="PQT3" s="1"/>
      <c r="PQU3" s="1"/>
      <c r="PQV3" s="1"/>
      <c r="PQW3" s="1"/>
      <c r="PQX3" s="1"/>
      <c r="PQY3" s="1"/>
      <c r="PQZ3" s="1"/>
      <c r="PRA3" s="1"/>
      <c r="PRB3" s="1"/>
      <c r="PRC3" s="1"/>
      <c r="PRD3" s="1"/>
      <c r="PRE3" s="1"/>
      <c r="PRF3" s="1"/>
      <c r="PRG3" s="1"/>
      <c r="PRH3" s="1"/>
      <c r="PRI3" s="1"/>
      <c r="PRJ3" s="1"/>
      <c r="PRK3" s="1"/>
      <c r="PRL3" s="1"/>
      <c r="PRM3" s="1"/>
      <c r="PRN3" s="1"/>
      <c r="PRO3" s="1"/>
      <c r="PRP3" s="1"/>
      <c r="PRQ3" s="1"/>
      <c r="PRR3" s="1"/>
      <c r="PRS3" s="1"/>
      <c r="PRT3" s="1"/>
      <c r="PRU3" s="1"/>
      <c r="PRV3" s="1"/>
      <c r="PRW3" s="1"/>
      <c r="PRX3" s="1"/>
      <c r="PRY3" s="1"/>
      <c r="PRZ3" s="1"/>
      <c r="PSA3" s="1"/>
      <c r="PSB3" s="1"/>
      <c r="PSC3" s="1"/>
      <c r="PSD3" s="1"/>
      <c r="PSE3" s="1"/>
      <c r="PSF3" s="1"/>
      <c r="PSG3" s="1"/>
      <c r="PSH3" s="1"/>
      <c r="PSI3" s="1"/>
      <c r="PSJ3" s="1"/>
      <c r="PSK3" s="1"/>
      <c r="PSL3" s="1"/>
      <c r="PSM3" s="1"/>
      <c r="PSN3" s="1"/>
      <c r="PSO3" s="1"/>
      <c r="PSP3" s="1"/>
      <c r="PSQ3" s="1"/>
      <c r="PSR3" s="1"/>
      <c r="PSS3" s="1"/>
      <c r="PST3" s="1"/>
      <c r="PSU3" s="1"/>
      <c r="PSV3" s="1"/>
      <c r="PSW3" s="1"/>
      <c r="PSX3" s="1"/>
      <c r="PSY3" s="1"/>
      <c r="PSZ3" s="1"/>
      <c r="PTA3" s="1"/>
      <c r="PTB3" s="1"/>
      <c r="PTC3" s="1"/>
      <c r="PTD3" s="1"/>
      <c r="PTE3" s="1"/>
      <c r="PTF3" s="1"/>
      <c r="PTG3" s="1"/>
      <c r="PTH3" s="1"/>
      <c r="PTI3" s="1"/>
      <c r="PTJ3" s="1"/>
      <c r="PTK3" s="1"/>
      <c r="PTL3" s="1"/>
      <c r="PTM3" s="1"/>
      <c r="PTN3" s="1"/>
      <c r="PTO3" s="1"/>
      <c r="PTP3" s="1"/>
      <c r="PTQ3" s="1"/>
      <c r="PTR3" s="1"/>
      <c r="PTS3" s="1"/>
      <c r="PTT3" s="1"/>
      <c r="PTU3" s="1"/>
      <c r="PTV3" s="1"/>
      <c r="PTW3" s="1"/>
      <c r="PTX3" s="1"/>
      <c r="PTY3" s="1"/>
      <c r="PTZ3" s="1"/>
      <c r="PUA3" s="1"/>
      <c r="PUB3" s="1"/>
      <c r="PUC3" s="1"/>
      <c r="PUD3" s="1"/>
      <c r="PUE3" s="1"/>
      <c r="PUF3" s="1"/>
      <c r="PUG3" s="1"/>
      <c r="PUH3" s="1"/>
      <c r="PUI3" s="1"/>
      <c r="PUJ3" s="1"/>
      <c r="PUK3" s="1"/>
      <c r="PUL3" s="1"/>
      <c r="PUM3" s="1"/>
      <c r="PUN3" s="1"/>
      <c r="PUO3" s="1"/>
      <c r="PUP3" s="1"/>
      <c r="PUQ3" s="1"/>
      <c r="PUR3" s="1"/>
      <c r="PUS3" s="1"/>
      <c r="PUT3" s="1"/>
      <c r="PUU3" s="1"/>
      <c r="PUV3" s="1"/>
      <c r="PUW3" s="1"/>
      <c r="PUX3" s="1"/>
      <c r="PUY3" s="1"/>
      <c r="PUZ3" s="1"/>
      <c r="PVA3" s="1"/>
      <c r="PVB3" s="1"/>
      <c r="PVC3" s="1"/>
      <c r="PVD3" s="1"/>
      <c r="PVE3" s="1"/>
      <c r="PVF3" s="1"/>
      <c r="PVG3" s="1"/>
      <c r="PVH3" s="1"/>
      <c r="PVI3" s="1"/>
      <c r="PVJ3" s="1"/>
      <c r="PVK3" s="1"/>
      <c r="PVL3" s="1"/>
      <c r="PVM3" s="1"/>
      <c r="PVN3" s="1"/>
      <c r="PVO3" s="1"/>
      <c r="PVP3" s="1"/>
      <c r="PVQ3" s="1"/>
      <c r="PVR3" s="1"/>
      <c r="PVS3" s="1"/>
      <c r="PVT3" s="1"/>
      <c r="PVU3" s="1"/>
      <c r="PVV3" s="1"/>
      <c r="PVW3" s="1"/>
      <c r="PVX3" s="1"/>
      <c r="PVY3" s="1"/>
      <c r="PVZ3" s="1"/>
      <c r="PWA3" s="1"/>
      <c r="PWB3" s="1"/>
      <c r="PWC3" s="1"/>
      <c r="PWD3" s="1"/>
      <c r="PWE3" s="1"/>
      <c r="PWF3" s="1"/>
      <c r="PWG3" s="1"/>
      <c r="PWH3" s="1"/>
      <c r="PWI3" s="1"/>
      <c r="PWJ3" s="1"/>
      <c r="PWK3" s="1"/>
      <c r="PWL3" s="1"/>
      <c r="PWM3" s="1"/>
      <c r="PWN3" s="1"/>
      <c r="PWO3" s="1"/>
      <c r="PWP3" s="1"/>
      <c r="PWQ3" s="1"/>
      <c r="PWR3" s="1"/>
      <c r="PWS3" s="1"/>
      <c r="PWT3" s="1"/>
      <c r="PWU3" s="1"/>
      <c r="PWV3" s="1"/>
      <c r="PWW3" s="1"/>
      <c r="PWX3" s="1"/>
      <c r="PWY3" s="1"/>
      <c r="PWZ3" s="1"/>
      <c r="PXA3" s="1"/>
      <c r="PXB3" s="1"/>
      <c r="PXC3" s="1"/>
      <c r="PXD3" s="1"/>
      <c r="PXE3" s="1"/>
      <c r="PXF3" s="1"/>
      <c r="PXG3" s="1"/>
      <c r="PXH3" s="1"/>
      <c r="PXI3" s="1"/>
      <c r="PXJ3" s="1"/>
      <c r="PXK3" s="1"/>
      <c r="PXL3" s="1"/>
      <c r="PXM3" s="1"/>
      <c r="PXN3" s="1"/>
      <c r="PXO3" s="1"/>
      <c r="PXP3" s="1"/>
      <c r="PXQ3" s="1"/>
      <c r="PXR3" s="1"/>
      <c r="PXS3" s="1"/>
      <c r="PXT3" s="1"/>
      <c r="PXU3" s="1"/>
      <c r="PXV3" s="1"/>
      <c r="PXW3" s="1"/>
      <c r="PXX3" s="1"/>
      <c r="PXY3" s="1"/>
      <c r="PXZ3" s="1"/>
      <c r="PYA3" s="1"/>
      <c r="PYB3" s="1"/>
      <c r="PYC3" s="1"/>
      <c r="PYD3" s="1"/>
      <c r="PYE3" s="1"/>
      <c r="PYF3" s="1"/>
      <c r="PYG3" s="1"/>
      <c r="PYH3" s="1"/>
      <c r="PYI3" s="1"/>
      <c r="PYJ3" s="1"/>
      <c r="PYK3" s="1"/>
      <c r="PYL3" s="1"/>
      <c r="PYM3" s="1"/>
      <c r="PYN3" s="1"/>
      <c r="PYO3" s="1"/>
      <c r="PYP3" s="1"/>
      <c r="PYQ3" s="1"/>
      <c r="PYR3" s="1"/>
      <c r="PYS3" s="1"/>
      <c r="PYT3" s="1"/>
      <c r="PYU3" s="1"/>
      <c r="PYV3" s="1"/>
      <c r="PYW3" s="1"/>
      <c r="PYX3" s="1"/>
      <c r="PYY3" s="1"/>
      <c r="PYZ3" s="1"/>
      <c r="PZA3" s="1"/>
      <c r="PZB3" s="1"/>
      <c r="PZC3" s="1"/>
      <c r="PZD3" s="1"/>
      <c r="PZE3" s="1"/>
      <c r="PZF3" s="1"/>
      <c r="PZG3" s="1"/>
      <c r="PZH3" s="1"/>
      <c r="PZI3" s="1"/>
      <c r="PZJ3" s="1"/>
      <c r="PZK3" s="1"/>
      <c r="PZL3" s="1"/>
      <c r="PZM3" s="1"/>
      <c r="PZN3" s="1"/>
      <c r="PZO3" s="1"/>
      <c r="PZP3" s="1"/>
      <c r="PZQ3" s="1"/>
      <c r="PZR3" s="1"/>
      <c r="PZS3" s="1"/>
      <c r="PZT3" s="1"/>
      <c r="PZU3" s="1"/>
      <c r="PZV3" s="1"/>
      <c r="PZW3" s="1"/>
      <c r="PZX3" s="1"/>
      <c r="PZY3" s="1"/>
      <c r="PZZ3" s="1"/>
      <c r="QAA3" s="1"/>
      <c r="QAB3" s="1"/>
      <c r="QAC3" s="1"/>
      <c r="QAD3" s="1"/>
      <c r="QAE3" s="1"/>
      <c r="QAF3" s="1"/>
      <c r="QAG3" s="1"/>
      <c r="QAH3" s="1"/>
      <c r="QAI3" s="1"/>
      <c r="QAJ3" s="1"/>
      <c r="QAK3" s="1"/>
      <c r="QAL3" s="1"/>
      <c r="QAM3" s="1"/>
      <c r="QAN3" s="1"/>
      <c r="QAO3" s="1"/>
      <c r="QAP3" s="1"/>
      <c r="QAQ3" s="1"/>
      <c r="QAR3" s="1"/>
      <c r="QAS3" s="1"/>
      <c r="QAT3" s="1"/>
      <c r="QAU3" s="1"/>
      <c r="QAV3" s="1"/>
      <c r="QAW3" s="1"/>
      <c r="QAX3" s="1"/>
      <c r="QAY3" s="1"/>
      <c r="QAZ3" s="1"/>
      <c r="QBA3" s="1"/>
      <c r="QBB3" s="1"/>
      <c r="QBC3" s="1"/>
      <c r="QBD3" s="1"/>
      <c r="QBE3" s="1"/>
      <c r="QBF3" s="1"/>
      <c r="QBG3" s="1"/>
      <c r="QBH3" s="1"/>
      <c r="QBI3" s="1"/>
      <c r="QBJ3" s="1"/>
      <c r="QBK3" s="1"/>
      <c r="QBL3" s="1"/>
      <c r="QBM3" s="1"/>
      <c r="QBN3" s="1"/>
      <c r="QBO3" s="1"/>
      <c r="QBP3" s="1"/>
      <c r="QBQ3" s="1"/>
      <c r="QBR3" s="1"/>
      <c r="QBS3" s="1"/>
      <c r="QBT3" s="1"/>
      <c r="QBU3" s="1"/>
      <c r="QBV3" s="1"/>
      <c r="QBW3" s="1"/>
      <c r="QBX3" s="1"/>
      <c r="QBY3" s="1"/>
      <c r="QBZ3" s="1"/>
      <c r="QCA3" s="1"/>
      <c r="QCB3" s="1"/>
      <c r="QCC3" s="1"/>
      <c r="QCD3" s="1"/>
      <c r="QCE3" s="1"/>
      <c r="QCF3" s="1"/>
      <c r="QCG3" s="1"/>
      <c r="QCH3" s="1"/>
      <c r="QCI3" s="1"/>
      <c r="QCJ3" s="1"/>
      <c r="QCK3" s="1"/>
      <c r="QCL3" s="1"/>
      <c r="QCM3" s="1"/>
      <c r="QCN3" s="1"/>
      <c r="QCO3" s="1"/>
      <c r="QCP3" s="1"/>
      <c r="QCQ3" s="1"/>
      <c r="QCR3" s="1"/>
      <c r="QCS3" s="1"/>
      <c r="QCT3" s="1"/>
      <c r="QCU3" s="1"/>
      <c r="QCV3" s="1"/>
      <c r="QCW3" s="1"/>
      <c r="QCX3" s="1"/>
      <c r="QCY3" s="1"/>
      <c r="QCZ3" s="1"/>
      <c r="QDA3" s="1"/>
      <c r="QDB3" s="1"/>
      <c r="QDC3" s="1"/>
      <c r="QDD3" s="1"/>
      <c r="QDE3" s="1"/>
      <c r="QDF3" s="1"/>
      <c r="QDG3" s="1"/>
      <c r="QDH3" s="1"/>
      <c r="QDI3" s="1"/>
      <c r="QDJ3" s="1"/>
      <c r="QDK3" s="1"/>
      <c r="QDL3" s="1"/>
      <c r="QDM3" s="1"/>
      <c r="QDN3" s="1"/>
      <c r="QDO3" s="1"/>
      <c r="QDP3" s="1"/>
      <c r="QDQ3" s="1"/>
      <c r="QDR3" s="1"/>
      <c r="QDS3" s="1"/>
      <c r="QDT3" s="1"/>
      <c r="QDU3" s="1"/>
      <c r="QDV3" s="1"/>
      <c r="QDW3" s="1"/>
      <c r="QDX3" s="1"/>
      <c r="QDY3" s="1"/>
      <c r="QDZ3" s="1"/>
      <c r="QEA3" s="1"/>
      <c r="QEB3" s="1"/>
      <c r="QEC3" s="1"/>
      <c r="QED3" s="1"/>
      <c r="QEE3" s="1"/>
      <c r="QEF3" s="1"/>
      <c r="QEG3" s="1"/>
      <c r="QEH3" s="1"/>
      <c r="QEI3" s="1"/>
      <c r="QEJ3" s="1"/>
      <c r="QEK3" s="1"/>
      <c r="QEL3" s="1"/>
      <c r="QEM3" s="1"/>
      <c r="QEN3" s="1"/>
      <c r="QEO3" s="1"/>
      <c r="QEP3" s="1"/>
      <c r="QEQ3" s="1"/>
      <c r="QER3" s="1"/>
      <c r="QES3" s="1"/>
      <c r="QET3" s="1"/>
      <c r="QEU3" s="1"/>
      <c r="QEV3" s="1"/>
      <c r="QEW3" s="1"/>
      <c r="QEX3" s="1"/>
      <c r="QEY3" s="1"/>
      <c r="QEZ3" s="1"/>
      <c r="QFA3" s="1"/>
      <c r="QFB3" s="1"/>
      <c r="QFC3" s="1"/>
      <c r="QFD3" s="1"/>
      <c r="QFE3" s="1"/>
      <c r="QFF3" s="1"/>
      <c r="QFG3" s="1"/>
      <c r="QFH3" s="1"/>
      <c r="QFI3" s="1"/>
      <c r="QFJ3" s="1"/>
      <c r="QFK3" s="1"/>
      <c r="QFL3" s="1"/>
      <c r="QFM3" s="1"/>
      <c r="QFN3" s="1"/>
      <c r="QFO3" s="1"/>
      <c r="QFP3" s="1"/>
      <c r="QFQ3" s="1"/>
      <c r="QFR3" s="1"/>
      <c r="QFS3" s="1"/>
      <c r="QFT3" s="1"/>
      <c r="QFU3" s="1"/>
      <c r="QFV3" s="1"/>
      <c r="QFW3" s="1"/>
      <c r="QFX3" s="1"/>
      <c r="QFY3" s="1"/>
      <c r="QFZ3" s="1"/>
      <c r="QGA3" s="1"/>
      <c r="QGB3" s="1"/>
      <c r="QGC3" s="1"/>
      <c r="QGD3" s="1"/>
      <c r="QGE3" s="1"/>
      <c r="QGF3" s="1"/>
      <c r="QGG3" s="1"/>
      <c r="QGH3" s="1"/>
      <c r="QGI3" s="1"/>
      <c r="QGJ3" s="1"/>
      <c r="QGK3" s="1"/>
      <c r="QGL3" s="1"/>
      <c r="QGM3" s="1"/>
      <c r="QGN3" s="1"/>
      <c r="QGO3" s="1"/>
      <c r="QGP3" s="1"/>
      <c r="QGQ3" s="1"/>
      <c r="QGR3" s="1"/>
      <c r="QGS3" s="1"/>
      <c r="QGT3" s="1"/>
      <c r="QGU3" s="1"/>
      <c r="QGV3" s="1"/>
      <c r="QGW3" s="1"/>
      <c r="QGX3" s="1"/>
      <c r="QGY3" s="1"/>
      <c r="QGZ3" s="1"/>
      <c r="QHA3" s="1"/>
      <c r="QHB3" s="1"/>
      <c r="QHC3" s="1"/>
      <c r="QHD3" s="1"/>
      <c r="QHE3" s="1"/>
      <c r="QHF3" s="1"/>
      <c r="QHG3" s="1"/>
      <c r="QHH3" s="1"/>
      <c r="QHI3" s="1"/>
      <c r="QHJ3" s="1"/>
      <c r="QHK3" s="1"/>
      <c r="QHL3" s="1"/>
      <c r="QHM3" s="1"/>
      <c r="QHN3" s="1"/>
      <c r="QHO3" s="1"/>
      <c r="QHP3" s="1"/>
      <c r="QHQ3" s="1"/>
      <c r="QHR3" s="1"/>
      <c r="QHS3" s="1"/>
      <c r="QHT3" s="1"/>
      <c r="QHU3" s="1"/>
      <c r="QHV3" s="1"/>
      <c r="QHW3" s="1"/>
      <c r="QHX3" s="1"/>
      <c r="QHY3" s="1"/>
      <c r="QHZ3" s="1"/>
      <c r="QIA3" s="1"/>
      <c r="QIB3" s="1"/>
      <c r="QIC3" s="1"/>
      <c r="QID3" s="1"/>
      <c r="QIE3" s="1"/>
      <c r="QIF3" s="1"/>
      <c r="QIG3" s="1"/>
      <c r="QIH3" s="1"/>
      <c r="QII3" s="1"/>
      <c r="QIJ3" s="1"/>
      <c r="QIK3" s="1"/>
      <c r="QIL3" s="1"/>
      <c r="QIM3" s="1"/>
      <c r="QIN3" s="1"/>
      <c r="QIO3" s="1"/>
      <c r="QIP3" s="1"/>
      <c r="QIQ3" s="1"/>
      <c r="QIR3" s="1"/>
      <c r="QIS3" s="1"/>
      <c r="QIT3" s="1"/>
      <c r="QIU3" s="1"/>
      <c r="QIV3" s="1"/>
      <c r="QIW3" s="1"/>
      <c r="QIX3" s="1"/>
      <c r="QIY3" s="1"/>
      <c r="QIZ3" s="1"/>
      <c r="QJA3" s="1"/>
      <c r="QJB3" s="1"/>
      <c r="QJC3" s="1"/>
      <c r="QJD3" s="1"/>
      <c r="QJE3" s="1"/>
      <c r="QJF3" s="1"/>
      <c r="QJG3" s="1"/>
      <c r="QJH3" s="1"/>
      <c r="QJI3" s="1"/>
      <c r="QJJ3" s="1"/>
      <c r="QJK3" s="1"/>
      <c r="QJL3" s="1"/>
      <c r="QJM3" s="1"/>
      <c r="QJN3" s="1"/>
      <c r="QJO3" s="1"/>
      <c r="QJP3" s="1"/>
      <c r="QJQ3" s="1"/>
      <c r="QJR3" s="1"/>
      <c r="QJS3" s="1"/>
      <c r="QJT3" s="1"/>
      <c r="QJU3" s="1"/>
      <c r="QJV3" s="1"/>
      <c r="QJW3" s="1"/>
      <c r="QJX3" s="1"/>
      <c r="QJY3" s="1"/>
      <c r="QJZ3" s="1"/>
      <c r="QKA3" s="1"/>
      <c r="QKB3" s="1"/>
      <c r="QKC3" s="1"/>
      <c r="QKD3" s="1"/>
      <c r="QKE3" s="1"/>
      <c r="QKF3" s="1"/>
      <c r="QKG3" s="1"/>
      <c r="QKH3" s="1"/>
      <c r="QKI3" s="1"/>
      <c r="QKJ3" s="1"/>
      <c r="QKK3" s="1"/>
      <c r="QKL3" s="1"/>
      <c r="QKM3" s="1"/>
      <c r="QKN3" s="1"/>
      <c r="QKO3" s="1"/>
      <c r="QKP3" s="1"/>
      <c r="QKQ3" s="1"/>
      <c r="QKR3" s="1"/>
      <c r="QKS3" s="1"/>
      <c r="QKT3" s="1"/>
      <c r="QKU3" s="1"/>
      <c r="QKV3" s="1"/>
      <c r="QKW3" s="1"/>
      <c r="QKX3" s="1"/>
      <c r="QKY3" s="1"/>
      <c r="QKZ3" s="1"/>
      <c r="QLA3" s="1"/>
      <c r="QLB3" s="1"/>
      <c r="QLC3" s="1"/>
      <c r="QLD3" s="1"/>
      <c r="QLE3" s="1"/>
      <c r="QLF3" s="1"/>
      <c r="QLG3" s="1"/>
      <c r="QLH3" s="1"/>
      <c r="QLI3" s="1"/>
      <c r="QLJ3" s="1"/>
      <c r="QLK3" s="1"/>
      <c r="QLL3" s="1"/>
      <c r="QLM3" s="1"/>
      <c r="QLN3" s="1"/>
      <c r="QLO3" s="1"/>
      <c r="QLP3" s="1"/>
      <c r="QLQ3" s="1"/>
      <c r="QLR3" s="1"/>
      <c r="QLS3" s="1"/>
      <c r="QLT3" s="1"/>
      <c r="QLU3" s="1"/>
      <c r="QLV3" s="1"/>
      <c r="QLW3" s="1"/>
      <c r="QLX3" s="1"/>
      <c r="QLY3" s="1"/>
      <c r="QLZ3" s="1"/>
      <c r="QMA3" s="1"/>
      <c r="QMB3" s="1"/>
      <c r="QMC3" s="1"/>
      <c r="QMD3" s="1"/>
      <c r="QME3" s="1"/>
      <c r="QMF3" s="1"/>
      <c r="QMG3" s="1"/>
      <c r="QMH3" s="1"/>
      <c r="QMI3" s="1"/>
      <c r="QMJ3" s="1"/>
      <c r="QMK3" s="1"/>
      <c r="QML3" s="1"/>
      <c r="QMM3" s="1"/>
      <c r="QMN3" s="1"/>
      <c r="QMO3" s="1"/>
      <c r="QMP3" s="1"/>
      <c r="QMQ3" s="1"/>
      <c r="QMR3" s="1"/>
      <c r="QMS3" s="1"/>
      <c r="QMT3" s="1"/>
      <c r="QMU3" s="1"/>
      <c r="QMV3" s="1"/>
      <c r="QMW3" s="1"/>
      <c r="QMX3" s="1"/>
      <c r="QMY3" s="1"/>
      <c r="QMZ3" s="1"/>
      <c r="QNA3" s="1"/>
      <c r="QNB3" s="1"/>
      <c r="QNC3" s="1"/>
      <c r="QND3" s="1"/>
      <c r="QNE3" s="1"/>
      <c r="QNF3" s="1"/>
      <c r="QNG3" s="1"/>
      <c r="QNH3" s="1"/>
      <c r="QNI3" s="1"/>
      <c r="QNJ3" s="1"/>
      <c r="QNK3" s="1"/>
      <c r="QNL3" s="1"/>
      <c r="QNM3" s="1"/>
      <c r="QNN3" s="1"/>
      <c r="QNO3" s="1"/>
      <c r="QNP3" s="1"/>
      <c r="QNQ3" s="1"/>
      <c r="QNR3" s="1"/>
      <c r="QNS3" s="1"/>
      <c r="QNT3" s="1"/>
      <c r="QNU3" s="1"/>
      <c r="QNV3" s="1"/>
      <c r="QNW3" s="1"/>
      <c r="QNX3" s="1"/>
      <c r="QNY3" s="1"/>
      <c r="QNZ3" s="1"/>
      <c r="QOA3" s="1"/>
      <c r="QOB3" s="1"/>
      <c r="QOC3" s="1"/>
      <c r="QOD3" s="1"/>
      <c r="QOE3" s="1"/>
      <c r="QOF3" s="1"/>
      <c r="QOG3" s="1"/>
      <c r="QOH3" s="1"/>
      <c r="QOI3" s="1"/>
      <c r="QOJ3" s="1"/>
      <c r="QOK3" s="1"/>
      <c r="QOL3" s="1"/>
      <c r="QOM3" s="1"/>
      <c r="QON3" s="1"/>
      <c r="QOO3" s="1"/>
      <c r="QOP3" s="1"/>
      <c r="QOQ3" s="1"/>
      <c r="QOR3" s="1"/>
      <c r="QOS3" s="1"/>
      <c r="QOT3" s="1"/>
      <c r="QOU3" s="1"/>
      <c r="QOV3" s="1"/>
      <c r="QOW3" s="1"/>
      <c r="QOX3" s="1"/>
      <c r="QOY3" s="1"/>
      <c r="QOZ3" s="1"/>
      <c r="QPA3" s="1"/>
      <c r="QPB3" s="1"/>
      <c r="QPC3" s="1"/>
      <c r="QPD3" s="1"/>
      <c r="QPE3" s="1"/>
      <c r="QPF3" s="1"/>
      <c r="QPG3" s="1"/>
      <c r="QPH3" s="1"/>
      <c r="QPI3" s="1"/>
      <c r="QPJ3" s="1"/>
      <c r="QPK3" s="1"/>
      <c r="QPL3" s="1"/>
      <c r="QPM3" s="1"/>
      <c r="QPN3" s="1"/>
      <c r="QPO3" s="1"/>
      <c r="QPP3" s="1"/>
      <c r="QPQ3" s="1"/>
      <c r="QPR3" s="1"/>
      <c r="QPS3" s="1"/>
      <c r="QPT3" s="1"/>
      <c r="QPU3" s="1"/>
      <c r="QPV3" s="1"/>
      <c r="QPW3" s="1"/>
      <c r="QPX3" s="1"/>
      <c r="QPY3" s="1"/>
      <c r="QPZ3" s="1"/>
      <c r="QQA3" s="1"/>
      <c r="QQB3" s="1"/>
      <c r="QQC3" s="1"/>
      <c r="QQD3" s="1"/>
      <c r="QQE3" s="1"/>
      <c r="QQF3" s="1"/>
      <c r="QQG3" s="1"/>
      <c r="QQH3" s="1"/>
      <c r="QQI3" s="1"/>
      <c r="QQJ3" s="1"/>
      <c r="QQK3" s="1"/>
      <c r="QQL3" s="1"/>
      <c r="QQM3" s="1"/>
      <c r="QQN3" s="1"/>
      <c r="QQO3" s="1"/>
      <c r="QQP3" s="1"/>
      <c r="QQQ3" s="1"/>
      <c r="QQR3" s="1"/>
      <c r="QQS3" s="1"/>
      <c r="QQT3" s="1"/>
      <c r="QQU3" s="1"/>
      <c r="QQV3" s="1"/>
      <c r="QQW3" s="1"/>
      <c r="QQX3" s="1"/>
      <c r="QQY3" s="1"/>
      <c r="QQZ3" s="1"/>
      <c r="QRA3" s="1"/>
      <c r="QRB3" s="1"/>
      <c r="QRC3" s="1"/>
      <c r="QRD3" s="1"/>
      <c r="QRE3" s="1"/>
      <c r="QRF3" s="1"/>
      <c r="QRG3" s="1"/>
      <c r="QRH3" s="1"/>
      <c r="QRI3" s="1"/>
      <c r="QRJ3" s="1"/>
      <c r="QRK3" s="1"/>
      <c r="QRL3" s="1"/>
      <c r="QRM3" s="1"/>
      <c r="QRN3" s="1"/>
      <c r="QRO3" s="1"/>
      <c r="QRP3" s="1"/>
      <c r="QRQ3" s="1"/>
      <c r="QRR3" s="1"/>
      <c r="QRS3" s="1"/>
      <c r="QRT3" s="1"/>
      <c r="QRU3" s="1"/>
      <c r="QRV3" s="1"/>
      <c r="QRW3" s="1"/>
      <c r="QRX3" s="1"/>
      <c r="QRY3" s="1"/>
      <c r="QRZ3" s="1"/>
      <c r="QSA3" s="1"/>
      <c r="QSB3" s="1"/>
      <c r="QSC3" s="1"/>
      <c r="QSD3" s="1"/>
      <c r="QSE3" s="1"/>
      <c r="QSF3" s="1"/>
      <c r="QSG3" s="1"/>
      <c r="QSH3" s="1"/>
      <c r="QSI3" s="1"/>
      <c r="QSJ3" s="1"/>
      <c r="QSK3" s="1"/>
      <c r="QSL3" s="1"/>
      <c r="QSM3" s="1"/>
      <c r="QSN3" s="1"/>
      <c r="QSO3" s="1"/>
      <c r="QSP3" s="1"/>
      <c r="QSQ3" s="1"/>
      <c r="QSR3" s="1"/>
      <c r="QSS3" s="1"/>
      <c r="QST3" s="1"/>
      <c r="QSU3" s="1"/>
      <c r="QSV3" s="1"/>
      <c r="QSW3" s="1"/>
      <c r="QSX3" s="1"/>
      <c r="QSY3" s="1"/>
      <c r="QSZ3" s="1"/>
      <c r="QTA3" s="1"/>
      <c r="QTB3" s="1"/>
      <c r="QTC3" s="1"/>
      <c r="QTD3" s="1"/>
      <c r="QTE3" s="1"/>
      <c r="QTF3" s="1"/>
      <c r="QTG3" s="1"/>
      <c r="QTH3" s="1"/>
      <c r="QTI3" s="1"/>
      <c r="QTJ3" s="1"/>
      <c r="QTK3" s="1"/>
      <c r="QTL3" s="1"/>
      <c r="QTM3" s="1"/>
      <c r="QTN3" s="1"/>
      <c r="QTO3" s="1"/>
      <c r="QTP3" s="1"/>
      <c r="QTQ3" s="1"/>
      <c r="QTR3" s="1"/>
      <c r="QTS3" s="1"/>
      <c r="QTT3" s="1"/>
      <c r="QTU3" s="1"/>
      <c r="QTV3" s="1"/>
      <c r="QTW3" s="1"/>
      <c r="QTX3" s="1"/>
      <c r="QTY3" s="1"/>
      <c r="QTZ3" s="1"/>
      <c r="QUA3" s="1"/>
      <c r="QUB3" s="1"/>
      <c r="QUC3" s="1"/>
      <c r="QUD3" s="1"/>
      <c r="QUE3" s="1"/>
      <c r="QUF3" s="1"/>
      <c r="QUG3" s="1"/>
      <c r="QUH3" s="1"/>
      <c r="QUI3" s="1"/>
      <c r="QUJ3" s="1"/>
      <c r="QUK3" s="1"/>
      <c r="QUL3" s="1"/>
      <c r="QUM3" s="1"/>
      <c r="QUN3" s="1"/>
      <c r="QUO3" s="1"/>
      <c r="QUP3" s="1"/>
      <c r="QUQ3" s="1"/>
      <c r="QUR3" s="1"/>
      <c r="QUS3" s="1"/>
      <c r="QUT3" s="1"/>
      <c r="QUU3" s="1"/>
      <c r="QUV3" s="1"/>
      <c r="QUW3" s="1"/>
      <c r="QUX3" s="1"/>
      <c r="QUY3" s="1"/>
      <c r="QUZ3" s="1"/>
      <c r="QVA3" s="1"/>
      <c r="QVB3" s="1"/>
      <c r="QVC3" s="1"/>
      <c r="QVD3" s="1"/>
      <c r="QVE3" s="1"/>
      <c r="QVF3" s="1"/>
      <c r="QVG3" s="1"/>
      <c r="QVH3" s="1"/>
      <c r="QVI3" s="1"/>
      <c r="QVJ3" s="1"/>
      <c r="QVK3" s="1"/>
      <c r="QVL3" s="1"/>
      <c r="QVM3" s="1"/>
      <c r="QVN3" s="1"/>
      <c r="QVO3" s="1"/>
      <c r="QVP3" s="1"/>
      <c r="QVQ3" s="1"/>
      <c r="QVR3" s="1"/>
      <c r="QVS3" s="1"/>
      <c r="QVT3" s="1"/>
      <c r="QVU3" s="1"/>
      <c r="QVV3" s="1"/>
      <c r="QVW3" s="1"/>
      <c r="QVX3" s="1"/>
      <c r="QVY3" s="1"/>
      <c r="QVZ3" s="1"/>
      <c r="QWA3" s="1"/>
      <c r="QWB3" s="1"/>
      <c r="QWC3" s="1"/>
      <c r="QWD3" s="1"/>
      <c r="QWE3" s="1"/>
      <c r="QWF3" s="1"/>
      <c r="QWG3" s="1"/>
      <c r="QWH3" s="1"/>
      <c r="QWI3" s="1"/>
      <c r="QWJ3" s="1"/>
      <c r="QWK3" s="1"/>
      <c r="QWL3" s="1"/>
      <c r="QWM3" s="1"/>
      <c r="QWN3" s="1"/>
      <c r="QWO3" s="1"/>
      <c r="QWP3" s="1"/>
      <c r="QWQ3" s="1"/>
      <c r="QWR3" s="1"/>
      <c r="QWS3" s="1"/>
      <c r="QWT3" s="1"/>
      <c r="QWU3" s="1"/>
      <c r="QWV3" s="1"/>
      <c r="QWW3" s="1"/>
      <c r="QWX3" s="1"/>
      <c r="QWY3" s="1"/>
      <c r="QWZ3" s="1"/>
      <c r="QXA3" s="1"/>
      <c r="QXB3" s="1"/>
      <c r="QXC3" s="1"/>
      <c r="QXD3" s="1"/>
      <c r="QXE3" s="1"/>
      <c r="QXF3" s="1"/>
      <c r="QXG3" s="1"/>
      <c r="QXH3" s="1"/>
      <c r="QXI3" s="1"/>
      <c r="QXJ3" s="1"/>
      <c r="QXK3" s="1"/>
      <c r="QXL3" s="1"/>
      <c r="QXM3" s="1"/>
      <c r="QXN3" s="1"/>
      <c r="QXO3" s="1"/>
      <c r="QXP3" s="1"/>
      <c r="QXQ3" s="1"/>
      <c r="QXR3" s="1"/>
      <c r="QXS3" s="1"/>
      <c r="QXT3" s="1"/>
      <c r="QXU3" s="1"/>
      <c r="QXV3" s="1"/>
      <c r="QXW3" s="1"/>
      <c r="QXX3" s="1"/>
      <c r="QXY3" s="1"/>
      <c r="QXZ3" s="1"/>
      <c r="QYA3" s="1"/>
      <c r="QYB3" s="1"/>
      <c r="QYC3" s="1"/>
      <c r="QYD3" s="1"/>
      <c r="QYE3" s="1"/>
      <c r="QYF3" s="1"/>
      <c r="QYG3" s="1"/>
      <c r="QYH3" s="1"/>
      <c r="QYI3" s="1"/>
      <c r="QYJ3" s="1"/>
      <c r="QYK3" s="1"/>
      <c r="QYL3" s="1"/>
      <c r="QYM3" s="1"/>
      <c r="QYN3" s="1"/>
      <c r="QYO3" s="1"/>
      <c r="QYP3" s="1"/>
      <c r="QYQ3" s="1"/>
      <c r="QYR3" s="1"/>
      <c r="QYS3" s="1"/>
      <c r="QYT3" s="1"/>
      <c r="QYU3" s="1"/>
      <c r="QYV3" s="1"/>
      <c r="QYW3" s="1"/>
      <c r="QYX3" s="1"/>
      <c r="QYY3" s="1"/>
      <c r="QYZ3" s="1"/>
      <c r="QZA3" s="1"/>
      <c r="QZB3" s="1"/>
      <c r="QZC3" s="1"/>
      <c r="QZD3" s="1"/>
      <c r="QZE3" s="1"/>
      <c r="QZF3" s="1"/>
      <c r="QZG3" s="1"/>
      <c r="QZH3" s="1"/>
      <c r="QZI3" s="1"/>
      <c r="QZJ3" s="1"/>
      <c r="QZK3" s="1"/>
      <c r="QZL3" s="1"/>
      <c r="QZM3" s="1"/>
      <c r="QZN3" s="1"/>
      <c r="QZO3" s="1"/>
      <c r="QZP3" s="1"/>
      <c r="QZQ3" s="1"/>
      <c r="QZR3" s="1"/>
      <c r="QZS3" s="1"/>
      <c r="QZT3" s="1"/>
      <c r="QZU3" s="1"/>
      <c r="QZV3" s="1"/>
      <c r="QZW3" s="1"/>
      <c r="QZX3" s="1"/>
      <c r="QZY3" s="1"/>
      <c r="QZZ3" s="1"/>
      <c r="RAA3" s="1"/>
      <c r="RAB3" s="1"/>
      <c r="RAC3" s="1"/>
      <c r="RAD3" s="1"/>
      <c r="RAE3" s="1"/>
      <c r="RAF3" s="1"/>
      <c r="RAG3" s="1"/>
      <c r="RAH3" s="1"/>
      <c r="RAI3" s="1"/>
      <c r="RAJ3" s="1"/>
      <c r="RAK3" s="1"/>
      <c r="RAL3" s="1"/>
      <c r="RAM3" s="1"/>
      <c r="RAN3" s="1"/>
      <c r="RAO3" s="1"/>
      <c r="RAP3" s="1"/>
      <c r="RAQ3" s="1"/>
      <c r="RAR3" s="1"/>
      <c r="RAS3" s="1"/>
      <c r="RAT3" s="1"/>
      <c r="RAU3" s="1"/>
      <c r="RAV3" s="1"/>
      <c r="RAW3" s="1"/>
      <c r="RAX3" s="1"/>
      <c r="RAY3" s="1"/>
      <c r="RAZ3" s="1"/>
      <c r="RBA3" s="1"/>
      <c r="RBB3" s="1"/>
      <c r="RBC3" s="1"/>
      <c r="RBD3" s="1"/>
      <c r="RBE3" s="1"/>
      <c r="RBF3" s="1"/>
      <c r="RBG3" s="1"/>
      <c r="RBH3" s="1"/>
      <c r="RBI3" s="1"/>
      <c r="RBJ3" s="1"/>
      <c r="RBK3" s="1"/>
      <c r="RBL3" s="1"/>
      <c r="RBM3" s="1"/>
      <c r="RBN3" s="1"/>
      <c r="RBO3" s="1"/>
      <c r="RBP3" s="1"/>
      <c r="RBQ3" s="1"/>
      <c r="RBR3" s="1"/>
      <c r="RBS3" s="1"/>
      <c r="RBT3" s="1"/>
      <c r="RBU3" s="1"/>
      <c r="RBV3" s="1"/>
      <c r="RBW3" s="1"/>
      <c r="RBX3" s="1"/>
      <c r="RBY3" s="1"/>
      <c r="RBZ3" s="1"/>
      <c r="RCA3" s="1"/>
      <c r="RCB3" s="1"/>
      <c r="RCC3" s="1"/>
      <c r="RCD3" s="1"/>
      <c r="RCE3" s="1"/>
      <c r="RCF3" s="1"/>
      <c r="RCG3" s="1"/>
      <c r="RCH3" s="1"/>
      <c r="RCI3" s="1"/>
      <c r="RCJ3" s="1"/>
      <c r="RCK3" s="1"/>
      <c r="RCL3" s="1"/>
      <c r="RCM3" s="1"/>
      <c r="RCN3" s="1"/>
      <c r="RCO3" s="1"/>
      <c r="RCP3" s="1"/>
      <c r="RCQ3" s="1"/>
      <c r="RCR3" s="1"/>
      <c r="RCS3" s="1"/>
      <c r="RCT3" s="1"/>
      <c r="RCU3" s="1"/>
      <c r="RCV3" s="1"/>
      <c r="RCW3" s="1"/>
      <c r="RCX3" s="1"/>
      <c r="RCY3" s="1"/>
      <c r="RCZ3" s="1"/>
      <c r="RDA3" s="1"/>
      <c r="RDB3" s="1"/>
      <c r="RDC3" s="1"/>
      <c r="RDD3" s="1"/>
      <c r="RDE3" s="1"/>
      <c r="RDF3" s="1"/>
      <c r="RDG3" s="1"/>
      <c r="RDH3" s="1"/>
      <c r="RDI3" s="1"/>
      <c r="RDJ3" s="1"/>
      <c r="RDK3" s="1"/>
      <c r="RDL3" s="1"/>
      <c r="RDM3" s="1"/>
      <c r="RDN3" s="1"/>
      <c r="RDO3" s="1"/>
      <c r="RDP3" s="1"/>
      <c r="RDQ3" s="1"/>
      <c r="RDR3" s="1"/>
      <c r="RDS3" s="1"/>
      <c r="RDT3" s="1"/>
      <c r="RDU3" s="1"/>
      <c r="RDV3" s="1"/>
      <c r="RDW3" s="1"/>
      <c r="RDX3" s="1"/>
      <c r="RDY3" s="1"/>
      <c r="RDZ3" s="1"/>
      <c r="REA3" s="1"/>
      <c r="REB3" s="1"/>
      <c r="REC3" s="1"/>
      <c r="RED3" s="1"/>
      <c r="REE3" s="1"/>
      <c r="REF3" s="1"/>
      <c r="REG3" s="1"/>
      <c r="REH3" s="1"/>
      <c r="REI3" s="1"/>
      <c r="REJ3" s="1"/>
      <c r="REK3" s="1"/>
      <c r="REL3" s="1"/>
      <c r="REM3" s="1"/>
      <c r="REN3" s="1"/>
      <c r="REO3" s="1"/>
      <c r="REP3" s="1"/>
      <c r="REQ3" s="1"/>
      <c r="RER3" s="1"/>
      <c r="RES3" s="1"/>
      <c r="RET3" s="1"/>
      <c r="REU3" s="1"/>
      <c r="REV3" s="1"/>
      <c r="REW3" s="1"/>
      <c r="REX3" s="1"/>
      <c r="REY3" s="1"/>
      <c r="REZ3" s="1"/>
      <c r="RFA3" s="1"/>
      <c r="RFB3" s="1"/>
      <c r="RFC3" s="1"/>
      <c r="RFD3" s="1"/>
      <c r="RFE3" s="1"/>
      <c r="RFF3" s="1"/>
      <c r="RFG3" s="1"/>
      <c r="RFH3" s="1"/>
      <c r="RFI3" s="1"/>
      <c r="RFJ3" s="1"/>
      <c r="RFK3" s="1"/>
      <c r="RFL3" s="1"/>
      <c r="RFM3" s="1"/>
      <c r="RFN3" s="1"/>
      <c r="RFO3" s="1"/>
      <c r="RFP3" s="1"/>
      <c r="RFQ3" s="1"/>
      <c r="RFR3" s="1"/>
      <c r="RFS3" s="1"/>
      <c r="RFT3" s="1"/>
      <c r="RFU3" s="1"/>
      <c r="RFV3" s="1"/>
      <c r="RFW3" s="1"/>
      <c r="RFX3" s="1"/>
      <c r="RFY3" s="1"/>
      <c r="RFZ3" s="1"/>
      <c r="RGA3" s="1"/>
      <c r="RGB3" s="1"/>
      <c r="RGC3" s="1"/>
      <c r="RGD3" s="1"/>
      <c r="RGE3" s="1"/>
      <c r="RGF3" s="1"/>
      <c r="RGG3" s="1"/>
      <c r="RGH3" s="1"/>
      <c r="RGI3" s="1"/>
      <c r="RGJ3" s="1"/>
      <c r="RGK3" s="1"/>
      <c r="RGL3" s="1"/>
      <c r="RGM3" s="1"/>
      <c r="RGN3" s="1"/>
      <c r="RGO3" s="1"/>
      <c r="RGP3" s="1"/>
      <c r="RGQ3" s="1"/>
      <c r="RGR3" s="1"/>
      <c r="RGS3" s="1"/>
      <c r="RGT3" s="1"/>
      <c r="RGU3" s="1"/>
      <c r="RGV3" s="1"/>
      <c r="RGW3" s="1"/>
      <c r="RGX3" s="1"/>
      <c r="RGY3" s="1"/>
      <c r="RGZ3" s="1"/>
      <c r="RHA3" s="1"/>
      <c r="RHB3" s="1"/>
      <c r="RHC3" s="1"/>
      <c r="RHD3" s="1"/>
      <c r="RHE3" s="1"/>
      <c r="RHF3" s="1"/>
      <c r="RHG3" s="1"/>
      <c r="RHH3" s="1"/>
      <c r="RHI3" s="1"/>
      <c r="RHJ3" s="1"/>
      <c r="RHK3" s="1"/>
      <c r="RHL3" s="1"/>
      <c r="RHM3" s="1"/>
      <c r="RHN3" s="1"/>
      <c r="RHO3" s="1"/>
      <c r="RHP3" s="1"/>
      <c r="RHQ3" s="1"/>
      <c r="RHR3" s="1"/>
      <c r="RHS3" s="1"/>
      <c r="RHT3" s="1"/>
      <c r="RHU3" s="1"/>
      <c r="RHV3" s="1"/>
      <c r="RHW3" s="1"/>
      <c r="RHX3" s="1"/>
      <c r="RHY3" s="1"/>
      <c r="RHZ3" s="1"/>
      <c r="RIA3" s="1"/>
      <c r="RIB3" s="1"/>
      <c r="RIC3" s="1"/>
      <c r="RID3" s="1"/>
      <c r="RIE3" s="1"/>
      <c r="RIF3" s="1"/>
      <c r="RIG3" s="1"/>
      <c r="RIH3" s="1"/>
      <c r="RII3" s="1"/>
      <c r="RIJ3" s="1"/>
      <c r="RIK3" s="1"/>
      <c r="RIL3" s="1"/>
      <c r="RIM3" s="1"/>
      <c r="RIN3" s="1"/>
      <c r="RIO3" s="1"/>
      <c r="RIP3" s="1"/>
      <c r="RIQ3" s="1"/>
      <c r="RIR3" s="1"/>
      <c r="RIS3" s="1"/>
      <c r="RIT3" s="1"/>
      <c r="RIU3" s="1"/>
      <c r="RIV3" s="1"/>
      <c r="RIW3" s="1"/>
      <c r="RIX3" s="1"/>
      <c r="RIY3" s="1"/>
      <c r="RIZ3" s="1"/>
      <c r="RJA3" s="1"/>
      <c r="RJB3" s="1"/>
      <c r="RJC3" s="1"/>
      <c r="RJD3" s="1"/>
      <c r="RJE3" s="1"/>
      <c r="RJF3" s="1"/>
      <c r="RJG3" s="1"/>
      <c r="RJH3" s="1"/>
      <c r="RJI3" s="1"/>
      <c r="RJJ3" s="1"/>
      <c r="RJK3" s="1"/>
      <c r="RJL3" s="1"/>
      <c r="RJM3" s="1"/>
      <c r="RJN3" s="1"/>
      <c r="RJO3" s="1"/>
      <c r="RJP3" s="1"/>
      <c r="RJQ3" s="1"/>
      <c r="RJR3" s="1"/>
      <c r="RJS3" s="1"/>
      <c r="RJT3" s="1"/>
      <c r="RJU3" s="1"/>
      <c r="RJV3" s="1"/>
      <c r="RJW3" s="1"/>
      <c r="RJX3" s="1"/>
      <c r="RJY3" s="1"/>
      <c r="RJZ3" s="1"/>
      <c r="RKA3" s="1"/>
      <c r="RKB3" s="1"/>
      <c r="RKC3" s="1"/>
      <c r="RKD3" s="1"/>
      <c r="RKE3" s="1"/>
      <c r="RKF3" s="1"/>
      <c r="RKG3" s="1"/>
      <c r="RKH3" s="1"/>
      <c r="RKI3" s="1"/>
      <c r="RKJ3" s="1"/>
      <c r="RKK3" s="1"/>
      <c r="RKL3" s="1"/>
      <c r="RKM3" s="1"/>
      <c r="RKN3" s="1"/>
      <c r="RKO3" s="1"/>
      <c r="RKP3" s="1"/>
      <c r="RKQ3" s="1"/>
      <c r="RKR3" s="1"/>
      <c r="RKS3" s="1"/>
      <c r="RKT3" s="1"/>
      <c r="RKU3" s="1"/>
      <c r="RKV3" s="1"/>
      <c r="RKW3" s="1"/>
      <c r="RKX3" s="1"/>
      <c r="RKY3" s="1"/>
      <c r="RKZ3" s="1"/>
      <c r="RLA3" s="1"/>
      <c r="RLB3" s="1"/>
      <c r="RLC3" s="1"/>
      <c r="RLD3" s="1"/>
      <c r="RLE3" s="1"/>
      <c r="RLF3" s="1"/>
      <c r="RLG3" s="1"/>
      <c r="RLH3" s="1"/>
      <c r="RLI3" s="1"/>
      <c r="RLJ3" s="1"/>
      <c r="RLK3" s="1"/>
      <c r="RLL3" s="1"/>
      <c r="RLM3" s="1"/>
      <c r="RLN3" s="1"/>
      <c r="RLO3" s="1"/>
      <c r="RLP3" s="1"/>
      <c r="RLQ3" s="1"/>
      <c r="RLR3" s="1"/>
      <c r="RLS3" s="1"/>
      <c r="RLT3" s="1"/>
      <c r="RLU3" s="1"/>
      <c r="RLV3" s="1"/>
      <c r="RLW3" s="1"/>
      <c r="RLX3" s="1"/>
      <c r="RLY3" s="1"/>
      <c r="RLZ3" s="1"/>
      <c r="RMA3" s="1"/>
      <c r="RMB3" s="1"/>
      <c r="RMC3" s="1"/>
      <c r="RMD3" s="1"/>
      <c r="RME3" s="1"/>
      <c r="RMF3" s="1"/>
      <c r="RMG3" s="1"/>
      <c r="RMH3" s="1"/>
      <c r="RMI3" s="1"/>
      <c r="RMJ3" s="1"/>
      <c r="RMK3" s="1"/>
      <c r="RML3" s="1"/>
      <c r="RMM3" s="1"/>
      <c r="RMN3" s="1"/>
      <c r="RMO3" s="1"/>
      <c r="RMP3" s="1"/>
      <c r="RMQ3" s="1"/>
      <c r="RMR3" s="1"/>
      <c r="RMS3" s="1"/>
      <c r="RMT3" s="1"/>
      <c r="RMU3" s="1"/>
      <c r="RMV3" s="1"/>
      <c r="RMW3" s="1"/>
      <c r="RMX3" s="1"/>
      <c r="RMY3" s="1"/>
      <c r="RMZ3" s="1"/>
      <c r="RNA3" s="1"/>
      <c r="RNB3" s="1"/>
      <c r="RNC3" s="1"/>
      <c r="RND3" s="1"/>
      <c r="RNE3" s="1"/>
      <c r="RNF3" s="1"/>
      <c r="RNG3" s="1"/>
      <c r="RNH3" s="1"/>
      <c r="RNI3" s="1"/>
      <c r="RNJ3" s="1"/>
      <c r="RNK3" s="1"/>
      <c r="RNL3" s="1"/>
      <c r="RNM3" s="1"/>
      <c r="RNN3" s="1"/>
      <c r="RNO3" s="1"/>
      <c r="RNP3" s="1"/>
      <c r="RNQ3" s="1"/>
      <c r="RNR3" s="1"/>
      <c r="RNS3" s="1"/>
      <c r="RNT3" s="1"/>
      <c r="RNU3" s="1"/>
      <c r="RNV3" s="1"/>
      <c r="RNW3" s="1"/>
      <c r="RNX3" s="1"/>
      <c r="RNY3" s="1"/>
      <c r="RNZ3" s="1"/>
      <c r="ROA3" s="1"/>
      <c r="ROB3" s="1"/>
      <c r="ROC3" s="1"/>
      <c r="ROD3" s="1"/>
      <c r="ROE3" s="1"/>
      <c r="ROF3" s="1"/>
      <c r="ROG3" s="1"/>
      <c r="ROH3" s="1"/>
      <c r="ROI3" s="1"/>
      <c r="ROJ3" s="1"/>
      <c r="ROK3" s="1"/>
      <c r="ROL3" s="1"/>
      <c r="ROM3" s="1"/>
      <c r="RON3" s="1"/>
      <c r="ROO3" s="1"/>
      <c r="ROP3" s="1"/>
      <c r="ROQ3" s="1"/>
      <c r="ROR3" s="1"/>
      <c r="ROS3" s="1"/>
      <c r="ROT3" s="1"/>
      <c r="ROU3" s="1"/>
      <c r="ROV3" s="1"/>
      <c r="ROW3" s="1"/>
      <c r="ROX3" s="1"/>
      <c r="ROY3" s="1"/>
      <c r="ROZ3" s="1"/>
      <c r="RPA3" s="1"/>
      <c r="RPB3" s="1"/>
      <c r="RPC3" s="1"/>
      <c r="RPD3" s="1"/>
      <c r="RPE3" s="1"/>
      <c r="RPF3" s="1"/>
      <c r="RPG3" s="1"/>
      <c r="RPH3" s="1"/>
      <c r="RPI3" s="1"/>
      <c r="RPJ3" s="1"/>
      <c r="RPK3" s="1"/>
      <c r="RPL3" s="1"/>
      <c r="RPM3" s="1"/>
      <c r="RPN3" s="1"/>
      <c r="RPO3" s="1"/>
      <c r="RPP3" s="1"/>
      <c r="RPQ3" s="1"/>
      <c r="RPR3" s="1"/>
      <c r="RPS3" s="1"/>
      <c r="RPT3" s="1"/>
      <c r="RPU3" s="1"/>
      <c r="RPV3" s="1"/>
      <c r="RPW3" s="1"/>
      <c r="RPX3" s="1"/>
      <c r="RPY3" s="1"/>
      <c r="RPZ3" s="1"/>
      <c r="RQA3" s="1"/>
      <c r="RQB3" s="1"/>
      <c r="RQC3" s="1"/>
      <c r="RQD3" s="1"/>
      <c r="RQE3" s="1"/>
      <c r="RQF3" s="1"/>
      <c r="RQG3" s="1"/>
      <c r="RQH3" s="1"/>
      <c r="RQI3" s="1"/>
      <c r="RQJ3" s="1"/>
      <c r="RQK3" s="1"/>
      <c r="RQL3" s="1"/>
      <c r="RQM3" s="1"/>
      <c r="RQN3" s="1"/>
      <c r="RQO3" s="1"/>
      <c r="RQP3" s="1"/>
      <c r="RQQ3" s="1"/>
      <c r="RQR3" s="1"/>
      <c r="RQS3" s="1"/>
      <c r="RQT3" s="1"/>
      <c r="RQU3" s="1"/>
      <c r="RQV3" s="1"/>
      <c r="RQW3" s="1"/>
      <c r="RQX3" s="1"/>
      <c r="RQY3" s="1"/>
      <c r="RQZ3" s="1"/>
      <c r="RRA3" s="1"/>
      <c r="RRB3" s="1"/>
      <c r="RRC3" s="1"/>
      <c r="RRD3" s="1"/>
      <c r="RRE3" s="1"/>
      <c r="RRF3" s="1"/>
      <c r="RRG3" s="1"/>
      <c r="RRH3" s="1"/>
      <c r="RRI3" s="1"/>
      <c r="RRJ3" s="1"/>
      <c r="RRK3" s="1"/>
      <c r="RRL3" s="1"/>
      <c r="RRM3" s="1"/>
      <c r="RRN3" s="1"/>
      <c r="RRO3" s="1"/>
      <c r="RRP3" s="1"/>
      <c r="RRQ3" s="1"/>
      <c r="RRR3" s="1"/>
      <c r="RRS3" s="1"/>
      <c r="RRT3" s="1"/>
      <c r="RRU3" s="1"/>
      <c r="RRV3" s="1"/>
      <c r="RRW3" s="1"/>
      <c r="RRX3" s="1"/>
      <c r="RRY3" s="1"/>
      <c r="RRZ3" s="1"/>
      <c r="RSA3" s="1"/>
      <c r="RSB3" s="1"/>
      <c r="RSC3" s="1"/>
      <c r="RSD3" s="1"/>
      <c r="RSE3" s="1"/>
      <c r="RSF3" s="1"/>
      <c r="RSG3" s="1"/>
      <c r="RSH3" s="1"/>
      <c r="RSI3" s="1"/>
      <c r="RSJ3" s="1"/>
      <c r="RSK3" s="1"/>
      <c r="RSL3" s="1"/>
      <c r="RSM3" s="1"/>
      <c r="RSN3" s="1"/>
      <c r="RSO3" s="1"/>
      <c r="RSP3" s="1"/>
      <c r="RSQ3" s="1"/>
      <c r="RSR3" s="1"/>
      <c r="RSS3" s="1"/>
      <c r="RST3" s="1"/>
      <c r="RSU3" s="1"/>
      <c r="RSV3" s="1"/>
      <c r="RSW3" s="1"/>
      <c r="RSX3" s="1"/>
      <c r="RSY3" s="1"/>
      <c r="RSZ3" s="1"/>
      <c r="RTA3" s="1"/>
      <c r="RTB3" s="1"/>
      <c r="RTC3" s="1"/>
      <c r="RTD3" s="1"/>
      <c r="RTE3" s="1"/>
      <c r="RTF3" s="1"/>
      <c r="RTG3" s="1"/>
      <c r="RTH3" s="1"/>
      <c r="RTI3" s="1"/>
      <c r="RTJ3" s="1"/>
      <c r="RTK3" s="1"/>
      <c r="RTL3" s="1"/>
      <c r="RTM3" s="1"/>
      <c r="RTN3" s="1"/>
      <c r="RTO3" s="1"/>
      <c r="RTP3" s="1"/>
      <c r="RTQ3" s="1"/>
      <c r="RTR3" s="1"/>
      <c r="RTS3" s="1"/>
      <c r="RTT3" s="1"/>
      <c r="RTU3" s="1"/>
      <c r="RTV3" s="1"/>
      <c r="RTW3" s="1"/>
      <c r="RTX3" s="1"/>
      <c r="RTY3" s="1"/>
      <c r="RTZ3" s="1"/>
      <c r="RUA3" s="1"/>
      <c r="RUB3" s="1"/>
      <c r="RUC3" s="1"/>
      <c r="RUD3" s="1"/>
      <c r="RUE3" s="1"/>
      <c r="RUF3" s="1"/>
      <c r="RUG3" s="1"/>
      <c r="RUH3" s="1"/>
      <c r="RUI3" s="1"/>
      <c r="RUJ3" s="1"/>
      <c r="RUK3" s="1"/>
      <c r="RUL3" s="1"/>
      <c r="RUM3" s="1"/>
      <c r="RUN3" s="1"/>
      <c r="RUO3" s="1"/>
      <c r="RUP3" s="1"/>
      <c r="RUQ3" s="1"/>
      <c r="RUR3" s="1"/>
      <c r="RUS3" s="1"/>
      <c r="RUT3" s="1"/>
      <c r="RUU3" s="1"/>
      <c r="RUV3" s="1"/>
      <c r="RUW3" s="1"/>
      <c r="RUX3" s="1"/>
      <c r="RUY3" s="1"/>
      <c r="RUZ3" s="1"/>
      <c r="RVA3" s="1"/>
      <c r="RVB3" s="1"/>
      <c r="RVC3" s="1"/>
      <c r="RVD3" s="1"/>
      <c r="RVE3" s="1"/>
      <c r="RVF3" s="1"/>
      <c r="RVG3" s="1"/>
      <c r="RVH3" s="1"/>
      <c r="RVI3" s="1"/>
      <c r="RVJ3" s="1"/>
      <c r="RVK3" s="1"/>
      <c r="RVL3" s="1"/>
      <c r="RVM3" s="1"/>
      <c r="RVN3" s="1"/>
      <c r="RVO3" s="1"/>
      <c r="RVP3" s="1"/>
      <c r="RVQ3" s="1"/>
      <c r="RVR3" s="1"/>
      <c r="RVS3" s="1"/>
      <c r="RVT3" s="1"/>
      <c r="RVU3" s="1"/>
      <c r="RVV3" s="1"/>
      <c r="RVW3" s="1"/>
      <c r="RVX3" s="1"/>
      <c r="RVY3" s="1"/>
      <c r="RVZ3" s="1"/>
      <c r="RWA3" s="1"/>
      <c r="RWB3" s="1"/>
      <c r="RWC3" s="1"/>
      <c r="RWD3" s="1"/>
      <c r="RWE3" s="1"/>
      <c r="RWF3" s="1"/>
      <c r="RWG3" s="1"/>
      <c r="RWH3" s="1"/>
      <c r="RWI3" s="1"/>
      <c r="RWJ3" s="1"/>
      <c r="RWK3" s="1"/>
      <c r="RWL3" s="1"/>
      <c r="RWM3" s="1"/>
      <c r="RWN3" s="1"/>
      <c r="RWO3" s="1"/>
      <c r="RWP3" s="1"/>
      <c r="RWQ3" s="1"/>
      <c r="RWR3" s="1"/>
      <c r="RWS3" s="1"/>
      <c r="RWT3" s="1"/>
      <c r="RWU3" s="1"/>
      <c r="RWV3" s="1"/>
      <c r="RWW3" s="1"/>
      <c r="RWX3" s="1"/>
      <c r="RWY3" s="1"/>
      <c r="RWZ3" s="1"/>
      <c r="RXA3" s="1"/>
      <c r="RXB3" s="1"/>
      <c r="RXC3" s="1"/>
      <c r="RXD3" s="1"/>
      <c r="RXE3" s="1"/>
      <c r="RXF3" s="1"/>
      <c r="RXG3" s="1"/>
      <c r="RXH3" s="1"/>
      <c r="RXI3" s="1"/>
      <c r="RXJ3" s="1"/>
      <c r="RXK3" s="1"/>
      <c r="RXL3" s="1"/>
      <c r="RXM3" s="1"/>
      <c r="RXN3" s="1"/>
      <c r="RXO3" s="1"/>
      <c r="RXP3" s="1"/>
      <c r="RXQ3" s="1"/>
      <c r="RXR3" s="1"/>
      <c r="RXS3" s="1"/>
      <c r="RXT3" s="1"/>
      <c r="RXU3" s="1"/>
      <c r="RXV3" s="1"/>
      <c r="RXW3" s="1"/>
      <c r="RXX3" s="1"/>
      <c r="RXY3" s="1"/>
      <c r="RXZ3" s="1"/>
      <c r="RYA3" s="1"/>
      <c r="RYB3" s="1"/>
      <c r="RYC3" s="1"/>
      <c r="RYD3" s="1"/>
      <c r="RYE3" s="1"/>
      <c r="RYF3" s="1"/>
      <c r="RYG3" s="1"/>
      <c r="RYH3" s="1"/>
      <c r="RYI3" s="1"/>
      <c r="RYJ3" s="1"/>
      <c r="RYK3" s="1"/>
      <c r="RYL3" s="1"/>
      <c r="RYM3" s="1"/>
      <c r="RYN3" s="1"/>
      <c r="RYO3" s="1"/>
      <c r="RYP3" s="1"/>
      <c r="RYQ3" s="1"/>
      <c r="RYR3" s="1"/>
      <c r="RYS3" s="1"/>
      <c r="RYT3" s="1"/>
      <c r="RYU3" s="1"/>
      <c r="RYV3" s="1"/>
      <c r="RYW3" s="1"/>
      <c r="RYX3" s="1"/>
      <c r="RYY3" s="1"/>
      <c r="RYZ3" s="1"/>
      <c r="RZA3" s="1"/>
      <c r="RZB3" s="1"/>
      <c r="RZC3" s="1"/>
      <c r="RZD3" s="1"/>
      <c r="RZE3" s="1"/>
      <c r="RZF3" s="1"/>
      <c r="RZG3" s="1"/>
      <c r="RZH3" s="1"/>
      <c r="RZI3" s="1"/>
      <c r="RZJ3" s="1"/>
      <c r="RZK3" s="1"/>
      <c r="RZL3" s="1"/>
      <c r="RZM3" s="1"/>
      <c r="RZN3" s="1"/>
      <c r="RZO3" s="1"/>
      <c r="RZP3" s="1"/>
      <c r="RZQ3" s="1"/>
      <c r="RZR3" s="1"/>
      <c r="RZS3" s="1"/>
      <c r="RZT3" s="1"/>
      <c r="RZU3" s="1"/>
      <c r="RZV3" s="1"/>
      <c r="RZW3" s="1"/>
      <c r="RZX3" s="1"/>
      <c r="RZY3" s="1"/>
      <c r="RZZ3" s="1"/>
      <c r="SAA3" s="1"/>
      <c r="SAB3" s="1"/>
      <c r="SAC3" s="1"/>
      <c r="SAD3" s="1"/>
      <c r="SAE3" s="1"/>
      <c r="SAF3" s="1"/>
      <c r="SAG3" s="1"/>
      <c r="SAH3" s="1"/>
      <c r="SAI3" s="1"/>
      <c r="SAJ3" s="1"/>
      <c r="SAK3" s="1"/>
      <c r="SAL3" s="1"/>
      <c r="SAM3" s="1"/>
      <c r="SAN3" s="1"/>
      <c r="SAO3" s="1"/>
      <c r="SAP3" s="1"/>
      <c r="SAQ3" s="1"/>
      <c r="SAR3" s="1"/>
      <c r="SAS3" s="1"/>
      <c r="SAT3" s="1"/>
      <c r="SAU3" s="1"/>
      <c r="SAV3" s="1"/>
      <c r="SAW3" s="1"/>
      <c r="SAX3" s="1"/>
      <c r="SAY3" s="1"/>
      <c r="SAZ3" s="1"/>
      <c r="SBA3" s="1"/>
      <c r="SBB3" s="1"/>
      <c r="SBC3" s="1"/>
      <c r="SBD3" s="1"/>
      <c r="SBE3" s="1"/>
      <c r="SBF3" s="1"/>
      <c r="SBG3" s="1"/>
      <c r="SBH3" s="1"/>
      <c r="SBI3" s="1"/>
      <c r="SBJ3" s="1"/>
      <c r="SBK3" s="1"/>
      <c r="SBL3" s="1"/>
      <c r="SBM3" s="1"/>
      <c r="SBN3" s="1"/>
      <c r="SBO3" s="1"/>
      <c r="SBP3" s="1"/>
      <c r="SBQ3" s="1"/>
      <c r="SBR3" s="1"/>
      <c r="SBS3" s="1"/>
      <c r="SBT3" s="1"/>
      <c r="SBU3" s="1"/>
      <c r="SBV3" s="1"/>
      <c r="SBW3" s="1"/>
      <c r="SBX3" s="1"/>
      <c r="SBY3" s="1"/>
      <c r="SBZ3" s="1"/>
      <c r="SCA3" s="1"/>
      <c r="SCB3" s="1"/>
      <c r="SCC3" s="1"/>
      <c r="SCD3" s="1"/>
      <c r="SCE3" s="1"/>
      <c r="SCF3" s="1"/>
      <c r="SCG3" s="1"/>
      <c r="SCH3" s="1"/>
      <c r="SCI3" s="1"/>
      <c r="SCJ3" s="1"/>
      <c r="SCK3" s="1"/>
      <c r="SCL3" s="1"/>
      <c r="SCM3" s="1"/>
      <c r="SCN3" s="1"/>
      <c r="SCO3" s="1"/>
      <c r="SCP3" s="1"/>
      <c r="SCQ3" s="1"/>
      <c r="SCR3" s="1"/>
      <c r="SCS3" s="1"/>
      <c r="SCT3" s="1"/>
      <c r="SCU3" s="1"/>
      <c r="SCV3" s="1"/>
      <c r="SCW3" s="1"/>
      <c r="SCX3" s="1"/>
      <c r="SCY3" s="1"/>
      <c r="SCZ3" s="1"/>
      <c r="SDA3" s="1"/>
      <c r="SDB3" s="1"/>
      <c r="SDC3" s="1"/>
      <c r="SDD3" s="1"/>
      <c r="SDE3" s="1"/>
      <c r="SDF3" s="1"/>
      <c r="SDG3" s="1"/>
      <c r="SDH3" s="1"/>
      <c r="SDI3" s="1"/>
      <c r="SDJ3" s="1"/>
      <c r="SDK3" s="1"/>
      <c r="SDL3" s="1"/>
      <c r="SDM3" s="1"/>
      <c r="SDN3" s="1"/>
      <c r="SDO3" s="1"/>
      <c r="SDP3" s="1"/>
      <c r="SDQ3" s="1"/>
      <c r="SDR3" s="1"/>
      <c r="SDS3" s="1"/>
      <c r="SDT3" s="1"/>
      <c r="SDU3" s="1"/>
      <c r="SDV3" s="1"/>
      <c r="SDW3" s="1"/>
      <c r="SDX3" s="1"/>
      <c r="SDY3" s="1"/>
      <c r="SDZ3" s="1"/>
      <c r="SEA3" s="1"/>
      <c r="SEB3" s="1"/>
      <c r="SEC3" s="1"/>
      <c r="SED3" s="1"/>
      <c r="SEE3" s="1"/>
      <c r="SEF3" s="1"/>
      <c r="SEG3" s="1"/>
      <c r="SEH3" s="1"/>
      <c r="SEI3" s="1"/>
      <c r="SEJ3" s="1"/>
      <c r="SEK3" s="1"/>
      <c r="SEL3" s="1"/>
      <c r="SEM3" s="1"/>
      <c r="SEN3" s="1"/>
      <c r="SEO3" s="1"/>
      <c r="SEP3" s="1"/>
      <c r="SEQ3" s="1"/>
      <c r="SER3" s="1"/>
      <c r="SES3" s="1"/>
      <c r="SET3" s="1"/>
      <c r="SEU3" s="1"/>
      <c r="SEV3" s="1"/>
      <c r="SEW3" s="1"/>
      <c r="SEX3" s="1"/>
      <c r="SEY3" s="1"/>
      <c r="SEZ3" s="1"/>
      <c r="SFA3" s="1"/>
      <c r="SFB3" s="1"/>
      <c r="SFC3" s="1"/>
      <c r="SFD3" s="1"/>
      <c r="SFE3" s="1"/>
      <c r="SFF3" s="1"/>
      <c r="SFG3" s="1"/>
      <c r="SFH3" s="1"/>
      <c r="SFI3" s="1"/>
      <c r="SFJ3" s="1"/>
      <c r="SFK3" s="1"/>
      <c r="SFL3" s="1"/>
      <c r="SFM3" s="1"/>
      <c r="SFN3" s="1"/>
      <c r="SFO3" s="1"/>
      <c r="SFP3" s="1"/>
      <c r="SFQ3" s="1"/>
      <c r="SFR3" s="1"/>
      <c r="SFS3" s="1"/>
      <c r="SFT3" s="1"/>
      <c r="SFU3" s="1"/>
      <c r="SFV3" s="1"/>
      <c r="SFW3" s="1"/>
      <c r="SFX3" s="1"/>
      <c r="SFY3" s="1"/>
      <c r="SFZ3" s="1"/>
      <c r="SGA3" s="1"/>
      <c r="SGB3" s="1"/>
      <c r="SGC3" s="1"/>
      <c r="SGD3" s="1"/>
      <c r="SGE3" s="1"/>
      <c r="SGF3" s="1"/>
      <c r="SGG3" s="1"/>
      <c r="SGH3" s="1"/>
      <c r="SGI3" s="1"/>
      <c r="SGJ3" s="1"/>
      <c r="SGK3" s="1"/>
      <c r="SGL3" s="1"/>
      <c r="SGM3" s="1"/>
      <c r="SGN3" s="1"/>
      <c r="SGO3" s="1"/>
      <c r="SGP3" s="1"/>
      <c r="SGQ3" s="1"/>
      <c r="SGR3" s="1"/>
      <c r="SGS3" s="1"/>
      <c r="SGT3" s="1"/>
      <c r="SGU3" s="1"/>
      <c r="SGV3" s="1"/>
      <c r="SGW3" s="1"/>
      <c r="SGX3" s="1"/>
      <c r="SGY3" s="1"/>
      <c r="SGZ3" s="1"/>
      <c r="SHA3" s="1"/>
      <c r="SHB3" s="1"/>
      <c r="SHC3" s="1"/>
      <c r="SHD3" s="1"/>
      <c r="SHE3" s="1"/>
      <c r="SHF3" s="1"/>
      <c r="SHG3" s="1"/>
      <c r="SHH3" s="1"/>
      <c r="SHI3" s="1"/>
      <c r="SHJ3" s="1"/>
      <c r="SHK3" s="1"/>
      <c r="SHL3" s="1"/>
      <c r="SHM3" s="1"/>
      <c r="SHN3" s="1"/>
      <c r="SHO3" s="1"/>
      <c r="SHP3" s="1"/>
      <c r="SHQ3" s="1"/>
      <c r="SHR3" s="1"/>
      <c r="SHS3" s="1"/>
      <c r="SHT3" s="1"/>
      <c r="SHU3" s="1"/>
      <c r="SHV3" s="1"/>
      <c r="SHW3" s="1"/>
      <c r="SHX3" s="1"/>
      <c r="SHY3" s="1"/>
      <c r="SHZ3" s="1"/>
      <c r="SIA3" s="1"/>
      <c r="SIB3" s="1"/>
      <c r="SIC3" s="1"/>
      <c r="SID3" s="1"/>
      <c r="SIE3" s="1"/>
      <c r="SIF3" s="1"/>
      <c r="SIG3" s="1"/>
      <c r="SIH3" s="1"/>
      <c r="SII3" s="1"/>
      <c r="SIJ3" s="1"/>
      <c r="SIK3" s="1"/>
      <c r="SIL3" s="1"/>
      <c r="SIM3" s="1"/>
      <c r="SIN3" s="1"/>
      <c r="SIO3" s="1"/>
      <c r="SIP3" s="1"/>
      <c r="SIQ3" s="1"/>
      <c r="SIR3" s="1"/>
      <c r="SIS3" s="1"/>
      <c r="SIT3" s="1"/>
      <c r="SIU3" s="1"/>
      <c r="SIV3" s="1"/>
      <c r="SIW3" s="1"/>
      <c r="SIX3" s="1"/>
      <c r="SIY3" s="1"/>
      <c r="SIZ3" s="1"/>
      <c r="SJA3" s="1"/>
      <c r="SJB3" s="1"/>
      <c r="SJC3" s="1"/>
      <c r="SJD3" s="1"/>
      <c r="SJE3" s="1"/>
      <c r="SJF3" s="1"/>
      <c r="SJG3" s="1"/>
      <c r="SJH3" s="1"/>
      <c r="SJI3" s="1"/>
      <c r="SJJ3" s="1"/>
      <c r="SJK3" s="1"/>
      <c r="SJL3" s="1"/>
      <c r="SJM3" s="1"/>
      <c r="SJN3" s="1"/>
      <c r="SJO3" s="1"/>
      <c r="SJP3" s="1"/>
      <c r="SJQ3" s="1"/>
      <c r="SJR3" s="1"/>
      <c r="SJS3" s="1"/>
      <c r="SJT3" s="1"/>
      <c r="SJU3" s="1"/>
      <c r="SJV3" s="1"/>
      <c r="SJW3" s="1"/>
      <c r="SJX3" s="1"/>
      <c r="SJY3" s="1"/>
      <c r="SJZ3" s="1"/>
      <c r="SKA3" s="1"/>
      <c r="SKB3" s="1"/>
      <c r="SKC3" s="1"/>
      <c r="SKD3" s="1"/>
      <c r="SKE3" s="1"/>
      <c r="SKF3" s="1"/>
      <c r="SKG3" s="1"/>
      <c r="SKH3" s="1"/>
      <c r="SKI3" s="1"/>
      <c r="SKJ3" s="1"/>
      <c r="SKK3" s="1"/>
      <c r="SKL3" s="1"/>
      <c r="SKM3" s="1"/>
      <c r="SKN3" s="1"/>
      <c r="SKO3" s="1"/>
      <c r="SKP3" s="1"/>
      <c r="SKQ3" s="1"/>
      <c r="SKR3" s="1"/>
      <c r="SKS3" s="1"/>
      <c r="SKT3" s="1"/>
      <c r="SKU3" s="1"/>
      <c r="SKV3" s="1"/>
      <c r="SKW3" s="1"/>
      <c r="SKX3" s="1"/>
      <c r="SKY3" s="1"/>
      <c r="SKZ3" s="1"/>
      <c r="SLA3" s="1"/>
      <c r="SLB3" s="1"/>
      <c r="SLC3" s="1"/>
      <c r="SLD3" s="1"/>
      <c r="SLE3" s="1"/>
      <c r="SLF3" s="1"/>
      <c r="SLG3" s="1"/>
      <c r="SLH3" s="1"/>
      <c r="SLI3" s="1"/>
      <c r="SLJ3" s="1"/>
      <c r="SLK3" s="1"/>
      <c r="SLL3" s="1"/>
      <c r="SLM3" s="1"/>
      <c r="SLN3" s="1"/>
      <c r="SLO3" s="1"/>
      <c r="SLP3" s="1"/>
      <c r="SLQ3" s="1"/>
      <c r="SLR3" s="1"/>
      <c r="SLS3" s="1"/>
      <c r="SLT3" s="1"/>
      <c r="SLU3" s="1"/>
      <c r="SLV3" s="1"/>
      <c r="SLW3" s="1"/>
      <c r="SLX3" s="1"/>
      <c r="SLY3" s="1"/>
      <c r="SLZ3" s="1"/>
      <c r="SMA3" s="1"/>
      <c r="SMB3" s="1"/>
      <c r="SMC3" s="1"/>
      <c r="SMD3" s="1"/>
      <c r="SME3" s="1"/>
      <c r="SMF3" s="1"/>
      <c r="SMG3" s="1"/>
      <c r="SMH3" s="1"/>
      <c r="SMI3" s="1"/>
      <c r="SMJ3" s="1"/>
      <c r="SMK3" s="1"/>
      <c r="SML3" s="1"/>
      <c r="SMM3" s="1"/>
      <c r="SMN3" s="1"/>
      <c r="SMO3" s="1"/>
      <c r="SMP3" s="1"/>
      <c r="SMQ3" s="1"/>
      <c r="SMR3" s="1"/>
      <c r="SMS3" s="1"/>
      <c r="SMT3" s="1"/>
      <c r="SMU3" s="1"/>
      <c r="SMV3" s="1"/>
      <c r="SMW3" s="1"/>
      <c r="SMX3" s="1"/>
      <c r="SMY3" s="1"/>
      <c r="SMZ3" s="1"/>
      <c r="SNA3" s="1"/>
      <c r="SNB3" s="1"/>
      <c r="SNC3" s="1"/>
      <c r="SND3" s="1"/>
      <c r="SNE3" s="1"/>
      <c r="SNF3" s="1"/>
      <c r="SNG3" s="1"/>
      <c r="SNH3" s="1"/>
      <c r="SNI3" s="1"/>
      <c r="SNJ3" s="1"/>
      <c r="SNK3" s="1"/>
      <c r="SNL3" s="1"/>
      <c r="SNM3" s="1"/>
      <c r="SNN3" s="1"/>
      <c r="SNO3" s="1"/>
      <c r="SNP3" s="1"/>
      <c r="SNQ3" s="1"/>
      <c r="SNR3" s="1"/>
      <c r="SNS3" s="1"/>
      <c r="SNT3" s="1"/>
      <c r="SNU3" s="1"/>
      <c r="SNV3" s="1"/>
      <c r="SNW3" s="1"/>
      <c r="SNX3" s="1"/>
      <c r="SNY3" s="1"/>
      <c r="SNZ3" s="1"/>
      <c r="SOA3" s="1"/>
      <c r="SOB3" s="1"/>
      <c r="SOC3" s="1"/>
      <c r="SOD3" s="1"/>
      <c r="SOE3" s="1"/>
      <c r="SOF3" s="1"/>
      <c r="SOG3" s="1"/>
      <c r="SOH3" s="1"/>
      <c r="SOI3" s="1"/>
      <c r="SOJ3" s="1"/>
      <c r="SOK3" s="1"/>
      <c r="SOL3" s="1"/>
      <c r="SOM3" s="1"/>
      <c r="SON3" s="1"/>
      <c r="SOO3" s="1"/>
      <c r="SOP3" s="1"/>
      <c r="SOQ3" s="1"/>
      <c r="SOR3" s="1"/>
      <c r="SOS3" s="1"/>
      <c r="SOT3" s="1"/>
      <c r="SOU3" s="1"/>
      <c r="SOV3" s="1"/>
      <c r="SOW3" s="1"/>
      <c r="SOX3" s="1"/>
      <c r="SOY3" s="1"/>
      <c r="SOZ3" s="1"/>
      <c r="SPA3" s="1"/>
      <c r="SPB3" s="1"/>
      <c r="SPC3" s="1"/>
      <c r="SPD3" s="1"/>
      <c r="SPE3" s="1"/>
      <c r="SPF3" s="1"/>
      <c r="SPG3" s="1"/>
      <c r="SPH3" s="1"/>
      <c r="SPI3" s="1"/>
      <c r="SPJ3" s="1"/>
      <c r="SPK3" s="1"/>
      <c r="SPL3" s="1"/>
      <c r="SPM3" s="1"/>
      <c r="SPN3" s="1"/>
      <c r="SPO3" s="1"/>
      <c r="SPP3" s="1"/>
      <c r="SPQ3" s="1"/>
      <c r="SPR3" s="1"/>
      <c r="SPS3" s="1"/>
      <c r="SPT3" s="1"/>
      <c r="SPU3" s="1"/>
      <c r="SPV3" s="1"/>
      <c r="SPW3" s="1"/>
      <c r="SPX3" s="1"/>
      <c r="SPY3" s="1"/>
      <c r="SPZ3" s="1"/>
      <c r="SQA3" s="1"/>
      <c r="SQB3" s="1"/>
      <c r="SQC3" s="1"/>
      <c r="SQD3" s="1"/>
      <c r="SQE3" s="1"/>
      <c r="SQF3" s="1"/>
      <c r="SQG3" s="1"/>
      <c r="SQH3" s="1"/>
      <c r="SQI3" s="1"/>
      <c r="SQJ3" s="1"/>
      <c r="SQK3" s="1"/>
      <c r="SQL3" s="1"/>
      <c r="SQM3" s="1"/>
      <c r="SQN3" s="1"/>
      <c r="SQO3" s="1"/>
      <c r="SQP3" s="1"/>
      <c r="SQQ3" s="1"/>
      <c r="SQR3" s="1"/>
      <c r="SQS3" s="1"/>
      <c r="SQT3" s="1"/>
      <c r="SQU3" s="1"/>
      <c r="SQV3" s="1"/>
      <c r="SQW3" s="1"/>
      <c r="SQX3" s="1"/>
      <c r="SQY3" s="1"/>
      <c r="SQZ3" s="1"/>
      <c r="SRA3" s="1"/>
      <c r="SRB3" s="1"/>
      <c r="SRC3" s="1"/>
      <c r="SRD3" s="1"/>
      <c r="SRE3" s="1"/>
      <c r="SRF3" s="1"/>
      <c r="SRG3" s="1"/>
      <c r="SRH3" s="1"/>
      <c r="SRI3" s="1"/>
      <c r="SRJ3" s="1"/>
      <c r="SRK3" s="1"/>
      <c r="SRL3" s="1"/>
      <c r="SRM3" s="1"/>
      <c r="SRN3" s="1"/>
      <c r="SRO3" s="1"/>
      <c r="SRP3" s="1"/>
      <c r="SRQ3" s="1"/>
      <c r="SRR3" s="1"/>
      <c r="SRS3" s="1"/>
      <c r="SRT3" s="1"/>
      <c r="SRU3" s="1"/>
      <c r="SRV3" s="1"/>
      <c r="SRW3" s="1"/>
      <c r="SRX3" s="1"/>
      <c r="SRY3" s="1"/>
      <c r="SRZ3" s="1"/>
      <c r="SSA3" s="1"/>
      <c r="SSB3" s="1"/>
      <c r="SSC3" s="1"/>
      <c r="SSD3" s="1"/>
      <c r="SSE3" s="1"/>
      <c r="SSF3" s="1"/>
      <c r="SSG3" s="1"/>
      <c r="SSH3" s="1"/>
      <c r="SSI3" s="1"/>
      <c r="SSJ3" s="1"/>
      <c r="SSK3" s="1"/>
      <c r="SSL3" s="1"/>
      <c r="SSM3" s="1"/>
      <c r="SSN3" s="1"/>
      <c r="SSO3" s="1"/>
      <c r="SSP3" s="1"/>
      <c r="SSQ3" s="1"/>
      <c r="SSR3" s="1"/>
      <c r="SSS3" s="1"/>
      <c r="SST3" s="1"/>
      <c r="SSU3" s="1"/>
      <c r="SSV3" s="1"/>
      <c r="SSW3" s="1"/>
      <c r="SSX3" s="1"/>
      <c r="SSY3" s="1"/>
      <c r="SSZ3" s="1"/>
      <c r="STA3" s="1"/>
      <c r="STB3" s="1"/>
      <c r="STC3" s="1"/>
      <c r="STD3" s="1"/>
      <c r="STE3" s="1"/>
      <c r="STF3" s="1"/>
      <c r="STG3" s="1"/>
      <c r="STH3" s="1"/>
      <c r="STI3" s="1"/>
      <c r="STJ3" s="1"/>
      <c r="STK3" s="1"/>
      <c r="STL3" s="1"/>
      <c r="STM3" s="1"/>
      <c r="STN3" s="1"/>
      <c r="STO3" s="1"/>
      <c r="STP3" s="1"/>
      <c r="STQ3" s="1"/>
      <c r="STR3" s="1"/>
      <c r="STS3" s="1"/>
      <c r="STT3" s="1"/>
      <c r="STU3" s="1"/>
      <c r="STV3" s="1"/>
      <c r="STW3" s="1"/>
      <c r="STX3" s="1"/>
      <c r="STY3" s="1"/>
      <c r="STZ3" s="1"/>
      <c r="SUA3" s="1"/>
      <c r="SUB3" s="1"/>
      <c r="SUC3" s="1"/>
      <c r="SUD3" s="1"/>
      <c r="SUE3" s="1"/>
      <c r="SUF3" s="1"/>
      <c r="SUG3" s="1"/>
      <c r="SUH3" s="1"/>
      <c r="SUI3" s="1"/>
      <c r="SUJ3" s="1"/>
      <c r="SUK3" s="1"/>
      <c r="SUL3" s="1"/>
      <c r="SUM3" s="1"/>
      <c r="SUN3" s="1"/>
      <c r="SUO3" s="1"/>
      <c r="SUP3" s="1"/>
      <c r="SUQ3" s="1"/>
      <c r="SUR3" s="1"/>
      <c r="SUS3" s="1"/>
      <c r="SUT3" s="1"/>
      <c r="SUU3" s="1"/>
      <c r="SUV3" s="1"/>
      <c r="SUW3" s="1"/>
      <c r="SUX3" s="1"/>
      <c r="SUY3" s="1"/>
      <c r="SUZ3" s="1"/>
      <c r="SVA3" s="1"/>
      <c r="SVB3" s="1"/>
      <c r="SVC3" s="1"/>
      <c r="SVD3" s="1"/>
      <c r="SVE3" s="1"/>
      <c r="SVF3" s="1"/>
      <c r="SVG3" s="1"/>
      <c r="SVH3" s="1"/>
      <c r="SVI3" s="1"/>
      <c r="SVJ3" s="1"/>
      <c r="SVK3" s="1"/>
      <c r="SVL3" s="1"/>
      <c r="SVM3" s="1"/>
      <c r="SVN3" s="1"/>
      <c r="SVO3" s="1"/>
      <c r="SVP3" s="1"/>
      <c r="SVQ3" s="1"/>
      <c r="SVR3" s="1"/>
      <c r="SVS3" s="1"/>
      <c r="SVT3" s="1"/>
      <c r="SVU3" s="1"/>
      <c r="SVV3" s="1"/>
      <c r="SVW3" s="1"/>
      <c r="SVX3" s="1"/>
      <c r="SVY3" s="1"/>
      <c r="SVZ3" s="1"/>
      <c r="SWA3" s="1"/>
      <c r="SWB3" s="1"/>
      <c r="SWC3" s="1"/>
      <c r="SWD3" s="1"/>
      <c r="SWE3" s="1"/>
      <c r="SWF3" s="1"/>
      <c r="SWG3" s="1"/>
      <c r="SWH3" s="1"/>
      <c r="SWI3" s="1"/>
      <c r="SWJ3" s="1"/>
      <c r="SWK3" s="1"/>
      <c r="SWL3" s="1"/>
      <c r="SWM3" s="1"/>
      <c r="SWN3" s="1"/>
      <c r="SWO3" s="1"/>
      <c r="SWP3" s="1"/>
      <c r="SWQ3" s="1"/>
      <c r="SWR3" s="1"/>
      <c r="SWS3" s="1"/>
      <c r="SWT3" s="1"/>
      <c r="SWU3" s="1"/>
      <c r="SWV3" s="1"/>
      <c r="SWW3" s="1"/>
      <c r="SWX3" s="1"/>
      <c r="SWY3" s="1"/>
      <c r="SWZ3" s="1"/>
      <c r="SXA3" s="1"/>
      <c r="SXB3" s="1"/>
      <c r="SXC3" s="1"/>
      <c r="SXD3" s="1"/>
      <c r="SXE3" s="1"/>
      <c r="SXF3" s="1"/>
      <c r="SXG3" s="1"/>
      <c r="SXH3" s="1"/>
      <c r="SXI3" s="1"/>
      <c r="SXJ3" s="1"/>
      <c r="SXK3" s="1"/>
      <c r="SXL3" s="1"/>
      <c r="SXM3" s="1"/>
      <c r="SXN3" s="1"/>
      <c r="SXO3" s="1"/>
      <c r="SXP3" s="1"/>
      <c r="SXQ3" s="1"/>
      <c r="SXR3" s="1"/>
      <c r="SXS3" s="1"/>
      <c r="SXT3" s="1"/>
      <c r="SXU3" s="1"/>
      <c r="SXV3" s="1"/>
      <c r="SXW3" s="1"/>
      <c r="SXX3" s="1"/>
      <c r="SXY3" s="1"/>
      <c r="SXZ3" s="1"/>
      <c r="SYA3" s="1"/>
      <c r="SYB3" s="1"/>
      <c r="SYC3" s="1"/>
      <c r="SYD3" s="1"/>
      <c r="SYE3" s="1"/>
      <c r="SYF3" s="1"/>
      <c r="SYG3" s="1"/>
      <c r="SYH3" s="1"/>
      <c r="SYI3" s="1"/>
      <c r="SYJ3" s="1"/>
      <c r="SYK3" s="1"/>
      <c r="SYL3" s="1"/>
      <c r="SYM3" s="1"/>
      <c r="SYN3" s="1"/>
      <c r="SYO3" s="1"/>
      <c r="SYP3" s="1"/>
      <c r="SYQ3" s="1"/>
      <c r="SYR3" s="1"/>
      <c r="SYS3" s="1"/>
      <c r="SYT3" s="1"/>
      <c r="SYU3" s="1"/>
      <c r="SYV3" s="1"/>
      <c r="SYW3" s="1"/>
      <c r="SYX3" s="1"/>
      <c r="SYY3" s="1"/>
      <c r="SYZ3" s="1"/>
      <c r="SZA3" s="1"/>
      <c r="SZB3" s="1"/>
      <c r="SZC3" s="1"/>
      <c r="SZD3" s="1"/>
      <c r="SZE3" s="1"/>
      <c r="SZF3" s="1"/>
      <c r="SZG3" s="1"/>
      <c r="SZH3" s="1"/>
      <c r="SZI3" s="1"/>
      <c r="SZJ3" s="1"/>
      <c r="SZK3" s="1"/>
      <c r="SZL3" s="1"/>
      <c r="SZM3" s="1"/>
      <c r="SZN3" s="1"/>
      <c r="SZO3" s="1"/>
      <c r="SZP3" s="1"/>
      <c r="SZQ3" s="1"/>
      <c r="SZR3" s="1"/>
      <c r="SZS3" s="1"/>
      <c r="SZT3" s="1"/>
      <c r="SZU3" s="1"/>
      <c r="SZV3" s="1"/>
      <c r="SZW3" s="1"/>
      <c r="SZX3" s="1"/>
      <c r="SZY3" s="1"/>
      <c r="SZZ3" s="1"/>
      <c r="TAA3" s="1"/>
      <c r="TAB3" s="1"/>
      <c r="TAC3" s="1"/>
      <c r="TAD3" s="1"/>
      <c r="TAE3" s="1"/>
      <c r="TAF3" s="1"/>
      <c r="TAG3" s="1"/>
      <c r="TAH3" s="1"/>
      <c r="TAI3" s="1"/>
      <c r="TAJ3" s="1"/>
      <c r="TAK3" s="1"/>
      <c r="TAL3" s="1"/>
      <c r="TAM3" s="1"/>
      <c r="TAN3" s="1"/>
      <c r="TAO3" s="1"/>
      <c r="TAP3" s="1"/>
      <c r="TAQ3" s="1"/>
      <c r="TAR3" s="1"/>
      <c r="TAS3" s="1"/>
      <c r="TAT3" s="1"/>
      <c r="TAU3" s="1"/>
      <c r="TAV3" s="1"/>
      <c r="TAW3" s="1"/>
      <c r="TAX3" s="1"/>
      <c r="TAY3" s="1"/>
      <c r="TAZ3" s="1"/>
      <c r="TBA3" s="1"/>
      <c r="TBB3" s="1"/>
      <c r="TBC3" s="1"/>
      <c r="TBD3" s="1"/>
      <c r="TBE3" s="1"/>
      <c r="TBF3" s="1"/>
      <c r="TBG3" s="1"/>
      <c r="TBH3" s="1"/>
      <c r="TBI3" s="1"/>
      <c r="TBJ3" s="1"/>
      <c r="TBK3" s="1"/>
      <c r="TBL3" s="1"/>
      <c r="TBM3" s="1"/>
      <c r="TBN3" s="1"/>
      <c r="TBO3" s="1"/>
      <c r="TBP3" s="1"/>
      <c r="TBQ3" s="1"/>
      <c r="TBR3" s="1"/>
      <c r="TBS3" s="1"/>
      <c r="TBT3" s="1"/>
      <c r="TBU3" s="1"/>
      <c r="TBV3" s="1"/>
      <c r="TBW3" s="1"/>
      <c r="TBX3" s="1"/>
      <c r="TBY3" s="1"/>
      <c r="TBZ3" s="1"/>
      <c r="TCA3" s="1"/>
      <c r="TCB3" s="1"/>
      <c r="TCC3" s="1"/>
      <c r="TCD3" s="1"/>
      <c r="TCE3" s="1"/>
      <c r="TCF3" s="1"/>
      <c r="TCG3" s="1"/>
      <c r="TCH3" s="1"/>
      <c r="TCI3" s="1"/>
      <c r="TCJ3" s="1"/>
      <c r="TCK3" s="1"/>
      <c r="TCL3" s="1"/>
      <c r="TCM3" s="1"/>
      <c r="TCN3" s="1"/>
      <c r="TCO3" s="1"/>
      <c r="TCP3" s="1"/>
      <c r="TCQ3" s="1"/>
      <c r="TCR3" s="1"/>
      <c r="TCS3" s="1"/>
      <c r="TCT3" s="1"/>
      <c r="TCU3" s="1"/>
      <c r="TCV3" s="1"/>
      <c r="TCW3" s="1"/>
      <c r="TCX3" s="1"/>
      <c r="TCY3" s="1"/>
      <c r="TCZ3" s="1"/>
      <c r="TDA3" s="1"/>
      <c r="TDB3" s="1"/>
      <c r="TDC3" s="1"/>
      <c r="TDD3" s="1"/>
      <c r="TDE3" s="1"/>
      <c r="TDF3" s="1"/>
      <c r="TDG3" s="1"/>
      <c r="TDH3" s="1"/>
      <c r="TDI3" s="1"/>
      <c r="TDJ3" s="1"/>
      <c r="TDK3" s="1"/>
      <c r="TDL3" s="1"/>
      <c r="TDM3" s="1"/>
      <c r="TDN3" s="1"/>
      <c r="TDO3" s="1"/>
      <c r="TDP3" s="1"/>
      <c r="TDQ3" s="1"/>
      <c r="TDR3" s="1"/>
      <c r="TDS3" s="1"/>
      <c r="TDT3" s="1"/>
      <c r="TDU3" s="1"/>
      <c r="TDV3" s="1"/>
      <c r="TDW3" s="1"/>
      <c r="TDX3" s="1"/>
      <c r="TDY3" s="1"/>
      <c r="TDZ3" s="1"/>
      <c r="TEA3" s="1"/>
      <c r="TEB3" s="1"/>
      <c r="TEC3" s="1"/>
      <c r="TED3" s="1"/>
      <c r="TEE3" s="1"/>
      <c r="TEF3" s="1"/>
      <c r="TEG3" s="1"/>
      <c r="TEH3" s="1"/>
      <c r="TEI3" s="1"/>
      <c r="TEJ3" s="1"/>
      <c r="TEK3" s="1"/>
      <c r="TEL3" s="1"/>
      <c r="TEM3" s="1"/>
      <c r="TEN3" s="1"/>
      <c r="TEO3" s="1"/>
      <c r="TEP3" s="1"/>
      <c r="TEQ3" s="1"/>
      <c r="TER3" s="1"/>
      <c r="TES3" s="1"/>
      <c r="TET3" s="1"/>
      <c r="TEU3" s="1"/>
      <c r="TEV3" s="1"/>
      <c r="TEW3" s="1"/>
      <c r="TEX3" s="1"/>
      <c r="TEY3" s="1"/>
      <c r="TEZ3" s="1"/>
      <c r="TFA3" s="1"/>
      <c r="TFB3" s="1"/>
      <c r="TFC3" s="1"/>
      <c r="TFD3" s="1"/>
      <c r="TFE3" s="1"/>
      <c r="TFF3" s="1"/>
      <c r="TFG3" s="1"/>
      <c r="TFH3" s="1"/>
      <c r="TFI3" s="1"/>
      <c r="TFJ3" s="1"/>
      <c r="TFK3" s="1"/>
      <c r="TFL3" s="1"/>
      <c r="TFM3" s="1"/>
      <c r="TFN3" s="1"/>
      <c r="TFO3" s="1"/>
      <c r="TFP3" s="1"/>
      <c r="TFQ3" s="1"/>
      <c r="TFR3" s="1"/>
      <c r="TFS3" s="1"/>
      <c r="TFT3" s="1"/>
      <c r="TFU3" s="1"/>
      <c r="TFV3" s="1"/>
      <c r="TFW3" s="1"/>
      <c r="TFX3" s="1"/>
      <c r="TFY3" s="1"/>
      <c r="TFZ3" s="1"/>
      <c r="TGA3" s="1"/>
      <c r="TGB3" s="1"/>
      <c r="TGC3" s="1"/>
      <c r="TGD3" s="1"/>
      <c r="TGE3" s="1"/>
      <c r="TGF3" s="1"/>
      <c r="TGG3" s="1"/>
      <c r="TGH3" s="1"/>
      <c r="TGI3" s="1"/>
      <c r="TGJ3" s="1"/>
      <c r="TGK3" s="1"/>
      <c r="TGL3" s="1"/>
      <c r="TGM3" s="1"/>
      <c r="TGN3" s="1"/>
      <c r="TGO3" s="1"/>
      <c r="TGP3" s="1"/>
      <c r="TGQ3" s="1"/>
      <c r="TGR3" s="1"/>
      <c r="TGS3" s="1"/>
      <c r="TGT3" s="1"/>
      <c r="TGU3" s="1"/>
      <c r="TGV3" s="1"/>
      <c r="TGW3" s="1"/>
      <c r="TGX3" s="1"/>
      <c r="TGY3" s="1"/>
      <c r="TGZ3" s="1"/>
      <c r="THA3" s="1"/>
      <c r="THB3" s="1"/>
      <c r="THC3" s="1"/>
      <c r="THD3" s="1"/>
      <c r="THE3" s="1"/>
      <c r="THF3" s="1"/>
      <c r="THG3" s="1"/>
      <c r="THH3" s="1"/>
      <c r="THI3" s="1"/>
      <c r="THJ3" s="1"/>
      <c r="THK3" s="1"/>
      <c r="THL3" s="1"/>
      <c r="THM3" s="1"/>
      <c r="THN3" s="1"/>
      <c r="THO3" s="1"/>
      <c r="THP3" s="1"/>
      <c r="THQ3" s="1"/>
      <c r="THR3" s="1"/>
      <c r="THS3" s="1"/>
      <c r="THT3" s="1"/>
      <c r="THU3" s="1"/>
      <c r="THV3" s="1"/>
      <c r="THW3" s="1"/>
      <c r="THX3" s="1"/>
      <c r="THY3" s="1"/>
      <c r="THZ3" s="1"/>
      <c r="TIA3" s="1"/>
      <c r="TIB3" s="1"/>
      <c r="TIC3" s="1"/>
      <c r="TID3" s="1"/>
      <c r="TIE3" s="1"/>
      <c r="TIF3" s="1"/>
      <c r="TIG3" s="1"/>
      <c r="TIH3" s="1"/>
      <c r="TII3" s="1"/>
      <c r="TIJ3" s="1"/>
      <c r="TIK3" s="1"/>
      <c r="TIL3" s="1"/>
      <c r="TIM3" s="1"/>
      <c r="TIN3" s="1"/>
      <c r="TIO3" s="1"/>
      <c r="TIP3" s="1"/>
      <c r="TIQ3" s="1"/>
      <c r="TIR3" s="1"/>
      <c r="TIS3" s="1"/>
      <c r="TIT3" s="1"/>
      <c r="TIU3" s="1"/>
      <c r="TIV3" s="1"/>
      <c r="TIW3" s="1"/>
      <c r="TIX3" s="1"/>
      <c r="TIY3" s="1"/>
      <c r="TIZ3" s="1"/>
      <c r="TJA3" s="1"/>
      <c r="TJB3" s="1"/>
      <c r="TJC3" s="1"/>
      <c r="TJD3" s="1"/>
      <c r="TJE3" s="1"/>
      <c r="TJF3" s="1"/>
      <c r="TJG3" s="1"/>
      <c r="TJH3" s="1"/>
      <c r="TJI3" s="1"/>
      <c r="TJJ3" s="1"/>
      <c r="TJK3" s="1"/>
      <c r="TJL3" s="1"/>
      <c r="TJM3" s="1"/>
      <c r="TJN3" s="1"/>
      <c r="TJO3" s="1"/>
      <c r="TJP3" s="1"/>
      <c r="TJQ3" s="1"/>
      <c r="TJR3" s="1"/>
      <c r="TJS3" s="1"/>
      <c r="TJT3" s="1"/>
      <c r="TJU3" s="1"/>
      <c r="TJV3" s="1"/>
      <c r="TJW3" s="1"/>
      <c r="TJX3" s="1"/>
      <c r="TJY3" s="1"/>
      <c r="TJZ3" s="1"/>
      <c r="TKA3" s="1"/>
      <c r="TKB3" s="1"/>
      <c r="TKC3" s="1"/>
      <c r="TKD3" s="1"/>
      <c r="TKE3" s="1"/>
      <c r="TKF3" s="1"/>
      <c r="TKG3" s="1"/>
      <c r="TKH3" s="1"/>
      <c r="TKI3" s="1"/>
      <c r="TKJ3" s="1"/>
      <c r="TKK3" s="1"/>
      <c r="TKL3" s="1"/>
      <c r="TKM3" s="1"/>
      <c r="TKN3" s="1"/>
      <c r="TKO3" s="1"/>
      <c r="TKP3" s="1"/>
      <c r="TKQ3" s="1"/>
      <c r="TKR3" s="1"/>
      <c r="TKS3" s="1"/>
      <c r="TKT3" s="1"/>
      <c r="TKU3" s="1"/>
      <c r="TKV3" s="1"/>
      <c r="TKW3" s="1"/>
      <c r="TKX3" s="1"/>
      <c r="TKY3" s="1"/>
      <c r="TKZ3" s="1"/>
      <c r="TLA3" s="1"/>
      <c r="TLB3" s="1"/>
      <c r="TLC3" s="1"/>
      <c r="TLD3" s="1"/>
      <c r="TLE3" s="1"/>
      <c r="TLF3" s="1"/>
      <c r="TLG3" s="1"/>
      <c r="TLH3" s="1"/>
      <c r="TLI3" s="1"/>
      <c r="TLJ3" s="1"/>
      <c r="TLK3" s="1"/>
      <c r="TLL3" s="1"/>
      <c r="TLM3" s="1"/>
      <c r="TLN3" s="1"/>
      <c r="TLO3" s="1"/>
      <c r="TLP3" s="1"/>
      <c r="TLQ3" s="1"/>
      <c r="TLR3" s="1"/>
      <c r="TLS3" s="1"/>
      <c r="TLT3" s="1"/>
      <c r="TLU3" s="1"/>
      <c r="TLV3" s="1"/>
      <c r="TLW3" s="1"/>
      <c r="TLX3" s="1"/>
      <c r="TLY3" s="1"/>
      <c r="TLZ3" s="1"/>
      <c r="TMA3" s="1"/>
      <c r="TMB3" s="1"/>
      <c r="TMC3" s="1"/>
      <c r="TMD3" s="1"/>
      <c r="TME3" s="1"/>
      <c r="TMF3" s="1"/>
      <c r="TMG3" s="1"/>
      <c r="TMH3" s="1"/>
      <c r="TMI3" s="1"/>
      <c r="TMJ3" s="1"/>
      <c r="TMK3" s="1"/>
      <c r="TML3" s="1"/>
      <c r="TMM3" s="1"/>
      <c r="TMN3" s="1"/>
      <c r="TMO3" s="1"/>
      <c r="TMP3" s="1"/>
      <c r="TMQ3" s="1"/>
      <c r="TMR3" s="1"/>
      <c r="TMS3" s="1"/>
      <c r="TMT3" s="1"/>
      <c r="TMU3" s="1"/>
      <c r="TMV3" s="1"/>
      <c r="TMW3" s="1"/>
      <c r="TMX3" s="1"/>
      <c r="TMY3" s="1"/>
      <c r="TMZ3" s="1"/>
      <c r="TNA3" s="1"/>
      <c r="TNB3" s="1"/>
      <c r="TNC3" s="1"/>
      <c r="TND3" s="1"/>
      <c r="TNE3" s="1"/>
      <c r="TNF3" s="1"/>
      <c r="TNG3" s="1"/>
      <c r="TNH3" s="1"/>
      <c r="TNI3" s="1"/>
      <c r="TNJ3" s="1"/>
      <c r="TNK3" s="1"/>
      <c r="TNL3" s="1"/>
      <c r="TNM3" s="1"/>
      <c r="TNN3" s="1"/>
      <c r="TNO3" s="1"/>
      <c r="TNP3" s="1"/>
      <c r="TNQ3" s="1"/>
      <c r="TNR3" s="1"/>
      <c r="TNS3" s="1"/>
      <c r="TNT3" s="1"/>
      <c r="TNU3" s="1"/>
      <c r="TNV3" s="1"/>
      <c r="TNW3" s="1"/>
      <c r="TNX3" s="1"/>
      <c r="TNY3" s="1"/>
      <c r="TNZ3" s="1"/>
      <c r="TOA3" s="1"/>
      <c r="TOB3" s="1"/>
      <c r="TOC3" s="1"/>
      <c r="TOD3" s="1"/>
      <c r="TOE3" s="1"/>
      <c r="TOF3" s="1"/>
      <c r="TOG3" s="1"/>
      <c r="TOH3" s="1"/>
      <c r="TOI3" s="1"/>
      <c r="TOJ3" s="1"/>
      <c r="TOK3" s="1"/>
      <c r="TOL3" s="1"/>
      <c r="TOM3" s="1"/>
      <c r="TON3" s="1"/>
      <c r="TOO3" s="1"/>
      <c r="TOP3" s="1"/>
      <c r="TOQ3" s="1"/>
      <c r="TOR3" s="1"/>
      <c r="TOS3" s="1"/>
      <c r="TOT3" s="1"/>
      <c r="TOU3" s="1"/>
      <c r="TOV3" s="1"/>
      <c r="TOW3" s="1"/>
      <c r="TOX3" s="1"/>
      <c r="TOY3" s="1"/>
      <c r="TOZ3" s="1"/>
      <c r="TPA3" s="1"/>
      <c r="TPB3" s="1"/>
      <c r="TPC3" s="1"/>
      <c r="TPD3" s="1"/>
      <c r="TPE3" s="1"/>
      <c r="TPF3" s="1"/>
      <c r="TPG3" s="1"/>
      <c r="TPH3" s="1"/>
      <c r="TPI3" s="1"/>
      <c r="TPJ3" s="1"/>
      <c r="TPK3" s="1"/>
      <c r="TPL3" s="1"/>
      <c r="TPM3" s="1"/>
      <c r="TPN3" s="1"/>
      <c r="TPO3" s="1"/>
      <c r="TPP3" s="1"/>
      <c r="TPQ3" s="1"/>
      <c r="TPR3" s="1"/>
      <c r="TPS3" s="1"/>
      <c r="TPT3" s="1"/>
      <c r="TPU3" s="1"/>
      <c r="TPV3" s="1"/>
      <c r="TPW3" s="1"/>
      <c r="TPX3" s="1"/>
      <c r="TPY3" s="1"/>
      <c r="TPZ3" s="1"/>
      <c r="TQA3" s="1"/>
      <c r="TQB3" s="1"/>
      <c r="TQC3" s="1"/>
      <c r="TQD3" s="1"/>
      <c r="TQE3" s="1"/>
      <c r="TQF3" s="1"/>
      <c r="TQG3" s="1"/>
      <c r="TQH3" s="1"/>
      <c r="TQI3" s="1"/>
      <c r="TQJ3" s="1"/>
      <c r="TQK3" s="1"/>
      <c r="TQL3" s="1"/>
      <c r="TQM3" s="1"/>
      <c r="TQN3" s="1"/>
      <c r="TQO3" s="1"/>
      <c r="TQP3" s="1"/>
      <c r="TQQ3" s="1"/>
      <c r="TQR3" s="1"/>
      <c r="TQS3" s="1"/>
      <c r="TQT3" s="1"/>
      <c r="TQU3" s="1"/>
      <c r="TQV3" s="1"/>
      <c r="TQW3" s="1"/>
      <c r="TQX3" s="1"/>
      <c r="TQY3" s="1"/>
      <c r="TQZ3" s="1"/>
      <c r="TRA3" s="1"/>
      <c r="TRB3" s="1"/>
      <c r="TRC3" s="1"/>
      <c r="TRD3" s="1"/>
      <c r="TRE3" s="1"/>
      <c r="TRF3" s="1"/>
      <c r="TRG3" s="1"/>
      <c r="TRH3" s="1"/>
      <c r="TRI3" s="1"/>
      <c r="TRJ3" s="1"/>
      <c r="TRK3" s="1"/>
      <c r="TRL3" s="1"/>
      <c r="TRM3" s="1"/>
      <c r="TRN3" s="1"/>
      <c r="TRO3" s="1"/>
      <c r="TRP3" s="1"/>
      <c r="TRQ3" s="1"/>
      <c r="TRR3" s="1"/>
      <c r="TRS3" s="1"/>
      <c r="TRT3" s="1"/>
      <c r="TRU3" s="1"/>
      <c r="TRV3" s="1"/>
      <c r="TRW3" s="1"/>
      <c r="TRX3" s="1"/>
      <c r="TRY3" s="1"/>
      <c r="TRZ3" s="1"/>
      <c r="TSA3" s="1"/>
      <c r="TSB3" s="1"/>
      <c r="TSC3" s="1"/>
      <c r="TSD3" s="1"/>
      <c r="TSE3" s="1"/>
      <c r="TSF3" s="1"/>
      <c r="TSG3" s="1"/>
      <c r="TSH3" s="1"/>
      <c r="TSI3" s="1"/>
      <c r="TSJ3" s="1"/>
      <c r="TSK3" s="1"/>
      <c r="TSL3" s="1"/>
      <c r="TSM3" s="1"/>
      <c r="TSN3" s="1"/>
      <c r="TSO3" s="1"/>
      <c r="TSP3" s="1"/>
      <c r="TSQ3" s="1"/>
      <c r="TSR3" s="1"/>
      <c r="TSS3" s="1"/>
      <c r="TST3" s="1"/>
      <c r="TSU3" s="1"/>
      <c r="TSV3" s="1"/>
      <c r="TSW3" s="1"/>
      <c r="TSX3" s="1"/>
      <c r="TSY3" s="1"/>
      <c r="TSZ3" s="1"/>
      <c r="TTA3" s="1"/>
      <c r="TTB3" s="1"/>
      <c r="TTC3" s="1"/>
      <c r="TTD3" s="1"/>
      <c r="TTE3" s="1"/>
      <c r="TTF3" s="1"/>
      <c r="TTG3" s="1"/>
      <c r="TTH3" s="1"/>
      <c r="TTI3" s="1"/>
      <c r="TTJ3" s="1"/>
      <c r="TTK3" s="1"/>
      <c r="TTL3" s="1"/>
      <c r="TTM3" s="1"/>
      <c r="TTN3" s="1"/>
      <c r="TTO3" s="1"/>
      <c r="TTP3" s="1"/>
      <c r="TTQ3" s="1"/>
      <c r="TTR3" s="1"/>
      <c r="TTS3" s="1"/>
      <c r="TTT3" s="1"/>
      <c r="TTU3" s="1"/>
      <c r="TTV3" s="1"/>
      <c r="TTW3" s="1"/>
      <c r="TTX3" s="1"/>
      <c r="TTY3" s="1"/>
      <c r="TTZ3" s="1"/>
      <c r="TUA3" s="1"/>
      <c r="TUB3" s="1"/>
      <c r="TUC3" s="1"/>
      <c r="TUD3" s="1"/>
      <c r="TUE3" s="1"/>
      <c r="TUF3" s="1"/>
      <c r="TUG3" s="1"/>
      <c r="TUH3" s="1"/>
      <c r="TUI3" s="1"/>
      <c r="TUJ3" s="1"/>
      <c r="TUK3" s="1"/>
      <c r="TUL3" s="1"/>
      <c r="TUM3" s="1"/>
      <c r="TUN3" s="1"/>
      <c r="TUO3" s="1"/>
      <c r="TUP3" s="1"/>
      <c r="TUQ3" s="1"/>
      <c r="TUR3" s="1"/>
      <c r="TUS3" s="1"/>
      <c r="TUT3" s="1"/>
      <c r="TUU3" s="1"/>
      <c r="TUV3" s="1"/>
      <c r="TUW3" s="1"/>
      <c r="TUX3" s="1"/>
      <c r="TUY3" s="1"/>
      <c r="TUZ3" s="1"/>
      <c r="TVA3" s="1"/>
      <c r="TVB3" s="1"/>
      <c r="TVC3" s="1"/>
      <c r="TVD3" s="1"/>
      <c r="TVE3" s="1"/>
      <c r="TVF3" s="1"/>
      <c r="TVG3" s="1"/>
      <c r="TVH3" s="1"/>
      <c r="TVI3" s="1"/>
      <c r="TVJ3" s="1"/>
      <c r="TVK3" s="1"/>
      <c r="TVL3" s="1"/>
      <c r="TVM3" s="1"/>
      <c r="TVN3" s="1"/>
      <c r="TVO3" s="1"/>
      <c r="TVP3" s="1"/>
      <c r="TVQ3" s="1"/>
      <c r="TVR3" s="1"/>
      <c r="TVS3" s="1"/>
      <c r="TVT3" s="1"/>
      <c r="TVU3" s="1"/>
      <c r="TVV3" s="1"/>
      <c r="TVW3" s="1"/>
      <c r="TVX3" s="1"/>
      <c r="TVY3" s="1"/>
      <c r="TVZ3" s="1"/>
      <c r="TWA3" s="1"/>
      <c r="TWB3" s="1"/>
      <c r="TWC3" s="1"/>
      <c r="TWD3" s="1"/>
      <c r="TWE3" s="1"/>
      <c r="TWF3" s="1"/>
      <c r="TWG3" s="1"/>
      <c r="TWH3" s="1"/>
      <c r="TWI3" s="1"/>
      <c r="TWJ3" s="1"/>
      <c r="TWK3" s="1"/>
      <c r="TWL3" s="1"/>
      <c r="TWM3" s="1"/>
      <c r="TWN3" s="1"/>
      <c r="TWO3" s="1"/>
      <c r="TWP3" s="1"/>
      <c r="TWQ3" s="1"/>
      <c r="TWR3" s="1"/>
      <c r="TWS3" s="1"/>
      <c r="TWT3" s="1"/>
      <c r="TWU3" s="1"/>
      <c r="TWV3" s="1"/>
      <c r="TWW3" s="1"/>
      <c r="TWX3" s="1"/>
      <c r="TWY3" s="1"/>
      <c r="TWZ3" s="1"/>
      <c r="TXA3" s="1"/>
      <c r="TXB3" s="1"/>
      <c r="TXC3" s="1"/>
      <c r="TXD3" s="1"/>
      <c r="TXE3" s="1"/>
      <c r="TXF3" s="1"/>
      <c r="TXG3" s="1"/>
      <c r="TXH3" s="1"/>
      <c r="TXI3" s="1"/>
      <c r="TXJ3" s="1"/>
      <c r="TXK3" s="1"/>
      <c r="TXL3" s="1"/>
      <c r="TXM3" s="1"/>
      <c r="TXN3" s="1"/>
      <c r="TXO3" s="1"/>
      <c r="TXP3" s="1"/>
      <c r="TXQ3" s="1"/>
      <c r="TXR3" s="1"/>
      <c r="TXS3" s="1"/>
      <c r="TXT3" s="1"/>
      <c r="TXU3" s="1"/>
      <c r="TXV3" s="1"/>
      <c r="TXW3" s="1"/>
      <c r="TXX3" s="1"/>
      <c r="TXY3" s="1"/>
      <c r="TXZ3" s="1"/>
      <c r="TYA3" s="1"/>
      <c r="TYB3" s="1"/>
      <c r="TYC3" s="1"/>
      <c r="TYD3" s="1"/>
      <c r="TYE3" s="1"/>
      <c r="TYF3" s="1"/>
      <c r="TYG3" s="1"/>
      <c r="TYH3" s="1"/>
      <c r="TYI3" s="1"/>
      <c r="TYJ3" s="1"/>
      <c r="TYK3" s="1"/>
      <c r="TYL3" s="1"/>
      <c r="TYM3" s="1"/>
      <c r="TYN3" s="1"/>
      <c r="TYO3" s="1"/>
      <c r="TYP3" s="1"/>
      <c r="TYQ3" s="1"/>
      <c r="TYR3" s="1"/>
      <c r="TYS3" s="1"/>
      <c r="TYT3" s="1"/>
      <c r="TYU3" s="1"/>
      <c r="TYV3" s="1"/>
      <c r="TYW3" s="1"/>
      <c r="TYX3" s="1"/>
      <c r="TYY3" s="1"/>
      <c r="TYZ3" s="1"/>
      <c r="TZA3" s="1"/>
      <c r="TZB3" s="1"/>
      <c r="TZC3" s="1"/>
      <c r="TZD3" s="1"/>
      <c r="TZE3" s="1"/>
      <c r="TZF3" s="1"/>
      <c r="TZG3" s="1"/>
      <c r="TZH3" s="1"/>
      <c r="TZI3" s="1"/>
      <c r="TZJ3" s="1"/>
      <c r="TZK3" s="1"/>
      <c r="TZL3" s="1"/>
      <c r="TZM3" s="1"/>
      <c r="TZN3" s="1"/>
      <c r="TZO3" s="1"/>
      <c r="TZP3" s="1"/>
      <c r="TZQ3" s="1"/>
      <c r="TZR3" s="1"/>
      <c r="TZS3" s="1"/>
      <c r="TZT3" s="1"/>
      <c r="TZU3" s="1"/>
      <c r="TZV3" s="1"/>
      <c r="TZW3" s="1"/>
      <c r="TZX3" s="1"/>
      <c r="TZY3" s="1"/>
      <c r="TZZ3" s="1"/>
      <c r="UAA3" s="1"/>
      <c r="UAB3" s="1"/>
      <c r="UAC3" s="1"/>
      <c r="UAD3" s="1"/>
      <c r="UAE3" s="1"/>
      <c r="UAF3" s="1"/>
      <c r="UAG3" s="1"/>
      <c r="UAH3" s="1"/>
      <c r="UAI3" s="1"/>
      <c r="UAJ3" s="1"/>
      <c r="UAK3" s="1"/>
      <c r="UAL3" s="1"/>
      <c r="UAM3" s="1"/>
      <c r="UAN3" s="1"/>
      <c r="UAO3" s="1"/>
      <c r="UAP3" s="1"/>
      <c r="UAQ3" s="1"/>
      <c r="UAR3" s="1"/>
      <c r="UAS3" s="1"/>
      <c r="UAT3" s="1"/>
      <c r="UAU3" s="1"/>
      <c r="UAV3" s="1"/>
      <c r="UAW3" s="1"/>
      <c r="UAX3" s="1"/>
      <c r="UAY3" s="1"/>
      <c r="UAZ3" s="1"/>
      <c r="UBA3" s="1"/>
      <c r="UBB3" s="1"/>
      <c r="UBC3" s="1"/>
      <c r="UBD3" s="1"/>
      <c r="UBE3" s="1"/>
      <c r="UBF3" s="1"/>
      <c r="UBG3" s="1"/>
      <c r="UBH3" s="1"/>
      <c r="UBI3" s="1"/>
      <c r="UBJ3" s="1"/>
      <c r="UBK3" s="1"/>
      <c r="UBL3" s="1"/>
      <c r="UBM3" s="1"/>
      <c r="UBN3" s="1"/>
      <c r="UBO3" s="1"/>
      <c r="UBP3" s="1"/>
      <c r="UBQ3" s="1"/>
      <c r="UBR3" s="1"/>
      <c r="UBS3" s="1"/>
      <c r="UBT3" s="1"/>
      <c r="UBU3" s="1"/>
      <c r="UBV3" s="1"/>
      <c r="UBW3" s="1"/>
      <c r="UBX3" s="1"/>
      <c r="UBY3" s="1"/>
      <c r="UBZ3" s="1"/>
      <c r="UCA3" s="1"/>
      <c r="UCB3" s="1"/>
      <c r="UCC3" s="1"/>
      <c r="UCD3" s="1"/>
      <c r="UCE3" s="1"/>
      <c r="UCF3" s="1"/>
      <c r="UCG3" s="1"/>
      <c r="UCH3" s="1"/>
      <c r="UCI3" s="1"/>
      <c r="UCJ3" s="1"/>
      <c r="UCK3" s="1"/>
      <c r="UCL3" s="1"/>
      <c r="UCM3" s="1"/>
      <c r="UCN3" s="1"/>
      <c r="UCO3" s="1"/>
      <c r="UCP3" s="1"/>
      <c r="UCQ3" s="1"/>
      <c r="UCR3" s="1"/>
      <c r="UCS3" s="1"/>
      <c r="UCT3" s="1"/>
      <c r="UCU3" s="1"/>
      <c r="UCV3" s="1"/>
      <c r="UCW3" s="1"/>
      <c r="UCX3" s="1"/>
      <c r="UCY3" s="1"/>
      <c r="UCZ3" s="1"/>
      <c r="UDA3" s="1"/>
      <c r="UDB3" s="1"/>
      <c r="UDC3" s="1"/>
      <c r="UDD3" s="1"/>
      <c r="UDE3" s="1"/>
      <c r="UDF3" s="1"/>
      <c r="UDG3" s="1"/>
      <c r="UDH3" s="1"/>
      <c r="UDI3" s="1"/>
      <c r="UDJ3" s="1"/>
      <c r="UDK3" s="1"/>
      <c r="UDL3" s="1"/>
      <c r="UDM3" s="1"/>
      <c r="UDN3" s="1"/>
      <c r="UDO3" s="1"/>
      <c r="UDP3" s="1"/>
      <c r="UDQ3" s="1"/>
      <c r="UDR3" s="1"/>
      <c r="UDS3" s="1"/>
      <c r="UDT3" s="1"/>
      <c r="UDU3" s="1"/>
      <c r="UDV3" s="1"/>
      <c r="UDW3" s="1"/>
      <c r="UDX3" s="1"/>
      <c r="UDY3" s="1"/>
      <c r="UDZ3" s="1"/>
      <c r="UEA3" s="1"/>
      <c r="UEB3" s="1"/>
      <c r="UEC3" s="1"/>
      <c r="UED3" s="1"/>
      <c r="UEE3" s="1"/>
      <c r="UEF3" s="1"/>
      <c r="UEG3" s="1"/>
      <c r="UEH3" s="1"/>
      <c r="UEI3" s="1"/>
      <c r="UEJ3" s="1"/>
      <c r="UEK3" s="1"/>
      <c r="UEL3" s="1"/>
      <c r="UEM3" s="1"/>
      <c r="UEN3" s="1"/>
      <c r="UEO3" s="1"/>
      <c r="UEP3" s="1"/>
      <c r="UEQ3" s="1"/>
      <c r="UER3" s="1"/>
      <c r="UES3" s="1"/>
      <c r="UET3" s="1"/>
      <c r="UEU3" s="1"/>
      <c r="UEV3" s="1"/>
      <c r="UEW3" s="1"/>
      <c r="UEX3" s="1"/>
      <c r="UEY3" s="1"/>
      <c r="UEZ3" s="1"/>
      <c r="UFA3" s="1"/>
      <c r="UFB3" s="1"/>
      <c r="UFC3" s="1"/>
      <c r="UFD3" s="1"/>
      <c r="UFE3" s="1"/>
      <c r="UFF3" s="1"/>
      <c r="UFG3" s="1"/>
      <c r="UFH3" s="1"/>
      <c r="UFI3" s="1"/>
      <c r="UFJ3" s="1"/>
      <c r="UFK3" s="1"/>
      <c r="UFL3" s="1"/>
      <c r="UFM3" s="1"/>
      <c r="UFN3" s="1"/>
      <c r="UFO3" s="1"/>
      <c r="UFP3" s="1"/>
      <c r="UFQ3" s="1"/>
      <c r="UFR3" s="1"/>
      <c r="UFS3" s="1"/>
      <c r="UFT3" s="1"/>
      <c r="UFU3" s="1"/>
      <c r="UFV3" s="1"/>
      <c r="UFW3" s="1"/>
      <c r="UFX3" s="1"/>
      <c r="UFY3" s="1"/>
      <c r="UFZ3" s="1"/>
      <c r="UGA3" s="1"/>
      <c r="UGB3" s="1"/>
      <c r="UGC3" s="1"/>
      <c r="UGD3" s="1"/>
      <c r="UGE3" s="1"/>
      <c r="UGF3" s="1"/>
      <c r="UGG3" s="1"/>
      <c r="UGH3" s="1"/>
      <c r="UGI3" s="1"/>
      <c r="UGJ3" s="1"/>
      <c r="UGK3" s="1"/>
      <c r="UGL3" s="1"/>
      <c r="UGM3" s="1"/>
      <c r="UGN3" s="1"/>
      <c r="UGO3" s="1"/>
      <c r="UGP3" s="1"/>
      <c r="UGQ3" s="1"/>
      <c r="UGR3" s="1"/>
      <c r="UGS3" s="1"/>
      <c r="UGT3" s="1"/>
      <c r="UGU3" s="1"/>
      <c r="UGV3" s="1"/>
      <c r="UGW3" s="1"/>
      <c r="UGX3" s="1"/>
      <c r="UGY3" s="1"/>
      <c r="UGZ3" s="1"/>
      <c r="UHA3" s="1"/>
      <c r="UHB3" s="1"/>
      <c r="UHC3" s="1"/>
      <c r="UHD3" s="1"/>
      <c r="UHE3" s="1"/>
      <c r="UHF3" s="1"/>
      <c r="UHG3" s="1"/>
      <c r="UHH3" s="1"/>
      <c r="UHI3" s="1"/>
      <c r="UHJ3" s="1"/>
      <c r="UHK3" s="1"/>
      <c r="UHL3" s="1"/>
      <c r="UHM3" s="1"/>
      <c r="UHN3" s="1"/>
      <c r="UHO3" s="1"/>
      <c r="UHP3" s="1"/>
      <c r="UHQ3" s="1"/>
      <c r="UHR3" s="1"/>
      <c r="UHS3" s="1"/>
      <c r="UHT3" s="1"/>
      <c r="UHU3" s="1"/>
      <c r="UHV3" s="1"/>
      <c r="UHW3" s="1"/>
      <c r="UHX3" s="1"/>
      <c r="UHY3" s="1"/>
      <c r="UHZ3" s="1"/>
      <c r="UIA3" s="1"/>
      <c r="UIB3" s="1"/>
      <c r="UIC3" s="1"/>
      <c r="UID3" s="1"/>
      <c r="UIE3" s="1"/>
      <c r="UIF3" s="1"/>
      <c r="UIG3" s="1"/>
      <c r="UIH3" s="1"/>
      <c r="UII3" s="1"/>
      <c r="UIJ3" s="1"/>
      <c r="UIK3" s="1"/>
      <c r="UIL3" s="1"/>
      <c r="UIM3" s="1"/>
      <c r="UIN3" s="1"/>
      <c r="UIO3" s="1"/>
      <c r="UIP3" s="1"/>
      <c r="UIQ3" s="1"/>
      <c r="UIR3" s="1"/>
      <c r="UIS3" s="1"/>
      <c r="UIT3" s="1"/>
      <c r="UIU3" s="1"/>
      <c r="UIV3" s="1"/>
      <c r="UIW3" s="1"/>
      <c r="UIX3" s="1"/>
      <c r="UIY3" s="1"/>
      <c r="UIZ3" s="1"/>
      <c r="UJA3" s="1"/>
      <c r="UJB3" s="1"/>
      <c r="UJC3" s="1"/>
      <c r="UJD3" s="1"/>
      <c r="UJE3" s="1"/>
      <c r="UJF3" s="1"/>
      <c r="UJG3" s="1"/>
      <c r="UJH3" s="1"/>
      <c r="UJI3" s="1"/>
      <c r="UJJ3" s="1"/>
      <c r="UJK3" s="1"/>
      <c r="UJL3" s="1"/>
      <c r="UJM3" s="1"/>
      <c r="UJN3" s="1"/>
      <c r="UJO3" s="1"/>
      <c r="UJP3" s="1"/>
      <c r="UJQ3" s="1"/>
      <c r="UJR3" s="1"/>
      <c r="UJS3" s="1"/>
      <c r="UJT3" s="1"/>
      <c r="UJU3" s="1"/>
      <c r="UJV3" s="1"/>
      <c r="UJW3" s="1"/>
      <c r="UJX3" s="1"/>
      <c r="UJY3" s="1"/>
      <c r="UJZ3" s="1"/>
      <c r="UKA3" s="1"/>
      <c r="UKB3" s="1"/>
      <c r="UKC3" s="1"/>
      <c r="UKD3" s="1"/>
      <c r="UKE3" s="1"/>
      <c r="UKF3" s="1"/>
      <c r="UKG3" s="1"/>
      <c r="UKH3" s="1"/>
      <c r="UKI3" s="1"/>
      <c r="UKJ3" s="1"/>
      <c r="UKK3" s="1"/>
      <c r="UKL3" s="1"/>
      <c r="UKM3" s="1"/>
      <c r="UKN3" s="1"/>
      <c r="UKO3" s="1"/>
      <c r="UKP3" s="1"/>
      <c r="UKQ3" s="1"/>
      <c r="UKR3" s="1"/>
      <c r="UKS3" s="1"/>
      <c r="UKT3" s="1"/>
      <c r="UKU3" s="1"/>
      <c r="UKV3" s="1"/>
      <c r="UKW3" s="1"/>
      <c r="UKX3" s="1"/>
      <c r="UKY3" s="1"/>
      <c r="UKZ3" s="1"/>
      <c r="ULA3" s="1"/>
      <c r="ULB3" s="1"/>
      <c r="ULC3" s="1"/>
      <c r="ULD3" s="1"/>
      <c r="ULE3" s="1"/>
      <c r="ULF3" s="1"/>
      <c r="ULG3" s="1"/>
      <c r="ULH3" s="1"/>
      <c r="ULI3" s="1"/>
      <c r="ULJ3" s="1"/>
      <c r="ULK3" s="1"/>
      <c r="ULL3" s="1"/>
      <c r="ULM3" s="1"/>
      <c r="ULN3" s="1"/>
      <c r="ULO3" s="1"/>
      <c r="ULP3" s="1"/>
      <c r="ULQ3" s="1"/>
      <c r="ULR3" s="1"/>
      <c r="ULS3" s="1"/>
      <c r="ULT3" s="1"/>
      <c r="ULU3" s="1"/>
      <c r="ULV3" s="1"/>
      <c r="ULW3" s="1"/>
      <c r="ULX3" s="1"/>
      <c r="ULY3" s="1"/>
      <c r="ULZ3" s="1"/>
      <c r="UMA3" s="1"/>
      <c r="UMB3" s="1"/>
      <c r="UMC3" s="1"/>
      <c r="UMD3" s="1"/>
      <c r="UME3" s="1"/>
      <c r="UMF3" s="1"/>
      <c r="UMG3" s="1"/>
      <c r="UMH3" s="1"/>
      <c r="UMI3" s="1"/>
      <c r="UMJ3" s="1"/>
      <c r="UMK3" s="1"/>
      <c r="UML3" s="1"/>
      <c r="UMM3" s="1"/>
      <c r="UMN3" s="1"/>
      <c r="UMO3" s="1"/>
      <c r="UMP3" s="1"/>
      <c r="UMQ3" s="1"/>
      <c r="UMR3" s="1"/>
      <c r="UMS3" s="1"/>
      <c r="UMT3" s="1"/>
      <c r="UMU3" s="1"/>
      <c r="UMV3" s="1"/>
      <c r="UMW3" s="1"/>
      <c r="UMX3" s="1"/>
      <c r="UMY3" s="1"/>
      <c r="UMZ3" s="1"/>
      <c r="UNA3" s="1"/>
      <c r="UNB3" s="1"/>
      <c r="UNC3" s="1"/>
      <c r="UND3" s="1"/>
      <c r="UNE3" s="1"/>
      <c r="UNF3" s="1"/>
      <c r="UNG3" s="1"/>
      <c r="UNH3" s="1"/>
      <c r="UNI3" s="1"/>
      <c r="UNJ3" s="1"/>
      <c r="UNK3" s="1"/>
      <c r="UNL3" s="1"/>
      <c r="UNM3" s="1"/>
      <c r="UNN3" s="1"/>
      <c r="UNO3" s="1"/>
      <c r="UNP3" s="1"/>
      <c r="UNQ3" s="1"/>
      <c r="UNR3" s="1"/>
      <c r="UNS3" s="1"/>
      <c r="UNT3" s="1"/>
      <c r="UNU3" s="1"/>
      <c r="UNV3" s="1"/>
      <c r="UNW3" s="1"/>
      <c r="UNX3" s="1"/>
      <c r="UNY3" s="1"/>
      <c r="UNZ3" s="1"/>
      <c r="UOA3" s="1"/>
      <c r="UOB3" s="1"/>
      <c r="UOC3" s="1"/>
      <c r="UOD3" s="1"/>
      <c r="UOE3" s="1"/>
      <c r="UOF3" s="1"/>
      <c r="UOG3" s="1"/>
      <c r="UOH3" s="1"/>
      <c r="UOI3" s="1"/>
      <c r="UOJ3" s="1"/>
      <c r="UOK3" s="1"/>
      <c r="UOL3" s="1"/>
      <c r="UOM3" s="1"/>
      <c r="UON3" s="1"/>
      <c r="UOO3" s="1"/>
      <c r="UOP3" s="1"/>
      <c r="UOQ3" s="1"/>
      <c r="UOR3" s="1"/>
      <c r="UOS3" s="1"/>
      <c r="UOT3" s="1"/>
      <c r="UOU3" s="1"/>
      <c r="UOV3" s="1"/>
      <c r="UOW3" s="1"/>
      <c r="UOX3" s="1"/>
      <c r="UOY3" s="1"/>
      <c r="UOZ3" s="1"/>
      <c r="UPA3" s="1"/>
      <c r="UPB3" s="1"/>
      <c r="UPC3" s="1"/>
      <c r="UPD3" s="1"/>
      <c r="UPE3" s="1"/>
      <c r="UPF3" s="1"/>
      <c r="UPG3" s="1"/>
      <c r="UPH3" s="1"/>
      <c r="UPI3" s="1"/>
      <c r="UPJ3" s="1"/>
      <c r="UPK3" s="1"/>
      <c r="UPL3" s="1"/>
      <c r="UPM3" s="1"/>
      <c r="UPN3" s="1"/>
      <c r="UPO3" s="1"/>
      <c r="UPP3" s="1"/>
      <c r="UPQ3" s="1"/>
      <c r="UPR3" s="1"/>
      <c r="UPS3" s="1"/>
      <c r="UPT3" s="1"/>
      <c r="UPU3" s="1"/>
      <c r="UPV3" s="1"/>
      <c r="UPW3" s="1"/>
      <c r="UPX3" s="1"/>
      <c r="UPY3" s="1"/>
      <c r="UPZ3" s="1"/>
      <c r="UQA3" s="1"/>
      <c r="UQB3" s="1"/>
      <c r="UQC3" s="1"/>
      <c r="UQD3" s="1"/>
      <c r="UQE3" s="1"/>
      <c r="UQF3" s="1"/>
      <c r="UQG3" s="1"/>
      <c r="UQH3" s="1"/>
      <c r="UQI3" s="1"/>
      <c r="UQJ3" s="1"/>
      <c r="UQK3" s="1"/>
      <c r="UQL3" s="1"/>
      <c r="UQM3" s="1"/>
      <c r="UQN3" s="1"/>
      <c r="UQO3" s="1"/>
      <c r="UQP3" s="1"/>
      <c r="UQQ3" s="1"/>
      <c r="UQR3" s="1"/>
      <c r="UQS3" s="1"/>
      <c r="UQT3" s="1"/>
      <c r="UQU3" s="1"/>
      <c r="UQV3" s="1"/>
      <c r="UQW3" s="1"/>
      <c r="UQX3" s="1"/>
      <c r="UQY3" s="1"/>
      <c r="UQZ3" s="1"/>
      <c r="URA3" s="1"/>
      <c r="URB3" s="1"/>
      <c r="URC3" s="1"/>
      <c r="URD3" s="1"/>
      <c r="URE3" s="1"/>
      <c r="URF3" s="1"/>
      <c r="URG3" s="1"/>
      <c r="URH3" s="1"/>
      <c r="URI3" s="1"/>
      <c r="URJ3" s="1"/>
      <c r="URK3" s="1"/>
      <c r="URL3" s="1"/>
      <c r="URM3" s="1"/>
      <c r="URN3" s="1"/>
      <c r="URO3" s="1"/>
      <c r="URP3" s="1"/>
      <c r="URQ3" s="1"/>
      <c r="URR3" s="1"/>
      <c r="URS3" s="1"/>
      <c r="URT3" s="1"/>
      <c r="URU3" s="1"/>
      <c r="URV3" s="1"/>
      <c r="URW3" s="1"/>
      <c r="URX3" s="1"/>
      <c r="URY3" s="1"/>
      <c r="URZ3" s="1"/>
      <c r="USA3" s="1"/>
      <c r="USB3" s="1"/>
      <c r="USC3" s="1"/>
      <c r="USD3" s="1"/>
      <c r="USE3" s="1"/>
      <c r="USF3" s="1"/>
      <c r="USG3" s="1"/>
      <c r="USH3" s="1"/>
      <c r="USI3" s="1"/>
      <c r="USJ3" s="1"/>
      <c r="USK3" s="1"/>
      <c r="USL3" s="1"/>
      <c r="USM3" s="1"/>
      <c r="USN3" s="1"/>
      <c r="USO3" s="1"/>
      <c r="USP3" s="1"/>
      <c r="USQ3" s="1"/>
      <c r="USR3" s="1"/>
      <c r="USS3" s="1"/>
      <c r="UST3" s="1"/>
      <c r="USU3" s="1"/>
      <c r="USV3" s="1"/>
      <c r="USW3" s="1"/>
      <c r="USX3" s="1"/>
      <c r="USY3" s="1"/>
      <c r="USZ3" s="1"/>
      <c r="UTA3" s="1"/>
      <c r="UTB3" s="1"/>
      <c r="UTC3" s="1"/>
      <c r="UTD3" s="1"/>
      <c r="UTE3" s="1"/>
      <c r="UTF3" s="1"/>
      <c r="UTG3" s="1"/>
      <c r="UTH3" s="1"/>
      <c r="UTI3" s="1"/>
      <c r="UTJ3" s="1"/>
      <c r="UTK3" s="1"/>
      <c r="UTL3" s="1"/>
      <c r="UTM3" s="1"/>
      <c r="UTN3" s="1"/>
      <c r="UTO3" s="1"/>
      <c r="UTP3" s="1"/>
      <c r="UTQ3" s="1"/>
      <c r="UTR3" s="1"/>
      <c r="UTS3" s="1"/>
      <c r="UTT3" s="1"/>
      <c r="UTU3" s="1"/>
      <c r="UTV3" s="1"/>
      <c r="UTW3" s="1"/>
      <c r="UTX3" s="1"/>
      <c r="UTY3" s="1"/>
      <c r="UTZ3" s="1"/>
      <c r="UUA3" s="1"/>
      <c r="UUB3" s="1"/>
      <c r="UUC3" s="1"/>
      <c r="UUD3" s="1"/>
      <c r="UUE3" s="1"/>
      <c r="UUF3" s="1"/>
      <c r="UUG3" s="1"/>
      <c r="UUH3" s="1"/>
      <c r="UUI3" s="1"/>
      <c r="UUJ3" s="1"/>
      <c r="UUK3" s="1"/>
      <c r="UUL3" s="1"/>
      <c r="UUM3" s="1"/>
      <c r="UUN3" s="1"/>
      <c r="UUO3" s="1"/>
      <c r="UUP3" s="1"/>
      <c r="UUQ3" s="1"/>
      <c r="UUR3" s="1"/>
      <c r="UUS3" s="1"/>
      <c r="UUT3" s="1"/>
      <c r="UUU3" s="1"/>
      <c r="UUV3" s="1"/>
      <c r="UUW3" s="1"/>
      <c r="UUX3" s="1"/>
      <c r="UUY3" s="1"/>
      <c r="UUZ3" s="1"/>
      <c r="UVA3" s="1"/>
      <c r="UVB3" s="1"/>
      <c r="UVC3" s="1"/>
      <c r="UVD3" s="1"/>
      <c r="UVE3" s="1"/>
      <c r="UVF3" s="1"/>
      <c r="UVG3" s="1"/>
      <c r="UVH3" s="1"/>
      <c r="UVI3" s="1"/>
      <c r="UVJ3" s="1"/>
      <c r="UVK3" s="1"/>
      <c r="UVL3" s="1"/>
      <c r="UVM3" s="1"/>
      <c r="UVN3" s="1"/>
      <c r="UVO3" s="1"/>
      <c r="UVP3" s="1"/>
      <c r="UVQ3" s="1"/>
      <c r="UVR3" s="1"/>
      <c r="UVS3" s="1"/>
      <c r="UVT3" s="1"/>
      <c r="UVU3" s="1"/>
      <c r="UVV3" s="1"/>
      <c r="UVW3" s="1"/>
      <c r="UVX3" s="1"/>
      <c r="UVY3" s="1"/>
      <c r="UVZ3" s="1"/>
      <c r="UWA3" s="1"/>
      <c r="UWB3" s="1"/>
      <c r="UWC3" s="1"/>
      <c r="UWD3" s="1"/>
      <c r="UWE3" s="1"/>
      <c r="UWF3" s="1"/>
      <c r="UWG3" s="1"/>
      <c r="UWH3" s="1"/>
      <c r="UWI3" s="1"/>
      <c r="UWJ3" s="1"/>
      <c r="UWK3" s="1"/>
      <c r="UWL3" s="1"/>
      <c r="UWM3" s="1"/>
      <c r="UWN3" s="1"/>
      <c r="UWO3" s="1"/>
      <c r="UWP3" s="1"/>
      <c r="UWQ3" s="1"/>
      <c r="UWR3" s="1"/>
      <c r="UWS3" s="1"/>
      <c r="UWT3" s="1"/>
      <c r="UWU3" s="1"/>
      <c r="UWV3" s="1"/>
      <c r="UWW3" s="1"/>
      <c r="UWX3" s="1"/>
      <c r="UWY3" s="1"/>
      <c r="UWZ3" s="1"/>
      <c r="UXA3" s="1"/>
      <c r="UXB3" s="1"/>
      <c r="UXC3" s="1"/>
      <c r="UXD3" s="1"/>
      <c r="UXE3" s="1"/>
      <c r="UXF3" s="1"/>
      <c r="UXG3" s="1"/>
      <c r="UXH3" s="1"/>
      <c r="UXI3" s="1"/>
      <c r="UXJ3" s="1"/>
      <c r="UXK3" s="1"/>
      <c r="UXL3" s="1"/>
      <c r="UXM3" s="1"/>
      <c r="UXN3" s="1"/>
      <c r="UXO3" s="1"/>
      <c r="UXP3" s="1"/>
      <c r="UXQ3" s="1"/>
      <c r="UXR3" s="1"/>
      <c r="UXS3" s="1"/>
      <c r="UXT3" s="1"/>
      <c r="UXU3" s="1"/>
      <c r="UXV3" s="1"/>
      <c r="UXW3" s="1"/>
      <c r="UXX3" s="1"/>
      <c r="UXY3" s="1"/>
      <c r="UXZ3" s="1"/>
      <c r="UYA3" s="1"/>
      <c r="UYB3" s="1"/>
      <c r="UYC3" s="1"/>
      <c r="UYD3" s="1"/>
      <c r="UYE3" s="1"/>
      <c r="UYF3" s="1"/>
      <c r="UYG3" s="1"/>
      <c r="UYH3" s="1"/>
      <c r="UYI3" s="1"/>
      <c r="UYJ3" s="1"/>
      <c r="UYK3" s="1"/>
      <c r="UYL3" s="1"/>
      <c r="UYM3" s="1"/>
      <c r="UYN3" s="1"/>
      <c r="UYO3" s="1"/>
      <c r="UYP3" s="1"/>
      <c r="UYQ3" s="1"/>
      <c r="UYR3" s="1"/>
      <c r="UYS3" s="1"/>
      <c r="UYT3" s="1"/>
      <c r="UYU3" s="1"/>
      <c r="UYV3" s="1"/>
      <c r="UYW3" s="1"/>
      <c r="UYX3" s="1"/>
      <c r="UYY3" s="1"/>
      <c r="UYZ3" s="1"/>
      <c r="UZA3" s="1"/>
      <c r="UZB3" s="1"/>
      <c r="UZC3" s="1"/>
      <c r="UZD3" s="1"/>
      <c r="UZE3" s="1"/>
      <c r="UZF3" s="1"/>
      <c r="UZG3" s="1"/>
      <c r="UZH3" s="1"/>
      <c r="UZI3" s="1"/>
      <c r="UZJ3" s="1"/>
      <c r="UZK3" s="1"/>
      <c r="UZL3" s="1"/>
      <c r="UZM3" s="1"/>
      <c r="UZN3" s="1"/>
      <c r="UZO3" s="1"/>
      <c r="UZP3" s="1"/>
      <c r="UZQ3" s="1"/>
      <c r="UZR3" s="1"/>
      <c r="UZS3" s="1"/>
      <c r="UZT3" s="1"/>
      <c r="UZU3" s="1"/>
      <c r="UZV3" s="1"/>
      <c r="UZW3" s="1"/>
      <c r="UZX3" s="1"/>
      <c r="UZY3" s="1"/>
      <c r="UZZ3" s="1"/>
      <c r="VAA3" s="1"/>
      <c r="VAB3" s="1"/>
      <c r="VAC3" s="1"/>
      <c r="VAD3" s="1"/>
      <c r="VAE3" s="1"/>
      <c r="VAF3" s="1"/>
      <c r="VAG3" s="1"/>
      <c r="VAH3" s="1"/>
      <c r="VAI3" s="1"/>
      <c r="VAJ3" s="1"/>
      <c r="VAK3" s="1"/>
      <c r="VAL3" s="1"/>
      <c r="VAM3" s="1"/>
      <c r="VAN3" s="1"/>
      <c r="VAO3" s="1"/>
      <c r="VAP3" s="1"/>
      <c r="VAQ3" s="1"/>
      <c r="VAR3" s="1"/>
      <c r="VAS3" s="1"/>
      <c r="VAT3" s="1"/>
      <c r="VAU3" s="1"/>
      <c r="VAV3" s="1"/>
      <c r="VAW3" s="1"/>
      <c r="VAX3" s="1"/>
      <c r="VAY3" s="1"/>
      <c r="VAZ3" s="1"/>
      <c r="VBA3" s="1"/>
      <c r="VBB3" s="1"/>
      <c r="VBC3" s="1"/>
      <c r="VBD3" s="1"/>
      <c r="VBE3" s="1"/>
      <c r="VBF3" s="1"/>
      <c r="VBG3" s="1"/>
      <c r="VBH3" s="1"/>
      <c r="VBI3" s="1"/>
      <c r="VBJ3" s="1"/>
      <c r="VBK3" s="1"/>
      <c r="VBL3" s="1"/>
      <c r="VBM3" s="1"/>
      <c r="VBN3" s="1"/>
      <c r="VBO3" s="1"/>
      <c r="VBP3" s="1"/>
      <c r="VBQ3" s="1"/>
      <c r="VBR3" s="1"/>
      <c r="VBS3" s="1"/>
      <c r="VBT3" s="1"/>
      <c r="VBU3" s="1"/>
      <c r="VBV3" s="1"/>
      <c r="VBW3" s="1"/>
      <c r="VBX3" s="1"/>
      <c r="VBY3" s="1"/>
      <c r="VBZ3" s="1"/>
      <c r="VCA3" s="1"/>
      <c r="VCB3" s="1"/>
      <c r="VCC3" s="1"/>
      <c r="VCD3" s="1"/>
      <c r="VCE3" s="1"/>
      <c r="VCF3" s="1"/>
      <c r="VCG3" s="1"/>
      <c r="VCH3" s="1"/>
      <c r="VCI3" s="1"/>
      <c r="VCJ3" s="1"/>
      <c r="VCK3" s="1"/>
      <c r="VCL3" s="1"/>
      <c r="VCM3" s="1"/>
      <c r="VCN3" s="1"/>
      <c r="VCO3" s="1"/>
      <c r="VCP3" s="1"/>
      <c r="VCQ3" s="1"/>
      <c r="VCR3" s="1"/>
      <c r="VCS3" s="1"/>
      <c r="VCT3" s="1"/>
      <c r="VCU3" s="1"/>
      <c r="VCV3" s="1"/>
      <c r="VCW3" s="1"/>
      <c r="VCX3" s="1"/>
      <c r="VCY3" s="1"/>
      <c r="VCZ3" s="1"/>
      <c r="VDA3" s="1"/>
      <c r="VDB3" s="1"/>
      <c r="VDC3" s="1"/>
      <c r="VDD3" s="1"/>
      <c r="VDE3" s="1"/>
      <c r="VDF3" s="1"/>
      <c r="VDG3" s="1"/>
      <c r="VDH3" s="1"/>
      <c r="VDI3" s="1"/>
      <c r="VDJ3" s="1"/>
      <c r="VDK3" s="1"/>
      <c r="VDL3" s="1"/>
      <c r="VDM3" s="1"/>
      <c r="VDN3" s="1"/>
      <c r="VDO3" s="1"/>
      <c r="VDP3" s="1"/>
      <c r="VDQ3" s="1"/>
      <c r="VDR3" s="1"/>
      <c r="VDS3" s="1"/>
      <c r="VDT3" s="1"/>
      <c r="VDU3" s="1"/>
      <c r="VDV3" s="1"/>
      <c r="VDW3" s="1"/>
      <c r="VDX3" s="1"/>
      <c r="VDY3" s="1"/>
      <c r="VDZ3" s="1"/>
      <c r="VEA3" s="1"/>
      <c r="VEB3" s="1"/>
      <c r="VEC3" s="1"/>
      <c r="VED3" s="1"/>
      <c r="VEE3" s="1"/>
      <c r="VEF3" s="1"/>
      <c r="VEG3" s="1"/>
      <c r="VEH3" s="1"/>
      <c r="VEI3" s="1"/>
      <c r="VEJ3" s="1"/>
      <c r="VEK3" s="1"/>
      <c r="VEL3" s="1"/>
      <c r="VEM3" s="1"/>
      <c r="VEN3" s="1"/>
      <c r="VEO3" s="1"/>
      <c r="VEP3" s="1"/>
      <c r="VEQ3" s="1"/>
      <c r="VER3" s="1"/>
      <c r="VES3" s="1"/>
      <c r="VET3" s="1"/>
      <c r="VEU3" s="1"/>
      <c r="VEV3" s="1"/>
      <c r="VEW3" s="1"/>
      <c r="VEX3" s="1"/>
      <c r="VEY3" s="1"/>
      <c r="VEZ3" s="1"/>
      <c r="VFA3" s="1"/>
      <c r="VFB3" s="1"/>
      <c r="VFC3" s="1"/>
      <c r="VFD3" s="1"/>
      <c r="VFE3" s="1"/>
      <c r="VFF3" s="1"/>
      <c r="VFG3" s="1"/>
      <c r="VFH3" s="1"/>
      <c r="VFI3" s="1"/>
      <c r="VFJ3" s="1"/>
      <c r="VFK3" s="1"/>
      <c r="VFL3" s="1"/>
      <c r="VFM3" s="1"/>
      <c r="VFN3" s="1"/>
      <c r="VFO3" s="1"/>
      <c r="VFP3" s="1"/>
      <c r="VFQ3" s="1"/>
      <c r="VFR3" s="1"/>
      <c r="VFS3" s="1"/>
      <c r="VFT3" s="1"/>
      <c r="VFU3" s="1"/>
      <c r="VFV3" s="1"/>
      <c r="VFW3" s="1"/>
      <c r="VFX3" s="1"/>
      <c r="VFY3" s="1"/>
      <c r="VFZ3" s="1"/>
      <c r="VGA3" s="1"/>
      <c r="VGB3" s="1"/>
      <c r="VGC3" s="1"/>
      <c r="VGD3" s="1"/>
      <c r="VGE3" s="1"/>
      <c r="VGF3" s="1"/>
      <c r="VGG3" s="1"/>
      <c r="VGH3" s="1"/>
      <c r="VGI3" s="1"/>
      <c r="VGJ3" s="1"/>
      <c r="VGK3" s="1"/>
      <c r="VGL3" s="1"/>
      <c r="VGM3" s="1"/>
      <c r="VGN3" s="1"/>
      <c r="VGO3" s="1"/>
      <c r="VGP3" s="1"/>
      <c r="VGQ3" s="1"/>
      <c r="VGR3" s="1"/>
      <c r="VGS3" s="1"/>
      <c r="VGT3" s="1"/>
      <c r="VGU3" s="1"/>
      <c r="VGV3" s="1"/>
      <c r="VGW3" s="1"/>
      <c r="VGX3" s="1"/>
      <c r="VGY3" s="1"/>
      <c r="VGZ3" s="1"/>
      <c r="VHA3" s="1"/>
      <c r="VHB3" s="1"/>
      <c r="VHC3" s="1"/>
      <c r="VHD3" s="1"/>
      <c r="VHE3" s="1"/>
      <c r="VHF3" s="1"/>
      <c r="VHG3" s="1"/>
      <c r="VHH3" s="1"/>
      <c r="VHI3" s="1"/>
      <c r="VHJ3" s="1"/>
      <c r="VHK3" s="1"/>
      <c r="VHL3" s="1"/>
      <c r="VHM3" s="1"/>
      <c r="VHN3" s="1"/>
      <c r="VHO3" s="1"/>
      <c r="VHP3" s="1"/>
      <c r="VHQ3" s="1"/>
      <c r="VHR3" s="1"/>
      <c r="VHS3" s="1"/>
      <c r="VHT3" s="1"/>
      <c r="VHU3" s="1"/>
      <c r="VHV3" s="1"/>
      <c r="VHW3" s="1"/>
      <c r="VHX3" s="1"/>
      <c r="VHY3" s="1"/>
      <c r="VHZ3" s="1"/>
      <c r="VIA3" s="1"/>
      <c r="VIB3" s="1"/>
      <c r="VIC3" s="1"/>
      <c r="VID3" s="1"/>
      <c r="VIE3" s="1"/>
      <c r="VIF3" s="1"/>
      <c r="VIG3" s="1"/>
      <c r="VIH3" s="1"/>
      <c r="VII3" s="1"/>
      <c r="VIJ3" s="1"/>
      <c r="VIK3" s="1"/>
      <c r="VIL3" s="1"/>
      <c r="VIM3" s="1"/>
      <c r="VIN3" s="1"/>
      <c r="VIO3" s="1"/>
      <c r="VIP3" s="1"/>
      <c r="VIQ3" s="1"/>
      <c r="VIR3" s="1"/>
      <c r="VIS3" s="1"/>
      <c r="VIT3" s="1"/>
      <c r="VIU3" s="1"/>
      <c r="VIV3" s="1"/>
      <c r="VIW3" s="1"/>
      <c r="VIX3" s="1"/>
      <c r="VIY3" s="1"/>
      <c r="VIZ3" s="1"/>
      <c r="VJA3" s="1"/>
      <c r="VJB3" s="1"/>
      <c r="VJC3" s="1"/>
      <c r="VJD3" s="1"/>
      <c r="VJE3" s="1"/>
      <c r="VJF3" s="1"/>
      <c r="VJG3" s="1"/>
      <c r="VJH3" s="1"/>
      <c r="VJI3" s="1"/>
      <c r="VJJ3" s="1"/>
      <c r="VJK3" s="1"/>
      <c r="VJL3" s="1"/>
      <c r="VJM3" s="1"/>
      <c r="VJN3" s="1"/>
      <c r="VJO3" s="1"/>
      <c r="VJP3" s="1"/>
      <c r="VJQ3" s="1"/>
      <c r="VJR3" s="1"/>
      <c r="VJS3" s="1"/>
      <c r="VJT3" s="1"/>
      <c r="VJU3" s="1"/>
      <c r="VJV3" s="1"/>
      <c r="VJW3" s="1"/>
      <c r="VJX3" s="1"/>
      <c r="VJY3" s="1"/>
      <c r="VJZ3" s="1"/>
      <c r="VKA3" s="1"/>
      <c r="VKB3" s="1"/>
      <c r="VKC3" s="1"/>
      <c r="VKD3" s="1"/>
      <c r="VKE3" s="1"/>
      <c r="VKF3" s="1"/>
      <c r="VKG3" s="1"/>
      <c r="VKH3" s="1"/>
      <c r="VKI3" s="1"/>
      <c r="VKJ3" s="1"/>
      <c r="VKK3" s="1"/>
      <c r="VKL3" s="1"/>
      <c r="VKM3" s="1"/>
      <c r="VKN3" s="1"/>
      <c r="VKO3" s="1"/>
      <c r="VKP3" s="1"/>
      <c r="VKQ3" s="1"/>
      <c r="VKR3" s="1"/>
      <c r="VKS3" s="1"/>
      <c r="VKT3" s="1"/>
      <c r="VKU3" s="1"/>
      <c r="VKV3" s="1"/>
      <c r="VKW3" s="1"/>
      <c r="VKX3" s="1"/>
      <c r="VKY3" s="1"/>
      <c r="VKZ3" s="1"/>
      <c r="VLA3" s="1"/>
      <c r="VLB3" s="1"/>
      <c r="VLC3" s="1"/>
      <c r="VLD3" s="1"/>
      <c r="VLE3" s="1"/>
      <c r="VLF3" s="1"/>
      <c r="VLG3" s="1"/>
      <c r="VLH3" s="1"/>
      <c r="VLI3" s="1"/>
      <c r="VLJ3" s="1"/>
      <c r="VLK3" s="1"/>
      <c r="VLL3" s="1"/>
      <c r="VLM3" s="1"/>
      <c r="VLN3" s="1"/>
      <c r="VLO3" s="1"/>
      <c r="VLP3" s="1"/>
      <c r="VLQ3" s="1"/>
      <c r="VLR3" s="1"/>
      <c r="VLS3" s="1"/>
      <c r="VLT3" s="1"/>
      <c r="VLU3" s="1"/>
      <c r="VLV3" s="1"/>
      <c r="VLW3" s="1"/>
      <c r="VLX3" s="1"/>
      <c r="VLY3" s="1"/>
      <c r="VLZ3" s="1"/>
      <c r="VMA3" s="1"/>
      <c r="VMB3" s="1"/>
      <c r="VMC3" s="1"/>
      <c r="VMD3" s="1"/>
      <c r="VME3" s="1"/>
      <c r="VMF3" s="1"/>
      <c r="VMG3" s="1"/>
      <c r="VMH3" s="1"/>
      <c r="VMI3" s="1"/>
      <c r="VMJ3" s="1"/>
      <c r="VMK3" s="1"/>
      <c r="VML3" s="1"/>
      <c r="VMM3" s="1"/>
      <c r="VMN3" s="1"/>
      <c r="VMO3" s="1"/>
      <c r="VMP3" s="1"/>
      <c r="VMQ3" s="1"/>
      <c r="VMR3" s="1"/>
      <c r="VMS3" s="1"/>
      <c r="VMT3" s="1"/>
      <c r="VMU3" s="1"/>
      <c r="VMV3" s="1"/>
      <c r="VMW3" s="1"/>
      <c r="VMX3" s="1"/>
      <c r="VMY3" s="1"/>
      <c r="VMZ3" s="1"/>
      <c r="VNA3" s="1"/>
      <c r="VNB3" s="1"/>
      <c r="VNC3" s="1"/>
      <c r="VND3" s="1"/>
      <c r="VNE3" s="1"/>
      <c r="VNF3" s="1"/>
      <c r="VNG3" s="1"/>
      <c r="VNH3" s="1"/>
      <c r="VNI3" s="1"/>
      <c r="VNJ3" s="1"/>
      <c r="VNK3" s="1"/>
      <c r="VNL3" s="1"/>
      <c r="VNM3" s="1"/>
      <c r="VNN3" s="1"/>
      <c r="VNO3" s="1"/>
      <c r="VNP3" s="1"/>
      <c r="VNQ3" s="1"/>
      <c r="VNR3" s="1"/>
      <c r="VNS3" s="1"/>
      <c r="VNT3" s="1"/>
      <c r="VNU3" s="1"/>
      <c r="VNV3" s="1"/>
      <c r="VNW3" s="1"/>
      <c r="VNX3" s="1"/>
      <c r="VNY3" s="1"/>
      <c r="VNZ3" s="1"/>
      <c r="VOA3" s="1"/>
      <c r="VOB3" s="1"/>
      <c r="VOC3" s="1"/>
      <c r="VOD3" s="1"/>
      <c r="VOE3" s="1"/>
      <c r="VOF3" s="1"/>
      <c r="VOG3" s="1"/>
      <c r="VOH3" s="1"/>
      <c r="VOI3" s="1"/>
      <c r="VOJ3" s="1"/>
      <c r="VOK3" s="1"/>
      <c r="VOL3" s="1"/>
      <c r="VOM3" s="1"/>
      <c r="VON3" s="1"/>
      <c r="VOO3" s="1"/>
      <c r="VOP3" s="1"/>
      <c r="VOQ3" s="1"/>
      <c r="VOR3" s="1"/>
      <c r="VOS3" s="1"/>
      <c r="VOT3" s="1"/>
      <c r="VOU3" s="1"/>
      <c r="VOV3" s="1"/>
      <c r="VOW3" s="1"/>
      <c r="VOX3" s="1"/>
      <c r="VOY3" s="1"/>
      <c r="VOZ3" s="1"/>
      <c r="VPA3" s="1"/>
      <c r="VPB3" s="1"/>
      <c r="VPC3" s="1"/>
      <c r="VPD3" s="1"/>
      <c r="VPE3" s="1"/>
      <c r="VPF3" s="1"/>
      <c r="VPG3" s="1"/>
      <c r="VPH3" s="1"/>
      <c r="VPI3" s="1"/>
      <c r="VPJ3" s="1"/>
      <c r="VPK3" s="1"/>
      <c r="VPL3" s="1"/>
      <c r="VPM3" s="1"/>
      <c r="VPN3" s="1"/>
      <c r="VPO3" s="1"/>
      <c r="VPP3" s="1"/>
      <c r="VPQ3" s="1"/>
      <c r="VPR3" s="1"/>
      <c r="VPS3" s="1"/>
      <c r="VPT3" s="1"/>
      <c r="VPU3" s="1"/>
      <c r="VPV3" s="1"/>
      <c r="VPW3" s="1"/>
      <c r="VPX3" s="1"/>
      <c r="VPY3" s="1"/>
      <c r="VPZ3" s="1"/>
      <c r="VQA3" s="1"/>
      <c r="VQB3" s="1"/>
      <c r="VQC3" s="1"/>
      <c r="VQD3" s="1"/>
      <c r="VQE3" s="1"/>
      <c r="VQF3" s="1"/>
      <c r="VQG3" s="1"/>
      <c r="VQH3" s="1"/>
      <c r="VQI3" s="1"/>
      <c r="VQJ3" s="1"/>
      <c r="VQK3" s="1"/>
      <c r="VQL3" s="1"/>
      <c r="VQM3" s="1"/>
      <c r="VQN3" s="1"/>
      <c r="VQO3" s="1"/>
      <c r="VQP3" s="1"/>
      <c r="VQQ3" s="1"/>
      <c r="VQR3" s="1"/>
      <c r="VQS3" s="1"/>
      <c r="VQT3" s="1"/>
      <c r="VQU3" s="1"/>
      <c r="VQV3" s="1"/>
      <c r="VQW3" s="1"/>
      <c r="VQX3" s="1"/>
      <c r="VQY3" s="1"/>
      <c r="VQZ3" s="1"/>
      <c r="VRA3" s="1"/>
      <c r="VRB3" s="1"/>
      <c r="VRC3" s="1"/>
      <c r="VRD3" s="1"/>
      <c r="VRE3" s="1"/>
      <c r="VRF3" s="1"/>
      <c r="VRG3" s="1"/>
      <c r="VRH3" s="1"/>
      <c r="VRI3" s="1"/>
      <c r="VRJ3" s="1"/>
      <c r="VRK3" s="1"/>
      <c r="VRL3" s="1"/>
      <c r="VRM3" s="1"/>
      <c r="VRN3" s="1"/>
      <c r="VRO3" s="1"/>
      <c r="VRP3" s="1"/>
      <c r="VRQ3" s="1"/>
      <c r="VRR3" s="1"/>
      <c r="VRS3" s="1"/>
      <c r="VRT3" s="1"/>
      <c r="VRU3" s="1"/>
      <c r="VRV3" s="1"/>
      <c r="VRW3" s="1"/>
      <c r="VRX3" s="1"/>
      <c r="VRY3" s="1"/>
      <c r="VRZ3" s="1"/>
      <c r="VSA3" s="1"/>
      <c r="VSB3" s="1"/>
      <c r="VSC3" s="1"/>
      <c r="VSD3" s="1"/>
      <c r="VSE3" s="1"/>
      <c r="VSF3" s="1"/>
      <c r="VSG3" s="1"/>
      <c r="VSH3" s="1"/>
      <c r="VSI3" s="1"/>
      <c r="VSJ3" s="1"/>
      <c r="VSK3" s="1"/>
      <c r="VSL3" s="1"/>
      <c r="VSM3" s="1"/>
      <c r="VSN3" s="1"/>
      <c r="VSO3" s="1"/>
      <c r="VSP3" s="1"/>
      <c r="VSQ3" s="1"/>
      <c r="VSR3" s="1"/>
      <c r="VSS3" s="1"/>
      <c r="VST3" s="1"/>
      <c r="VSU3" s="1"/>
      <c r="VSV3" s="1"/>
      <c r="VSW3" s="1"/>
      <c r="VSX3" s="1"/>
      <c r="VSY3" s="1"/>
      <c r="VSZ3" s="1"/>
      <c r="VTA3" s="1"/>
      <c r="VTB3" s="1"/>
      <c r="VTC3" s="1"/>
      <c r="VTD3" s="1"/>
      <c r="VTE3" s="1"/>
      <c r="VTF3" s="1"/>
      <c r="VTG3" s="1"/>
      <c r="VTH3" s="1"/>
      <c r="VTI3" s="1"/>
      <c r="VTJ3" s="1"/>
      <c r="VTK3" s="1"/>
      <c r="VTL3" s="1"/>
      <c r="VTM3" s="1"/>
      <c r="VTN3" s="1"/>
      <c r="VTO3" s="1"/>
      <c r="VTP3" s="1"/>
      <c r="VTQ3" s="1"/>
      <c r="VTR3" s="1"/>
      <c r="VTS3" s="1"/>
      <c r="VTT3" s="1"/>
      <c r="VTU3" s="1"/>
      <c r="VTV3" s="1"/>
      <c r="VTW3" s="1"/>
      <c r="VTX3" s="1"/>
      <c r="VTY3" s="1"/>
      <c r="VTZ3" s="1"/>
      <c r="VUA3" s="1"/>
      <c r="VUB3" s="1"/>
      <c r="VUC3" s="1"/>
      <c r="VUD3" s="1"/>
      <c r="VUE3" s="1"/>
      <c r="VUF3" s="1"/>
      <c r="VUG3" s="1"/>
      <c r="VUH3" s="1"/>
      <c r="VUI3" s="1"/>
      <c r="VUJ3" s="1"/>
      <c r="VUK3" s="1"/>
      <c r="VUL3" s="1"/>
      <c r="VUM3" s="1"/>
      <c r="VUN3" s="1"/>
      <c r="VUO3" s="1"/>
      <c r="VUP3" s="1"/>
      <c r="VUQ3" s="1"/>
      <c r="VUR3" s="1"/>
      <c r="VUS3" s="1"/>
      <c r="VUT3" s="1"/>
      <c r="VUU3" s="1"/>
      <c r="VUV3" s="1"/>
      <c r="VUW3" s="1"/>
      <c r="VUX3" s="1"/>
      <c r="VUY3" s="1"/>
      <c r="VUZ3" s="1"/>
      <c r="VVA3" s="1"/>
      <c r="VVB3" s="1"/>
      <c r="VVC3" s="1"/>
      <c r="VVD3" s="1"/>
      <c r="VVE3" s="1"/>
      <c r="VVF3" s="1"/>
      <c r="VVG3" s="1"/>
      <c r="VVH3" s="1"/>
      <c r="VVI3" s="1"/>
      <c r="VVJ3" s="1"/>
      <c r="VVK3" s="1"/>
      <c r="VVL3" s="1"/>
      <c r="VVM3" s="1"/>
      <c r="VVN3" s="1"/>
      <c r="VVO3" s="1"/>
      <c r="VVP3" s="1"/>
      <c r="VVQ3" s="1"/>
      <c r="VVR3" s="1"/>
      <c r="VVS3" s="1"/>
      <c r="VVT3" s="1"/>
      <c r="VVU3" s="1"/>
      <c r="VVV3" s="1"/>
      <c r="VVW3" s="1"/>
      <c r="VVX3" s="1"/>
      <c r="VVY3" s="1"/>
      <c r="VVZ3" s="1"/>
      <c r="VWA3" s="1"/>
      <c r="VWB3" s="1"/>
      <c r="VWC3" s="1"/>
      <c r="VWD3" s="1"/>
      <c r="VWE3" s="1"/>
      <c r="VWF3" s="1"/>
      <c r="VWG3" s="1"/>
      <c r="VWH3" s="1"/>
      <c r="VWI3" s="1"/>
      <c r="VWJ3" s="1"/>
      <c r="VWK3" s="1"/>
      <c r="VWL3" s="1"/>
      <c r="VWM3" s="1"/>
      <c r="VWN3" s="1"/>
      <c r="VWO3" s="1"/>
      <c r="VWP3" s="1"/>
      <c r="VWQ3" s="1"/>
      <c r="VWR3" s="1"/>
      <c r="VWS3" s="1"/>
      <c r="VWT3" s="1"/>
      <c r="VWU3" s="1"/>
      <c r="VWV3" s="1"/>
      <c r="VWW3" s="1"/>
      <c r="VWX3" s="1"/>
      <c r="VWY3" s="1"/>
      <c r="VWZ3" s="1"/>
      <c r="VXA3" s="1"/>
      <c r="VXB3" s="1"/>
      <c r="VXC3" s="1"/>
      <c r="VXD3" s="1"/>
      <c r="VXE3" s="1"/>
      <c r="VXF3" s="1"/>
      <c r="VXG3" s="1"/>
      <c r="VXH3" s="1"/>
      <c r="VXI3" s="1"/>
      <c r="VXJ3" s="1"/>
      <c r="VXK3" s="1"/>
      <c r="VXL3" s="1"/>
      <c r="VXM3" s="1"/>
      <c r="VXN3" s="1"/>
      <c r="VXO3" s="1"/>
      <c r="VXP3" s="1"/>
      <c r="VXQ3" s="1"/>
      <c r="VXR3" s="1"/>
      <c r="VXS3" s="1"/>
      <c r="VXT3" s="1"/>
      <c r="VXU3" s="1"/>
      <c r="VXV3" s="1"/>
      <c r="VXW3" s="1"/>
      <c r="VXX3" s="1"/>
      <c r="VXY3" s="1"/>
      <c r="VXZ3" s="1"/>
      <c r="VYA3" s="1"/>
      <c r="VYB3" s="1"/>
      <c r="VYC3" s="1"/>
      <c r="VYD3" s="1"/>
      <c r="VYE3" s="1"/>
      <c r="VYF3" s="1"/>
      <c r="VYG3" s="1"/>
      <c r="VYH3" s="1"/>
      <c r="VYI3" s="1"/>
      <c r="VYJ3" s="1"/>
      <c r="VYK3" s="1"/>
      <c r="VYL3" s="1"/>
      <c r="VYM3" s="1"/>
      <c r="VYN3" s="1"/>
      <c r="VYO3" s="1"/>
      <c r="VYP3" s="1"/>
      <c r="VYQ3" s="1"/>
      <c r="VYR3" s="1"/>
      <c r="VYS3" s="1"/>
      <c r="VYT3" s="1"/>
      <c r="VYU3" s="1"/>
      <c r="VYV3" s="1"/>
      <c r="VYW3" s="1"/>
      <c r="VYX3" s="1"/>
      <c r="VYY3" s="1"/>
      <c r="VYZ3" s="1"/>
      <c r="VZA3" s="1"/>
      <c r="VZB3" s="1"/>
      <c r="VZC3" s="1"/>
      <c r="VZD3" s="1"/>
      <c r="VZE3" s="1"/>
      <c r="VZF3" s="1"/>
      <c r="VZG3" s="1"/>
      <c r="VZH3" s="1"/>
      <c r="VZI3" s="1"/>
      <c r="VZJ3" s="1"/>
      <c r="VZK3" s="1"/>
      <c r="VZL3" s="1"/>
      <c r="VZM3" s="1"/>
      <c r="VZN3" s="1"/>
      <c r="VZO3" s="1"/>
      <c r="VZP3" s="1"/>
      <c r="VZQ3" s="1"/>
      <c r="VZR3" s="1"/>
      <c r="VZS3" s="1"/>
      <c r="VZT3" s="1"/>
      <c r="VZU3" s="1"/>
      <c r="VZV3" s="1"/>
      <c r="VZW3" s="1"/>
      <c r="VZX3" s="1"/>
      <c r="VZY3" s="1"/>
      <c r="VZZ3" s="1"/>
      <c r="WAA3" s="1"/>
      <c r="WAB3" s="1"/>
      <c r="WAC3" s="1"/>
      <c r="WAD3" s="1"/>
      <c r="WAE3" s="1"/>
      <c r="WAF3" s="1"/>
      <c r="WAG3" s="1"/>
      <c r="WAH3" s="1"/>
      <c r="WAI3" s="1"/>
      <c r="WAJ3" s="1"/>
      <c r="WAK3" s="1"/>
      <c r="WAL3" s="1"/>
      <c r="WAM3" s="1"/>
      <c r="WAN3" s="1"/>
      <c r="WAO3" s="1"/>
      <c r="WAP3" s="1"/>
      <c r="WAQ3" s="1"/>
      <c r="WAR3" s="1"/>
      <c r="WAS3" s="1"/>
      <c r="WAT3" s="1"/>
      <c r="WAU3" s="1"/>
      <c r="WAV3" s="1"/>
      <c r="WAW3" s="1"/>
      <c r="WAX3" s="1"/>
      <c r="WAY3" s="1"/>
      <c r="WAZ3" s="1"/>
      <c r="WBA3" s="1"/>
      <c r="WBB3" s="1"/>
      <c r="WBC3" s="1"/>
      <c r="WBD3" s="1"/>
      <c r="WBE3" s="1"/>
      <c r="WBF3" s="1"/>
      <c r="WBG3" s="1"/>
      <c r="WBH3" s="1"/>
      <c r="WBI3" s="1"/>
      <c r="WBJ3" s="1"/>
      <c r="WBK3" s="1"/>
      <c r="WBL3" s="1"/>
      <c r="WBM3" s="1"/>
      <c r="WBN3" s="1"/>
      <c r="WBO3" s="1"/>
      <c r="WBP3" s="1"/>
      <c r="WBQ3" s="1"/>
      <c r="WBR3" s="1"/>
      <c r="WBS3" s="1"/>
      <c r="WBT3" s="1"/>
      <c r="WBU3" s="1"/>
      <c r="WBV3" s="1"/>
      <c r="WBW3" s="1"/>
      <c r="WBX3" s="1"/>
      <c r="WBY3" s="1"/>
      <c r="WBZ3" s="1"/>
      <c r="WCA3" s="1"/>
      <c r="WCB3" s="1"/>
      <c r="WCC3" s="1"/>
      <c r="WCD3" s="1"/>
      <c r="WCE3" s="1"/>
      <c r="WCF3" s="1"/>
      <c r="WCG3" s="1"/>
      <c r="WCH3" s="1"/>
      <c r="WCI3" s="1"/>
      <c r="WCJ3" s="1"/>
      <c r="WCK3" s="1"/>
      <c r="WCL3" s="1"/>
      <c r="WCM3" s="1"/>
      <c r="WCN3" s="1"/>
      <c r="WCO3" s="1"/>
      <c r="WCP3" s="1"/>
      <c r="WCQ3" s="1"/>
      <c r="WCR3" s="1"/>
      <c r="WCS3" s="1"/>
      <c r="WCT3" s="1"/>
      <c r="WCU3" s="1"/>
      <c r="WCV3" s="1"/>
      <c r="WCW3" s="1"/>
      <c r="WCX3" s="1"/>
      <c r="WCY3" s="1"/>
      <c r="WCZ3" s="1"/>
      <c r="WDA3" s="1"/>
      <c r="WDB3" s="1"/>
      <c r="WDC3" s="1"/>
      <c r="WDD3" s="1"/>
      <c r="WDE3" s="1"/>
      <c r="WDF3" s="1"/>
      <c r="WDG3" s="1"/>
      <c r="WDH3" s="1"/>
      <c r="WDI3" s="1"/>
      <c r="WDJ3" s="1"/>
      <c r="WDK3" s="1"/>
      <c r="WDL3" s="1"/>
      <c r="WDM3" s="1"/>
      <c r="WDN3" s="1"/>
      <c r="WDO3" s="1"/>
      <c r="WDP3" s="1"/>
      <c r="WDQ3" s="1"/>
      <c r="WDR3" s="1"/>
      <c r="WDS3" s="1"/>
      <c r="WDT3" s="1"/>
      <c r="WDU3" s="1"/>
      <c r="WDV3" s="1"/>
      <c r="WDW3" s="1"/>
      <c r="WDX3" s="1"/>
      <c r="WDY3" s="1"/>
      <c r="WDZ3" s="1"/>
      <c r="WEA3" s="1"/>
      <c r="WEB3" s="1"/>
      <c r="WEC3" s="1"/>
      <c r="WED3" s="1"/>
      <c r="WEE3" s="1"/>
      <c r="WEF3" s="1"/>
      <c r="WEG3" s="1"/>
      <c r="WEH3" s="1"/>
      <c r="WEI3" s="1"/>
      <c r="WEJ3" s="1"/>
      <c r="WEK3" s="1"/>
      <c r="WEL3" s="1"/>
      <c r="WEM3" s="1"/>
      <c r="WEN3" s="1"/>
      <c r="WEO3" s="1"/>
      <c r="WEP3" s="1"/>
      <c r="WEQ3" s="1"/>
      <c r="WER3" s="1"/>
      <c r="WES3" s="1"/>
      <c r="WET3" s="1"/>
      <c r="WEU3" s="1"/>
      <c r="WEV3" s="1"/>
      <c r="WEW3" s="1"/>
      <c r="WEX3" s="1"/>
      <c r="WEY3" s="1"/>
      <c r="WEZ3" s="1"/>
      <c r="WFA3" s="1"/>
      <c r="WFB3" s="1"/>
      <c r="WFC3" s="1"/>
      <c r="WFD3" s="1"/>
      <c r="WFE3" s="1"/>
      <c r="WFF3" s="1"/>
      <c r="WFG3" s="1"/>
      <c r="WFH3" s="1"/>
      <c r="WFI3" s="1"/>
      <c r="WFJ3" s="1"/>
      <c r="WFK3" s="1"/>
      <c r="WFL3" s="1"/>
      <c r="WFM3" s="1"/>
      <c r="WFN3" s="1"/>
      <c r="WFO3" s="1"/>
      <c r="WFP3" s="1"/>
      <c r="WFQ3" s="1"/>
      <c r="WFR3" s="1"/>
      <c r="WFS3" s="1"/>
      <c r="WFT3" s="1"/>
      <c r="WFU3" s="1"/>
      <c r="WFV3" s="1"/>
      <c r="WFW3" s="1"/>
      <c r="WFX3" s="1"/>
      <c r="WFY3" s="1"/>
      <c r="WFZ3" s="1"/>
      <c r="WGA3" s="1"/>
      <c r="WGB3" s="1"/>
      <c r="WGC3" s="1"/>
      <c r="WGD3" s="1"/>
      <c r="WGE3" s="1"/>
      <c r="WGF3" s="1"/>
      <c r="WGG3" s="1"/>
      <c r="WGH3" s="1"/>
      <c r="WGI3" s="1"/>
      <c r="WGJ3" s="1"/>
      <c r="WGK3" s="1"/>
      <c r="WGL3" s="1"/>
      <c r="WGM3" s="1"/>
      <c r="WGN3" s="1"/>
      <c r="WGO3" s="1"/>
      <c r="WGP3" s="1"/>
      <c r="WGQ3" s="1"/>
      <c r="WGR3" s="1"/>
      <c r="WGS3" s="1"/>
      <c r="WGT3" s="1"/>
      <c r="WGU3" s="1"/>
      <c r="WGV3" s="1"/>
      <c r="WGW3" s="1"/>
      <c r="WGX3" s="1"/>
      <c r="WGY3" s="1"/>
      <c r="WGZ3" s="1"/>
      <c r="WHA3" s="1"/>
      <c r="WHB3" s="1"/>
      <c r="WHC3" s="1"/>
      <c r="WHD3" s="1"/>
      <c r="WHE3" s="1"/>
      <c r="WHF3" s="1"/>
      <c r="WHG3" s="1"/>
      <c r="WHH3" s="1"/>
      <c r="WHI3" s="1"/>
      <c r="WHJ3" s="1"/>
      <c r="WHK3" s="1"/>
      <c r="WHL3" s="1"/>
      <c r="WHM3" s="1"/>
      <c r="WHN3" s="1"/>
      <c r="WHO3" s="1"/>
      <c r="WHP3" s="1"/>
      <c r="WHQ3" s="1"/>
      <c r="WHR3" s="1"/>
      <c r="WHS3" s="1"/>
      <c r="WHT3" s="1"/>
      <c r="WHU3" s="1"/>
      <c r="WHV3" s="1"/>
      <c r="WHW3" s="1"/>
      <c r="WHX3" s="1"/>
      <c r="WHY3" s="1"/>
      <c r="WHZ3" s="1"/>
      <c r="WIA3" s="1"/>
      <c r="WIB3" s="1"/>
      <c r="WIC3" s="1"/>
      <c r="WID3" s="1"/>
      <c r="WIE3" s="1"/>
      <c r="WIF3" s="1"/>
      <c r="WIG3" s="1"/>
      <c r="WIH3" s="1"/>
      <c r="WII3" s="1"/>
      <c r="WIJ3" s="1"/>
      <c r="WIK3" s="1"/>
      <c r="WIL3" s="1"/>
      <c r="WIM3" s="1"/>
      <c r="WIN3" s="1"/>
      <c r="WIO3" s="1"/>
      <c r="WIP3" s="1"/>
      <c r="WIQ3" s="1"/>
      <c r="WIR3" s="1"/>
      <c r="WIS3" s="1"/>
      <c r="WIT3" s="1"/>
      <c r="WIU3" s="1"/>
      <c r="WIV3" s="1"/>
      <c r="WIW3" s="1"/>
      <c r="WIX3" s="1"/>
      <c r="WIY3" s="1"/>
      <c r="WIZ3" s="1"/>
      <c r="WJA3" s="1"/>
      <c r="WJB3" s="1"/>
      <c r="WJC3" s="1"/>
      <c r="WJD3" s="1"/>
      <c r="WJE3" s="1"/>
      <c r="WJF3" s="1"/>
      <c r="WJG3" s="1"/>
      <c r="WJH3" s="1"/>
      <c r="WJI3" s="1"/>
      <c r="WJJ3" s="1"/>
      <c r="WJK3" s="1"/>
      <c r="WJL3" s="1"/>
      <c r="WJM3" s="1"/>
      <c r="WJN3" s="1"/>
      <c r="WJO3" s="1"/>
      <c r="WJP3" s="1"/>
      <c r="WJQ3" s="1"/>
      <c r="WJR3" s="1"/>
      <c r="WJS3" s="1"/>
      <c r="WJT3" s="1"/>
      <c r="WJU3" s="1"/>
      <c r="WJV3" s="1"/>
      <c r="WJW3" s="1"/>
      <c r="WJX3" s="1"/>
      <c r="WJY3" s="1"/>
      <c r="WJZ3" s="1"/>
      <c r="WKA3" s="1"/>
      <c r="WKB3" s="1"/>
      <c r="WKC3" s="1"/>
      <c r="WKD3" s="1"/>
      <c r="WKE3" s="1"/>
      <c r="WKF3" s="1"/>
      <c r="WKG3" s="1"/>
      <c r="WKH3" s="1"/>
      <c r="WKI3" s="1"/>
      <c r="WKJ3" s="1"/>
      <c r="WKK3" s="1"/>
      <c r="WKL3" s="1"/>
      <c r="WKM3" s="1"/>
      <c r="WKN3" s="1"/>
      <c r="WKO3" s="1"/>
      <c r="WKP3" s="1"/>
      <c r="WKQ3" s="1"/>
      <c r="WKR3" s="1"/>
      <c r="WKS3" s="1"/>
      <c r="WKT3" s="1"/>
      <c r="WKU3" s="1"/>
      <c r="WKV3" s="1"/>
      <c r="WKW3" s="1"/>
      <c r="WKX3" s="1"/>
      <c r="WKY3" s="1"/>
      <c r="WKZ3" s="1"/>
      <c r="WLA3" s="1"/>
      <c r="WLB3" s="1"/>
      <c r="WLC3" s="1"/>
      <c r="WLD3" s="1"/>
      <c r="WLE3" s="1"/>
      <c r="WLF3" s="1"/>
      <c r="WLG3" s="1"/>
      <c r="WLH3" s="1"/>
      <c r="WLI3" s="1"/>
      <c r="WLJ3" s="1"/>
      <c r="WLK3" s="1"/>
      <c r="WLL3" s="1"/>
      <c r="WLM3" s="1"/>
      <c r="WLN3" s="1"/>
      <c r="WLO3" s="1"/>
      <c r="WLP3" s="1"/>
      <c r="WLQ3" s="1"/>
      <c r="WLR3" s="1"/>
      <c r="WLS3" s="1"/>
      <c r="WLT3" s="1"/>
      <c r="WLU3" s="1"/>
      <c r="WLV3" s="1"/>
      <c r="WLW3" s="1"/>
      <c r="WLX3" s="1"/>
      <c r="WLY3" s="1"/>
      <c r="WLZ3" s="1"/>
      <c r="WMA3" s="1"/>
      <c r="WMB3" s="1"/>
      <c r="WMC3" s="1"/>
      <c r="WMD3" s="1"/>
      <c r="WME3" s="1"/>
      <c r="WMF3" s="1"/>
      <c r="WMG3" s="1"/>
      <c r="WMH3" s="1"/>
      <c r="WMI3" s="1"/>
      <c r="WMJ3" s="1"/>
      <c r="WMK3" s="1"/>
      <c r="WML3" s="1"/>
      <c r="WMM3" s="1"/>
      <c r="WMN3" s="1"/>
      <c r="WMO3" s="1"/>
      <c r="WMP3" s="1"/>
      <c r="WMQ3" s="1"/>
      <c r="WMR3" s="1"/>
      <c r="WMS3" s="1"/>
      <c r="WMT3" s="1"/>
      <c r="WMU3" s="1"/>
      <c r="WMV3" s="1"/>
      <c r="WMW3" s="1"/>
      <c r="WMX3" s="1"/>
      <c r="WMY3" s="1"/>
      <c r="WMZ3" s="1"/>
      <c r="WNA3" s="1"/>
      <c r="WNB3" s="1"/>
      <c r="WNC3" s="1"/>
      <c r="WND3" s="1"/>
      <c r="WNE3" s="1"/>
      <c r="WNF3" s="1"/>
      <c r="WNG3" s="1"/>
      <c r="WNH3" s="1"/>
      <c r="WNI3" s="1"/>
      <c r="WNJ3" s="1"/>
      <c r="WNK3" s="1"/>
      <c r="WNL3" s="1"/>
      <c r="WNM3" s="1"/>
      <c r="WNN3" s="1"/>
      <c r="WNO3" s="1"/>
      <c r="WNP3" s="1"/>
      <c r="WNQ3" s="1"/>
      <c r="WNR3" s="1"/>
      <c r="WNS3" s="1"/>
      <c r="WNT3" s="1"/>
      <c r="WNU3" s="1"/>
      <c r="WNV3" s="1"/>
      <c r="WNW3" s="1"/>
      <c r="WNX3" s="1"/>
      <c r="WNY3" s="1"/>
      <c r="WNZ3" s="1"/>
      <c r="WOA3" s="1"/>
      <c r="WOB3" s="1"/>
      <c r="WOC3" s="1"/>
      <c r="WOD3" s="1"/>
      <c r="WOE3" s="1"/>
      <c r="WOF3" s="1"/>
      <c r="WOG3" s="1"/>
      <c r="WOH3" s="1"/>
      <c r="WOI3" s="1"/>
      <c r="WOJ3" s="1"/>
      <c r="WOK3" s="1"/>
      <c r="WOL3" s="1"/>
      <c r="WOM3" s="1"/>
      <c r="WON3" s="1"/>
      <c r="WOO3" s="1"/>
      <c r="WOP3" s="1"/>
      <c r="WOQ3" s="1"/>
      <c r="WOR3" s="1"/>
      <c r="WOS3" s="1"/>
      <c r="WOT3" s="1"/>
      <c r="WOU3" s="1"/>
      <c r="WOV3" s="1"/>
      <c r="WOW3" s="1"/>
      <c r="WOX3" s="1"/>
      <c r="WOY3" s="1"/>
      <c r="WOZ3" s="1"/>
      <c r="WPA3" s="1"/>
      <c r="WPB3" s="1"/>
      <c r="WPC3" s="1"/>
      <c r="WPD3" s="1"/>
      <c r="WPE3" s="1"/>
      <c r="WPF3" s="1"/>
      <c r="WPG3" s="1"/>
      <c r="WPH3" s="1"/>
      <c r="WPI3" s="1"/>
      <c r="WPJ3" s="1"/>
      <c r="WPK3" s="1"/>
      <c r="WPL3" s="1"/>
      <c r="WPM3" s="1"/>
      <c r="WPN3" s="1"/>
      <c r="WPO3" s="1"/>
      <c r="WPP3" s="1"/>
      <c r="WPQ3" s="1"/>
      <c r="WPR3" s="1"/>
      <c r="WPS3" s="1"/>
      <c r="WPT3" s="1"/>
      <c r="WPU3" s="1"/>
      <c r="WPV3" s="1"/>
      <c r="WPW3" s="1"/>
      <c r="WPX3" s="1"/>
      <c r="WPY3" s="1"/>
      <c r="WPZ3" s="1"/>
      <c r="WQA3" s="1"/>
      <c r="WQB3" s="1"/>
      <c r="WQC3" s="1"/>
      <c r="WQD3" s="1"/>
      <c r="WQE3" s="1"/>
      <c r="WQF3" s="1"/>
      <c r="WQG3" s="1"/>
      <c r="WQH3" s="1"/>
      <c r="WQI3" s="1"/>
      <c r="WQJ3" s="1"/>
      <c r="WQK3" s="1"/>
      <c r="WQL3" s="1"/>
      <c r="WQM3" s="1"/>
      <c r="WQN3" s="1"/>
      <c r="WQO3" s="1"/>
      <c r="WQP3" s="1"/>
      <c r="WQQ3" s="1"/>
      <c r="WQR3" s="1"/>
      <c r="WQS3" s="1"/>
      <c r="WQT3" s="1"/>
      <c r="WQU3" s="1"/>
      <c r="WQV3" s="1"/>
      <c r="WQW3" s="1"/>
      <c r="WQX3" s="1"/>
      <c r="WQY3" s="1"/>
      <c r="WQZ3" s="1"/>
      <c r="WRA3" s="1"/>
      <c r="WRB3" s="1"/>
      <c r="WRC3" s="1"/>
      <c r="WRD3" s="1"/>
      <c r="WRE3" s="1"/>
      <c r="WRF3" s="1"/>
      <c r="WRG3" s="1"/>
      <c r="WRH3" s="1"/>
      <c r="WRI3" s="1"/>
      <c r="WRJ3" s="1"/>
      <c r="WRK3" s="1"/>
      <c r="WRL3" s="1"/>
      <c r="WRM3" s="1"/>
      <c r="WRN3" s="1"/>
      <c r="WRO3" s="1"/>
      <c r="WRP3" s="1"/>
      <c r="WRQ3" s="1"/>
      <c r="WRR3" s="1"/>
      <c r="WRS3" s="1"/>
      <c r="WRT3" s="1"/>
      <c r="WRU3" s="1"/>
      <c r="WRV3" s="1"/>
      <c r="WRW3" s="1"/>
      <c r="WRX3" s="1"/>
      <c r="WRY3" s="1"/>
      <c r="WRZ3" s="1"/>
      <c r="WSA3" s="1"/>
      <c r="WSB3" s="1"/>
      <c r="WSC3" s="1"/>
      <c r="WSD3" s="1"/>
      <c r="WSE3" s="1"/>
      <c r="WSF3" s="1"/>
      <c r="WSG3" s="1"/>
      <c r="WSH3" s="1"/>
      <c r="WSI3" s="1"/>
      <c r="WSJ3" s="1"/>
      <c r="WSK3" s="1"/>
      <c r="WSL3" s="1"/>
      <c r="WSM3" s="1"/>
      <c r="WSN3" s="1"/>
      <c r="WSO3" s="1"/>
      <c r="WSP3" s="1"/>
      <c r="WSQ3" s="1"/>
      <c r="WSR3" s="1"/>
      <c r="WSS3" s="1"/>
      <c r="WST3" s="1"/>
      <c r="WSU3" s="1"/>
      <c r="WSV3" s="1"/>
      <c r="WSW3" s="1"/>
      <c r="WSX3" s="1"/>
      <c r="WSY3" s="1"/>
      <c r="WSZ3" s="1"/>
      <c r="WTA3" s="1"/>
      <c r="WTB3" s="1"/>
      <c r="WTC3" s="1"/>
      <c r="WTD3" s="1"/>
      <c r="WTE3" s="1"/>
      <c r="WTF3" s="1"/>
      <c r="WTG3" s="1"/>
      <c r="WTH3" s="1"/>
      <c r="WTI3" s="1"/>
      <c r="WTJ3" s="1"/>
      <c r="WTK3" s="1"/>
      <c r="WTL3" s="1"/>
      <c r="WTM3" s="1"/>
      <c r="WTN3" s="1"/>
      <c r="WTO3" s="1"/>
      <c r="WTP3" s="1"/>
      <c r="WTQ3" s="1"/>
      <c r="WTR3" s="1"/>
      <c r="WTS3" s="1"/>
      <c r="WTT3" s="1"/>
      <c r="WTU3" s="1"/>
      <c r="WTV3" s="1"/>
      <c r="WTW3" s="1"/>
      <c r="WTX3" s="1"/>
      <c r="WTY3" s="1"/>
      <c r="WTZ3" s="1"/>
      <c r="WUA3" s="1"/>
      <c r="WUB3" s="1"/>
      <c r="WUC3" s="1"/>
      <c r="WUD3" s="1"/>
      <c r="WUE3" s="1"/>
      <c r="WUF3" s="1"/>
      <c r="WUG3" s="1"/>
      <c r="WUH3" s="1"/>
      <c r="WUI3" s="1"/>
      <c r="WUJ3" s="1"/>
      <c r="WUK3" s="1"/>
      <c r="WUL3" s="1"/>
      <c r="WUM3" s="1"/>
      <c r="WUN3" s="1"/>
      <c r="WUO3" s="1"/>
      <c r="WUP3" s="1"/>
      <c r="WUQ3" s="1"/>
      <c r="WUR3" s="1"/>
      <c r="WUS3" s="1"/>
      <c r="WUT3" s="1"/>
      <c r="WUU3" s="1"/>
      <c r="WUV3" s="1"/>
      <c r="WUW3" s="1"/>
      <c r="WUX3" s="1"/>
      <c r="WUY3" s="1"/>
      <c r="WUZ3" s="1"/>
      <c r="WVA3" s="1"/>
      <c r="WVB3" s="1"/>
      <c r="WVC3" s="1"/>
      <c r="WVD3" s="1"/>
      <c r="WVE3" s="1"/>
      <c r="WVF3" s="1"/>
      <c r="WVG3" s="1"/>
      <c r="WVH3" s="1"/>
      <c r="WVI3" s="1"/>
      <c r="WVJ3" s="1"/>
      <c r="WVK3" s="1"/>
      <c r="WVL3" s="1"/>
      <c r="WVM3" s="1"/>
      <c r="WVN3" s="1"/>
      <c r="WVO3" s="1"/>
      <c r="WVP3" s="1"/>
      <c r="WVQ3" s="1"/>
      <c r="WVR3" s="1"/>
      <c r="WVS3" s="1"/>
      <c r="WVT3" s="1"/>
      <c r="WVU3" s="1"/>
      <c r="WVV3" s="1"/>
      <c r="WVW3" s="1"/>
      <c r="WVX3" s="1"/>
      <c r="WVY3" s="1"/>
      <c r="WVZ3" s="1"/>
      <c r="WWA3" s="1"/>
      <c r="WWB3" s="1"/>
      <c r="WWC3" s="1"/>
      <c r="WWD3" s="1"/>
      <c r="WWE3" s="1"/>
      <c r="WWF3" s="1"/>
      <c r="WWG3" s="1"/>
      <c r="WWH3" s="1"/>
      <c r="WWI3" s="1"/>
      <c r="WWJ3" s="1"/>
      <c r="WWK3" s="1"/>
      <c r="WWL3" s="1"/>
      <c r="WWM3" s="1"/>
      <c r="WWN3" s="1"/>
      <c r="WWO3" s="1"/>
      <c r="WWP3" s="1"/>
      <c r="WWQ3" s="1"/>
      <c r="WWR3" s="1"/>
      <c r="WWS3" s="1"/>
      <c r="WWT3" s="1"/>
      <c r="WWU3" s="1"/>
      <c r="WWV3" s="1"/>
      <c r="WWW3" s="1"/>
      <c r="WWX3" s="1"/>
      <c r="WWY3" s="1"/>
      <c r="WWZ3" s="1"/>
      <c r="WXA3" s="1"/>
      <c r="WXB3" s="1"/>
      <c r="WXC3" s="1"/>
      <c r="WXD3" s="1"/>
      <c r="WXE3" s="1"/>
      <c r="WXF3" s="1"/>
      <c r="WXG3" s="1"/>
      <c r="WXH3" s="1"/>
      <c r="WXI3" s="1"/>
      <c r="WXJ3" s="1"/>
      <c r="WXK3" s="1"/>
      <c r="WXL3" s="1"/>
      <c r="WXM3" s="1"/>
      <c r="WXN3" s="1"/>
      <c r="WXO3" s="1"/>
      <c r="WXP3" s="1"/>
      <c r="WXQ3" s="1"/>
      <c r="WXR3" s="1"/>
      <c r="WXS3" s="1"/>
      <c r="WXT3" s="1"/>
      <c r="WXU3" s="1"/>
      <c r="WXV3" s="1"/>
      <c r="WXW3" s="1"/>
      <c r="WXX3" s="1"/>
      <c r="WXY3" s="1"/>
      <c r="WXZ3" s="1"/>
      <c r="WYA3" s="1"/>
      <c r="WYB3" s="1"/>
      <c r="WYC3" s="1"/>
      <c r="WYD3" s="1"/>
      <c r="WYE3" s="1"/>
      <c r="WYF3" s="1"/>
      <c r="WYG3" s="1"/>
      <c r="WYH3" s="1"/>
      <c r="WYI3" s="1"/>
      <c r="WYJ3" s="1"/>
      <c r="WYK3" s="1"/>
      <c r="WYL3" s="1"/>
      <c r="WYM3" s="1"/>
      <c r="WYN3" s="1"/>
      <c r="WYO3" s="1"/>
      <c r="WYP3" s="1"/>
      <c r="WYQ3" s="1"/>
      <c r="WYR3" s="1"/>
      <c r="WYS3" s="1"/>
      <c r="WYT3" s="1"/>
      <c r="WYU3" s="1"/>
      <c r="WYV3" s="1"/>
      <c r="WYW3" s="1"/>
      <c r="WYX3" s="1"/>
      <c r="WYY3" s="1"/>
      <c r="WYZ3" s="1"/>
      <c r="WZA3" s="1"/>
      <c r="WZB3" s="1"/>
      <c r="WZC3" s="1"/>
      <c r="WZD3" s="1"/>
      <c r="WZE3" s="1"/>
      <c r="WZF3" s="1"/>
      <c r="WZG3" s="1"/>
      <c r="WZH3" s="1"/>
      <c r="WZI3" s="1"/>
      <c r="WZJ3" s="1"/>
      <c r="WZK3" s="1"/>
      <c r="WZL3" s="1"/>
      <c r="WZM3" s="1"/>
      <c r="WZN3" s="1"/>
      <c r="WZO3" s="1"/>
      <c r="WZP3" s="1"/>
      <c r="WZQ3" s="1"/>
      <c r="WZR3" s="1"/>
      <c r="WZS3" s="1"/>
      <c r="WZT3" s="1"/>
      <c r="WZU3" s="1"/>
      <c r="WZV3" s="1"/>
      <c r="WZW3" s="1"/>
      <c r="WZX3" s="1"/>
      <c r="WZY3" s="1"/>
      <c r="WZZ3" s="1"/>
      <c r="XAA3" s="1"/>
      <c r="XAB3" s="1"/>
      <c r="XAC3" s="1"/>
      <c r="XAD3" s="1"/>
      <c r="XAE3" s="1"/>
      <c r="XAF3" s="1"/>
      <c r="XAG3" s="1"/>
      <c r="XAH3" s="1"/>
      <c r="XAI3" s="1"/>
      <c r="XAJ3" s="1"/>
      <c r="XAK3" s="1"/>
      <c r="XAL3" s="1"/>
      <c r="XAM3" s="1"/>
      <c r="XAN3" s="1"/>
      <c r="XAO3" s="1"/>
      <c r="XAP3" s="1"/>
      <c r="XAQ3" s="1"/>
      <c r="XAR3" s="1"/>
      <c r="XAS3" s="1"/>
      <c r="XAT3" s="1"/>
      <c r="XAU3" s="1"/>
      <c r="XAV3" s="1"/>
      <c r="XAW3" s="1"/>
      <c r="XAX3" s="1"/>
      <c r="XAY3" s="1"/>
      <c r="XAZ3" s="1"/>
      <c r="XBA3" s="1"/>
      <c r="XBB3" s="1"/>
      <c r="XBC3" s="1"/>
      <c r="XBD3" s="1"/>
      <c r="XBE3" s="1"/>
      <c r="XBF3" s="1"/>
      <c r="XBG3" s="1"/>
      <c r="XBH3" s="1"/>
      <c r="XBI3" s="1"/>
      <c r="XBJ3" s="1"/>
      <c r="XBK3" s="1"/>
      <c r="XBL3" s="1"/>
      <c r="XBM3" s="1"/>
      <c r="XBN3" s="1"/>
      <c r="XBO3" s="1"/>
      <c r="XBP3" s="1"/>
      <c r="XBQ3" s="1"/>
      <c r="XBR3" s="1"/>
      <c r="XBS3" s="1"/>
      <c r="XBT3" s="1"/>
      <c r="XBU3" s="1"/>
      <c r="XBV3" s="1"/>
      <c r="XBW3" s="1"/>
      <c r="XBX3" s="1"/>
      <c r="XBY3" s="1"/>
      <c r="XBZ3" s="1"/>
      <c r="XCA3" s="1"/>
      <c r="XCB3" s="1"/>
      <c r="XCC3" s="1"/>
      <c r="XCD3" s="1"/>
      <c r="XCE3" s="1"/>
      <c r="XCF3" s="1"/>
      <c r="XCG3" s="1"/>
      <c r="XCH3" s="1"/>
      <c r="XCI3" s="1"/>
      <c r="XCJ3" s="1"/>
      <c r="XCK3" s="1"/>
      <c r="XCL3" s="1"/>
      <c r="XCM3" s="1"/>
      <c r="XCN3" s="1"/>
      <c r="XCO3" s="1"/>
      <c r="XCP3" s="1"/>
      <c r="XCQ3" s="1"/>
      <c r="XCR3" s="1"/>
      <c r="XCS3" s="1"/>
      <c r="XCT3" s="1"/>
      <c r="XCU3" s="1"/>
      <c r="XCV3" s="1"/>
      <c r="XCW3" s="1"/>
      <c r="XCX3" s="1"/>
      <c r="XCY3" s="1"/>
      <c r="XCZ3" s="1"/>
      <c r="XDA3" s="1"/>
      <c r="XDB3" s="1"/>
      <c r="XDC3" s="1"/>
      <c r="XDD3" s="1"/>
      <c r="XDE3" s="1"/>
      <c r="XDF3" s="1"/>
      <c r="XDG3" s="1"/>
      <c r="XDH3" s="1"/>
      <c r="XDI3" s="1"/>
      <c r="XDJ3" s="1"/>
      <c r="XDK3" s="1"/>
      <c r="XDL3" s="1"/>
      <c r="XDM3" s="1"/>
      <c r="XDN3" s="1"/>
      <c r="XDO3" s="1"/>
      <c r="XDP3" s="1"/>
      <c r="XDQ3" s="1"/>
      <c r="XDR3" s="1"/>
      <c r="XDS3" s="1"/>
      <c r="XDT3" s="1"/>
      <c r="XDU3" s="1"/>
      <c r="XDV3" s="1"/>
      <c r="XDW3" s="1"/>
      <c r="XDX3" s="1"/>
      <c r="XDY3" s="1"/>
      <c r="XDZ3" s="1"/>
      <c r="XEA3" s="1"/>
      <c r="XEB3" s="1"/>
      <c r="XEC3" s="1"/>
      <c r="XED3" s="1"/>
      <c r="XEE3" s="1"/>
      <c r="XEF3" s="1"/>
      <c r="XEG3" s="1"/>
      <c r="XEH3" s="1"/>
      <c r="XEI3" s="1"/>
      <c r="XEJ3" s="1"/>
      <c r="XEK3" s="1"/>
      <c r="XEL3" s="1"/>
      <c r="XEM3" s="1"/>
      <c r="XEN3" s="1"/>
      <c r="XEO3" s="1"/>
      <c r="XEP3" s="1"/>
      <c r="XEQ3" s="1"/>
      <c r="XER3" s="1"/>
      <c r="XES3" s="1"/>
      <c r="XET3" s="1"/>
      <c r="XEU3" s="1"/>
      <c r="XEV3" s="1"/>
      <c r="XEW3" s="1"/>
      <c r="XEX3" s="1"/>
      <c r="XEY3" s="1"/>
      <c r="XEZ3" s="1"/>
      <c r="XFA3" s="1"/>
      <c r="XFB3" s="1"/>
      <c r="XFC3" s="1"/>
      <c r="XFD3" s="1"/>
    </row>
    <row r="4" spans="1:16384" s="2" customFormat="1" ht="15" thickBot="1" x14ac:dyDescent="0.4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  <c r="XEW4" s="1"/>
      <c r="XEX4" s="1"/>
      <c r="XEY4" s="1"/>
      <c r="XEZ4" s="1"/>
      <c r="XFA4" s="1"/>
      <c r="XFB4" s="1"/>
      <c r="XFC4" s="1"/>
      <c r="XFD4" s="1"/>
    </row>
    <row r="5" spans="1:16384" s="12" customFormat="1" ht="15" thickTop="1" x14ac:dyDescent="0.35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1:16384" s="8" customFormat="1" ht="15" customHeight="1" x14ac:dyDescent="0.35">
      <c r="A6" s="5"/>
      <c r="B6" s="19" t="s">
        <v>89</v>
      </c>
      <c r="C6" s="20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7"/>
    </row>
    <row r="7" spans="1:16384" s="8" customFormat="1" ht="8" customHeight="1" x14ac:dyDescent="0.35">
      <c r="A7" s="5"/>
      <c r="B7" s="13"/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16384" s="12" customFormat="1" ht="14.5" x14ac:dyDescent="0.35">
      <c r="A8" s="10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16384" ht="14.5" x14ac:dyDescent="0.35"/>
    <row r="10" spans="1:16384" ht="14.5" x14ac:dyDescent="0.35"/>
    <row r="11" spans="1:16384" ht="14.5" x14ac:dyDescent="0.35"/>
    <row r="12" spans="1:16384" ht="14.5" x14ac:dyDescent="0.35"/>
    <row r="13" spans="1:16384" ht="14.5" x14ac:dyDescent="0.35"/>
    <row r="14" spans="1:16384" ht="14.5" x14ac:dyDescent="0.35"/>
    <row r="15" spans="1:16384" ht="14.5" x14ac:dyDescent="0.35"/>
    <row r="16" spans="1:16384" ht="14.5" x14ac:dyDescent="0.35"/>
    <row r="17" spans="2:20" ht="14.5" x14ac:dyDescent="0.35"/>
    <row r="18" spans="2:20" ht="14.5" x14ac:dyDescent="0.35"/>
    <row r="19" spans="2:20" ht="14.5" x14ac:dyDescent="0.35"/>
    <row r="20" spans="2:20" ht="14.5" x14ac:dyDescent="0.35"/>
    <row r="21" spans="2:20" ht="14.5" x14ac:dyDescent="0.35"/>
    <row r="22" spans="2:20" ht="14.5" x14ac:dyDescent="0.35"/>
    <row r="23" spans="2:20" ht="14.5" x14ac:dyDescent="0.35"/>
    <row r="24" spans="2:20" ht="13.25" customHeight="1" x14ac:dyDescent="0.35">
      <c r="B24" s="111" t="s">
        <v>69</v>
      </c>
      <c r="C24" s="111"/>
      <c r="D24" s="111"/>
      <c r="E24" s="14"/>
      <c r="F24" s="112" t="s">
        <v>159</v>
      </c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5"/>
      <c r="R24" s="15"/>
      <c r="S24" s="15"/>
      <c r="T24" s="15"/>
    </row>
    <row r="25" spans="2:20" ht="13.25" customHeight="1" x14ac:dyDescent="0.35">
      <c r="B25" s="111"/>
      <c r="C25" s="111"/>
      <c r="D25" s="111"/>
      <c r="E25" s="14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5"/>
      <c r="R25" s="15"/>
      <c r="S25" s="15"/>
      <c r="T25" s="15"/>
    </row>
    <row r="26" spans="2:20" ht="8" customHeight="1" x14ac:dyDescent="0.3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</row>
    <row r="27" spans="2:20" ht="12" customHeight="1" x14ac:dyDescent="0.35">
      <c r="B27" s="16"/>
      <c r="C27" s="109" t="s">
        <v>70</v>
      </c>
      <c r="D27" s="109"/>
      <c r="E27" s="109"/>
      <c r="F27" s="109"/>
      <c r="G27" s="14"/>
      <c r="H27" s="110" t="s">
        <v>93</v>
      </c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</row>
    <row r="28" spans="2:20" ht="12" customHeight="1" x14ac:dyDescent="0.35">
      <c r="B28" s="16"/>
      <c r="C28" s="109"/>
      <c r="D28" s="109"/>
      <c r="E28" s="109"/>
      <c r="F28" s="109"/>
      <c r="G28" s="14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</row>
    <row r="29" spans="2:20" ht="3" customHeight="1" x14ac:dyDescent="0.35">
      <c r="B29" s="16"/>
      <c r="C29" s="17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</row>
    <row r="30" spans="2:20" ht="12" customHeight="1" x14ac:dyDescent="0.35">
      <c r="B30" s="16"/>
      <c r="C30" s="109" t="s">
        <v>71</v>
      </c>
      <c r="D30" s="109"/>
      <c r="E30" s="109"/>
      <c r="F30" s="109"/>
      <c r="G30" s="14"/>
      <c r="H30" s="113" t="s">
        <v>160</v>
      </c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</row>
    <row r="31" spans="2:20" ht="12" customHeight="1" x14ac:dyDescent="0.35">
      <c r="B31" s="16"/>
      <c r="C31" s="109"/>
      <c r="D31" s="109"/>
      <c r="E31" s="109"/>
      <c r="F31" s="109"/>
      <c r="G31" s="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</row>
    <row r="32" spans="2:20" ht="12" customHeight="1" x14ac:dyDescent="0.35">
      <c r="B32" s="16"/>
      <c r="C32" s="109"/>
      <c r="D32" s="109"/>
      <c r="E32" s="109"/>
      <c r="F32" s="109"/>
      <c r="G32" s="14"/>
      <c r="H32" s="18" t="s">
        <v>94</v>
      </c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</row>
    <row r="33" spans="2:20" ht="12" customHeight="1" x14ac:dyDescent="0.35">
      <c r="B33" s="16"/>
      <c r="C33" s="109"/>
      <c r="D33" s="109"/>
      <c r="E33" s="109"/>
      <c r="F33" s="109"/>
      <c r="G33" s="14"/>
      <c r="H33" s="18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</row>
    <row r="34" spans="2:20" ht="12" customHeight="1" x14ac:dyDescent="0.35">
      <c r="B34" s="16"/>
      <c r="C34" s="109"/>
      <c r="D34" s="109"/>
      <c r="E34" s="109"/>
      <c r="F34" s="109"/>
      <c r="G34" s="14"/>
      <c r="H34" s="18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</row>
    <row r="35" spans="2:20" ht="12" customHeight="1" x14ac:dyDescent="0.35">
      <c r="B35" s="16"/>
      <c r="C35" s="109"/>
      <c r="D35" s="109"/>
      <c r="E35" s="109"/>
      <c r="F35" s="109"/>
      <c r="G35" s="14"/>
      <c r="H35" s="18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</row>
    <row r="36" spans="2:20" ht="12" customHeight="1" x14ac:dyDescent="0.35">
      <c r="B36" s="16"/>
      <c r="C36" s="109"/>
      <c r="D36" s="109"/>
      <c r="E36" s="109"/>
      <c r="F36" s="109"/>
      <c r="G36" s="14"/>
      <c r="H36" s="18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</row>
    <row r="37" spans="2:20" ht="3" customHeight="1" x14ac:dyDescent="0.35"/>
    <row r="38" spans="2:20" ht="12" customHeight="1" x14ac:dyDescent="0.35">
      <c r="B38" s="16"/>
      <c r="C38" s="109" t="s">
        <v>72</v>
      </c>
      <c r="D38" s="109"/>
      <c r="E38" s="109"/>
      <c r="F38" s="109"/>
      <c r="G38" s="14"/>
      <c r="H38" s="18" t="s">
        <v>73</v>
      </c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</row>
    <row r="39" spans="2:20" ht="12" customHeight="1" x14ac:dyDescent="0.35">
      <c r="B39" s="16"/>
      <c r="C39" s="109"/>
      <c r="D39" s="109"/>
      <c r="E39" s="109"/>
      <c r="F39" s="109"/>
      <c r="G39" s="14"/>
      <c r="H39" s="18" t="s">
        <v>74</v>
      </c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</row>
    <row r="40" spans="2:20" ht="3" customHeight="1" x14ac:dyDescent="0.35"/>
    <row r="41" spans="2:20" ht="12" customHeight="1" x14ac:dyDescent="0.35">
      <c r="B41" s="16"/>
      <c r="C41" s="109" t="s">
        <v>75</v>
      </c>
      <c r="D41" s="109"/>
      <c r="E41" s="109"/>
      <c r="F41" s="109"/>
      <c r="G41" s="14"/>
      <c r="H41" s="18" t="s">
        <v>76</v>
      </c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</row>
    <row r="42" spans="2:20" ht="12" customHeight="1" x14ac:dyDescent="0.35">
      <c r="B42" s="16"/>
      <c r="C42" s="109"/>
      <c r="D42" s="109"/>
      <c r="E42" s="109"/>
      <c r="F42" s="109"/>
      <c r="G42" s="14"/>
      <c r="H42" s="18" t="s">
        <v>77</v>
      </c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</row>
    <row r="43" spans="2:20" ht="10.25" customHeight="1" x14ac:dyDescent="0.35"/>
    <row r="44" spans="2:20" ht="13.25" customHeight="1" x14ac:dyDescent="0.35">
      <c r="B44" s="111" t="s">
        <v>78</v>
      </c>
      <c r="C44" s="111"/>
      <c r="D44" s="111"/>
      <c r="E44" s="14"/>
      <c r="F44" s="112" t="s">
        <v>85</v>
      </c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5"/>
      <c r="R44" s="15"/>
      <c r="S44" s="15"/>
      <c r="T44" s="15"/>
    </row>
    <row r="45" spans="2:20" ht="13.25" customHeight="1" x14ac:dyDescent="0.35">
      <c r="B45" s="111"/>
      <c r="C45" s="111"/>
      <c r="D45" s="111"/>
      <c r="E45" s="14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5"/>
      <c r="R45" s="15"/>
      <c r="S45" s="15"/>
      <c r="T45" s="15"/>
    </row>
    <row r="46" spans="2:20" ht="8" customHeight="1" x14ac:dyDescent="0.3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</row>
    <row r="47" spans="2:20" ht="12" customHeight="1" x14ac:dyDescent="0.35">
      <c r="B47" s="16"/>
      <c r="C47" s="109" t="s">
        <v>79</v>
      </c>
      <c r="D47" s="109"/>
      <c r="E47" s="109"/>
      <c r="F47" s="109"/>
      <c r="G47" s="14"/>
      <c r="H47" s="110" t="s">
        <v>80</v>
      </c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</row>
    <row r="48" spans="2:20" ht="12" customHeight="1" x14ac:dyDescent="0.35">
      <c r="B48" s="16"/>
      <c r="C48" s="109"/>
      <c r="D48" s="109"/>
      <c r="E48" s="109"/>
      <c r="F48" s="109"/>
      <c r="G48" s="14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</row>
    <row r="49" spans="2:20" ht="3" customHeight="1" x14ac:dyDescent="0.35"/>
    <row r="50" spans="2:20" ht="12" customHeight="1" x14ac:dyDescent="0.35">
      <c r="B50" s="16"/>
      <c r="C50" s="109" t="s">
        <v>81</v>
      </c>
      <c r="D50" s="109"/>
      <c r="E50" s="109"/>
      <c r="F50" s="109"/>
      <c r="G50" s="14"/>
      <c r="H50" s="110" t="s">
        <v>86</v>
      </c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</row>
    <row r="51" spans="2:20" ht="12" customHeight="1" x14ac:dyDescent="0.35">
      <c r="B51" s="16"/>
      <c r="C51" s="109"/>
      <c r="D51" s="109"/>
      <c r="E51" s="109"/>
      <c r="F51" s="109"/>
      <c r="G51" s="14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</row>
    <row r="52" spans="2:20" ht="3" customHeight="1" x14ac:dyDescent="0.35"/>
    <row r="53" spans="2:20" ht="12" customHeight="1" x14ac:dyDescent="0.35">
      <c r="B53" s="16"/>
      <c r="C53" s="109" t="s">
        <v>82</v>
      </c>
      <c r="D53" s="109"/>
      <c r="E53" s="109"/>
      <c r="F53" s="109"/>
      <c r="G53" s="14"/>
      <c r="H53" s="110" t="s">
        <v>87</v>
      </c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</row>
    <row r="54" spans="2:20" ht="12" customHeight="1" x14ac:dyDescent="0.35">
      <c r="B54" s="16"/>
      <c r="C54" s="109"/>
      <c r="D54" s="109"/>
      <c r="E54" s="109"/>
      <c r="F54" s="109"/>
      <c r="G54" s="14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</row>
    <row r="55" spans="2:20" ht="3" customHeight="1" x14ac:dyDescent="0.35"/>
    <row r="56" spans="2:20" ht="12" customHeight="1" x14ac:dyDescent="0.35">
      <c r="B56" s="16"/>
      <c r="C56" s="109" t="s">
        <v>83</v>
      </c>
      <c r="D56" s="109"/>
      <c r="E56" s="109"/>
      <c r="F56" s="109"/>
      <c r="G56" s="14"/>
      <c r="H56" s="110" t="s">
        <v>95</v>
      </c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</row>
    <row r="57" spans="2:20" ht="12" customHeight="1" x14ac:dyDescent="0.35">
      <c r="B57" s="16"/>
      <c r="C57" s="109"/>
      <c r="D57" s="109"/>
      <c r="E57" s="109"/>
      <c r="F57" s="109"/>
      <c r="G57" s="14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</row>
    <row r="58" spans="2:20" ht="10.25" customHeight="1" x14ac:dyDescent="0.35"/>
    <row r="59" spans="2:20" ht="13.25" customHeight="1" x14ac:dyDescent="0.35">
      <c r="B59" s="111" t="s">
        <v>84</v>
      </c>
      <c r="C59" s="111"/>
      <c r="D59" s="111"/>
      <c r="E59" s="14"/>
      <c r="F59" s="112" t="s">
        <v>88</v>
      </c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5"/>
      <c r="R59" s="15"/>
      <c r="S59" s="15"/>
      <c r="T59" s="15"/>
    </row>
    <row r="60" spans="2:20" ht="13.25" customHeight="1" x14ac:dyDescent="0.35">
      <c r="B60" s="111"/>
      <c r="C60" s="111"/>
      <c r="D60" s="111"/>
      <c r="E60" s="14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5"/>
      <c r="R60" s="15"/>
      <c r="S60" s="15"/>
      <c r="T60" s="15"/>
    </row>
    <row r="61" spans="2:20" ht="14.5" x14ac:dyDescent="0.35"/>
    <row r="62" spans="2:20" ht="14.5" hidden="1" x14ac:dyDescent="0.35"/>
    <row r="63" spans="2:20" ht="14.75" hidden="1" customHeight="1" x14ac:dyDescent="0.35"/>
    <row r="64" spans="2:20" ht="14.75" hidden="1" customHeight="1" x14ac:dyDescent="0.35"/>
  </sheetData>
  <mergeCells count="20"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H30:T31"/>
    <mergeCell ref="C53:F54"/>
    <mergeCell ref="H53:T54"/>
    <mergeCell ref="C56:F57"/>
    <mergeCell ref="H56:T57"/>
    <mergeCell ref="B59:D60"/>
    <mergeCell ref="F59:P6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5D00BCB-01FC-40E9-A482-10EAF3A69851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D049CBC0-BC7D-4125-AD1D-B5EAA3ACA37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1B43CE43-A080-408C-91A8-2BC186D2C51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90BB4F24-94C9-4804-8DD4-DDB93955D1B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8F35287D-374E-40A7-973D-D6CDE659655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C6C7C6D6-01EC-46CC-BC66-9D682D820425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088BDDA8-A16F-4F9B-A18C-B8C16038800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4D10C3F1-15BC-4D04-B70E-649A523B3365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CF9EB143-8892-46AA-BEE9-19B9349DA12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4A74BCE2-0E12-4F0A-8040-6BF6CA86F33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A73FC259-0786-4B07-AD41-3157501EFB4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CBE7ED3B-DF82-41EC-A325-650D79ADCD1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203F1412-1C72-49FA-832E-BB0186923E0D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3DF3A07B-D416-4B38-86D2-7487A8D22DCC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pane="bottomLeft" activeCell="D16" sqref="D16"/>
    </sheetView>
  </sheetViews>
  <sheetFormatPr defaultColWidth="0" defaultRowHeight="0" customHeight="1" zeroHeight="1" x14ac:dyDescent="0.35"/>
  <cols>
    <col min="1" max="2" width="3.6328125" style="51" customWidth="1"/>
    <col min="3" max="4" width="10.6328125" style="51" customWidth="1"/>
    <col min="5" max="5" width="5.6328125" style="51" customWidth="1"/>
    <col min="6" max="6" width="10.6328125" style="51" customWidth="1"/>
    <col min="7" max="7" width="8.6328125" style="51" customWidth="1"/>
    <col min="8" max="8" width="3.6328125" style="51" customWidth="1"/>
    <col min="9" max="13" width="10.6328125" style="51" hidden="1" customWidth="1"/>
    <col min="14" max="16384" width="8.6328125" style="51" hidden="1"/>
  </cols>
  <sheetData>
    <row r="1" spans="1:8" s="23" customFormat="1" ht="14.5" x14ac:dyDescent="0.35"/>
    <row r="2" spans="1:8" s="23" customFormat="1" ht="5" customHeight="1" x14ac:dyDescent="0.35"/>
    <row r="3" spans="1:8" s="23" customFormat="1" ht="14.5" x14ac:dyDescent="0.35"/>
    <row r="4" spans="1:8" s="23" customFormat="1" ht="5" customHeight="1" thickBot="1" x14ac:dyDescent="0.4">
      <c r="A4" s="24"/>
      <c r="B4" s="25"/>
      <c r="C4" s="25"/>
      <c r="D4" s="25"/>
      <c r="E4" s="25"/>
      <c r="F4" s="25"/>
      <c r="G4" s="25"/>
    </row>
    <row r="5" spans="1:8" s="23" customFormat="1" ht="8" customHeight="1" thickTop="1" x14ac:dyDescent="0.35">
      <c r="A5" s="26"/>
      <c r="B5" s="26"/>
      <c r="C5" s="26"/>
      <c r="D5" s="26"/>
      <c r="E5" s="26"/>
      <c r="F5" s="26"/>
      <c r="G5" s="26"/>
      <c r="H5" s="26"/>
    </row>
    <row r="6" spans="1:8" s="31" customFormat="1" ht="14.5" x14ac:dyDescent="0.35">
      <c r="A6" s="27"/>
      <c r="B6" s="28" t="s">
        <v>65</v>
      </c>
      <c r="C6" s="29"/>
      <c r="D6" s="29"/>
      <c r="E6" s="29"/>
      <c r="F6" s="29"/>
      <c r="G6" s="29"/>
      <c r="H6" s="30"/>
    </row>
    <row r="7" spans="1:8" s="31" customFormat="1" ht="4.25" customHeight="1" x14ac:dyDescent="0.35">
      <c r="A7" s="27"/>
      <c r="B7" s="32"/>
      <c r="C7" s="33"/>
      <c r="D7" s="33"/>
      <c r="E7" s="33"/>
      <c r="F7" s="33"/>
      <c r="G7" s="33"/>
      <c r="H7" s="30"/>
    </row>
    <row r="8" spans="1:8" s="31" customFormat="1" ht="8" customHeight="1" x14ac:dyDescent="0.35">
      <c r="A8" s="27"/>
      <c r="B8" s="34"/>
      <c r="C8" s="35"/>
      <c r="D8" s="35"/>
      <c r="E8" s="35"/>
      <c r="F8" s="35"/>
      <c r="G8" s="36"/>
      <c r="H8" s="30"/>
    </row>
    <row r="9" spans="1:8" s="44" customFormat="1" ht="14.5" x14ac:dyDescent="0.35">
      <c r="A9" s="37"/>
      <c r="B9" s="38"/>
      <c r="C9" s="39" t="s">
        <v>66</v>
      </c>
      <c r="D9" s="39"/>
      <c r="E9" s="40"/>
      <c r="F9" s="41">
        <v>45838</v>
      </c>
      <c r="G9" s="42"/>
      <c r="H9" s="43"/>
    </row>
    <row r="10" spans="1:8" s="44" customFormat="1" ht="8" customHeight="1" x14ac:dyDescent="0.35">
      <c r="A10" s="37"/>
      <c r="B10" s="38"/>
      <c r="C10" s="45"/>
      <c r="D10" s="45"/>
      <c r="E10" s="53"/>
      <c r="F10" s="22" t="str">
        <f>YEAR(F9)&amp;"-"&amp;TEXT(MONTH(F9),"00")&amp;"-"&amp;TEXT(DAY(F9),"00")</f>
        <v>2025-06-30</v>
      </c>
      <c r="G10" s="54"/>
      <c r="H10" s="43"/>
    </row>
    <row r="11" spans="1:8" s="44" customFormat="1" ht="8" customHeight="1" x14ac:dyDescent="0.35">
      <c r="A11" s="37"/>
      <c r="B11" s="38"/>
      <c r="C11" s="46"/>
      <c r="D11" s="46"/>
      <c r="E11" s="46"/>
      <c r="F11" s="46"/>
      <c r="G11" s="42"/>
      <c r="H11" s="43"/>
    </row>
    <row r="12" spans="1:8" s="44" customFormat="1" ht="14.5" x14ac:dyDescent="0.35">
      <c r="A12" s="37"/>
      <c r="B12" s="38"/>
      <c r="C12" s="39" t="s">
        <v>67</v>
      </c>
      <c r="D12" s="39"/>
      <c r="E12" s="40"/>
      <c r="F12" s="40"/>
      <c r="G12" s="42"/>
      <c r="H12" s="43"/>
    </row>
    <row r="13" spans="1:8" s="44" customFormat="1" ht="8" customHeight="1" x14ac:dyDescent="0.35">
      <c r="A13" s="37"/>
      <c r="B13" s="38"/>
      <c r="C13" s="46"/>
      <c r="D13" s="46"/>
      <c r="E13" s="46"/>
      <c r="F13" s="46"/>
      <c r="G13" s="42"/>
      <c r="H13" s="43"/>
    </row>
    <row r="14" spans="1:8" s="44" customFormat="1" ht="8" customHeight="1" x14ac:dyDescent="0.35">
      <c r="A14" s="37"/>
      <c r="B14" s="38"/>
      <c r="C14" s="46"/>
      <c r="D14" s="46"/>
      <c r="E14" s="46"/>
      <c r="F14" s="46"/>
      <c r="G14" s="42"/>
      <c r="H14" s="43"/>
    </row>
    <row r="15" spans="1:8" s="44" customFormat="1" ht="14.5" x14ac:dyDescent="0.35">
      <c r="A15" s="37"/>
      <c r="B15" s="38"/>
      <c r="C15" s="39" t="s">
        <v>68</v>
      </c>
      <c r="D15" s="39"/>
      <c r="E15" s="40"/>
      <c r="F15" s="40"/>
      <c r="G15" s="42"/>
      <c r="H15" s="43"/>
    </row>
    <row r="16" spans="1:8" s="44" customFormat="1" ht="8" customHeight="1" x14ac:dyDescent="0.35">
      <c r="A16" s="37"/>
      <c r="B16" s="38"/>
      <c r="C16" s="46"/>
      <c r="D16" s="46"/>
      <c r="E16" s="46"/>
      <c r="F16" s="46"/>
      <c r="G16" s="42"/>
      <c r="H16" s="43"/>
    </row>
    <row r="17" spans="1:8" s="44" customFormat="1" ht="8" customHeight="1" x14ac:dyDescent="0.35">
      <c r="A17" s="37"/>
      <c r="B17" s="47"/>
      <c r="C17" s="48"/>
      <c r="D17" s="48"/>
      <c r="E17" s="48"/>
      <c r="F17" s="48"/>
      <c r="G17" s="49"/>
      <c r="H17" s="43"/>
    </row>
    <row r="18" spans="1:8" s="44" customFormat="1" ht="14.5" x14ac:dyDescent="0.35">
      <c r="A18" s="37"/>
      <c r="B18" s="37"/>
      <c r="C18" s="37"/>
      <c r="D18" s="37"/>
      <c r="E18" s="37"/>
      <c r="F18" s="37"/>
      <c r="G18" s="37"/>
      <c r="H18" s="43"/>
    </row>
    <row r="19" spans="1:8" ht="14.5" hidden="1" x14ac:dyDescent="0.35">
      <c r="A19" s="50"/>
      <c r="B19" s="50"/>
      <c r="C19" s="50"/>
      <c r="D19" s="50"/>
      <c r="E19" s="50"/>
      <c r="F19" s="50"/>
      <c r="G19" s="50"/>
    </row>
    <row r="20" spans="1:8" ht="14.5" hidden="1" x14ac:dyDescent="0.35">
      <c r="A20" s="50"/>
      <c r="B20" s="50"/>
      <c r="C20" s="50"/>
      <c r="D20" s="50"/>
      <c r="E20" s="50"/>
      <c r="F20" s="50"/>
      <c r="G20" s="50"/>
    </row>
    <row r="21" spans="1:8" ht="14.5" hidden="1" x14ac:dyDescent="0.35">
      <c r="A21" s="50"/>
      <c r="B21" s="50"/>
      <c r="C21" s="50"/>
      <c r="D21" s="50"/>
      <c r="E21" s="50"/>
      <c r="F21" s="50"/>
      <c r="G21" s="50"/>
    </row>
    <row r="22" spans="1:8" ht="14.5" hidden="1" x14ac:dyDescent="0.35">
      <c r="B22" s="50"/>
      <c r="C22" s="50"/>
      <c r="D22" s="50"/>
      <c r="E22" s="50"/>
      <c r="F22" s="52"/>
      <c r="G22" s="52"/>
    </row>
    <row r="23" spans="1:8" ht="14.5" hidden="1" x14ac:dyDescent="0.35">
      <c r="B23" s="50"/>
      <c r="C23" s="50"/>
      <c r="D23" s="50"/>
      <c r="E23" s="50"/>
      <c r="F23" s="50"/>
      <c r="G23" s="50"/>
    </row>
    <row r="24" spans="1:8" ht="14.5" hidden="1" x14ac:dyDescent="0.35">
      <c r="B24" s="50"/>
      <c r="C24" s="50"/>
      <c r="D24" s="50"/>
      <c r="E24" s="50"/>
      <c r="F24" s="50"/>
      <c r="G24" s="50"/>
    </row>
    <row r="25" spans="1:8" ht="14.5" hidden="1" x14ac:dyDescent="0.35">
      <c r="B25" s="50"/>
      <c r="C25" s="50"/>
      <c r="D25" s="50"/>
      <c r="E25" s="50"/>
      <c r="F25" s="50"/>
      <c r="G25" s="50"/>
    </row>
    <row r="26" spans="1:8" ht="14.5" hidden="1" x14ac:dyDescent="0.35">
      <c r="B26" s="50"/>
      <c r="C26" s="50"/>
      <c r="D26" s="50"/>
      <c r="E26" s="50"/>
      <c r="F26" s="50"/>
      <c r="G26" s="50"/>
    </row>
    <row r="27" spans="1:8" ht="14.5" hidden="1" x14ac:dyDescent="0.3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7332"/>
  <sheetViews>
    <sheetView showGridLines="0" workbookViewId="0">
      <pane ySplit="4" topLeftCell="A5" activePane="bottomLeft" state="frozen"/>
      <selection pane="bottomLeft" activeCell="H1767" sqref="H1767:H4475"/>
    </sheetView>
  </sheetViews>
  <sheetFormatPr defaultColWidth="0" defaultRowHeight="14.5" zeroHeight="1" x14ac:dyDescent="0.35"/>
  <cols>
    <col min="1" max="2" width="3.6328125" style="1" customWidth="1"/>
    <col min="3" max="3" width="17.90625" customWidth="1"/>
    <col min="4" max="4" width="9.90625" customWidth="1"/>
    <col min="5" max="5" width="10.36328125" customWidth="1"/>
    <col min="6" max="7" width="14.6328125" customWidth="1"/>
    <col min="8" max="10" width="14.6328125" style="1" customWidth="1"/>
    <col min="11" max="11" width="17" style="1" bestFit="1" customWidth="1"/>
    <col min="12" max="12" width="21.08984375" style="1" bestFit="1" customWidth="1"/>
    <col min="13" max="16" width="14.6328125" style="1" customWidth="1"/>
    <col min="17" max="17" width="12.6328125" customWidth="1"/>
    <col min="18" max="18" width="12.6328125" style="1" customWidth="1"/>
    <col min="19" max="20" width="3.6328125" customWidth="1"/>
    <col min="21" max="28" width="0" hidden="1" customWidth="1"/>
    <col min="29" max="16384" width="8.6328125" hidden="1"/>
  </cols>
  <sheetData>
    <row r="1" spans="1:20" s="1" customFormat="1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s="1" customFormat="1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s="1" customFormat="1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s="1" customFormat="1" ht="15" thickBot="1" x14ac:dyDescent="0.4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2"/>
    </row>
    <row r="5" spans="1:20" s="8" customFormat="1" ht="15" thickTop="1" x14ac:dyDescent="0.35">
      <c r="A5" s="5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1:20" x14ac:dyDescent="0.35">
      <c r="C6" s="55" t="s">
        <v>39</v>
      </c>
      <c r="D6" s="56" t="s">
        <v>40</v>
      </c>
      <c r="E6" s="55" t="s">
        <v>41</v>
      </c>
      <c r="F6" s="56" t="s">
        <v>42</v>
      </c>
      <c r="G6" s="57" t="s">
        <v>43</v>
      </c>
      <c r="H6" s="57" t="s">
        <v>63</v>
      </c>
      <c r="I6" s="57" t="s">
        <v>96</v>
      </c>
      <c r="J6" s="57" t="s">
        <v>97</v>
      </c>
      <c r="K6" s="95" t="s">
        <v>98</v>
      </c>
      <c r="L6" s="95" t="s">
        <v>99</v>
      </c>
      <c r="M6" s="95" t="s">
        <v>100</v>
      </c>
      <c r="N6" s="57" t="s">
        <v>101</v>
      </c>
      <c r="O6" s="57" t="s">
        <v>102</v>
      </c>
      <c r="P6" s="57" t="s">
        <v>103</v>
      </c>
      <c r="Q6" s="56" t="s">
        <v>104</v>
      </c>
      <c r="R6" s="108" t="s">
        <v>157</v>
      </c>
      <c r="S6" s="1"/>
    </row>
    <row r="7" spans="1:20" x14ac:dyDescent="0.35">
      <c r="C7" t="s">
        <v>53</v>
      </c>
      <c r="D7" t="s">
        <v>91</v>
      </c>
      <c r="E7" t="s">
        <v>49</v>
      </c>
      <c r="F7" t="s">
        <v>46</v>
      </c>
      <c r="G7" s="58">
        <v>385129</v>
      </c>
      <c r="H7" s="1" t="s">
        <v>47</v>
      </c>
      <c r="I7" s="1" t="s">
        <v>105</v>
      </c>
      <c r="J7" s="58">
        <v>770258</v>
      </c>
      <c r="K7" s="1" t="s">
        <v>106</v>
      </c>
      <c r="L7" s="1" t="s">
        <v>124</v>
      </c>
      <c r="N7" s="1">
        <v>1</v>
      </c>
      <c r="O7" s="58"/>
      <c r="P7" s="58">
        <v>246482.56</v>
      </c>
      <c r="Q7" t="s">
        <v>118</v>
      </c>
      <c r="R7" s="1" t="s">
        <v>158</v>
      </c>
    </row>
    <row r="8" spans="1:20" x14ac:dyDescent="0.35">
      <c r="C8" t="s">
        <v>51</v>
      </c>
      <c r="D8" t="s">
        <v>23</v>
      </c>
      <c r="E8" t="s">
        <v>49</v>
      </c>
      <c r="F8" t="s">
        <v>46</v>
      </c>
      <c r="G8" s="58">
        <v>296693</v>
      </c>
      <c r="H8" s="1" t="s">
        <v>47</v>
      </c>
      <c r="I8" s="1" t="s">
        <v>111</v>
      </c>
      <c r="J8" s="58">
        <v>4153702</v>
      </c>
      <c r="K8" s="1" t="s">
        <v>112</v>
      </c>
      <c r="N8" s="1">
        <v>1</v>
      </c>
      <c r="O8" s="58"/>
      <c r="P8" s="58">
        <v>74173.25</v>
      </c>
      <c r="Q8" t="s">
        <v>107</v>
      </c>
      <c r="R8" s="1" t="s">
        <v>158</v>
      </c>
    </row>
    <row r="9" spans="1:20" x14ac:dyDescent="0.35">
      <c r="C9" t="s">
        <v>51</v>
      </c>
      <c r="D9" t="s">
        <v>21</v>
      </c>
      <c r="E9" t="s">
        <v>49</v>
      </c>
      <c r="F9" t="s">
        <v>46</v>
      </c>
      <c r="G9" s="58">
        <v>248175</v>
      </c>
      <c r="H9" s="1" t="s">
        <v>47</v>
      </c>
      <c r="I9" s="1" t="s">
        <v>108</v>
      </c>
      <c r="J9" s="58">
        <v>8686125</v>
      </c>
      <c r="K9" s="1" t="s">
        <v>106</v>
      </c>
      <c r="L9" s="1" t="s">
        <v>109</v>
      </c>
      <c r="N9" s="1">
        <v>1</v>
      </c>
      <c r="O9" s="58"/>
      <c r="P9" s="58">
        <v>59562</v>
      </c>
      <c r="Q9" t="s">
        <v>107</v>
      </c>
      <c r="R9" s="1" t="s">
        <v>158</v>
      </c>
    </row>
    <row r="10" spans="1:20" x14ac:dyDescent="0.35">
      <c r="C10" t="s">
        <v>51</v>
      </c>
      <c r="D10" t="s">
        <v>25</v>
      </c>
      <c r="E10" t="s">
        <v>45</v>
      </c>
      <c r="F10" t="s">
        <v>46</v>
      </c>
      <c r="G10" s="58">
        <v>702812</v>
      </c>
      <c r="H10" s="1" t="s">
        <v>59</v>
      </c>
      <c r="I10" s="1" t="s">
        <v>111</v>
      </c>
      <c r="J10" s="58">
        <v>12650616</v>
      </c>
      <c r="K10" s="1" t="s">
        <v>106</v>
      </c>
      <c r="L10" s="1" t="s">
        <v>120</v>
      </c>
      <c r="N10" s="1">
        <v>1</v>
      </c>
      <c r="O10" s="58"/>
      <c r="P10" s="58">
        <v>351406</v>
      </c>
      <c r="Q10" t="s">
        <v>113</v>
      </c>
      <c r="R10" s="1" t="s">
        <v>158</v>
      </c>
    </row>
    <row r="11" spans="1:20" x14ac:dyDescent="0.35">
      <c r="C11" t="s">
        <v>51</v>
      </c>
      <c r="D11" t="s">
        <v>92</v>
      </c>
      <c r="E11" t="s">
        <v>45</v>
      </c>
      <c r="F11" t="s">
        <v>46</v>
      </c>
      <c r="G11" s="58">
        <v>404838</v>
      </c>
      <c r="H11" s="1" t="s">
        <v>48</v>
      </c>
      <c r="I11" s="1" t="s">
        <v>108</v>
      </c>
      <c r="J11" s="58">
        <v>10930626</v>
      </c>
      <c r="K11" s="1" t="s">
        <v>112</v>
      </c>
      <c r="N11" s="1">
        <v>1</v>
      </c>
      <c r="O11" s="58"/>
      <c r="P11" s="58">
        <v>267193.08</v>
      </c>
      <c r="Q11" t="s">
        <v>118</v>
      </c>
      <c r="R11" s="1" t="s">
        <v>158</v>
      </c>
    </row>
    <row r="12" spans="1:20" x14ac:dyDescent="0.35">
      <c r="C12" t="s">
        <v>53</v>
      </c>
      <c r="D12" t="s">
        <v>24</v>
      </c>
      <c r="E12" t="s">
        <v>45</v>
      </c>
      <c r="F12" t="s">
        <v>46</v>
      </c>
      <c r="G12" s="58">
        <v>181603</v>
      </c>
      <c r="H12" s="1" t="s">
        <v>59</v>
      </c>
      <c r="I12" s="1" t="s">
        <v>119</v>
      </c>
      <c r="J12" s="58">
        <v>1271221</v>
      </c>
      <c r="K12" s="1" t="s">
        <v>106</v>
      </c>
      <c r="L12" s="1" t="s">
        <v>120</v>
      </c>
      <c r="N12" s="1">
        <v>1</v>
      </c>
      <c r="O12" s="58"/>
      <c r="P12" s="58">
        <v>99881.65</v>
      </c>
      <c r="Q12" t="s">
        <v>113</v>
      </c>
      <c r="R12" s="1" t="s">
        <v>158</v>
      </c>
    </row>
    <row r="13" spans="1:20" x14ac:dyDescent="0.35">
      <c r="C13" t="s">
        <v>53</v>
      </c>
      <c r="D13" t="s">
        <v>92</v>
      </c>
      <c r="E13" t="s">
        <v>50</v>
      </c>
      <c r="F13" t="s">
        <v>46</v>
      </c>
      <c r="G13" s="58">
        <v>275402</v>
      </c>
      <c r="H13" s="1" t="s">
        <v>48</v>
      </c>
      <c r="I13" s="1" t="s">
        <v>119</v>
      </c>
      <c r="J13" s="58">
        <v>2478618</v>
      </c>
      <c r="K13" s="1" t="s">
        <v>106</v>
      </c>
      <c r="L13" s="1" t="s">
        <v>109</v>
      </c>
      <c r="M13" s="1" t="s">
        <v>123</v>
      </c>
      <c r="N13" s="1">
        <v>1</v>
      </c>
      <c r="O13" s="58"/>
      <c r="P13" s="58">
        <v>134946.98000000001</v>
      </c>
      <c r="Q13" t="s">
        <v>113</v>
      </c>
      <c r="R13" s="1" t="s">
        <v>158</v>
      </c>
    </row>
    <row r="14" spans="1:20" x14ac:dyDescent="0.35">
      <c r="C14" t="s">
        <v>53</v>
      </c>
      <c r="D14" t="s">
        <v>92</v>
      </c>
      <c r="E14" t="s">
        <v>49</v>
      </c>
      <c r="F14" t="s">
        <v>46</v>
      </c>
      <c r="G14" s="58">
        <v>2315765</v>
      </c>
      <c r="H14" s="1" t="s">
        <v>54</v>
      </c>
      <c r="I14" s="1" t="s">
        <v>105</v>
      </c>
      <c r="J14" s="58">
        <v>4631530</v>
      </c>
      <c r="K14" s="1" t="s">
        <v>106</v>
      </c>
      <c r="L14" s="1" t="s">
        <v>124</v>
      </c>
      <c r="N14" s="1">
        <v>1</v>
      </c>
      <c r="O14" s="58"/>
      <c r="P14" s="58">
        <v>162103.54999999999</v>
      </c>
      <c r="Q14" t="s">
        <v>107</v>
      </c>
      <c r="R14" s="1" t="s">
        <v>158</v>
      </c>
    </row>
    <row r="15" spans="1:20" x14ac:dyDescent="0.35">
      <c r="C15" t="s">
        <v>51</v>
      </c>
      <c r="D15" t="s">
        <v>60</v>
      </c>
      <c r="E15" t="s">
        <v>60</v>
      </c>
      <c r="F15" t="s">
        <v>46</v>
      </c>
      <c r="G15" s="58">
        <v>3466628</v>
      </c>
      <c r="H15" s="1" t="s">
        <v>90</v>
      </c>
      <c r="I15" s="1" t="s">
        <v>105</v>
      </c>
      <c r="J15" s="58">
        <v>10399884</v>
      </c>
      <c r="K15" s="1" t="s">
        <v>106</v>
      </c>
      <c r="N15" s="1">
        <v>1</v>
      </c>
      <c r="O15" s="58"/>
      <c r="P15" s="58">
        <v>3951955.92</v>
      </c>
      <c r="Q15" t="s">
        <v>110</v>
      </c>
      <c r="R15" s="1" t="s">
        <v>90</v>
      </c>
    </row>
    <row r="16" spans="1:20" x14ac:dyDescent="0.35">
      <c r="C16" t="s">
        <v>51</v>
      </c>
      <c r="D16" t="s">
        <v>23</v>
      </c>
      <c r="E16" t="s">
        <v>55</v>
      </c>
      <c r="F16" t="s">
        <v>46</v>
      </c>
      <c r="G16" s="58">
        <v>658236</v>
      </c>
      <c r="H16" s="1" t="s">
        <v>54</v>
      </c>
      <c r="I16" s="1" t="s">
        <v>108</v>
      </c>
      <c r="J16" s="58">
        <v>19088844</v>
      </c>
      <c r="K16" s="1" t="s">
        <v>112</v>
      </c>
      <c r="N16" s="1">
        <v>1</v>
      </c>
      <c r="O16" s="58"/>
      <c r="P16" s="58">
        <v>322535.64</v>
      </c>
      <c r="Q16" t="s">
        <v>113</v>
      </c>
      <c r="R16" s="1" t="s">
        <v>158</v>
      </c>
    </row>
    <row r="17" spans="3:18" x14ac:dyDescent="0.35">
      <c r="C17" t="s">
        <v>51</v>
      </c>
      <c r="D17" t="s">
        <v>23</v>
      </c>
      <c r="E17" t="s">
        <v>45</v>
      </c>
      <c r="F17" t="s">
        <v>46</v>
      </c>
      <c r="G17" s="58">
        <v>620055</v>
      </c>
      <c r="H17" s="1" t="s">
        <v>56</v>
      </c>
      <c r="I17" s="1" t="s">
        <v>119</v>
      </c>
      <c r="J17" s="58">
        <v>4960440</v>
      </c>
      <c r="K17" s="1" t="s">
        <v>106</v>
      </c>
      <c r="L17" s="1" t="s">
        <v>120</v>
      </c>
      <c r="N17" s="1">
        <v>1</v>
      </c>
      <c r="O17" s="58"/>
      <c r="P17" s="58">
        <v>415436.85</v>
      </c>
      <c r="Q17" t="s">
        <v>118</v>
      </c>
      <c r="R17" s="1" t="s">
        <v>158</v>
      </c>
    </row>
    <row r="18" spans="3:18" x14ac:dyDescent="0.35">
      <c r="C18" t="s">
        <v>51</v>
      </c>
      <c r="D18" t="s">
        <v>23</v>
      </c>
      <c r="E18" t="s">
        <v>55</v>
      </c>
      <c r="F18" t="s">
        <v>46</v>
      </c>
      <c r="G18" s="58">
        <v>106420</v>
      </c>
      <c r="H18" s="1" t="s">
        <v>47</v>
      </c>
      <c r="I18" s="1" t="s">
        <v>111</v>
      </c>
      <c r="J18" s="58">
        <v>2021980</v>
      </c>
      <c r="K18" s="1" t="s">
        <v>106</v>
      </c>
      <c r="L18" s="1" t="s">
        <v>109</v>
      </c>
      <c r="N18" s="1">
        <v>1</v>
      </c>
      <c r="O18" s="58"/>
      <c r="P18" s="58">
        <v>23412.400000000001</v>
      </c>
      <c r="Q18" t="s">
        <v>107</v>
      </c>
      <c r="R18" s="1" t="s">
        <v>158</v>
      </c>
    </row>
    <row r="19" spans="3:18" x14ac:dyDescent="0.35">
      <c r="C19" t="s">
        <v>53</v>
      </c>
      <c r="D19" t="s">
        <v>21</v>
      </c>
      <c r="E19" t="s">
        <v>49</v>
      </c>
      <c r="F19" t="s">
        <v>46</v>
      </c>
      <c r="G19" s="58">
        <v>131472</v>
      </c>
      <c r="H19" s="1" t="s">
        <v>54</v>
      </c>
      <c r="I19" s="1" t="s">
        <v>119</v>
      </c>
      <c r="J19" s="58">
        <v>920304</v>
      </c>
      <c r="K19" s="1" t="s">
        <v>106</v>
      </c>
      <c r="L19" s="1" t="s">
        <v>124</v>
      </c>
      <c r="N19" s="1">
        <v>1</v>
      </c>
      <c r="O19" s="58"/>
      <c r="P19" s="58">
        <v>176172.48</v>
      </c>
      <c r="Q19" t="s">
        <v>110</v>
      </c>
      <c r="R19" s="1" t="s">
        <v>158</v>
      </c>
    </row>
    <row r="20" spans="3:18" x14ac:dyDescent="0.35">
      <c r="C20" t="s">
        <v>53</v>
      </c>
      <c r="D20" t="s">
        <v>21</v>
      </c>
      <c r="E20" t="s">
        <v>49</v>
      </c>
      <c r="F20" t="s">
        <v>46</v>
      </c>
      <c r="G20" s="58">
        <v>248937</v>
      </c>
      <c r="H20" s="1" t="s">
        <v>48</v>
      </c>
      <c r="I20" s="1" t="s">
        <v>111</v>
      </c>
      <c r="J20" s="58">
        <v>3982992</v>
      </c>
      <c r="K20" s="1" t="s">
        <v>106</v>
      </c>
      <c r="L20" s="1" t="s">
        <v>124</v>
      </c>
      <c r="M20" s="1" t="s">
        <v>126</v>
      </c>
      <c r="N20" s="1">
        <v>1</v>
      </c>
      <c r="O20" s="58"/>
      <c r="P20" s="58">
        <v>74681.100000000006</v>
      </c>
      <c r="Q20" t="s">
        <v>107</v>
      </c>
      <c r="R20" s="1" t="s">
        <v>158</v>
      </c>
    </row>
    <row r="21" spans="3:18" x14ac:dyDescent="0.35">
      <c r="C21" t="s">
        <v>53</v>
      </c>
      <c r="D21" t="s">
        <v>92</v>
      </c>
      <c r="E21" t="s">
        <v>49</v>
      </c>
      <c r="F21" t="s">
        <v>46</v>
      </c>
      <c r="G21" s="58">
        <v>1660695</v>
      </c>
      <c r="H21" s="1" t="s">
        <v>48</v>
      </c>
      <c r="I21" s="1" t="s">
        <v>119</v>
      </c>
      <c r="J21" s="58">
        <v>11624865</v>
      </c>
      <c r="K21" s="1" t="s">
        <v>106</v>
      </c>
      <c r="L21" s="1" t="s">
        <v>124</v>
      </c>
      <c r="M21" s="1" t="s">
        <v>123</v>
      </c>
      <c r="N21" s="1">
        <v>1</v>
      </c>
      <c r="O21" s="58"/>
      <c r="P21" s="58">
        <v>1212307.3500000001</v>
      </c>
      <c r="Q21" t="s">
        <v>118</v>
      </c>
      <c r="R21" s="1" t="s">
        <v>158</v>
      </c>
    </row>
    <row r="22" spans="3:18" x14ac:dyDescent="0.35">
      <c r="C22" t="s">
        <v>51</v>
      </c>
      <c r="D22" t="s">
        <v>23</v>
      </c>
      <c r="E22" t="s">
        <v>55</v>
      </c>
      <c r="F22" t="s">
        <v>46</v>
      </c>
      <c r="G22" s="58">
        <v>81645964</v>
      </c>
      <c r="H22" s="1" t="s">
        <v>48</v>
      </c>
      <c r="I22" s="1" t="s">
        <v>108</v>
      </c>
      <c r="J22" s="58">
        <v>3020900668</v>
      </c>
      <c r="K22" s="1" t="s">
        <v>112</v>
      </c>
      <c r="N22" s="1">
        <v>1</v>
      </c>
      <c r="O22" s="58"/>
      <c r="P22" s="58">
        <v>74297827.239999995</v>
      </c>
      <c r="Q22" t="s">
        <v>127</v>
      </c>
      <c r="R22" s="1" t="s">
        <v>48</v>
      </c>
    </row>
    <row r="23" spans="3:18" x14ac:dyDescent="0.35">
      <c r="C23" t="s">
        <v>51</v>
      </c>
      <c r="D23" t="s">
        <v>21</v>
      </c>
      <c r="E23" t="s">
        <v>45</v>
      </c>
      <c r="F23" t="s">
        <v>64</v>
      </c>
      <c r="G23" s="58">
        <v>273591</v>
      </c>
      <c r="H23" s="1" t="s">
        <v>48</v>
      </c>
      <c r="I23" s="1" t="s">
        <v>108</v>
      </c>
      <c r="J23" s="58">
        <v>8207730</v>
      </c>
      <c r="K23" s="1" t="s">
        <v>106</v>
      </c>
      <c r="L23" s="1" t="s">
        <v>120</v>
      </c>
      <c r="M23" s="1" t="s">
        <v>126</v>
      </c>
      <c r="N23" s="1">
        <v>1</v>
      </c>
      <c r="O23" s="58"/>
      <c r="P23" s="58">
        <v>229816.44</v>
      </c>
      <c r="Q23" t="s">
        <v>127</v>
      </c>
      <c r="R23" s="1" t="s">
        <v>158</v>
      </c>
    </row>
    <row r="24" spans="3:18" x14ac:dyDescent="0.35">
      <c r="C24" t="s">
        <v>51</v>
      </c>
      <c r="D24" t="s">
        <v>22</v>
      </c>
      <c r="E24" t="s">
        <v>49</v>
      </c>
      <c r="F24" t="s">
        <v>46</v>
      </c>
      <c r="G24" s="58">
        <v>44578</v>
      </c>
      <c r="H24" s="1" t="s">
        <v>48</v>
      </c>
      <c r="I24" s="1" t="s">
        <v>119</v>
      </c>
      <c r="J24" s="58">
        <v>356624</v>
      </c>
      <c r="K24" s="1" t="s">
        <v>106</v>
      </c>
      <c r="L24" s="1" t="s">
        <v>124</v>
      </c>
      <c r="M24" s="1" t="s">
        <v>115</v>
      </c>
      <c r="N24" s="1">
        <v>1</v>
      </c>
      <c r="O24" s="58"/>
      <c r="P24" s="58">
        <v>23180.560000000001</v>
      </c>
      <c r="Q24" t="s">
        <v>113</v>
      </c>
      <c r="R24" s="1" t="s">
        <v>48</v>
      </c>
    </row>
    <row r="25" spans="3:18" x14ac:dyDescent="0.35">
      <c r="C25" t="s">
        <v>51</v>
      </c>
      <c r="D25" t="s">
        <v>23</v>
      </c>
      <c r="E25" t="s">
        <v>45</v>
      </c>
      <c r="F25" t="s">
        <v>46</v>
      </c>
      <c r="G25" s="58">
        <v>38921343</v>
      </c>
      <c r="H25" s="1" t="s">
        <v>48</v>
      </c>
      <c r="I25" s="1" t="s">
        <v>108</v>
      </c>
      <c r="J25" s="58">
        <v>1245482976</v>
      </c>
      <c r="K25" s="1" t="s">
        <v>106</v>
      </c>
      <c r="L25" s="1" t="s">
        <v>120</v>
      </c>
      <c r="M25" s="1" t="s">
        <v>125</v>
      </c>
      <c r="N25" s="1">
        <v>1</v>
      </c>
      <c r="O25" s="58"/>
      <c r="P25" s="58">
        <v>27634153.530000001</v>
      </c>
      <c r="Q25" t="s">
        <v>118</v>
      </c>
      <c r="R25" s="1" t="s">
        <v>48</v>
      </c>
    </row>
    <row r="26" spans="3:18" x14ac:dyDescent="0.35">
      <c r="C26" t="s">
        <v>53</v>
      </c>
      <c r="D26" t="s">
        <v>20</v>
      </c>
      <c r="E26" t="s">
        <v>45</v>
      </c>
      <c r="F26" t="s">
        <v>46</v>
      </c>
      <c r="G26" s="58">
        <v>243891</v>
      </c>
      <c r="H26" s="1" t="s">
        <v>48</v>
      </c>
      <c r="I26" s="1" t="s">
        <v>111</v>
      </c>
      <c r="J26" s="58">
        <v>2682801</v>
      </c>
      <c r="K26" s="1" t="s">
        <v>106</v>
      </c>
      <c r="L26" s="1" t="s">
        <v>120</v>
      </c>
      <c r="M26" s="1" t="s">
        <v>123</v>
      </c>
      <c r="N26" s="1">
        <v>1</v>
      </c>
      <c r="O26" s="58"/>
      <c r="P26" s="58">
        <v>156090.23999999999</v>
      </c>
      <c r="Q26" t="s">
        <v>118</v>
      </c>
      <c r="R26" s="1" t="s">
        <v>158</v>
      </c>
    </row>
    <row r="27" spans="3:18" x14ac:dyDescent="0.35">
      <c r="C27" t="s">
        <v>51</v>
      </c>
      <c r="D27" t="s">
        <v>24</v>
      </c>
      <c r="E27" t="s">
        <v>55</v>
      </c>
      <c r="F27" t="s">
        <v>46</v>
      </c>
      <c r="G27" s="58">
        <v>452814</v>
      </c>
      <c r="H27" s="1" t="s">
        <v>47</v>
      </c>
      <c r="I27" s="1" t="s">
        <v>119</v>
      </c>
      <c r="J27" s="58">
        <v>4528140</v>
      </c>
      <c r="K27" s="1" t="s">
        <v>112</v>
      </c>
      <c r="N27" s="1">
        <v>1</v>
      </c>
      <c r="O27" s="58"/>
      <c r="P27" s="58">
        <v>194710.02</v>
      </c>
      <c r="Q27" t="s">
        <v>113</v>
      </c>
      <c r="R27" s="1" t="s">
        <v>158</v>
      </c>
    </row>
    <row r="28" spans="3:18" x14ac:dyDescent="0.35">
      <c r="C28" t="s">
        <v>51</v>
      </c>
      <c r="D28" t="s">
        <v>21</v>
      </c>
      <c r="E28" t="s">
        <v>49</v>
      </c>
      <c r="F28" t="s">
        <v>46</v>
      </c>
      <c r="G28" s="58">
        <v>185903</v>
      </c>
      <c r="H28" s="1" t="s">
        <v>48</v>
      </c>
      <c r="I28" s="1" t="s">
        <v>119</v>
      </c>
      <c r="J28" s="58">
        <v>1673127</v>
      </c>
      <c r="K28" s="1" t="s">
        <v>106</v>
      </c>
      <c r="L28" s="1" t="s">
        <v>120</v>
      </c>
      <c r="M28" s="1" t="s">
        <v>115</v>
      </c>
      <c r="N28" s="1">
        <v>1</v>
      </c>
      <c r="O28" s="58"/>
      <c r="P28" s="58">
        <v>40898.660000000003</v>
      </c>
      <c r="Q28" t="s">
        <v>107</v>
      </c>
      <c r="R28" s="1" t="s">
        <v>48</v>
      </c>
    </row>
    <row r="29" spans="3:18" x14ac:dyDescent="0.35">
      <c r="C29" t="s">
        <v>51</v>
      </c>
      <c r="D29" t="s">
        <v>22</v>
      </c>
      <c r="E29" t="s">
        <v>55</v>
      </c>
      <c r="F29" t="s">
        <v>46</v>
      </c>
      <c r="G29" s="58">
        <v>74718</v>
      </c>
      <c r="H29" s="1" t="s">
        <v>48</v>
      </c>
      <c r="I29" s="1" t="s">
        <v>108</v>
      </c>
      <c r="J29" s="58">
        <v>1793232</v>
      </c>
      <c r="K29" s="1" t="s">
        <v>112</v>
      </c>
      <c r="N29" s="1">
        <v>1</v>
      </c>
      <c r="O29" s="58"/>
      <c r="P29" s="58">
        <v>15690.78</v>
      </c>
      <c r="Q29" t="s">
        <v>107</v>
      </c>
      <c r="R29" s="1" t="s">
        <v>158</v>
      </c>
    </row>
    <row r="30" spans="3:18" x14ac:dyDescent="0.35">
      <c r="C30" t="s">
        <v>51</v>
      </c>
      <c r="D30" t="s">
        <v>22</v>
      </c>
      <c r="E30" t="s">
        <v>45</v>
      </c>
      <c r="F30" t="s">
        <v>46</v>
      </c>
      <c r="G30" s="58">
        <v>7433093</v>
      </c>
      <c r="H30" s="1" t="s">
        <v>48</v>
      </c>
      <c r="I30" s="1" t="s">
        <v>108</v>
      </c>
      <c r="J30" s="58">
        <v>230425883</v>
      </c>
      <c r="K30" s="1" t="s">
        <v>106</v>
      </c>
      <c r="L30" s="1" t="s">
        <v>124</v>
      </c>
      <c r="M30" s="1" t="s">
        <v>115</v>
      </c>
      <c r="N30" s="1">
        <v>1</v>
      </c>
      <c r="O30" s="58"/>
      <c r="P30" s="58">
        <v>5351826.96</v>
      </c>
      <c r="Q30" t="s">
        <v>118</v>
      </c>
      <c r="R30" s="1" t="s">
        <v>48</v>
      </c>
    </row>
    <row r="31" spans="3:18" x14ac:dyDescent="0.35">
      <c r="C31" t="s">
        <v>51</v>
      </c>
      <c r="D31" t="s">
        <v>91</v>
      </c>
      <c r="E31" t="s">
        <v>49</v>
      </c>
      <c r="F31" t="s">
        <v>64</v>
      </c>
      <c r="G31" s="58">
        <v>597423</v>
      </c>
      <c r="H31" s="1" t="s">
        <v>48</v>
      </c>
      <c r="I31" s="1" t="s">
        <v>111</v>
      </c>
      <c r="J31" s="58">
        <v>6571653</v>
      </c>
      <c r="K31" s="1" t="s">
        <v>112</v>
      </c>
      <c r="N31" s="1">
        <v>1</v>
      </c>
      <c r="O31" s="58"/>
      <c r="P31" s="58">
        <v>477938.4</v>
      </c>
      <c r="Q31" t="s">
        <v>118</v>
      </c>
      <c r="R31" s="1" t="s">
        <v>158</v>
      </c>
    </row>
    <row r="32" spans="3:18" x14ac:dyDescent="0.35">
      <c r="C32" t="s">
        <v>51</v>
      </c>
      <c r="D32" t="s">
        <v>92</v>
      </c>
      <c r="E32" t="s">
        <v>49</v>
      </c>
      <c r="F32" t="s">
        <v>46</v>
      </c>
      <c r="G32" s="58">
        <v>170513</v>
      </c>
      <c r="H32" s="1" t="s">
        <v>48</v>
      </c>
      <c r="I32" s="1" t="s">
        <v>105</v>
      </c>
      <c r="J32" s="58">
        <v>852565</v>
      </c>
      <c r="K32" s="1" t="s">
        <v>112</v>
      </c>
      <c r="N32" s="1">
        <v>1</v>
      </c>
      <c r="O32" s="58"/>
      <c r="P32" s="58">
        <v>49448.77</v>
      </c>
      <c r="Q32" t="s">
        <v>107</v>
      </c>
      <c r="R32" s="1" t="s">
        <v>48</v>
      </c>
    </row>
    <row r="33" spans="3:18" x14ac:dyDescent="0.35">
      <c r="C33" t="s">
        <v>51</v>
      </c>
      <c r="D33" t="s">
        <v>91</v>
      </c>
      <c r="E33" t="s">
        <v>45</v>
      </c>
      <c r="F33" t="s">
        <v>46</v>
      </c>
      <c r="G33" s="58">
        <v>295141</v>
      </c>
      <c r="H33" s="1" t="s">
        <v>48</v>
      </c>
      <c r="I33" s="1" t="s">
        <v>108</v>
      </c>
      <c r="J33" s="58">
        <v>8263948</v>
      </c>
      <c r="K33" s="1" t="s">
        <v>106</v>
      </c>
      <c r="L33" s="1" t="s">
        <v>120</v>
      </c>
      <c r="M33" s="1" t="s">
        <v>122</v>
      </c>
      <c r="N33" s="1">
        <v>1</v>
      </c>
      <c r="O33" s="58"/>
      <c r="P33" s="58">
        <v>138716.26999999999</v>
      </c>
      <c r="Q33" t="s">
        <v>113</v>
      </c>
      <c r="R33" s="1" t="s">
        <v>48</v>
      </c>
    </row>
    <row r="34" spans="3:18" x14ac:dyDescent="0.35">
      <c r="C34" t="s">
        <v>51</v>
      </c>
      <c r="D34" t="s">
        <v>24</v>
      </c>
      <c r="E34" t="s">
        <v>62</v>
      </c>
      <c r="F34" t="s">
        <v>46</v>
      </c>
      <c r="G34" s="58">
        <v>135136</v>
      </c>
      <c r="H34" s="1" t="s">
        <v>48</v>
      </c>
      <c r="I34" s="1" t="s">
        <v>108</v>
      </c>
      <c r="J34" s="58">
        <v>5270304</v>
      </c>
      <c r="K34" s="1" t="s">
        <v>106</v>
      </c>
      <c r="L34" s="1" t="s">
        <v>114</v>
      </c>
      <c r="M34" s="1" t="s">
        <v>121</v>
      </c>
      <c r="N34" s="1">
        <v>1</v>
      </c>
      <c r="O34" s="58"/>
      <c r="P34" s="58">
        <v>160811.84</v>
      </c>
      <c r="Q34" t="s">
        <v>110</v>
      </c>
      <c r="R34" s="1" t="s">
        <v>48</v>
      </c>
    </row>
    <row r="35" spans="3:18" x14ac:dyDescent="0.35">
      <c r="C35" t="s">
        <v>51</v>
      </c>
      <c r="D35" t="s">
        <v>21</v>
      </c>
      <c r="E35" t="s">
        <v>49</v>
      </c>
      <c r="F35" t="s">
        <v>46</v>
      </c>
      <c r="G35" s="58">
        <v>75937026</v>
      </c>
      <c r="H35" s="1" t="s">
        <v>56</v>
      </c>
      <c r="I35" s="1" t="s">
        <v>108</v>
      </c>
      <c r="J35" s="58">
        <v>2278110780</v>
      </c>
      <c r="K35" s="1" t="s">
        <v>106</v>
      </c>
      <c r="L35" s="1" t="s">
        <v>124</v>
      </c>
      <c r="N35" s="1">
        <v>1</v>
      </c>
      <c r="O35" s="58"/>
      <c r="P35" s="58">
        <v>64546472.100000001</v>
      </c>
      <c r="Q35" t="s">
        <v>127</v>
      </c>
      <c r="R35" s="1" t="s">
        <v>158</v>
      </c>
    </row>
    <row r="36" spans="3:18" x14ac:dyDescent="0.35">
      <c r="C36" t="s">
        <v>51</v>
      </c>
      <c r="D36" t="s">
        <v>24</v>
      </c>
      <c r="E36" t="s">
        <v>55</v>
      </c>
      <c r="F36" t="s">
        <v>46</v>
      </c>
      <c r="G36" s="58">
        <v>7100939</v>
      </c>
      <c r="H36" s="1" t="s">
        <v>48</v>
      </c>
      <c r="I36" s="1" t="s">
        <v>108</v>
      </c>
      <c r="J36" s="58">
        <v>248532865</v>
      </c>
      <c r="K36" s="1" t="s">
        <v>112</v>
      </c>
      <c r="N36" s="1">
        <v>1</v>
      </c>
      <c r="O36" s="58"/>
      <c r="P36" s="58">
        <v>5041666.6900000004</v>
      </c>
      <c r="Q36" t="s">
        <v>118</v>
      </c>
      <c r="R36" s="1" t="s">
        <v>48</v>
      </c>
    </row>
    <row r="37" spans="3:18" x14ac:dyDescent="0.35">
      <c r="C37" t="s">
        <v>53</v>
      </c>
      <c r="D37" t="s">
        <v>23</v>
      </c>
      <c r="E37" t="s">
        <v>55</v>
      </c>
      <c r="F37" t="s">
        <v>46</v>
      </c>
      <c r="G37" s="58">
        <v>71164</v>
      </c>
      <c r="H37" s="1" t="s">
        <v>59</v>
      </c>
      <c r="I37" s="1" t="s">
        <v>111</v>
      </c>
      <c r="J37" s="58">
        <v>853968</v>
      </c>
      <c r="K37" s="1" t="s">
        <v>106</v>
      </c>
      <c r="L37" s="1" t="s">
        <v>114</v>
      </c>
      <c r="N37" s="1">
        <v>1</v>
      </c>
      <c r="O37" s="58"/>
      <c r="P37" s="58">
        <v>33447.08</v>
      </c>
      <c r="Q37" t="s">
        <v>113</v>
      </c>
      <c r="R37" s="1" t="s">
        <v>158</v>
      </c>
    </row>
    <row r="38" spans="3:18" x14ac:dyDescent="0.35">
      <c r="C38" t="s">
        <v>51</v>
      </c>
      <c r="D38" t="s">
        <v>24</v>
      </c>
      <c r="E38" t="s">
        <v>55</v>
      </c>
      <c r="F38" t="s">
        <v>46</v>
      </c>
      <c r="G38" s="58">
        <v>16203085</v>
      </c>
      <c r="H38" s="1" t="s">
        <v>56</v>
      </c>
      <c r="I38" s="1" t="s">
        <v>108</v>
      </c>
      <c r="J38" s="58">
        <v>421280210</v>
      </c>
      <c r="K38" s="1" t="s">
        <v>106</v>
      </c>
      <c r="L38" s="1" t="s">
        <v>114</v>
      </c>
      <c r="N38" s="1">
        <v>1</v>
      </c>
      <c r="O38" s="58"/>
      <c r="P38" s="58">
        <v>8425604.1999999993</v>
      </c>
      <c r="Q38" t="s">
        <v>113</v>
      </c>
      <c r="R38" s="1" t="s">
        <v>158</v>
      </c>
    </row>
    <row r="39" spans="3:18" x14ac:dyDescent="0.35">
      <c r="C39" t="s">
        <v>53</v>
      </c>
      <c r="D39" t="s">
        <v>91</v>
      </c>
      <c r="E39" t="s">
        <v>45</v>
      </c>
      <c r="F39" t="s">
        <v>46</v>
      </c>
      <c r="G39" s="58">
        <v>275976</v>
      </c>
      <c r="H39" s="1" t="s">
        <v>47</v>
      </c>
      <c r="I39" s="1" t="s">
        <v>119</v>
      </c>
      <c r="J39" s="58">
        <v>1931832</v>
      </c>
      <c r="K39" s="1" t="s">
        <v>106</v>
      </c>
      <c r="L39" s="1" t="s">
        <v>120</v>
      </c>
      <c r="N39" s="1">
        <v>1</v>
      </c>
      <c r="O39" s="58"/>
      <c r="P39" s="58">
        <v>107630.64</v>
      </c>
      <c r="Q39" t="s">
        <v>107</v>
      </c>
      <c r="R39" s="1" t="s">
        <v>158</v>
      </c>
    </row>
    <row r="40" spans="3:18" x14ac:dyDescent="0.35">
      <c r="C40" t="s">
        <v>51</v>
      </c>
      <c r="D40" t="s">
        <v>23</v>
      </c>
      <c r="E40" t="s">
        <v>50</v>
      </c>
      <c r="F40" t="s">
        <v>46</v>
      </c>
      <c r="G40" s="58">
        <v>108206</v>
      </c>
      <c r="H40" s="1" t="s">
        <v>48</v>
      </c>
      <c r="I40" s="1" t="s">
        <v>108</v>
      </c>
      <c r="J40" s="58">
        <v>3029768</v>
      </c>
      <c r="K40" s="1" t="s">
        <v>106</v>
      </c>
      <c r="L40" s="1" t="s">
        <v>114</v>
      </c>
      <c r="M40" s="1" t="s">
        <v>125</v>
      </c>
      <c r="N40" s="1">
        <v>1</v>
      </c>
      <c r="O40" s="58"/>
      <c r="P40" s="58">
        <v>41118.28</v>
      </c>
      <c r="Q40" t="s">
        <v>107</v>
      </c>
      <c r="R40" s="1" t="s">
        <v>48</v>
      </c>
    </row>
    <row r="41" spans="3:18" x14ac:dyDescent="0.35">
      <c r="C41" t="s">
        <v>51</v>
      </c>
      <c r="D41" t="s">
        <v>22</v>
      </c>
      <c r="E41" t="s">
        <v>45</v>
      </c>
      <c r="F41" t="s">
        <v>46</v>
      </c>
      <c r="G41" s="58">
        <v>8679183</v>
      </c>
      <c r="H41" s="1" t="s">
        <v>47</v>
      </c>
      <c r="I41" s="1" t="s">
        <v>111</v>
      </c>
      <c r="J41" s="58">
        <v>121508562</v>
      </c>
      <c r="K41" s="1" t="s">
        <v>106</v>
      </c>
      <c r="L41" s="1" t="s">
        <v>124</v>
      </c>
      <c r="N41" s="1">
        <v>1</v>
      </c>
      <c r="O41" s="58"/>
      <c r="P41" s="58">
        <v>2256587.58</v>
      </c>
      <c r="Q41" t="s">
        <v>107</v>
      </c>
      <c r="R41" s="1" t="s">
        <v>158</v>
      </c>
    </row>
    <row r="42" spans="3:18" x14ac:dyDescent="0.35">
      <c r="C42" t="s">
        <v>51</v>
      </c>
      <c r="D42" t="s">
        <v>20</v>
      </c>
      <c r="E42" t="s">
        <v>49</v>
      </c>
      <c r="F42" t="s">
        <v>46</v>
      </c>
      <c r="G42" s="58">
        <v>6365053</v>
      </c>
      <c r="H42" s="1" t="s">
        <v>48</v>
      </c>
      <c r="I42" s="1" t="s">
        <v>119</v>
      </c>
      <c r="J42" s="58">
        <v>50920424</v>
      </c>
      <c r="K42" s="1" t="s">
        <v>106</v>
      </c>
      <c r="L42" s="1" t="s">
        <v>124</v>
      </c>
      <c r="M42" s="1" t="s">
        <v>123</v>
      </c>
      <c r="N42" s="1">
        <v>1</v>
      </c>
      <c r="O42" s="58"/>
      <c r="P42" s="58">
        <v>1400311.66</v>
      </c>
      <c r="Q42" t="s">
        <v>107</v>
      </c>
      <c r="R42" s="1" t="s">
        <v>158</v>
      </c>
    </row>
    <row r="43" spans="3:18" x14ac:dyDescent="0.35">
      <c r="C43" t="s">
        <v>51</v>
      </c>
      <c r="D43" t="s">
        <v>92</v>
      </c>
      <c r="E43" t="s">
        <v>55</v>
      </c>
      <c r="F43" t="s">
        <v>46</v>
      </c>
      <c r="G43" s="58">
        <v>467789</v>
      </c>
      <c r="H43" s="1" t="s">
        <v>48</v>
      </c>
      <c r="I43" s="1" t="s">
        <v>108</v>
      </c>
      <c r="J43" s="58">
        <v>14969248</v>
      </c>
      <c r="K43" s="1" t="s">
        <v>112</v>
      </c>
      <c r="N43" s="1">
        <v>1</v>
      </c>
      <c r="O43" s="58"/>
      <c r="P43" s="58">
        <v>369553.31</v>
      </c>
      <c r="Q43" t="s">
        <v>118</v>
      </c>
      <c r="R43" s="1" t="s">
        <v>48</v>
      </c>
    </row>
    <row r="44" spans="3:18" x14ac:dyDescent="0.35">
      <c r="C44" t="s">
        <v>51</v>
      </c>
      <c r="D44" t="s">
        <v>21</v>
      </c>
      <c r="E44" t="s">
        <v>49</v>
      </c>
      <c r="F44" t="s">
        <v>46</v>
      </c>
      <c r="G44" s="58">
        <v>4270813</v>
      </c>
      <c r="H44" s="1" t="s">
        <v>47</v>
      </c>
      <c r="I44" s="1" t="s">
        <v>105</v>
      </c>
      <c r="J44" s="58">
        <v>8541626</v>
      </c>
      <c r="K44" s="1" t="s">
        <v>112</v>
      </c>
      <c r="N44" s="1">
        <v>1</v>
      </c>
      <c r="O44" s="58"/>
      <c r="P44" s="58">
        <v>427081.3</v>
      </c>
      <c r="Q44" t="s">
        <v>107</v>
      </c>
      <c r="R44" s="1" t="s">
        <v>158</v>
      </c>
    </row>
    <row r="45" spans="3:18" x14ac:dyDescent="0.35">
      <c r="C45" t="s">
        <v>51</v>
      </c>
      <c r="D45" t="s">
        <v>21</v>
      </c>
      <c r="E45" t="s">
        <v>55</v>
      </c>
      <c r="F45" t="s">
        <v>46</v>
      </c>
      <c r="G45" s="58">
        <v>8102256</v>
      </c>
      <c r="H45" s="1" t="s">
        <v>48</v>
      </c>
      <c r="I45" s="1" t="s">
        <v>108</v>
      </c>
      <c r="J45" s="58">
        <v>259272192</v>
      </c>
      <c r="K45" s="1" t="s">
        <v>112</v>
      </c>
      <c r="N45" s="1">
        <v>1</v>
      </c>
      <c r="O45" s="58"/>
      <c r="P45" s="58">
        <v>4132150.56</v>
      </c>
      <c r="Q45" t="s">
        <v>113</v>
      </c>
      <c r="R45" s="1" t="s">
        <v>48</v>
      </c>
    </row>
    <row r="46" spans="3:18" x14ac:dyDescent="0.35">
      <c r="C46" t="s">
        <v>51</v>
      </c>
      <c r="D46" t="s">
        <v>19</v>
      </c>
      <c r="E46" t="s">
        <v>49</v>
      </c>
      <c r="F46" t="s">
        <v>46</v>
      </c>
      <c r="G46" s="58">
        <v>2461945</v>
      </c>
      <c r="H46" s="1" t="s">
        <v>59</v>
      </c>
      <c r="I46" s="1" t="s">
        <v>108</v>
      </c>
      <c r="J46" s="58">
        <v>78782240</v>
      </c>
      <c r="K46" s="1" t="s">
        <v>106</v>
      </c>
      <c r="L46" s="1" t="s">
        <v>124</v>
      </c>
      <c r="N46" s="1">
        <v>1</v>
      </c>
      <c r="O46" s="58"/>
      <c r="P46" s="58">
        <v>2806617.3</v>
      </c>
      <c r="Q46" t="s">
        <v>110</v>
      </c>
      <c r="R46" s="1" t="s">
        <v>158</v>
      </c>
    </row>
    <row r="47" spans="3:18" x14ac:dyDescent="0.35">
      <c r="C47" t="s">
        <v>51</v>
      </c>
      <c r="D47" t="s">
        <v>19</v>
      </c>
      <c r="E47" t="s">
        <v>49</v>
      </c>
      <c r="F47" t="s">
        <v>46</v>
      </c>
      <c r="G47" s="58">
        <v>125534</v>
      </c>
      <c r="H47" s="1" t="s">
        <v>48</v>
      </c>
      <c r="I47" s="1" t="s">
        <v>111</v>
      </c>
      <c r="J47" s="58">
        <v>2134078</v>
      </c>
      <c r="K47" s="1" t="s">
        <v>106</v>
      </c>
      <c r="L47" s="1" t="s">
        <v>124</v>
      </c>
      <c r="M47" s="1" t="s">
        <v>123</v>
      </c>
      <c r="N47" s="1">
        <v>1</v>
      </c>
      <c r="O47" s="58"/>
      <c r="P47" s="58">
        <v>70299.039999999994</v>
      </c>
      <c r="Q47" t="s">
        <v>113</v>
      </c>
      <c r="R47" s="1" t="s">
        <v>48</v>
      </c>
    </row>
    <row r="48" spans="3:18" x14ac:dyDescent="0.35">
      <c r="C48" t="s">
        <v>51</v>
      </c>
      <c r="D48" t="s">
        <v>21</v>
      </c>
      <c r="E48" t="s">
        <v>49</v>
      </c>
      <c r="F48" t="s">
        <v>46</v>
      </c>
      <c r="G48" s="58">
        <v>440889</v>
      </c>
      <c r="H48" s="1" t="s">
        <v>48</v>
      </c>
      <c r="I48" s="1" t="s">
        <v>108</v>
      </c>
      <c r="J48" s="58">
        <v>14549337</v>
      </c>
      <c r="K48" s="1" t="s">
        <v>106</v>
      </c>
      <c r="L48" s="1" t="s">
        <v>120</v>
      </c>
      <c r="M48" s="1" t="s">
        <v>125</v>
      </c>
      <c r="N48" s="1">
        <v>1</v>
      </c>
      <c r="O48" s="58"/>
      <c r="P48" s="58">
        <v>370346.76</v>
      </c>
      <c r="Q48" t="s">
        <v>127</v>
      </c>
      <c r="R48" s="1" t="s">
        <v>158</v>
      </c>
    </row>
    <row r="49" spans="3:18" x14ac:dyDescent="0.35">
      <c r="C49" t="s">
        <v>51</v>
      </c>
      <c r="D49" t="s">
        <v>22</v>
      </c>
      <c r="E49" t="s">
        <v>49</v>
      </c>
      <c r="F49" t="s">
        <v>46</v>
      </c>
      <c r="G49" s="58">
        <v>38314821</v>
      </c>
      <c r="H49" s="1" t="s">
        <v>56</v>
      </c>
      <c r="I49" s="1" t="s">
        <v>108</v>
      </c>
      <c r="J49" s="58">
        <v>957870525</v>
      </c>
      <c r="K49" s="1" t="s">
        <v>106</v>
      </c>
      <c r="L49" s="1" t="s">
        <v>124</v>
      </c>
      <c r="N49" s="1">
        <v>1</v>
      </c>
      <c r="O49" s="58"/>
      <c r="P49" s="58">
        <v>19923706.920000002</v>
      </c>
      <c r="Q49" t="s">
        <v>113</v>
      </c>
      <c r="R49" s="1" t="s">
        <v>158</v>
      </c>
    </row>
    <row r="50" spans="3:18" x14ac:dyDescent="0.35">
      <c r="C50" t="s">
        <v>51</v>
      </c>
      <c r="D50" t="s">
        <v>23</v>
      </c>
      <c r="E50" t="s">
        <v>55</v>
      </c>
      <c r="F50" t="s">
        <v>46</v>
      </c>
      <c r="G50" s="58">
        <v>3775803</v>
      </c>
      <c r="H50" s="1" t="s">
        <v>59</v>
      </c>
      <c r="I50" s="1" t="s">
        <v>111</v>
      </c>
      <c r="J50" s="58">
        <v>52861242</v>
      </c>
      <c r="K50" s="1" t="s">
        <v>106</v>
      </c>
      <c r="L50" s="1" t="s">
        <v>114</v>
      </c>
      <c r="N50" s="1">
        <v>1</v>
      </c>
      <c r="O50" s="58"/>
      <c r="P50" s="58">
        <v>1057224.8400000001</v>
      </c>
      <c r="Q50" t="s">
        <v>107</v>
      </c>
      <c r="R50" s="1" t="s">
        <v>158</v>
      </c>
    </row>
    <row r="51" spans="3:18" x14ac:dyDescent="0.35">
      <c r="C51" t="s">
        <v>53</v>
      </c>
      <c r="D51" t="s">
        <v>20</v>
      </c>
      <c r="E51" t="s">
        <v>45</v>
      </c>
      <c r="F51" t="s">
        <v>46</v>
      </c>
      <c r="G51" s="58">
        <v>4239796</v>
      </c>
      <c r="H51" s="1" t="s">
        <v>54</v>
      </c>
      <c r="I51" s="1" t="s">
        <v>119</v>
      </c>
      <c r="J51" s="58">
        <v>33918368</v>
      </c>
      <c r="K51" s="1" t="s">
        <v>106</v>
      </c>
      <c r="L51" s="1" t="s">
        <v>120</v>
      </c>
      <c r="N51" s="1">
        <v>1</v>
      </c>
      <c r="O51" s="58"/>
      <c r="P51" s="58">
        <v>2077500.04</v>
      </c>
      <c r="Q51" t="s">
        <v>113</v>
      </c>
      <c r="R51" s="1" t="s">
        <v>158</v>
      </c>
    </row>
    <row r="52" spans="3:18" x14ac:dyDescent="0.35">
      <c r="C52" t="s">
        <v>51</v>
      </c>
      <c r="D52" t="s">
        <v>22</v>
      </c>
      <c r="E52" t="s">
        <v>50</v>
      </c>
      <c r="F52" t="s">
        <v>64</v>
      </c>
      <c r="G52" s="58">
        <v>1232311</v>
      </c>
      <c r="H52" s="1" t="s">
        <v>48</v>
      </c>
      <c r="I52" s="1" t="s">
        <v>108</v>
      </c>
      <c r="J52" s="58">
        <v>44363196</v>
      </c>
      <c r="K52" s="1" t="s">
        <v>112</v>
      </c>
      <c r="N52" s="1">
        <v>1</v>
      </c>
      <c r="O52" s="58"/>
      <c r="P52" s="58">
        <v>862617.7</v>
      </c>
      <c r="Q52" t="s">
        <v>118</v>
      </c>
      <c r="R52" s="1" t="s">
        <v>48</v>
      </c>
    </row>
    <row r="53" spans="3:18" x14ac:dyDescent="0.35">
      <c r="C53" t="s">
        <v>51</v>
      </c>
      <c r="D53" t="s">
        <v>20</v>
      </c>
      <c r="E53" t="s">
        <v>49</v>
      </c>
      <c r="F53" t="s">
        <v>46</v>
      </c>
      <c r="G53" s="58">
        <v>2385452</v>
      </c>
      <c r="H53" s="1" t="s">
        <v>54</v>
      </c>
      <c r="I53" s="1" t="s">
        <v>108</v>
      </c>
      <c r="J53" s="58">
        <v>66792656</v>
      </c>
      <c r="K53" s="1" t="s">
        <v>112</v>
      </c>
      <c r="N53" s="1">
        <v>1</v>
      </c>
      <c r="O53" s="58"/>
      <c r="P53" s="58">
        <v>1645961.88</v>
      </c>
      <c r="Q53" t="s">
        <v>118</v>
      </c>
      <c r="R53" s="1" t="s">
        <v>158</v>
      </c>
    </row>
    <row r="54" spans="3:18" x14ac:dyDescent="0.35">
      <c r="C54" t="s">
        <v>51</v>
      </c>
      <c r="D54" t="s">
        <v>92</v>
      </c>
      <c r="E54" t="s">
        <v>49</v>
      </c>
      <c r="F54" t="s">
        <v>46</v>
      </c>
      <c r="G54" s="58">
        <v>535693</v>
      </c>
      <c r="H54" s="1" t="s">
        <v>48</v>
      </c>
      <c r="I54" s="1" t="s">
        <v>119</v>
      </c>
      <c r="J54" s="58">
        <v>3749851</v>
      </c>
      <c r="K54" s="1" t="s">
        <v>106</v>
      </c>
      <c r="L54" s="1" t="s">
        <v>124</v>
      </c>
      <c r="M54" s="1" t="s">
        <v>123</v>
      </c>
      <c r="N54" s="1">
        <v>1</v>
      </c>
      <c r="O54" s="58"/>
      <c r="P54" s="58">
        <v>332129.65999999997</v>
      </c>
      <c r="Q54" t="s">
        <v>118</v>
      </c>
      <c r="R54" s="1" t="s">
        <v>48</v>
      </c>
    </row>
    <row r="55" spans="3:18" x14ac:dyDescent="0.35">
      <c r="C55" t="s">
        <v>51</v>
      </c>
      <c r="D55" t="s">
        <v>21</v>
      </c>
      <c r="E55" t="s">
        <v>49</v>
      </c>
      <c r="F55" t="s">
        <v>46</v>
      </c>
      <c r="G55" s="58">
        <v>1835628</v>
      </c>
      <c r="H55" s="1" t="s">
        <v>47</v>
      </c>
      <c r="I55" s="1" t="s">
        <v>111</v>
      </c>
      <c r="J55" s="58">
        <v>29370048</v>
      </c>
      <c r="K55" s="1" t="s">
        <v>106</v>
      </c>
      <c r="L55" s="1" t="s">
        <v>124</v>
      </c>
      <c r="N55" s="1">
        <v>1</v>
      </c>
      <c r="O55" s="58"/>
      <c r="P55" s="58">
        <v>2147684.7599999998</v>
      </c>
      <c r="Q55" t="s">
        <v>110</v>
      </c>
      <c r="R55" s="1" t="s">
        <v>158</v>
      </c>
    </row>
    <row r="56" spans="3:18" x14ac:dyDescent="0.35">
      <c r="C56" t="s">
        <v>51</v>
      </c>
      <c r="D56" t="s">
        <v>21</v>
      </c>
      <c r="E56" t="s">
        <v>49</v>
      </c>
      <c r="F56" t="s">
        <v>46</v>
      </c>
      <c r="G56" s="58">
        <v>1173489</v>
      </c>
      <c r="H56" s="1" t="s">
        <v>56</v>
      </c>
      <c r="I56" s="1" t="s">
        <v>111</v>
      </c>
      <c r="J56" s="58">
        <v>18775824</v>
      </c>
      <c r="K56" s="1" t="s">
        <v>112</v>
      </c>
      <c r="N56" s="1">
        <v>1</v>
      </c>
      <c r="O56" s="58"/>
      <c r="P56" s="58">
        <v>762767.85</v>
      </c>
      <c r="Q56" t="s">
        <v>118</v>
      </c>
      <c r="R56" s="1" t="s">
        <v>158</v>
      </c>
    </row>
    <row r="57" spans="3:18" x14ac:dyDescent="0.35">
      <c r="C57" t="s">
        <v>53</v>
      </c>
      <c r="D57" t="s">
        <v>22</v>
      </c>
      <c r="E57" t="s">
        <v>45</v>
      </c>
      <c r="F57" t="s">
        <v>46</v>
      </c>
      <c r="G57" s="58">
        <v>169001</v>
      </c>
      <c r="H57" s="1" t="s">
        <v>56</v>
      </c>
      <c r="I57" s="1" t="s">
        <v>111</v>
      </c>
      <c r="J57" s="58">
        <v>2535015</v>
      </c>
      <c r="K57" s="1" t="s">
        <v>112</v>
      </c>
      <c r="N57" s="1">
        <v>1</v>
      </c>
      <c r="O57" s="58"/>
      <c r="P57" s="58">
        <v>69290.41</v>
      </c>
      <c r="Q57" t="s">
        <v>113</v>
      </c>
      <c r="R57" s="1" t="s">
        <v>158</v>
      </c>
    </row>
    <row r="58" spans="3:18" x14ac:dyDescent="0.35">
      <c r="C58" t="s">
        <v>51</v>
      </c>
      <c r="D58" t="s">
        <v>24</v>
      </c>
      <c r="E58" t="s">
        <v>55</v>
      </c>
      <c r="F58" t="s">
        <v>46</v>
      </c>
      <c r="G58" s="58">
        <v>307716</v>
      </c>
      <c r="H58" s="1" t="s">
        <v>54</v>
      </c>
      <c r="I58" s="1" t="s">
        <v>111</v>
      </c>
      <c r="J58" s="58">
        <v>5846604</v>
      </c>
      <c r="K58" s="1" t="s">
        <v>106</v>
      </c>
      <c r="L58" s="1" t="s">
        <v>114</v>
      </c>
      <c r="N58" s="1">
        <v>1</v>
      </c>
      <c r="O58" s="58"/>
      <c r="P58" s="58">
        <v>249249.96</v>
      </c>
      <c r="Q58" t="s">
        <v>127</v>
      </c>
      <c r="R58" s="1" t="s">
        <v>158</v>
      </c>
    </row>
    <row r="59" spans="3:18" x14ac:dyDescent="0.35">
      <c r="C59" t="s">
        <v>51</v>
      </c>
      <c r="D59" t="s">
        <v>91</v>
      </c>
      <c r="E59" t="s">
        <v>49</v>
      </c>
      <c r="F59" t="s">
        <v>46</v>
      </c>
      <c r="G59" s="58">
        <v>4680873</v>
      </c>
      <c r="H59" s="1" t="s">
        <v>47</v>
      </c>
      <c r="I59" s="1" t="s">
        <v>111</v>
      </c>
      <c r="J59" s="58">
        <v>74893968</v>
      </c>
      <c r="K59" s="1" t="s">
        <v>106</v>
      </c>
      <c r="L59" s="1" t="s">
        <v>124</v>
      </c>
      <c r="N59" s="1">
        <v>1</v>
      </c>
      <c r="O59" s="58"/>
      <c r="P59" s="58">
        <v>3182993.64</v>
      </c>
      <c r="Q59" t="s">
        <v>118</v>
      </c>
      <c r="R59" s="1" t="s">
        <v>158</v>
      </c>
    </row>
    <row r="60" spans="3:18" x14ac:dyDescent="0.35">
      <c r="C60" t="s">
        <v>51</v>
      </c>
      <c r="D60" t="s">
        <v>23</v>
      </c>
      <c r="E60" t="s">
        <v>45</v>
      </c>
      <c r="F60" t="s">
        <v>46</v>
      </c>
      <c r="G60" s="58">
        <v>1834328</v>
      </c>
      <c r="H60" s="1" t="s">
        <v>59</v>
      </c>
      <c r="I60" s="1" t="s">
        <v>108</v>
      </c>
      <c r="J60" s="58">
        <v>60532824</v>
      </c>
      <c r="K60" s="1" t="s">
        <v>112</v>
      </c>
      <c r="N60" s="1">
        <v>1</v>
      </c>
      <c r="O60" s="58"/>
      <c r="P60" s="58">
        <v>1559178.8</v>
      </c>
      <c r="Q60" t="s">
        <v>127</v>
      </c>
      <c r="R60" s="1" t="s">
        <v>158</v>
      </c>
    </row>
    <row r="61" spans="3:18" x14ac:dyDescent="0.35">
      <c r="C61" t="s">
        <v>51</v>
      </c>
      <c r="D61" t="s">
        <v>22</v>
      </c>
      <c r="E61" t="s">
        <v>45</v>
      </c>
      <c r="F61" t="s">
        <v>46</v>
      </c>
      <c r="G61" s="58">
        <v>1543471</v>
      </c>
      <c r="H61" s="1" t="s">
        <v>48</v>
      </c>
      <c r="I61" s="1" t="s">
        <v>108</v>
      </c>
      <c r="J61" s="58">
        <v>49391072</v>
      </c>
      <c r="K61" s="1" t="s">
        <v>106</v>
      </c>
      <c r="L61" s="1" t="s">
        <v>124</v>
      </c>
      <c r="M61" s="1" t="s">
        <v>115</v>
      </c>
      <c r="N61" s="1">
        <v>1</v>
      </c>
      <c r="O61" s="58"/>
      <c r="P61" s="58">
        <v>879778.47</v>
      </c>
      <c r="Q61" t="s">
        <v>113</v>
      </c>
      <c r="R61" s="1" t="s">
        <v>48</v>
      </c>
    </row>
    <row r="62" spans="3:18" x14ac:dyDescent="0.35">
      <c r="C62" t="s">
        <v>51</v>
      </c>
      <c r="D62" t="s">
        <v>92</v>
      </c>
      <c r="E62" t="s">
        <v>49</v>
      </c>
      <c r="F62" t="s">
        <v>46</v>
      </c>
      <c r="G62" s="58">
        <v>1516794</v>
      </c>
      <c r="H62" s="1" t="s">
        <v>54</v>
      </c>
      <c r="I62" s="1" t="s">
        <v>108</v>
      </c>
      <c r="J62" s="58">
        <v>42470232</v>
      </c>
      <c r="K62" s="1" t="s">
        <v>112</v>
      </c>
      <c r="N62" s="1">
        <v>1</v>
      </c>
      <c r="O62" s="58"/>
      <c r="P62" s="58">
        <v>1107259.6200000001</v>
      </c>
      <c r="Q62" t="s">
        <v>118</v>
      </c>
      <c r="R62" s="1" t="s">
        <v>158</v>
      </c>
    </row>
    <row r="63" spans="3:18" x14ac:dyDescent="0.35">
      <c r="C63" t="s">
        <v>51</v>
      </c>
      <c r="D63" t="s">
        <v>21</v>
      </c>
      <c r="E63" t="s">
        <v>45</v>
      </c>
      <c r="F63" t="s">
        <v>46</v>
      </c>
      <c r="G63" s="58">
        <v>7543891</v>
      </c>
      <c r="H63" s="1" t="s">
        <v>47</v>
      </c>
      <c r="I63" s="1" t="s">
        <v>111</v>
      </c>
      <c r="J63" s="58">
        <v>105614474</v>
      </c>
      <c r="K63" s="1" t="s">
        <v>106</v>
      </c>
      <c r="L63" s="1" t="s">
        <v>120</v>
      </c>
      <c r="N63" s="1">
        <v>1</v>
      </c>
      <c r="O63" s="58"/>
      <c r="P63" s="58">
        <v>2036850.57</v>
      </c>
      <c r="Q63" t="s">
        <v>107</v>
      </c>
      <c r="R63" s="1" t="s">
        <v>158</v>
      </c>
    </row>
    <row r="64" spans="3:18" x14ac:dyDescent="0.35">
      <c r="C64" t="s">
        <v>51</v>
      </c>
      <c r="D64" t="s">
        <v>21</v>
      </c>
      <c r="E64" t="s">
        <v>45</v>
      </c>
      <c r="F64" t="s">
        <v>64</v>
      </c>
      <c r="G64" s="58">
        <v>149002</v>
      </c>
      <c r="H64" s="1" t="s">
        <v>54</v>
      </c>
      <c r="I64" s="1" t="s">
        <v>108</v>
      </c>
      <c r="J64" s="58">
        <v>5215070</v>
      </c>
      <c r="K64" s="1" t="s">
        <v>112</v>
      </c>
      <c r="N64" s="1">
        <v>1</v>
      </c>
      <c r="O64" s="58"/>
      <c r="P64" s="58">
        <v>38740.519999999997</v>
      </c>
      <c r="Q64" t="s">
        <v>107</v>
      </c>
      <c r="R64" s="1" t="s">
        <v>158</v>
      </c>
    </row>
    <row r="65" spans="3:18" x14ac:dyDescent="0.35">
      <c r="C65" t="s">
        <v>53</v>
      </c>
      <c r="D65" t="s">
        <v>92</v>
      </c>
      <c r="E65" t="s">
        <v>49</v>
      </c>
      <c r="F65" t="s">
        <v>46</v>
      </c>
      <c r="G65" s="58">
        <v>336626</v>
      </c>
      <c r="H65" s="1" t="s">
        <v>48</v>
      </c>
      <c r="I65" s="1" t="s">
        <v>111</v>
      </c>
      <c r="J65" s="58">
        <v>4039512</v>
      </c>
      <c r="K65" s="1" t="s">
        <v>112</v>
      </c>
      <c r="N65" s="1">
        <v>1</v>
      </c>
      <c r="O65" s="58"/>
      <c r="P65" s="58">
        <v>191876.82</v>
      </c>
      <c r="Q65" t="s">
        <v>113</v>
      </c>
      <c r="R65" s="1" t="s">
        <v>158</v>
      </c>
    </row>
    <row r="66" spans="3:18" x14ac:dyDescent="0.35">
      <c r="C66" t="s">
        <v>51</v>
      </c>
      <c r="D66" t="s">
        <v>21</v>
      </c>
      <c r="E66" t="s">
        <v>45</v>
      </c>
      <c r="F66" t="s">
        <v>46</v>
      </c>
      <c r="G66" s="58">
        <v>244816</v>
      </c>
      <c r="H66" s="1" t="s">
        <v>48</v>
      </c>
      <c r="I66" s="1" t="s">
        <v>108</v>
      </c>
      <c r="J66" s="58">
        <v>8568560</v>
      </c>
      <c r="K66" s="1" t="s">
        <v>106</v>
      </c>
      <c r="L66" s="1" t="s">
        <v>120</v>
      </c>
      <c r="M66" s="1" t="s">
        <v>115</v>
      </c>
      <c r="N66" s="1">
        <v>1</v>
      </c>
      <c r="O66" s="58"/>
      <c r="P66" s="58">
        <v>110167.2</v>
      </c>
      <c r="Q66" t="s">
        <v>113</v>
      </c>
      <c r="R66" s="1" t="s">
        <v>48</v>
      </c>
    </row>
    <row r="67" spans="3:18" x14ac:dyDescent="0.35">
      <c r="C67" t="s">
        <v>51</v>
      </c>
      <c r="D67" t="s">
        <v>21</v>
      </c>
      <c r="E67" t="s">
        <v>49</v>
      </c>
      <c r="F67" t="s">
        <v>46</v>
      </c>
      <c r="G67" s="58">
        <v>269678</v>
      </c>
      <c r="H67" s="1" t="s">
        <v>48</v>
      </c>
      <c r="I67" s="1" t="s">
        <v>119</v>
      </c>
      <c r="J67" s="58">
        <v>2157424</v>
      </c>
      <c r="K67" s="1" t="s">
        <v>112</v>
      </c>
      <c r="N67" s="1">
        <v>1</v>
      </c>
      <c r="O67" s="58"/>
      <c r="P67" s="58">
        <v>59329.16</v>
      </c>
      <c r="Q67" t="s">
        <v>107</v>
      </c>
      <c r="R67" s="1" t="s">
        <v>48</v>
      </c>
    </row>
    <row r="68" spans="3:18" x14ac:dyDescent="0.35">
      <c r="C68" t="s">
        <v>51</v>
      </c>
      <c r="D68" t="s">
        <v>22</v>
      </c>
      <c r="E68" t="s">
        <v>45</v>
      </c>
      <c r="F68" t="s">
        <v>46</v>
      </c>
      <c r="G68" s="58">
        <v>197039</v>
      </c>
      <c r="H68" s="1" t="s">
        <v>59</v>
      </c>
      <c r="I68" s="1" t="s">
        <v>111</v>
      </c>
      <c r="J68" s="58">
        <v>3349663</v>
      </c>
      <c r="K68" s="1" t="s">
        <v>106</v>
      </c>
      <c r="L68" s="1" t="s">
        <v>116</v>
      </c>
      <c r="N68" s="1">
        <v>1</v>
      </c>
      <c r="O68" s="58"/>
      <c r="P68" s="58">
        <v>98519.5</v>
      </c>
      <c r="Q68" t="s">
        <v>113</v>
      </c>
      <c r="R68" s="1" t="s">
        <v>158</v>
      </c>
    </row>
    <row r="69" spans="3:18" x14ac:dyDescent="0.35">
      <c r="C69" t="s">
        <v>53</v>
      </c>
      <c r="D69" t="s">
        <v>92</v>
      </c>
      <c r="E69" t="s">
        <v>45</v>
      </c>
      <c r="F69" t="s">
        <v>46</v>
      </c>
      <c r="G69" s="58">
        <v>2943364</v>
      </c>
      <c r="H69" s="1" t="s">
        <v>47</v>
      </c>
      <c r="I69" s="1" t="s">
        <v>111</v>
      </c>
      <c r="J69" s="58">
        <v>38263732</v>
      </c>
      <c r="K69" s="1" t="s">
        <v>106</v>
      </c>
      <c r="L69" s="1" t="s">
        <v>120</v>
      </c>
      <c r="N69" s="1">
        <v>1</v>
      </c>
      <c r="O69" s="58"/>
      <c r="P69" s="58">
        <v>2442992.12</v>
      </c>
      <c r="Q69" t="s">
        <v>127</v>
      </c>
      <c r="R69" s="1" t="s">
        <v>158</v>
      </c>
    </row>
    <row r="70" spans="3:18" x14ac:dyDescent="0.35">
      <c r="C70" t="s">
        <v>51</v>
      </c>
      <c r="D70" t="s">
        <v>22</v>
      </c>
      <c r="E70" t="s">
        <v>49</v>
      </c>
      <c r="F70" t="s">
        <v>46</v>
      </c>
      <c r="G70" s="58">
        <v>8263353</v>
      </c>
      <c r="H70" s="1" t="s">
        <v>47</v>
      </c>
      <c r="I70" s="1" t="s">
        <v>108</v>
      </c>
      <c r="J70" s="58">
        <v>256163943</v>
      </c>
      <c r="K70" s="1" t="s">
        <v>106</v>
      </c>
      <c r="L70" s="1" t="s">
        <v>124</v>
      </c>
      <c r="N70" s="1">
        <v>1</v>
      </c>
      <c r="O70" s="58"/>
      <c r="P70" s="58">
        <v>7023850.0499999998</v>
      </c>
      <c r="Q70" t="s">
        <v>127</v>
      </c>
      <c r="R70" s="1" t="s">
        <v>158</v>
      </c>
    </row>
    <row r="71" spans="3:18" x14ac:dyDescent="0.35">
      <c r="C71" t="s">
        <v>51</v>
      </c>
      <c r="D71" t="s">
        <v>24</v>
      </c>
      <c r="E71" t="s">
        <v>50</v>
      </c>
      <c r="F71" t="s">
        <v>64</v>
      </c>
      <c r="G71" s="58">
        <v>78418</v>
      </c>
      <c r="H71" s="1" t="s">
        <v>47</v>
      </c>
      <c r="I71" s="1" t="s">
        <v>111</v>
      </c>
      <c r="J71" s="58">
        <v>1176270</v>
      </c>
      <c r="K71" s="1" t="s">
        <v>106</v>
      </c>
      <c r="L71" s="1" t="s">
        <v>109</v>
      </c>
      <c r="N71" s="1">
        <v>1</v>
      </c>
      <c r="O71" s="58"/>
      <c r="P71" s="58">
        <v>18820.32</v>
      </c>
      <c r="Q71" t="s">
        <v>107</v>
      </c>
      <c r="R71" s="1" t="s">
        <v>158</v>
      </c>
    </row>
    <row r="72" spans="3:18" x14ac:dyDescent="0.35">
      <c r="C72" t="s">
        <v>51</v>
      </c>
      <c r="D72" t="s">
        <v>24</v>
      </c>
      <c r="E72" t="s">
        <v>50</v>
      </c>
      <c r="F72" t="s">
        <v>46</v>
      </c>
      <c r="G72" s="58">
        <v>865584</v>
      </c>
      <c r="H72" s="1" t="s">
        <v>47</v>
      </c>
      <c r="I72" s="1" t="s">
        <v>108</v>
      </c>
      <c r="J72" s="58">
        <v>28564272</v>
      </c>
      <c r="K72" s="1" t="s">
        <v>106</v>
      </c>
      <c r="L72" s="1" t="s">
        <v>124</v>
      </c>
      <c r="N72" s="1">
        <v>1</v>
      </c>
      <c r="O72" s="58"/>
      <c r="P72" s="58">
        <v>727090.56</v>
      </c>
      <c r="Q72" t="s">
        <v>127</v>
      </c>
      <c r="R72" s="1" t="s">
        <v>158</v>
      </c>
    </row>
    <row r="73" spans="3:18" x14ac:dyDescent="0.35">
      <c r="C73" t="s">
        <v>53</v>
      </c>
      <c r="D73" t="s">
        <v>21</v>
      </c>
      <c r="E73" t="s">
        <v>45</v>
      </c>
      <c r="F73" t="s">
        <v>46</v>
      </c>
      <c r="G73" s="58">
        <v>151000</v>
      </c>
      <c r="H73" s="1" t="s">
        <v>47</v>
      </c>
      <c r="I73" s="1" t="s">
        <v>128</v>
      </c>
      <c r="J73" s="58"/>
      <c r="K73" s="1" t="s">
        <v>106</v>
      </c>
      <c r="L73" s="1" t="s">
        <v>120</v>
      </c>
      <c r="N73" s="1">
        <v>0</v>
      </c>
      <c r="O73" s="58"/>
      <c r="P73" s="58">
        <v>175160</v>
      </c>
      <c r="Q73" t="s">
        <v>110</v>
      </c>
      <c r="R73" s="1" t="s">
        <v>158</v>
      </c>
    </row>
    <row r="74" spans="3:18" x14ac:dyDescent="0.35">
      <c r="C74" t="s">
        <v>51</v>
      </c>
      <c r="D74" t="s">
        <v>21</v>
      </c>
      <c r="E74" t="s">
        <v>45</v>
      </c>
      <c r="F74" t="s">
        <v>46</v>
      </c>
      <c r="G74" s="58">
        <v>978005</v>
      </c>
      <c r="H74" s="1" t="s">
        <v>48</v>
      </c>
      <c r="I74" s="1" t="s">
        <v>108</v>
      </c>
      <c r="J74" s="58">
        <v>25428130</v>
      </c>
      <c r="K74" s="1" t="s">
        <v>106</v>
      </c>
      <c r="L74" s="1" t="s">
        <v>120</v>
      </c>
      <c r="M74" s="1" t="s">
        <v>125</v>
      </c>
      <c r="N74" s="1">
        <v>1</v>
      </c>
      <c r="O74" s="58"/>
      <c r="P74" s="58">
        <v>625923.19999999995</v>
      </c>
      <c r="Q74" t="s">
        <v>118</v>
      </c>
      <c r="R74" s="1" t="s">
        <v>48</v>
      </c>
    </row>
    <row r="75" spans="3:18" x14ac:dyDescent="0.35">
      <c r="C75" t="s">
        <v>51</v>
      </c>
      <c r="D75" t="s">
        <v>22</v>
      </c>
      <c r="E75" t="s">
        <v>49</v>
      </c>
      <c r="F75" t="s">
        <v>46</v>
      </c>
      <c r="G75" s="58">
        <v>7249154</v>
      </c>
      <c r="H75" s="1" t="s">
        <v>48</v>
      </c>
      <c r="I75" s="1" t="s">
        <v>108</v>
      </c>
      <c r="J75" s="58">
        <v>195727158</v>
      </c>
      <c r="K75" s="1" t="s">
        <v>106</v>
      </c>
      <c r="L75" s="1" t="s">
        <v>124</v>
      </c>
      <c r="M75" s="1" t="s">
        <v>115</v>
      </c>
      <c r="N75" s="1">
        <v>1</v>
      </c>
      <c r="O75" s="58"/>
      <c r="P75" s="58">
        <v>2102254.66</v>
      </c>
      <c r="Q75" t="s">
        <v>107</v>
      </c>
      <c r="R75" s="1" t="s">
        <v>48</v>
      </c>
    </row>
    <row r="76" spans="3:18" x14ac:dyDescent="0.35">
      <c r="C76" t="s">
        <v>51</v>
      </c>
      <c r="D76" t="s">
        <v>23</v>
      </c>
      <c r="E76" t="s">
        <v>55</v>
      </c>
      <c r="F76" t="s">
        <v>46</v>
      </c>
      <c r="G76" s="58">
        <v>2463572</v>
      </c>
      <c r="H76" s="1" t="s">
        <v>47</v>
      </c>
      <c r="I76" s="1" t="s">
        <v>119</v>
      </c>
      <c r="J76" s="58">
        <v>17245004</v>
      </c>
      <c r="K76" s="1" t="s">
        <v>106</v>
      </c>
      <c r="L76" s="1" t="s">
        <v>120</v>
      </c>
      <c r="N76" s="1">
        <v>1</v>
      </c>
      <c r="O76" s="58"/>
      <c r="P76" s="58">
        <v>541985.84</v>
      </c>
      <c r="Q76" t="s">
        <v>107</v>
      </c>
      <c r="R76" s="1" t="s">
        <v>158</v>
      </c>
    </row>
    <row r="77" spans="3:18" x14ac:dyDescent="0.35">
      <c r="C77" t="s">
        <v>51</v>
      </c>
      <c r="D77" t="s">
        <v>21</v>
      </c>
      <c r="E77" t="s">
        <v>49</v>
      </c>
      <c r="F77" t="s">
        <v>46</v>
      </c>
      <c r="G77" s="58">
        <v>530993</v>
      </c>
      <c r="H77" s="1" t="s">
        <v>48</v>
      </c>
      <c r="I77" s="1" t="s">
        <v>108</v>
      </c>
      <c r="J77" s="58">
        <v>15398797</v>
      </c>
      <c r="K77" s="1" t="s">
        <v>106</v>
      </c>
      <c r="L77" s="1" t="s">
        <v>120</v>
      </c>
      <c r="M77" s="1" t="s">
        <v>115</v>
      </c>
      <c r="N77" s="1">
        <v>1</v>
      </c>
      <c r="O77" s="58"/>
      <c r="P77" s="58">
        <v>180537.62</v>
      </c>
      <c r="Q77" t="s">
        <v>107</v>
      </c>
      <c r="R77" s="1" t="s">
        <v>48</v>
      </c>
    </row>
    <row r="78" spans="3:18" x14ac:dyDescent="0.35">
      <c r="C78" t="s">
        <v>51</v>
      </c>
      <c r="D78" t="s">
        <v>92</v>
      </c>
      <c r="E78" t="s">
        <v>49</v>
      </c>
      <c r="F78" t="s">
        <v>46</v>
      </c>
      <c r="G78" s="58">
        <v>3086953</v>
      </c>
      <c r="H78" s="1" t="s">
        <v>48</v>
      </c>
      <c r="I78" s="1" t="s">
        <v>111</v>
      </c>
      <c r="J78" s="58">
        <v>52478201</v>
      </c>
      <c r="K78" s="1" t="s">
        <v>112</v>
      </c>
      <c r="N78" s="1">
        <v>1</v>
      </c>
      <c r="O78" s="58"/>
      <c r="P78" s="58">
        <v>2253475.69</v>
      </c>
      <c r="Q78" t="s">
        <v>118</v>
      </c>
      <c r="R78" s="1" t="s">
        <v>48</v>
      </c>
    </row>
    <row r="79" spans="3:18" x14ac:dyDescent="0.35">
      <c r="C79" t="s">
        <v>51</v>
      </c>
      <c r="D79" t="s">
        <v>92</v>
      </c>
      <c r="E79" t="s">
        <v>50</v>
      </c>
      <c r="F79" t="s">
        <v>46</v>
      </c>
      <c r="G79" s="58">
        <v>132441</v>
      </c>
      <c r="H79" s="1" t="s">
        <v>48</v>
      </c>
      <c r="I79" s="1" t="s">
        <v>108</v>
      </c>
      <c r="J79" s="58">
        <v>3840789</v>
      </c>
      <c r="K79" s="1" t="s">
        <v>106</v>
      </c>
      <c r="L79" s="1" t="s">
        <v>109</v>
      </c>
      <c r="M79" s="1" t="s">
        <v>123</v>
      </c>
      <c r="N79" s="1">
        <v>1</v>
      </c>
      <c r="O79" s="58"/>
      <c r="P79" s="58">
        <v>115223.67</v>
      </c>
      <c r="Q79" t="s">
        <v>127</v>
      </c>
      <c r="R79" s="1" t="s">
        <v>48</v>
      </c>
    </row>
    <row r="80" spans="3:18" x14ac:dyDescent="0.35">
      <c r="C80" t="s">
        <v>51</v>
      </c>
      <c r="D80" t="s">
        <v>23</v>
      </c>
      <c r="E80" t="s">
        <v>55</v>
      </c>
      <c r="F80" t="s">
        <v>46</v>
      </c>
      <c r="G80" s="58">
        <v>153927</v>
      </c>
      <c r="H80" s="1" t="s">
        <v>48</v>
      </c>
      <c r="I80" s="1" t="s">
        <v>108</v>
      </c>
      <c r="J80" s="58">
        <v>3694248</v>
      </c>
      <c r="K80" s="1" t="s">
        <v>106</v>
      </c>
      <c r="L80" s="1" t="s">
        <v>124</v>
      </c>
      <c r="M80" s="1" t="s">
        <v>126</v>
      </c>
      <c r="N80" s="1">
        <v>1</v>
      </c>
      <c r="O80" s="58"/>
      <c r="P80" s="58">
        <v>87738.39</v>
      </c>
      <c r="Q80" t="s">
        <v>113</v>
      </c>
      <c r="R80" s="1" t="s">
        <v>48</v>
      </c>
    </row>
    <row r="81" spans="3:18" x14ac:dyDescent="0.35">
      <c r="C81" t="s">
        <v>51</v>
      </c>
      <c r="D81" t="s">
        <v>22</v>
      </c>
      <c r="E81" t="s">
        <v>62</v>
      </c>
      <c r="F81" t="s">
        <v>46</v>
      </c>
      <c r="G81" s="58">
        <v>1008389</v>
      </c>
      <c r="H81" s="1" t="s">
        <v>48</v>
      </c>
      <c r="I81" s="1" t="s">
        <v>108</v>
      </c>
      <c r="J81" s="58">
        <v>35293615</v>
      </c>
      <c r="K81" s="1" t="s">
        <v>106</v>
      </c>
      <c r="L81" s="1" t="s">
        <v>131</v>
      </c>
      <c r="M81" s="1" t="s">
        <v>115</v>
      </c>
      <c r="N81" s="1">
        <v>1</v>
      </c>
      <c r="O81" s="58"/>
      <c r="P81" s="58">
        <v>836962.87</v>
      </c>
      <c r="Q81" t="s">
        <v>127</v>
      </c>
      <c r="R81" s="1" t="s">
        <v>48</v>
      </c>
    </row>
    <row r="82" spans="3:18" x14ac:dyDescent="0.35">
      <c r="C82" t="s">
        <v>53</v>
      </c>
      <c r="D82" t="s">
        <v>21</v>
      </c>
      <c r="E82" t="s">
        <v>45</v>
      </c>
      <c r="F82" t="s">
        <v>46</v>
      </c>
      <c r="G82" s="58">
        <v>5672242</v>
      </c>
      <c r="H82" s="1" t="s">
        <v>47</v>
      </c>
      <c r="I82" s="1" t="s">
        <v>111</v>
      </c>
      <c r="J82" s="58">
        <v>85083630</v>
      </c>
      <c r="K82" s="1" t="s">
        <v>112</v>
      </c>
      <c r="N82" s="1">
        <v>1</v>
      </c>
      <c r="O82" s="58"/>
      <c r="P82" s="58">
        <v>4651238.4400000004</v>
      </c>
      <c r="Q82" t="s">
        <v>127</v>
      </c>
      <c r="R82" s="1" t="s">
        <v>158</v>
      </c>
    </row>
    <row r="83" spans="3:18" x14ac:dyDescent="0.35">
      <c r="C83" t="s">
        <v>51</v>
      </c>
      <c r="D83" t="s">
        <v>92</v>
      </c>
      <c r="E83" t="s">
        <v>49</v>
      </c>
      <c r="F83" t="s">
        <v>46</v>
      </c>
      <c r="G83" s="58">
        <v>804900</v>
      </c>
      <c r="H83" s="1" t="s">
        <v>59</v>
      </c>
      <c r="I83" s="1" t="s">
        <v>111</v>
      </c>
      <c r="J83" s="58">
        <v>13683300</v>
      </c>
      <c r="K83" s="1" t="s">
        <v>112</v>
      </c>
      <c r="N83" s="1">
        <v>1</v>
      </c>
      <c r="O83" s="58"/>
      <c r="P83" s="58">
        <v>378303</v>
      </c>
      <c r="Q83" t="s">
        <v>113</v>
      </c>
      <c r="R83" s="1" t="s">
        <v>158</v>
      </c>
    </row>
    <row r="84" spans="3:18" x14ac:dyDescent="0.35">
      <c r="C84" t="s">
        <v>51</v>
      </c>
      <c r="D84" t="s">
        <v>24</v>
      </c>
      <c r="E84" t="s">
        <v>49</v>
      </c>
      <c r="F84" t="s">
        <v>46</v>
      </c>
      <c r="G84" s="58">
        <v>1107105</v>
      </c>
      <c r="H84" s="1" t="s">
        <v>48</v>
      </c>
      <c r="I84" s="1" t="s">
        <v>108</v>
      </c>
      <c r="J84" s="58">
        <v>34320255</v>
      </c>
      <c r="K84" s="1" t="s">
        <v>106</v>
      </c>
      <c r="L84" s="1" t="s">
        <v>120</v>
      </c>
      <c r="M84" s="1" t="s">
        <v>121</v>
      </c>
      <c r="N84" s="1">
        <v>1</v>
      </c>
      <c r="O84" s="58"/>
      <c r="P84" s="58">
        <v>608907.75</v>
      </c>
      <c r="Q84" t="s">
        <v>113</v>
      </c>
      <c r="R84" s="1" t="s">
        <v>158</v>
      </c>
    </row>
    <row r="85" spans="3:18" x14ac:dyDescent="0.35">
      <c r="C85" t="s">
        <v>51</v>
      </c>
      <c r="D85" t="s">
        <v>21</v>
      </c>
      <c r="E85" t="s">
        <v>49</v>
      </c>
      <c r="F85" t="s">
        <v>46</v>
      </c>
      <c r="G85" s="58">
        <v>115520</v>
      </c>
      <c r="H85" s="1" t="s">
        <v>58</v>
      </c>
      <c r="I85" s="1" t="s">
        <v>111</v>
      </c>
      <c r="J85" s="58">
        <v>1270720</v>
      </c>
      <c r="K85" s="1" t="s">
        <v>106</v>
      </c>
      <c r="L85" s="1" t="s">
        <v>124</v>
      </c>
      <c r="N85" s="1">
        <v>1</v>
      </c>
      <c r="O85" s="58"/>
      <c r="P85" s="58">
        <v>68156.800000000003</v>
      </c>
      <c r="Q85" t="s">
        <v>113</v>
      </c>
      <c r="R85" s="1" t="s">
        <v>158</v>
      </c>
    </row>
    <row r="86" spans="3:18" x14ac:dyDescent="0.35">
      <c r="C86" t="s">
        <v>51</v>
      </c>
      <c r="D86" t="s">
        <v>21</v>
      </c>
      <c r="E86" t="s">
        <v>45</v>
      </c>
      <c r="F86" t="s">
        <v>46</v>
      </c>
      <c r="G86" s="58">
        <v>4494057</v>
      </c>
      <c r="H86" s="1" t="s">
        <v>54</v>
      </c>
      <c r="I86" s="1" t="s">
        <v>108</v>
      </c>
      <c r="J86" s="58">
        <v>107857368</v>
      </c>
      <c r="K86" s="1" t="s">
        <v>106</v>
      </c>
      <c r="L86" s="1" t="s">
        <v>120</v>
      </c>
      <c r="N86" s="1">
        <v>1</v>
      </c>
      <c r="O86" s="58"/>
      <c r="P86" s="58">
        <v>1123514.25</v>
      </c>
      <c r="Q86" t="s">
        <v>107</v>
      </c>
      <c r="R86" s="1" t="s">
        <v>158</v>
      </c>
    </row>
    <row r="87" spans="3:18" x14ac:dyDescent="0.35">
      <c r="C87" t="s">
        <v>51</v>
      </c>
      <c r="D87" t="s">
        <v>23</v>
      </c>
      <c r="E87" t="s">
        <v>55</v>
      </c>
      <c r="F87" t="s">
        <v>46</v>
      </c>
      <c r="G87" s="58">
        <v>127772513</v>
      </c>
      <c r="H87" s="1" t="s">
        <v>47</v>
      </c>
      <c r="I87" s="1" t="s">
        <v>108</v>
      </c>
      <c r="J87" s="58">
        <v>3577630364</v>
      </c>
      <c r="K87" s="1" t="s">
        <v>106</v>
      </c>
      <c r="L87" s="1" t="s">
        <v>114</v>
      </c>
      <c r="N87" s="1">
        <v>1</v>
      </c>
      <c r="O87" s="58"/>
      <c r="P87" s="58">
        <v>88163033.969999999</v>
      </c>
      <c r="Q87" t="s">
        <v>118</v>
      </c>
      <c r="R87" s="1" t="s">
        <v>158</v>
      </c>
    </row>
    <row r="88" spans="3:18" x14ac:dyDescent="0.35">
      <c r="C88" t="s">
        <v>51</v>
      </c>
      <c r="D88" t="s">
        <v>19</v>
      </c>
      <c r="E88" t="s">
        <v>49</v>
      </c>
      <c r="F88" t="s">
        <v>64</v>
      </c>
      <c r="G88" s="58">
        <v>8761103</v>
      </c>
      <c r="H88" s="1" t="s">
        <v>48</v>
      </c>
      <c r="I88" s="1" t="s">
        <v>108</v>
      </c>
      <c r="J88" s="58">
        <v>262833090</v>
      </c>
      <c r="K88" s="1" t="s">
        <v>112</v>
      </c>
      <c r="N88" s="1">
        <v>1</v>
      </c>
      <c r="O88" s="58"/>
      <c r="P88" s="58">
        <v>6132772.0999999996</v>
      </c>
      <c r="Q88" t="s">
        <v>118</v>
      </c>
      <c r="R88" s="1" t="s">
        <v>48</v>
      </c>
    </row>
    <row r="89" spans="3:18" x14ac:dyDescent="0.35">
      <c r="C89" t="s">
        <v>51</v>
      </c>
      <c r="D89" t="s">
        <v>23</v>
      </c>
      <c r="E89" t="s">
        <v>55</v>
      </c>
      <c r="F89" t="s">
        <v>46</v>
      </c>
      <c r="G89" s="58">
        <v>98767</v>
      </c>
      <c r="H89" s="1" t="s">
        <v>48</v>
      </c>
      <c r="I89" s="1" t="s">
        <v>119</v>
      </c>
      <c r="J89" s="58">
        <v>987670</v>
      </c>
      <c r="K89" s="1" t="s">
        <v>112</v>
      </c>
      <c r="N89" s="1">
        <v>1</v>
      </c>
      <c r="O89" s="58"/>
      <c r="P89" s="58">
        <v>54321.85</v>
      </c>
      <c r="Q89" t="s">
        <v>113</v>
      </c>
      <c r="R89" s="1" t="s">
        <v>48</v>
      </c>
    </row>
    <row r="90" spans="3:18" x14ac:dyDescent="0.35">
      <c r="C90" t="s">
        <v>51</v>
      </c>
      <c r="D90" t="s">
        <v>23</v>
      </c>
      <c r="E90" t="s">
        <v>55</v>
      </c>
      <c r="F90" t="s">
        <v>46</v>
      </c>
      <c r="G90" s="58">
        <v>158027</v>
      </c>
      <c r="H90" s="1" t="s">
        <v>56</v>
      </c>
      <c r="I90" s="1" t="s">
        <v>119</v>
      </c>
      <c r="J90" s="58">
        <v>1580270</v>
      </c>
      <c r="K90" s="1" t="s">
        <v>112</v>
      </c>
      <c r="N90" s="1">
        <v>1</v>
      </c>
      <c r="O90" s="58"/>
      <c r="P90" s="58">
        <v>44247.56</v>
      </c>
      <c r="Q90" t="s">
        <v>107</v>
      </c>
      <c r="R90" s="1" t="s">
        <v>158</v>
      </c>
    </row>
    <row r="91" spans="3:18" x14ac:dyDescent="0.35">
      <c r="C91" t="s">
        <v>53</v>
      </c>
      <c r="D91" t="s">
        <v>22</v>
      </c>
      <c r="E91" t="s">
        <v>49</v>
      </c>
      <c r="F91" t="s">
        <v>46</v>
      </c>
      <c r="G91" s="58">
        <v>4510782</v>
      </c>
      <c r="H91" s="1" t="s">
        <v>47</v>
      </c>
      <c r="I91" s="1" t="s">
        <v>111</v>
      </c>
      <c r="J91" s="58">
        <v>58640166</v>
      </c>
      <c r="K91" s="1" t="s">
        <v>106</v>
      </c>
      <c r="L91" s="1" t="s">
        <v>124</v>
      </c>
      <c r="N91" s="1">
        <v>1</v>
      </c>
      <c r="O91" s="58"/>
      <c r="P91" s="58">
        <v>2345606.64</v>
      </c>
      <c r="Q91" t="s">
        <v>113</v>
      </c>
      <c r="R91" s="1" t="s">
        <v>158</v>
      </c>
    </row>
    <row r="92" spans="3:18" x14ac:dyDescent="0.35">
      <c r="C92" t="s">
        <v>51</v>
      </c>
      <c r="D92" t="s">
        <v>22</v>
      </c>
      <c r="E92" t="s">
        <v>45</v>
      </c>
      <c r="F92" t="s">
        <v>46</v>
      </c>
      <c r="G92" s="58">
        <v>12531</v>
      </c>
      <c r="H92" s="1" t="s">
        <v>59</v>
      </c>
      <c r="I92" s="1" t="s">
        <v>108</v>
      </c>
      <c r="J92" s="58">
        <v>451116</v>
      </c>
      <c r="K92" s="1" t="s">
        <v>106</v>
      </c>
      <c r="L92" s="1" t="s">
        <v>116</v>
      </c>
      <c r="N92" s="1">
        <v>1</v>
      </c>
      <c r="O92" s="58"/>
      <c r="P92" s="58">
        <v>12029.76</v>
      </c>
      <c r="Q92" t="s">
        <v>127</v>
      </c>
      <c r="R92" s="1" t="s">
        <v>158</v>
      </c>
    </row>
    <row r="93" spans="3:18" x14ac:dyDescent="0.35">
      <c r="C93" t="s">
        <v>51</v>
      </c>
      <c r="D93" t="s">
        <v>23</v>
      </c>
      <c r="E93" t="s">
        <v>45</v>
      </c>
      <c r="F93" t="s">
        <v>46</v>
      </c>
      <c r="G93" s="58">
        <v>93954</v>
      </c>
      <c r="H93" s="1" t="s">
        <v>56</v>
      </c>
      <c r="I93" s="1" t="s">
        <v>108</v>
      </c>
      <c r="J93" s="58">
        <v>2160942</v>
      </c>
      <c r="K93" s="1" t="s">
        <v>106</v>
      </c>
      <c r="L93" s="1" t="s">
        <v>116</v>
      </c>
      <c r="N93" s="1">
        <v>1</v>
      </c>
      <c r="O93" s="58"/>
      <c r="P93" s="58">
        <v>42279.3</v>
      </c>
      <c r="Q93" t="s">
        <v>113</v>
      </c>
      <c r="R93" s="1" t="s">
        <v>158</v>
      </c>
    </row>
    <row r="94" spans="3:18" x14ac:dyDescent="0.35">
      <c r="C94" t="s">
        <v>53</v>
      </c>
      <c r="D94" t="s">
        <v>24</v>
      </c>
      <c r="E94" t="s">
        <v>55</v>
      </c>
      <c r="F94" t="s">
        <v>46</v>
      </c>
      <c r="G94" s="58">
        <v>406866</v>
      </c>
      <c r="H94" s="1" t="s">
        <v>48</v>
      </c>
      <c r="I94" s="1" t="s">
        <v>119</v>
      </c>
      <c r="J94" s="58">
        <v>3661794</v>
      </c>
      <c r="K94" s="1" t="s">
        <v>106</v>
      </c>
      <c r="L94" s="1" t="s">
        <v>114</v>
      </c>
      <c r="M94" s="1" t="s">
        <v>121</v>
      </c>
      <c r="N94" s="1">
        <v>1</v>
      </c>
      <c r="O94" s="58"/>
      <c r="P94" s="58">
        <v>231913.62</v>
      </c>
      <c r="Q94" t="s">
        <v>113</v>
      </c>
      <c r="R94" s="1" t="s">
        <v>158</v>
      </c>
    </row>
    <row r="95" spans="3:18" x14ac:dyDescent="0.35">
      <c r="C95" t="s">
        <v>51</v>
      </c>
      <c r="D95" t="s">
        <v>91</v>
      </c>
      <c r="E95" t="s">
        <v>49</v>
      </c>
      <c r="F95" t="s">
        <v>46</v>
      </c>
      <c r="G95" s="58">
        <v>3635155</v>
      </c>
      <c r="H95" s="1" t="s">
        <v>47</v>
      </c>
      <c r="I95" s="1" t="s">
        <v>108</v>
      </c>
      <c r="J95" s="58">
        <v>116324960</v>
      </c>
      <c r="K95" s="1" t="s">
        <v>106</v>
      </c>
      <c r="L95" s="1" t="s">
        <v>124</v>
      </c>
      <c r="N95" s="1">
        <v>1</v>
      </c>
      <c r="O95" s="58"/>
      <c r="P95" s="58">
        <v>4398537.55</v>
      </c>
      <c r="Q95" t="s">
        <v>110</v>
      </c>
      <c r="R95" s="1" t="s">
        <v>158</v>
      </c>
    </row>
    <row r="96" spans="3:18" x14ac:dyDescent="0.35">
      <c r="C96" t="s">
        <v>51</v>
      </c>
      <c r="D96" t="s">
        <v>19</v>
      </c>
      <c r="E96" t="s">
        <v>49</v>
      </c>
      <c r="F96" t="s">
        <v>46</v>
      </c>
      <c r="G96" s="58">
        <v>2445288</v>
      </c>
      <c r="H96" s="1" t="s">
        <v>47</v>
      </c>
      <c r="I96" s="1" t="s">
        <v>108</v>
      </c>
      <c r="J96" s="58">
        <v>70913352</v>
      </c>
      <c r="K96" s="1" t="s">
        <v>106</v>
      </c>
      <c r="L96" s="1" t="s">
        <v>114</v>
      </c>
      <c r="N96" s="1">
        <v>1</v>
      </c>
      <c r="O96" s="58"/>
      <c r="P96" s="58">
        <v>1222644</v>
      </c>
      <c r="Q96" t="s">
        <v>113</v>
      </c>
      <c r="R96" s="1" t="s">
        <v>158</v>
      </c>
    </row>
    <row r="97" spans="3:18" x14ac:dyDescent="0.35">
      <c r="C97" t="s">
        <v>53</v>
      </c>
      <c r="D97" t="s">
        <v>21</v>
      </c>
      <c r="E97" t="s">
        <v>45</v>
      </c>
      <c r="F97" t="s">
        <v>46</v>
      </c>
      <c r="G97" s="58">
        <v>3837145</v>
      </c>
      <c r="H97" s="1" t="s">
        <v>47</v>
      </c>
      <c r="I97" s="1" t="s">
        <v>119</v>
      </c>
      <c r="J97" s="58">
        <v>30697160</v>
      </c>
      <c r="K97" s="1" t="s">
        <v>106</v>
      </c>
      <c r="L97" s="1" t="s">
        <v>120</v>
      </c>
      <c r="N97" s="1">
        <v>1</v>
      </c>
      <c r="O97" s="58"/>
      <c r="P97" s="58">
        <v>3261573.25</v>
      </c>
      <c r="Q97" t="s">
        <v>127</v>
      </c>
      <c r="R97" s="1" t="s">
        <v>158</v>
      </c>
    </row>
    <row r="98" spans="3:18" x14ac:dyDescent="0.35">
      <c r="C98" t="s">
        <v>51</v>
      </c>
      <c r="D98" t="s">
        <v>24</v>
      </c>
      <c r="E98" t="s">
        <v>50</v>
      </c>
      <c r="F98" t="s">
        <v>64</v>
      </c>
      <c r="G98" s="58">
        <v>175334</v>
      </c>
      <c r="H98" s="1" t="s">
        <v>48</v>
      </c>
      <c r="I98" s="1" t="s">
        <v>108</v>
      </c>
      <c r="J98" s="58">
        <v>6487358</v>
      </c>
      <c r="K98" s="1" t="s">
        <v>106</v>
      </c>
      <c r="L98" s="1" t="s">
        <v>109</v>
      </c>
      <c r="M98" s="1" t="s">
        <v>121</v>
      </c>
      <c r="N98" s="1">
        <v>1</v>
      </c>
      <c r="O98" s="58"/>
      <c r="P98" s="58">
        <v>110460.42</v>
      </c>
      <c r="Q98" t="s">
        <v>118</v>
      </c>
      <c r="R98" s="1" t="s">
        <v>48</v>
      </c>
    </row>
    <row r="99" spans="3:18" x14ac:dyDescent="0.35">
      <c r="C99" t="s">
        <v>51</v>
      </c>
      <c r="D99" t="s">
        <v>21</v>
      </c>
      <c r="E99" t="s">
        <v>45</v>
      </c>
      <c r="F99" t="s">
        <v>46</v>
      </c>
      <c r="G99" s="58">
        <v>496179</v>
      </c>
      <c r="H99" s="1" t="s">
        <v>59</v>
      </c>
      <c r="I99" s="1" t="s">
        <v>108</v>
      </c>
      <c r="J99" s="58">
        <v>12404475</v>
      </c>
      <c r="K99" s="1" t="s">
        <v>112</v>
      </c>
      <c r="N99" s="1">
        <v>1</v>
      </c>
      <c r="O99" s="58"/>
      <c r="P99" s="58">
        <v>337401.72</v>
      </c>
      <c r="Q99" t="s">
        <v>118</v>
      </c>
      <c r="R99" s="1" t="s">
        <v>158</v>
      </c>
    </row>
    <row r="100" spans="3:18" x14ac:dyDescent="0.35">
      <c r="C100" t="s">
        <v>51</v>
      </c>
      <c r="D100" t="s">
        <v>23</v>
      </c>
      <c r="E100" t="s">
        <v>45</v>
      </c>
      <c r="F100" t="s">
        <v>46</v>
      </c>
      <c r="G100" s="58">
        <v>13838523</v>
      </c>
      <c r="H100" s="1" t="s">
        <v>59</v>
      </c>
      <c r="I100" s="1" t="s">
        <v>105</v>
      </c>
      <c r="J100" s="58">
        <v>27677046</v>
      </c>
      <c r="K100" s="1" t="s">
        <v>106</v>
      </c>
      <c r="L100" s="1" t="s">
        <v>120</v>
      </c>
      <c r="N100" s="1">
        <v>1</v>
      </c>
      <c r="O100" s="58"/>
      <c r="P100" s="58">
        <v>14530449.15</v>
      </c>
      <c r="Q100" t="s">
        <v>110</v>
      </c>
      <c r="R100" s="1" t="s">
        <v>158</v>
      </c>
    </row>
    <row r="101" spans="3:18" x14ac:dyDescent="0.35">
      <c r="C101" t="s">
        <v>51</v>
      </c>
      <c r="D101" t="s">
        <v>92</v>
      </c>
      <c r="E101" t="s">
        <v>45</v>
      </c>
      <c r="F101" t="s">
        <v>46</v>
      </c>
      <c r="G101" s="58">
        <v>1357522</v>
      </c>
      <c r="H101" s="1" t="s">
        <v>54</v>
      </c>
      <c r="I101" s="1" t="s">
        <v>108</v>
      </c>
      <c r="J101" s="58">
        <v>35295572</v>
      </c>
      <c r="K101" s="1" t="s">
        <v>106</v>
      </c>
      <c r="L101" s="1" t="s">
        <v>120</v>
      </c>
      <c r="N101" s="1">
        <v>1</v>
      </c>
      <c r="O101" s="58"/>
      <c r="P101" s="58">
        <v>705911.44</v>
      </c>
      <c r="Q101" t="s">
        <v>113</v>
      </c>
      <c r="R101" s="1" t="s">
        <v>158</v>
      </c>
    </row>
    <row r="102" spans="3:18" x14ac:dyDescent="0.35">
      <c r="C102" t="s">
        <v>51</v>
      </c>
      <c r="D102" t="s">
        <v>21</v>
      </c>
      <c r="E102" t="s">
        <v>49</v>
      </c>
      <c r="F102" t="s">
        <v>46</v>
      </c>
      <c r="G102" s="58">
        <v>532574228</v>
      </c>
      <c r="H102" s="1" t="s">
        <v>47</v>
      </c>
      <c r="I102" s="1" t="s">
        <v>108</v>
      </c>
      <c r="J102" s="58">
        <v>14912078384</v>
      </c>
      <c r="K102" s="1" t="s">
        <v>106</v>
      </c>
      <c r="L102" s="1" t="s">
        <v>124</v>
      </c>
      <c r="N102" s="1">
        <v>1</v>
      </c>
      <c r="O102" s="58"/>
      <c r="P102" s="58">
        <v>362150475.04000002</v>
      </c>
      <c r="Q102" t="s">
        <v>118</v>
      </c>
      <c r="R102" s="1" t="s">
        <v>158</v>
      </c>
    </row>
    <row r="103" spans="3:18" x14ac:dyDescent="0.35">
      <c r="C103" t="s">
        <v>44</v>
      </c>
      <c r="D103" t="s">
        <v>21</v>
      </c>
      <c r="E103" t="s">
        <v>45</v>
      </c>
      <c r="F103" t="s">
        <v>46</v>
      </c>
      <c r="G103" s="58">
        <v>1632677</v>
      </c>
      <c r="H103" s="1" t="s">
        <v>54</v>
      </c>
      <c r="I103" s="1" t="s">
        <v>108</v>
      </c>
      <c r="J103" s="58"/>
      <c r="N103" s="1">
        <v>0</v>
      </c>
      <c r="O103" s="58"/>
      <c r="P103" s="58"/>
      <c r="R103" s="1" t="s">
        <v>158</v>
      </c>
    </row>
    <row r="104" spans="3:18" x14ac:dyDescent="0.35">
      <c r="C104" t="s">
        <v>51</v>
      </c>
      <c r="D104" t="s">
        <v>19</v>
      </c>
      <c r="E104" t="s">
        <v>49</v>
      </c>
      <c r="F104" t="s">
        <v>46</v>
      </c>
      <c r="G104" s="58">
        <v>3933935</v>
      </c>
      <c r="H104" s="1" t="s">
        <v>47</v>
      </c>
      <c r="I104" s="1" t="s">
        <v>108</v>
      </c>
      <c r="J104" s="58">
        <v>110150180</v>
      </c>
      <c r="K104" s="1" t="s">
        <v>106</v>
      </c>
      <c r="L104" s="1" t="s">
        <v>120</v>
      </c>
      <c r="N104" s="1">
        <v>1</v>
      </c>
      <c r="O104" s="58"/>
      <c r="P104" s="58">
        <v>2635736.4500000002</v>
      </c>
      <c r="Q104" t="s">
        <v>118</v>
      </c>
      <c r="R104" s="1" t="s">
        <v>158</v>
      </c>
    </row>
    <row r="105" spans="3:18" x14ac:dyDescent="0.35">
      <c r="C105" t="s">
        <v>51</v>
      </c>
      <c r="D105" t="s">
        <v>19</v>
      </c>
      <c r="E105" t="s">
        <v>49</v>
      </c>
      <c r="F105" t="s">
        <v>46</v>
      </c>
      <c r="G105" s="58">
        <v>7017521</v>
      </c>
      <c r="H105" s="1" t="s">
        <v>48</v>
      </c>
      <c r="I105" s="1" t="s">
        <v>111</v>
      </c>
      <c r="J105" s="58">
        <v>112280336</v>
      </c>
      <c r="K105" s="1" t="s">
        <v>106</v>
      </c>
      <c r="L105" s="1" t="s">
        <v>124</v>
      </c>
      <c r="M105" s="1" t="s">
        <v>122</v>
      </c>
      <c r="N105" s="1">
        <v>1</v>
      </c>
      <c r="O105" s="58"/>
      <c r="P105" s="58">
        <v>3508760.5</v>
      </c>
      <c r="Q105" t="s">
        <v>113</v>
      </c>
      <c r="R105" s="1" t="s">
        <v>48</v>
      </c>
    </row>
    <row r="106" spans="3:18" x14ac:dyDescent="0.35">
      <c r="C106" t="s">
        <v>51</v>
      </c>
      <c r="D106" t="s">
        <v>24</v>
      </c>
      <c r="E106" t="s">
        <v>50</v>
      </c>
      <c r="F106" t="s">
        <v>46</v>
      </c>
      <c r="G106" s="58">
        <v>98277</v>
      </c>
      <c r="H106" s="1" t="s">
        <v>48</v>
      </c>
      <c r="I106" s="1" t="s">
        <v>111</v>
      </c>
      <c r="J106" s="58">
        <v>1965540</v>
      </c>
      <c r="K106" s="1" t="s">
        <v>112</v>
      </c>
      <c r="N106" s="1">
        <v>1</v>
      </c>
      <c r="O106" s="58"/>
      <c r="P106" s="58">
        <v>22603.71</v>
      </c>
      <c r="Q106" t="s">
        <v>107</v>
      </c>
      <c r="R106" s="1" t="s">
        <v>158</v>
      </c>
    </row>
    <row r="107" spans="3:18" x14ac:dyDescent="0.35">
      <c r="C107" t="s">
        <v>51</v>
      </c>
      <c r="D107" t="s">
        <v>22</v>
      </c>
      <c r="E107" t="s">
        <v>49</v>
      </c>
      <c r="F107" t="s">
        <v>46</v>
      </c>
      <c r="G107" s="58">
        <v>150210</v>
      </c>
      <c r="H107" s="1" t="s">
        <v>54</v>
      </c>
      <c r="I107" s="1" t="s">
        <v>119</v>
      </c>
      <c r="J107" s="58">
        <v>1351890</v>
      </c>
      <c r="K107" s="1" t="s">
        <v>112</v>
      </c>
      <c r="N107" s="1">
        <v>1</v>
      </c>
      <c r="O107" s="58"/>
      <c r="P107" s="58">
        <v>46565.1</v>
      </c>
      <c r="Q107" t="s">
        <v>107</v>
      </c>
      <c r="R107" s="1" t="s">
        <v>158</v>
      </c>
    </row>
    <row r="108" spans="3:18" x14ac:dyDescent="0.35">
      <c r="C108" t="s">
        <v>51</v>
      </c>
      <c r="D108" t="s">
        <v>92</v>
      </c>
      <c r="E108" t="s">
        <v>49</v>
      </c>
      <c r="F108" t="s">
        <v>46</v>
      </c>
      <c r="G108" s="58">
        <v>3204816</v>
      </c>
      <c r="H108" s="1" t="s">
        <v>48</v>
      </c>
      <c r="I108" s="1" t="s">
        <v>111</v>
      </c>
      <c r="J108" s="58">
        <v>57686688</v>
      </c>
      <c r="K108" s="1" t="s">
        <v>112</v>
      </c>
      <c r="N108" s="1">
        <v>1</v>
      </c>
      <c r="O108" s="58"/>
      <c r="P108" s="58">
        <v>1602408</v>
      </c>
      <c r="Q108" t="s">
        <v>113</v>
      </c>
      <c r="R108" s="1" t="s">
        <v>48</v>
      </c>
    </row>
    <row r="109" spans="3:18" x14ac:dyDescent="0.35">
      <c r="C109" t="s">
        <v>51</v>
      </c>
      <c r="D109" t="s">
        <v>20</v>
      </c>
      <c r="E109" t="s">
        <v>49</v>
      </c>
      <c r="F109" t="s">
        <v>46</v>
      </c>
      <c r="G109" s="58">
        <v>26217239</v>
      </c>
      <c r="H109" s="1" t="s">
        <v>48</v>
      </c>
      <c r="I109" s="1" t="s">
        <v>108</v>
      </c>
      <c r="J109" s="58">
        <v>943820604</v>
      </c>
      <c r="K109" s="1" t="s">
        <v>106</v>
      </c>
      <c r="L109" s="1" t="s">
        <v>124</v>
      </c>
      <c r="M109" s="1" t="s">
        <v>123</v>
      </c>
      <c r="N109" s="1">
        <v>1</v>
      </c>
      <c r="O109" s="58"/>
      <c r="P109" s="58">
        <v>22022480.760000002</v>
      </c>
      <c r="Q109" t="s">
        <v>127</v>
      </c>
      <c r="R109" s="1" t="s">
        <v>48</v>
      </c>
    </row>
    <row r="110" spans="3:18" x14ac:dyDescent="0.35">
      <c r="C110" t="s">
        <v>51</v>
      </c>
      <c r="D110" t="s">
        <v>20</v>
      </c>
      <c r="E110" t="s">
        <v>49</v>
      </c>
      <c r="F110" t="s">
        <v>46</v>
      </c>
      <c r="G110" s="58">
        <v>46666414</v>
      </c>
      <c r="H110" s="1" t="s">
        <v>47</v>
      </c>
      <c r="I110" s="1" t="s">
        <v>111</v>
      </c>
      <c r="J110" s="58">
        <v>746662624</v>
      </c>
      <c r="K110" s="1" t="s">
        <v>106</v>
      </c>
      <c r="L110" s="1" t="s">
        <v>124</v>
      </c>
      <c r="N110" s="1">
        <v>1</v>
      </c>
      <c r="O110" s="58"/>
      <c r="P110" s="58">
        <v>22866542.859999999</v>
      </c>
      <c r="Q110" t="s">
        <v>113</v>
      </c>
      <c r="R110" s="1" t="s">
        <v>158</v>
      </c>
    </row>
    <row r="111" spans="3:18" x14ac:dyDescent="0.35">
      <c r="C111" t="s">
        <v>51</v>
      </c>
      <c r="D111" t="s">
        <v>24</v>
      </c>
      <c r="E111" t="s">
        <v>52</v>
      </c>
      <c r="F111" t="s">
        <v>46</v>
      </c>
      <c r="G111" s="58">
        <v>82760</v>
      </c>
      <c r="H111" s="1" t="s">
        <v>47</v>
      </c>
      <c r="I111" s="1" t="s">
        <v>111</v>
      </c>
      <c r="J111" s="58">
        <v>1241400</v>
      </c>
      <c r="K111" s="1" t="s">
        <v>106</v>
      </c>
      <c r="L111" s="1" t="s">
        <v>130</v>
      </c>
      <c r="N111" s="1">
        <v>1</v>
      </c>
      <c r="O111" s="58"/>
      <c r="P111" s="58">
        <v>28138.400000000001</v>
      </c>
      <c r="Q111" t="s">
        <v>107</v>
      </c>
      <c r="R111" s="1" t="s">
        <v>158</v>
      </c>
    </row>
    <row r="112" spans="3:18" x14ac:dyDescent="0.35">
      <c r="C112" t="s">
        <v>53</v>
      </c>
      <c r="D112" t="s">
        <v>23</v>
      </c>
      <c r="E112" t="s">
        <v>55</v>
      </c>
      <c r="F112" t="s">
        <v>46</v>
      </c>
      <c r="G112" s="58">
        <v>181068</v>
      </c>
      <c r="H112" s="1" t="s">
        <v>59</v>
      </c>
      <c r="I112" s="1" t="s">
        <v>105</v>
      </c>
      <c r="J112" s="58">
        <v>724272</v>
      </c>
      <c r="K112" s="1" t="s">
        <v>106</v>
      </c>
      <c r="L112" s="1" t="s">
        <v>114</v>
      </c>
      <c r="N112" s="1">
        <v>1</v>
      </c>
      <c r="O112" s="58"/>
      <c r="P112" s="58">
        <v>54320.4</v>
      </c>
      <c r="Q112" t="s">
        <v>107</v>
      </c>
      <c r="R112" s="1" t="s">
        <v>158</v>
      </c>
    </row>
    <row r="113" spans="3:18" x14ac:dyDescent="0.35">
      <c r="C113" t="s">
        <v>53</v>
      </c>
      <c r="D113" t="s">
        <v>22</v>
      </c>
      <c r="E113" t="s">
        <v>45</v>
      </c>
      <c r="F113" t="s">
        <v>46</v>
      </c>
      <c r="G113" s="58">
        <v>2550306</v>
      </c>
      <c r="H113" s="1" t="s">
        <v>47</v>
      </c>
      <c r="I113" s="1" t="s">
        <v>111</v>
      </c>
      <c r="J113" s="58">
        <v>28053366</v>
      </c>
      <c r="K113" s="1" t="s">
        <v>106</v>
      </c>
      <c r="L113" s="1" t="s">
        <v>114</v>
      </c>
      <c r="N113" s="1">
        <v>1</v>
      </c>
      <c r="O113" s="58"/>
      <c r="P113" s="58">
        <v>1428171.36</v>
      </c>
      <c r="Q113" t="s">
        <v>113</v>
      </c>
      <c r="R113" s="1" t="s">
        <v>158</v>
      </c>
    </row>
    <row r="114" spans="3:18" x14ac:dyDescent="0.35">
      <c r="C114" t="s">
        <v>51</v>
      </c>
      <c r="D114" t="s">
        <v>21</v>
      </c>
      <c r="E114" t="s">
        <v>45</v>
      </c>
      <c r="F114" t="s">
        <v>46</v>
      </c>
      <c r="G114" s="58">
        <v>8886613</v>
      </c>
      <c r="H114" s="1" t="s">
        <v>47</v>
      </c>
      <c r="I114" s="1" t="s">
        <v>119</v>
      </c>
      <c r="J114" s="58">
        <v>62206291</v>
      </c>
      <c r="K114" s="1" t="s">
        <v>106</v>
      </c>
      <c r="L114" s="1" t="s">
        <v>120</v>
      </c>
      <c r="N114" s="1">
        <v>1</v>
      </c>
      <c r="O114" s="58"/>
      <c r="P114" s="58">
        <v>2043920.99</v>
      </c>
      <c r="Q114" t="s">
        <v>107</v>
      </c>
      <c r="R114" s="1" t="s">
        <v>158</v>
      </c>
    </row>
    <row r="115" spans="3:18" x14ac:dyDescent="0.35">
      <c r="C115" t="s">
        <v>51</v>
      </c>
      <c r="D115" t="s">
        <v>21</v>
      </c>
      <c r="E115" t="s">
        <v>45</v>
      </c>
      <c r="F115" t="s">
        <v>64</v>
      </c>
      <c r="G115" s="58">
        <v>9671444</v>
      </c>
      <c r="H115" s="1" t="s">
        <v>48</v>
      </c>
      <c r="I115" s="1" t="s">
        <v>108</v>
      </c>
      <c r="J115" s="58">
        <v>309486208</v>
      </c>
      <c r="K115" s="1" t="s">
        <v>112</v>
      </c>
      <c r="N115" s="1">
        <v>1</v>
      </c>
      <c r="O115" s="58"/>
      <c r="P115" s="58">
        <v>7253583</v>
      </c>
      <c r="Q115" t="s">
        <v>118</v>
      </c>
      <c r="R115" s="1" t="s">
        <v>48</v>
      </c>
    </row>
    <row r="116" spans="3:18" x14ac:dyDescent="0.35">
      <c r="C116" t="s">
        <v>51</v>
      </c>
      <c r="D116" t="s">
        <v>21</v>
      </c>
      <c r="E116" t="s">
        <v>49</v>
      </c>
      <c r="F116" t="s">
        <v>46</v>
      </c>
      <c r="G116" s="58">
        <v>4788800</v>
      </c>
      <c r="H116" s="1" t="s">
        <v>48</v>
      </c>
      <c r="I116" s="1" t="s">
        <v>108</v>
      </c>
      <c r="J116" s="58">
        <v>148452800</v>
      </c>
      <c r="K116" s="1" t="s">
        <v>106</v>
      </c>
      <c r="L116" s="1" t="s">
        <v>120</v>
      </c>
      <c r="M116" s="1" t="s">
        <v>115</v>
      </c>
      <c r="N116" s="1">
        <v>1</v>
      </c>
      <c r="O116" s="58"/>
      <c r="P116" s="58">
        <v>3400048</v>
      </c>
      <c r="Q116" t="s">
        <v>118</v>
      </c>
      <c r="R116" s="1" t="s">
        <v>48</v>
      </c>
    </row>
    <row r="117" spans="3:18" x14ac:dyDescent="0.35">
      <c r="C117" t="s">
        <v>53</v>
      </c>
      <c r="D117" t="s">
        <v>22</v>
      </c>
      <c r="E117" t="s">
        <v>45</v>
      </c>
      <c r="F117" t="s">
        <v>46</v>
      </c>
      <c r="G117" s="58">
        <v>1086523</v>
      </c>
      <c r="H117" s="1" t="s">
        <v>59</v>
      </c>
      <c r="I117" s="1" t="s">
        <v>119</v>
      </c>
      <c r="J117" s="58">
        <v>10865230</v>
      </c>
      <c r="K117" s="1" t="s">
        <v>112</v>
      </c>
      <c r="N117" s="1">
        <v>1</v>
      </c>
      <c r="O117" s="58"/>
      <c r="P117" s="58">
        <v>651913.80000000005</v>
      </c>
      <c r="Q117" t="s">
        <v>113</v>
      </c>
      <c r="R117" s="1" t="s">
        <v>158</v>
      </c>
    </row>
    <row r="118" spans="3:18" x14ac:dyDescent="0.35">
      <c r="C118" t="s">
        <v>51</v>
      </c>
      <c r="D118" t="s">
        <v>92</v>
      </c>
      <c r="E118" t="s">
        <v>49</v>
      </c>
      <c r="F118" t="s">
        <v>46</v>
      </c>
      <c r="G118" s="58">
        <v>107607</v>
      </c>
      <c r="H118" s="1" t="s">
        <v>48</v>
      </c>
      <c r="I118" s="1" t="s">
        <v>119</v>
      </c>
      <c r="J118" s="58">
        <v>968463</v>
      </c>
      <c r="K118" s="1" t="s">
        <v>106</v>
      </c>
      <c r="L118" s="1" t="s">
        <v>124</v>
      </c>
      <c r="M118" s="1" t="s">
        <v>122</v>
      </c>
      <c r="N118" s="1">
        <v>1</v>
      </c>
      <c r="O118" s="58"/>
      <c r="P118" s="58">
        <v>19369.259999999998</v>
      </c>
      <c r="Q118" t="s">
        <v>107</v>
      </c>
      <c r="R118" s="1" t="s">
        <v>48</v>
      </c>
    </row>
    <row r="119" spans="3:18" x14ac:dyDescent="0.35">
      <c r="C119" t="s">
        <v>53</v>
      </c>
      <c r="D119" t="s">
        <v>19</v>
      </c>
      <c r="E119" t="s">
        <v>49</v>
      </c>
      <c r="F119" t="s">
        <v>46</v>
      </c>
      <c r="G119" s="58">
        <v>1024721</v>
      </c>
      <c r="H119" s="1" t="s">
        <v>59</v>
      </c>
      <c r="I119" s="1" t="s">
        <v>105</v>
      </c>
      <c r="J119" s="58">
        <v>4098884</v>
      </c>
      <c r="K119" s="1" t="s">
        <v>106</v>
      </c>
      <c r="L119" s="1" t="s">
        <v>120</v>
      </c>
      <c r="N119" s="1">
        <v>1</v>
      </c>
      <c r="O119" s="58"/>
      <c r="P119" s="58">
        <v>1014473.79</v>
      </c>
      <c r="Q119" t="s">
        <v>127</v>
      </c>
      <c r="R119" s="1" t="s">
        <v>158</v>
      </c>
    </row>
    <row r="120" spans="3:18" x14ac:dyDescent="0.35">
      <c r="C120" t="s">
        <v>51</v>
      </c>
      <c r="D120" t="s">
        <v>24</v>
      </c>
      <c r="E120" t="s">
        <v>50</v>
      </c>
      <c r="F120" t="s">
        <v>64</v>
      </c>
      <c r="G120" s="58">
        <v>29799</v>
      </c>
      <c r="H120" s="1" t="s">
        <v>47</v>
      </c>
      <c r="I120" s="1" t="s">
        <v>119</v>
      </c>
      <c r="J120" s="58">
        <v>208593</v>
      </c>
      <c r="K120" s="1" t="s">
        <v>106</v>
      </c>
      <c r="L120" s="1" t="s">
        <v>109</v>
      </c>
      <c r="N120" s="1">
        <v>1</v>
      </c>
      <c r="O120" s="58"/>
      <c r="P120" s="58">
        <v>6853.77</v>
      </c>
      <c r="Q120" t="s">
        <v>107</v>
      </c>
      <c r="R120" s="1" t="s">
        <v>158</v>
      </c>
    </row>
    <row r="121" spans="3:18" x14ac:dyDescent="0.35">
      <c r="C121" t="s">
        <v>51</v>
      </c>
      <c r="D121" t="s">
        <v>21</v>
      </c>
      <c r="E121" t="s">
        <v>49</v>
      </c>
      <c r="F121" t="s">
        <v>46</v>
      </c>
      <c r="G121" s="58">
        <v>209121768</v>
      </c>
      <c r="H121" s="1" t="s">
        <v>56</v>
      </c>
      <c r="I121" s="1" t="s">
        <v>111</v>
      </c>
      <c r="J121" s="58">
        <v>3345948288</v>
      </c>
      <c r="K121" s="1" t="s">
        <v>106</v>
      </c>
      <c r="L121" s="1" t="s">
        <v>124</v>
      </c>
      <c r="N121" s="1">
        <v>1</v>
      </c>
      <c r="O121" s="58"/>
      <c r="P121" s="58">
        <v>102469666.31999999</v>
      </c>
      <c r="Q121" t="s">
        <v>113</v>
      </c>
      <c r="R121" s="1" t="s">
        <v>158</v>
      </c>
    </row>
    <row r="122" spans="3:18" x14ac:dyDescent="0.35">
      <c r="C122" t="s">
        <v>51</v>
      </c>
      <c r="D122" t="s">
        <v>21</v>
      </c>
      <c r="E122" t="s">
        <v>45</v>
      </c>
      <c r="F122" t="s">
        <v>46</v>
      </c>
      <c r="G122" s="58">
        <v>2030439</v>
      </c>
      <c r="H122" s="1" t="s">
        <v>59</v>
      </c>
      <c r="I122" s="1" t="s">
        <v>108</v>
      </c>
      <c r="J122" s="58">
        <v>54821853</v>
      </c>
      <c r="K122" s="1" t="s">
        <v>106</v>
      </c>
      <c r="L122" s="1" t="s">
        <v>120</v>
      </c>
      <c r="N122" s="1">
        <v>1</v>
      </c>
      <c r="O122" s="58"/>
      <c r="P122" s="58">
        <v>609131.69999999995</v>
      </c>
      <c r="Q122" t="s">
        <v>107</v>
      </c>
      <c r="R122" s="1" t="s">
        <v>158</v>
      </c>
    </row>
    <row r="123" spans="3:18" x14ac:dyDescent="0.35">
      <c r="C123" t="s">
        <v>51</v>
      </c>
      <c r="D123" t="s">
        <v>23</v>
      </c>
      <c r="E123" t="s">
        <v>62</v>
      </c>
      <c r="F123" t="s">
        <v>46</v>
      </c>
      <c r="G123" s="58">
        <v>11497529</v>
      </c>
      <c r="H123" s="1" t="s">
        <v>48</v>
      </c>
      <c r="I123" s="1" t="s">
        <v>108</v>
      </c>
      <c r="J123" s="58">
        <v>402413515</v>
      </c>
      <c r="K123" s="1" t="s">
        <v>112</v>
      </c>
      <c r="N123" s="1">
        <v>1</v>
      </c>
      <c r="O123" s="58"/>
      <c r="P123" s="58">
        <v>8278220.8799999999</v>
      </c>
      <c r="Q123" t="s">
        <v>118</v>
      </c>
      <c r="R123" s="1" t="s">
        <v>48</v>
      </c>
    </row>
    <row r="124" spans="3:18" x14ac:dyDescent="0.35">
      <c r="C124" t="s">
        <v>53</v>
      </c>
      <c r="D124" t="s">
        <v>60</v>
      </c>
      <c r="E124" t="s">
        <v>60</v>
      </c>
      <c r="F124" t="s">
        <v>46</v>
      </c>
      <c r="G124" s="58">
        <v>49</v>
      </c>
      <c r="H124" s="1" t="s">
        <v>90</v>
      </c>
      <c r="I124" s="1" t="s">
        <v>128</v>
      </c>
      <c r="J124" s="58"/>
      <c r="K124" s="1" t="s">
        <v>106</v>
      </c>
      <c r="N124" s="1">
        <v>0</v>
      </c>
      <c r="O124" s="58"/>
      <c r="P124" s="58">
        <v>46.06</v>
      </c>
      <c r="Q124" t="s">
        <v>127</v>
      </c>
      <c r="R124" s="1" t="s">
        <v>90</v>
      </c>
    </row>
    <row r="125" spans="3:18" x14ac:dyDescent="0.35">
      <c r="C125" t="s">
        <v>51</v>
      </c>
      <c r="D125" t="s">
        <v>21</v>
      </c>
      <c r="E125" t="s">
        <v>49</v>
      </c>
      <c r="F125" t="s">
        <v>46</v>
      </c>
      <c r="G125" s="58">
        <v>252495</v>
      </c>
      <c r="H125" s="1" t="s">
        <v>59</v>
      </c>
      <c r="I125" s="1" t="s">
        <v>108</v>
      </c>
      <c r="J125" s="58">
        <v>6817365</v>
      </c>
      <c r="K125" s="1" t="s">
        <v>106</v>
      </c>
      <c r="L125" s="1" t="s">
        <v>120</v>
      </c>
      <c r="N125" s="1">
        <v>1</v>
      </c>
      <c r="O125" s="58"/>
      <c r="P125" s="58">
        <v>171696.6</v>
      </c>
      <c r="Q125" t="s">
        <v>118</v>
      </c>
      <c r="R125" s="1" t="s">
        <v>158</v>
      </c>
    </row>
    <row r="126" spans="3:18" x14ac:dyDescent="0.35">
      <c r="C126" t="s">
        <v>51</v>
      </c>
      <c r="D126" t="s">
        <v>24</v>
      </c>
      <c r="E126" t="s">
        <v>45</v>
      </c>
      <c r="F126" t="s">
        <v>46</v>
      </c>
      <c r="G126" s="58">
        <v>105525</v>
      </c>
      <c r="H126" s="1" t="s">
        <v>48</v>
      </c>
      <c r="I126" s="1" t="s">
        <v>108</v>
      </c>
      <c r="J126" s="58">
        <v>2638125</v>
      </c>
      <c r="K126" s="1" t="s">
        <v>106</v>
      </c>
      <c r="L126" s="1" t="s">
        <v>124</v>
      </c>
      <c r="M126" s="1" t="s">
        <v>121</v>
      </c>
      <c r="N126" s="1">
        <v>1</v>
      </c>
      <c r="O126" s="58"/>
      <c r="P126" s="58">
        <v>21105</v>
      </c>
      <c r="Q126" t="s">
        <v>107</v>
      </c>
      <c r="R126" s="1" t="s">
        <v>158</v>
      </c>
    </row>
    <row r="127" spans="3:18" x14ac:dyDescent="0.35">
      <c r="C127" t="s">
        <v>51</v>
      </c>
      <c r="D127" t="s">
        <v>92</v>
      </c>
      <c r="E127" t="s">
        <v>49</v>
      </c>
      <c r="F127" t="s">
        <v>46</v>
      </c>
      <c r="G127" s="58">
        <v>123971</v>
      </c>
      <c r="H127" s="1" t="s">
        <v>54</v>
      </c>
      <c r="I127" s="1" t="s">
        <v>105</v>
      </c>
      <c r="J127" s="58"/>
      <c r="K127" s="1" t="s">
        <v>106</v>
      </c>
      <c r="L127" s="1" t="s">
        <v>124</v>
      </c>
      <c r="N127" s="1">
        <v>0</v>
      </c>
      <c r="O127" s="58"/>
      <c r="P127" s="58">
        <v>1239.71</v>
      </c>
      <c r="Q127" t="s">
        <v>107</v>
      </c>
      <c r="R127" s="1" t="s">
        <v>158</v>
      </c>
    </row>
    <row r="128" spans="3:18" x14ac:dyDescent="0.35">
      <c r="C128" t="s">
        <v>51</v>
      </c>
      <c r="D128" t="s">
        <v>22</v>
      </c>
      <c r="E128" t="s">
        <v>50</v>
      </c>
      <c r="F128" t="s">
        <v>46</v>
      </c>
      <c r="G128" s="58">
        <v>2197328</v>
      </c>
      <c r="H128" s="1" t="s">
        <v>48</v>
      </c>
      <c r="I128" s="1" t="s">
        <v>111</v>
      </c>
      <c r="J128" s="58">
        <v>39551904</v>
      </c>
      <c r="K128" s="1" t="s">
        <v>106</v>
      </c>
      <c r="L128" s="1" t="s">
        <v>109</v>
      </c>
      <c r="M128" s="1" t="s">
        <v>115</v>
      </c>
      <c r="N128" s="1">
        <v>1</v>
      </c>
      <c r="O128" s="58"/>
      <c r="P128" s="58">
        <v>1472209.76</v>
      </c>
      <c r="Q128" t="s">
        <v>118</v>
      </c>
      <c r="R128" s="1" t="s">
        <v>48</v>
      </c>
    </row>
    <row r="129" spans="3:18" x14ac:dyDescent="0.35">
      <c r="C129" t="s">
        <v>51</v>
      </c>
      <c r="D129" t="s">
        <v>91</v>
      </c>
      <c r="E129" t="s">
        <v>49</v>
      </c>
      <c r="F129" t="s">
        <v>46</v>
      </c>
      <c r="G129" s="58">
        <v>236669</v>
      </c>
      <c r="H129" s="1" t="s">
        <v>56</v>
      </c>
      <c r="I129" s="1" t="s">
        <v>108</v>
      </c>
      <c r="J129" s="58">
        <v>8283415</v>
      </c>
      <c r="K129" s="1" t="s">
        <v>106</v>
      </c>
      <c r="L129" s="1" t="s">
        <v>124</v>
      </c>
      <c r="N129" s="1">
        <v>1</v>
      </c>
      <c r="O129" s="58"/>
      <c r="P129" s="58">
        <v>236669</v>
      </c>
      <c r="Q129" t="s">
        <v>110</v>
      </c>
      <c r="R129" s="1" t="s">
        <v>158</v>
      </c>
    </row>
    <row r="130" spans="3:18" x14ac:dyDescent="0.35">
      <c r="C130" t="s">
        <v>51</v>
      </c>
      <c r="D130" t="s">
        <v>22</v>
      </c>
      <c r="E130" t="s">
        <v>50</v>
      </c>
      <c r="F130" t="s">
        <v>46</v>
      </c>
      <c r="G130" s="58">
        <v>26947</v>
      </c>
      <c r="H130" s="1" t="s">
        <v>48</v>
      </c>
      <c r="I130" s="1" t="s">
        <v>105</v>
      </c>
      <c r="J130" s="58">
        <v>53894</v>
      </c>
      <c r="K130" s="1" t="s">
        <v>106</v>
      </c>
      <c r="L130" s="1" t="s">
        <v>109</v>
      </c>
      <c r="M130" s="1" t="s">
        <v>115</v>
      </c>
      <c r="N130" s="1">
        <v>1</v>
      </c>
      <c r="O130" s="58"/>
      <c r="P130" s="58">
        <v>5389.4</v>
      </c>
      <c r="Q130" t="s">
        <v>107</v>
      </c>
      <c r="R130" s="1" t="s">
        <v>158</v>
      </c>
    </row>
    <row r="131" spans="3:18" x14ac:dyDescent="0.35">
      <c r="C131" t="s">
        <v>53</v>
      </c>
      <c r="D131" t="s">
        <v>22</v>
      </c>
      <c r="E131" t="s">
        <v>45</v>
      </c>
      <c r="F131" t="s">
        <v>46</v>
      </c>
      <c r="G131" s="58">
        <v>240051</v>
      </c>
      <c r="H131" s="1" t="s">
        <v>59</v>
      </c>
      <c r="I131" s="1" t="s">
        <v>105</v>
      </c>
      <c r="J131" s="58">
        <v>720153</v>
      </c>
      <c r="K131" s="1" t="s">
        <v>112</v>
      </c>
      <c r="N131" s="1">
        <v>1</v>
      </c>
      <c r="O131" s="58"/>
      <c r="P131" s="58">
        <v>172836.72</v>
      </c>
      <c r="Q131" t="s">
        <v>118</v>
      </c>
      <c r="R131" s="1" t="s">
        <v>158</v>
      </c>
    </row>
    <row r="132" spans="3:18" x14ac:dyDescent="0.35">
      <c r="C132" t="s">
        <v>51</v>
      </c>
      <c r="D132" t="s">
        <v>23</v>
      </c>
      <c r="E132" t="s">
        <v>45</v>
      </c>
      <c r="F132" t="s">
        <v>46</v>
      </c>
      <c r="G132" s="58">
        <v>1983922</v>
      </c>
      <c r="H132" s="1" t="s">
        <v>54</v>
      </c>
      <c r="I132" s="1" t="s">
        <v>119</v>
      </c>
      <c r="J132" s="58">
        <v>15871376</v>
      </c>
      <c r="K132" s="1" t="s">
        <v>106</v>
      </c>
      <c r="L132" s="1" t="s">
        <v>120</v>
      </c>
      <c r="N132" s="1">
        <v>1</v>
      </c>
      <c r="O132" s="58"/>
      <c r="P132" s="58">
        <v>952282.56</v>
      </c>
      <c r="Q132" t="s">
        <v>113</v>
      </c>
      <c r="R132" s="1" t="s">
        <v>158</v>
      </c>
    </row>
    <row r="133" spans="3:18" x14ac:dyDescent="0.35">
      <c r="C133" t="s">
        <v>53</v>
      </c>
      <c r="D133" t="s">
        <v>24</v>
      </c>
      <c r="E133" t="s">
        <v>55</v>
      </c>
      <c r="F133" t="s">
        <v>46</v>
      </c>
      <c r="G133" s="58">
        <v>1845987</v>
      </c>
      <c r="H133" s="1" t="s">
        <v>54</v>
      </c>
      <c r="I133" s="1" t="s">
        <v>128</v>
      </c>
      <c r="J133" s="58"/>
      <c r="K133" s="1" t="s">
        <v>106</v>
      </c>
      <c r="L133" s="1" t="s">
        <v>114</v>
      </c>
      <c r="N133" s="1">
        <v>0</v>
      </c>
      <c r="O133" s="58"/>
      <c r="P133" s="58">
        <v>350737.53</v>
      </c>
      <c r="Q133" t="s">
        <v>107</v>
      </c>
      <c r="R133" s="1" t="s">
        <v>158</v>
      </c>
    </row>
    <row r="134" spans="3:18" x14ac:dyDescent="0.35">
      <c r="C134" t="s">
        <v>51</v>
      </c>
      <c r="D134" t="s">
        <v>24</v>
      </c>
      <c r="E134" t="s">
        <v>55</v>
      </c>
      <c r="F134" t="s">
        <v>64</v>
      </c>
      <c r="G134" s="58">
        <v>924954</v>
      </c>
      <c r="H134" s="1" t="s">
        <v>48</v>
      </c>
      <c r="I134" s="1" t="s">
        <v>108</v>
      </c>
      <c r="J134" s="58">
        <v>28673574</v>
      </c>
      <c r="K134" s="1" t="s">
        <v>106</v>
      </c>
      <c r="L134" s="1" t="s">
        <v>114</v>
      </c>
      <c r="M134" s="1" t="s">
        <v>121</v>
      </c>
      <c r="N134" s="1">
        <v>1</v>
      </c>
      <c r="O134" s="58"/>
      <c r="P134" s="58">
        <v>619719.18000000005</v>
      </c>
      <c r="Q134" t="s">
        <v>118</v>
      </c>
      <c r="R134" s="1" t="s">
        <v>48</v>
      </c>
    </row>
    <row r="135" spans="3:18" x14ac:dyDescent="0.35">
      <c r="C135" t="s">
        <v>53</v>
      </c>
      <c r="D135" t="s">
        <v>24</v>
      </c>
      <c r="E135" t="s">
        <v>50</v>
      </c>
      <c r="F135" t="s">
        <v>46</v>
      </c>
      <c r="G135" s="58">
        <v>28537</v>
      </c>
      <c r="H135" s="1" t="s">
        <v>54</v>
      </c>
      <c r="I135" s="1" t="s">
        <v>119</v>
      </c>
      <c r="J135" s="58">
        <v>142685</v>
      </c>
      <c r="K135" s="1" t="s">
        <v>106</v>
      </c>
      <c r="L135" s="1" t="s">
        <v>109</v>
      </c>
      <c r="N135" s="1">
        <v>1</v>
      </c>
      <c r="O135" s="58"/>
      <c r="P135" s="58">
        <v>18834.419999999998</v>
      </c>
      <c r="Q135" t="s">
        <v>118</v>
      </c>
      <c r="R135" s="1" t="s">
        <v>158</v>
      </c>
    </row>
    <row r="136" spans="3:18" x14ac:dyDescent="0.35">
      <c r="C136" t="s">
        <v>51</v>
      </c>
      <c r="D136" t="s">
        <v>21</v>
      </c>
      <c r="E136" t="s">
        <v>45</v>
      </c>
      <c r="F136" t="s">
        <v>46</v>
      </c>
      <c r="G136" s="58">
        <v>1855657</v>
      </c>
      <c r="H136" s="1" t="s">
        <v>56</v>
      </c>
      <c r="I136" s="1" t="s">
        <v>108</v>
      </c>
      <c r="J136" s="58">
        <v>46391425</v>
      </c>
      <c r="K136" s="1" t="s">
        <v>106</v>
      </c>
      <c r="L136" s="1" t="s">
        <v>120</v>
      </c>
      <c r="N136" s="1">
        <v>1</v>
      </c>
      <c r="O136" s="58"/>
      <c r="P136" s="58">
        <v>519583.96</v>
      </c>
      <c r="Q136" t="s">
        <v>107</v>
      </c>
      <c r="R136" s="1" t="s">
        <v>158</v>
      </c>
    </row>
    <row r="137" spans="3:18" x14ac:dyDescent="0.35">
      <c r="C137" t="s">
        <v>51</v>
      </c>
      <c r="D137" t="s">
        <v>23</v>
      </c>
      <c r="E137" t="s">
        <v>55</v>
      </c>
      <c r="F137" t="s">
        <v>46</v>
      </c>
      <c r="G137" s="58">
        <v>74735</v>
      </c>
      <c r="H137" s="1" t="s">
        <v>59</v>
      </c>
      <c r="I137" s="1" t="s">
        <v>111</v>
      </c>
      <c r="J137" s="58">
        <v>1046290</v>
      </c>
      <c r="K137" s="1" t="s">
        <v>106</v>
      </c>
      <c r="L137" s="1" t="s">
        <v>124</v>
      </c>
      <c r="N137" s="1">
        <v>1</v>
      </c>
      <c r="O137" s="58"/>
      <c r="P137" s="58">
        <v>32883.4</v>
      </c>
      <c r="Q137" t="s">
        <v>113</v>
      </c>
      <c r="R137" s="1" t="s">
        <v>158</v>
      </c>
    </row>
    <row r="138" spans="3:18" x14ac:dyDescent="0.35">
      <c r="C138" t="s">
        <v>51</v>
      </c>
      <c r="D138" t="s">
        <v>24</v>
      </c>
      <c r="E138" t="s">
        <v>55</v>
      </c>
      <c r="F138" t="s">
        <v>46</v>
      </c>
      <c r="G138" s="58">
        <v>1717486</v>
      </c>
      <c r="H138" s="1" t="s">
        <v>48</v>
      </c>
      <c r="I138" s="1" t="s">
        <v>119</v>
      </c>
      <c r="J138" s="58">
        <v>13739888</v>
      </c>
      <c r="K138" s="1" t="s">
        <v>106</v>
      </c>
      <c r="L138" s="1" t="s">
        <v>114</v>
      </c>
      <c r="M138" s="1" t="s">
        <v>121</v>
      </c>
      <c r="N138" s="1">
        <v>1</v>
      </c>
      <c r="O138" s="58"/>
      <c r="P138" s="58">
        <v>1116365.8999999999</v>
      </c>
      <c r="Q138" t="s">
        <v>118</v>
      </c>
      <c r="R138" s="1" t="s">
        <v>158</v>
      </c>
    </row>
    <row r="139" spans="3:18" x14ac:dyDescent="0.35">
      <c r="C139" t="s">
        <v>51</v>
      </c>
      <c r="D139" t="s">
        <v>91</v>
      </c>
      <c r="E139" t="s">
        <v>49</v>
      </c>
      <c r="F139" t="s">
        <v>46</v>
      </c>
      <c r="G139" s="58">
        <v>521382</v>
      </c>
      <c r="H139" s="1" t="s">
        <v>47</v>
      </c>
      <c r="I139" s="1" t="s">
        <v>111</v>
      </c>
      <c r="J139" s="58">
        <v>8342112</v>
      </c>
      <c r="K139" s="1" t="s">
        <v>106</v>
      </c>
      <c r="L139" s="1" t="s">
        <v>120</v>
      </c>
      <c r="N139" s="1">
        <v>1</v>
      </c>
      <c r="O139" s="58"/>
      <c r="P139" s="58">
        <v>135559.32</v>
      </c>
      <c r="Q139" t="s">
        <v>107</v>
      </c>
      <c r="R139" s="1" t="s">
        <v>158</v>
      </c>
    </row>
    <row r="140" spans="3:18" x14ac:dyDescent="0.35">
      <c r="C140" t="s">
        <v>51</v>
      </c>
      <c r="D140" t="s">
        <v>21</v>
      </c>
      <c r="E140" t="s">
        <v>45</v>
      </c>
      <c r="F140" t="s">
        <v>46</v>
      </c>
      <c r="G140" s="58">
        <v>23099</v>
      </c>
      <c r="H140" s="1" t="s">
        <v>47</v>
      </c>
      <c r="I140" s="1" t="s">
        <v>105</v>
      </c>
      <c r="J140" s="58">
        <v>69297</v>
      </c>
      <c r="K140" s="1" t="s">
        <v>106</v>
      </c>
      <c r="L140" s="1" t="s">
        <v>120</v>
      </c>
      <c r="N140" s="1">
        <v>1</v>
      </c>
      <c r="O140" s="58"/>
      <c r="P140" s="58">
        <v>12242.47</v>
      </c>
      <c r="Q140" t="s">
        <v>113</v>
      </c>
      <c r="R140" s="1" t="s">
        <v>158</v>
      </c>
    </row>
    <row r="141" spans="3:18" x14ac:dyDescent="0.35">
      <c r="C141" t="s">
        <v>51</v>
      </c>
      <c r="D141" t="s">
        <v>22</v>
      </c>
      <c r="E141" t="s">
        <v>45</v>
      </c>
      <c r="F141" t="s">
        <v>46</v>
      </c>
      <c r="G141" s="58">
        <v>4578617</v>
      </c>
      <c r="H141" s="1" t="s">
        <v>47</v>
      </c>
      <c r="I141" s="1" t="s">
        <v>108</v>
      </c>
      <c r="J141" s="58">
        <v>141937127</v>
      </c>
      <c r="K141" s="1" t="s">
        <v>106</v>
      </c>
      <c r="L141" s="1" t="s">
        <v>124</v>
      </c>
      <c r="N141" s="1">
        <v>1</v>
      </c>
      <c r="O141" s="58"/>
      <c r="P141" s="58">
        <v>3846038.28</v>
      </c>
      <c r="Q141" t="s">
        <v>127</v>
      </c>
      <c r="R141" s="1" t="s">
        <v>158</v>
      </c>
    </row>
    <row r="142" spans="3:18" x14ac:dyDescent="0.35">
      <c r="C142" t="s">
        <v>51</v>
      </c>
      <c r="D142" t="s">
        <v>23</v>
      </c>
      <c r="E142" t="s">
        <v>45</v>
      </c>
      <c r="F142" t="s">
        <v>46</v>
      </c>
      <c r="G142" s="58">
        <v>10094695</v>
      </c>
      <c r="H142" s="1" t="s">
        <v>48</v>
      </c>
      <c r="I142" s="1" t="s">
        <v>119</v>
      </c>
      <c r="J142" s="58">
        <v>80757560</v>
      </c>
      <c r="K142" s="1" t="s">
        <v>106</v>
      </c>
      <c r="L142" s="1" t="s">
        <v>120</v>
      </c>
      <c r="M142" s="1" t="s">
        <v>125</v>
      </c>
      <c r="N142" s="1">
        <v>1</v>
      </c>
      <c r="O142" s="58"/>
      <c r="P142" s="58">
        <v>4744506.6500000004</v>
      </c>
      <c r="Q142" t="s">
        <v>113</v>
      </c>
      <c r="R142" s="1" t="s">
        <v>158</v>
      </c>
    </row>
    <row r="143" spans="3:18" x14ac:dyDescent="0.35">
      <c r="C143" t="s">
        <v>53</v>
      </c>
      <c r="D143" t="s">
        <v>23</v>
      </c>
      <c r="E143" t="s">
        <v>55</v>
      </c>
      <c r="F143" t="s">
        <v>46</v>
      </c>
      <c r="G143" s="58">
        <v>5766184</v>
      </c>
      <c r="H143" s="1" t="s">
        <v>54</v>
      </c>
      <c r="I143" s="1" t="s">
        <v>119</v>
      </c>
      <c r="J143" s="58">
        <v>46129472</v>
      </c>
      <c r="K143" s="1" t="s">
        <v>106</v>
      </c>
      <c r="L143" s="1" t="s">
        <v>114</v>
      </c>
      <c r="N143" s="1">
        <v>1</v>
      </c>
      <c r="O143" s="58"/>
      <c r="P143" s="58">
        <v>3632695.92</v>
      </c>
      <c r="Q143" t="s">
        <v>118</v>
      </c>
      <c r="R143" s="1" t="s">
        <v>158</v>
      </c>
    </row>
    <row r="144" spans="3:18" x14ac:dyDescent="0.35">
      <c r="C144" t="s">
        <v>51</v>
      </c>
      <c r="D144" t="s">
        <v>21</v>
      </c>
      <c r="E144" t="s">
        <v>49</v>
      </c>
      <c r="F144" t="s">
        <v>46</v>
      </c>
      <c r="G144" s="58">
        <v>2630802</v>
      </c>
      <c r="H144" s="1" t="s">
        <v>48</v>
      </c>
      <c r="I144" s="1" t="s">
        <v>108</v>
      </c>
      <c r="J144" s="58">
        <v>76293258</v>
      </c>
      <c r="K144" s="1" t="s">
        <v>106</v>
      </c>
      <c r="L144" s="1" t="s">
        <v>124</v>
      </c>
      <c r="M144" s="1" t="s">
        <v>126</v>
      </c>
      <c r="N144" s="1">
        <v>1</v>
      </c>
      <c r="O144" s="58"/>
      <c r="P144" s="58">
        <v>3051730.32</v>
      </c>
      <c r="Q144" t="s">
        <v>110</v>
      </c>
      <c r="R144" s="1" t="s">
        <v>158</v>
      </c>
    </row>
    <row r="145" spans="3:18" x14ac:dyDescent="0.35">
      <c r="C145" t="s">
        <v>51</v>
      </c>
      <c r="D145" t="s">
        <v>22</v>
      </c>
      <c r="E145" t="s">
        <v>49</v>
      </c>
      <c r="F145" t="s">
        <v>46</v>
      </c>
      <c r="G145" s="58">
        <v>299892</v>
      </c>
      <c r="H145" s="1" t="s">
        <v>59</v>
      </c>
      <c r="I145" s="1" t="s">
        <v>108</v>
      </c>
      <c r="J145" s="58">
        <v>10496220</v>
      </c>
      <c r="K145" s="1" t="s">
        <v>106</v>
      </c>
      <c r="L145" s="1" t="s">
        <v>124</v>
      </c>
      <c r="N145" s="1">
        <v>1</v>
      </c>
      <c r="O145" s="58"/>
      <c r="P145" s="58">
        <v>317885.52</v>
      </c>
      <c r="Q145" t="s">
        <v>110</v>
      </c>
      <c r="R145" s="1" t="s">
        <v>158</v>
      </c>
    </row>
    <row r="146" spans="3:18" x14ac:dyDescent="0.35">
      <c r="C146" t="s">
        <v>51</v>
      </c>
      <c r="D146" t="s">
        <v>23</v>
      </c>
      <c r="E146" t="s">
        <v>62</v>
      </c>
      <c r="F146" t="s">
        <v>46</v>
      </c>
      <c r="G146" s="58">
        <v>141717</v>
      </c>
      <c r="H146" s="1" t="s">
        <v>48</v>
      </c>
      <c r="I146" s="1" t="s">
        <v>119</v>
      </c>
      <c r="J146" s="58">
        <v>1133736</v>
      </c>
      <c r="K146" s="1" t="s">
        <v>106</v>
      </c>
      <c r="L146" s="1" t="s">
        <v>131</v>
      </c>
      <c r="M146" s="1" t="s">
        <v>125</v>
      </c>
      <c r="N146" s="1">
        <v>1</v>
      </c>
      <c r="O146" s="58"/>
      <c r="P146" s="58">
        <v>58103.97</v>
      </c>
      <c r="Q146" t="s">
        <v>113</v>
      </c>
      <c r="R146" s="1" t="s">
        <v>48</v>
      </c>
    </row>
    <row r="147" spans="3:18" x14ac:dyDescent="0.35">
      <c r="C147" t="s">
        <v>51</v>
      </c>
      <c r="D147" t="s">
        <v>23</v>
      </c>
      <c r="E147" t="s">
        <v>55</v>
      </c>
      <c r="F147" t="s">
        <v>46</v>
      </c>
      <c r="G147" s="58">
        <v>19977</v>
      </c>
      <c r="H147" s="1" t="s">
        <v>47</v>
      </c>
      <c r="I147" s="1" t="s">
        <v>105</v>
      </c>
      <c r="J147" s="58">
        <v>79908</v>
      </c>
      <c r="K147" s="1" t="s">
        <v>106</v>
      </c>
      <c r="L147" s="1" t="s">
        <v>109</v>
      </c>
      <c r="N147" s="1">
        <v>1</v>
      </c>
      <c r="O147" s="58"/>
      <c r="P147" s="58">
        <v>2197.4699999999998</v>
      </c>
      <c r="Q147" t="s">
        <v>107</v>
      </c>
      <c r="R147" s="1" t="s">
        <v>158</v>
      </c>
    </row>
    <row r="148" spans="3:18" x14ac:dyDescent="0.35">
      <c r="C148" t="s">
        <v>51</v>
      </c>
      <c r="D148" t="s">
        <v>23</v>
      </c>
      <c r="E148" t="s">
        <v>55</v>
      </c>
      <c r="F148" t="s">
        <v>46</v>
      </c>
      <c r="G148" s="58">
        <v>8267652</v>
      </c>
      <c r="H148" s="1" t="s">
        <v>48</v>
      </c>
      <c r="I148" s="1" t="s">
        <v>108</v>
      </c>
      <c r="J148" s="58">
        <v>272832516</v>
      </c>
      <c r="K148" s="1" t="s">
        <v>106</v>
      </c>
      <c r="L148" s="1" t="s">
        <v>120</v>
      </c>
      <c r="M148" s="1" t="s">
        <v>125</v>
      </c>
      <c r="N148" s="1">
        <v>1</v>
      </c>
      <c r="O148" s="58"/>
      <c r="P148" s="58">
        <v>5952709.4400000004</v>
      </c>
      <c r="Q148" t="s">
        <v>118</v>
      </c>
      <c r="R148" s="1" t="s">
        <v>48</v>
      </c>
    </row>
    <row r="149" spans="3:18" x14ac:dyDescent="0.35">
      <c r="C149" t="s">
        <v>51</v>
      </c>
      <c r="D149" t="s">
        <v>23</v>
      </c>
      <c r="E149" t="s">
        <v>55</v>
      </c>
      <c r="F149" t="s">
        <v>46</v>
      </c>
      <c r="G149" s="58">
        <v>1045985</v>
      </c>
      <c r="H149" s="1" t="s">
        <v>56</v>
      </c>
      <c r="I149" s="1" t="s">
        <v>105</v>
      </c>
      <c r="J149" s="58">
        <v>3137955</v>
      </c>
      <c r="K149" s="1" t="s">
        <v>106</v>
      </c>
      <c r="L149" s="1" t="s">
        <v>114</v>
      </c>
      <c r="N149" s="1">
        <v>1</v>
      </c>
      <c r="O149" s="58"/>
      <c r="P149" s="58">
        <v>177817.45</v>
      </c>
      <c r="Q149" t="s">
        <v>107</v>
      </c>
      <c r="R149" s="1" t="s">
        <v>158</v>
      </c>
    </row>
    <row r="150" spans="3:18" x14ac:dyDescent="0.35">
      <c r="C150" t="s">
        <v>51</v>
      </c>
      <c r="D150" t="s">
        <v>21</v>
      </c>
      <c r="E150" t="s">
        <v>45</v>
      </c>
      <c r="F150" t="s">
        <v>46</v>
      </c>
      <c r="G150" s="58">
        <v>309294574</v>
      </c>
      <c r="H150" s="1" t="s">
        <v>48</v>
      </c>
      <c r="I150" s="1" t="s">
        <v>108</v>
      </c>
      <c r="J150" s="58">
        <v>9897426368</v>
      </c>
      <c r="K150" s="1" t="s">
        <v>106</v>
      </c>
      <c r="L150" s="1" t="s">
        <v>120</v>
      </c>
      <c r="M150" s="1" t="s">
        <v>126</v>
      </c>
      <c r="N150" s="1">
        <v>1</v>
      </c>
      <c r="O150" s="58"/>
      <c r="P150" s="58">
        <v>222692093.28</v>
      </c>
      <c r="Q150" t="s">
        <v>118</v>
      </c>
      <c r="R150" s="1" t="s">
        <v>158</v>
      </c>
    </row>
    <row r="151" spans="3:18" x14ac:dyDescent="0.35">
      <c r="C151" t="s">
        <v>51</v>
      </c>
      <c r="D151" t="s">
        <v>91</v>
      </c>
      <c r="E151" t="s">
        <v>49</v>
      </c>
      <c r="F151" t="s">
        <v>46</v>
      </c>
      <c r="G151" s="58">
        <v>2240086</v>
      </c>
      <c r="H151" s="1" t="s">
        <v>59</v>
      </c>
      <c r="I151" s="1" t="s">
        <v>108</v>
      </c>
      <c r="J151" s="58">
        <v>67202580</v>
      </c>
      <c r="K151" s="1" t="s">
        <v>112</v>
      </c>
      <c r="N151" s="1">
        <v>1</v>
      </c>
      <c r="O151" s="58"/>
      <c r="P151" s="58">
        <v>1142443.8600000001</v>
      </c>
      <c r="Q151" t="s">
        <v>113</v>
      </c>
      <c r="R151" s="1" t="s">
        <v>158</v>
      </c>
    </row>
    <row r="152" spans="3:18" x14ac:dyDescent="0.35">
      <c r="C152" t="s">
        <v>51</v>
      </c>
      <c r="D152" t="s">
        <v>23</v>
      </c>
      <c r="E152" t="s">
        <v>49</v>
      </c>
      <c r="F152" t="s">
        <v>46</v>
      </c>
      <c r="G152" s="58">
        <v>4696</v>
      </c>
      <c r="H152" s="1" t="s">
        <v>48</v>
      </c>
      <c r="I152" s="1" t="s">
        <v>105</v>
      </c>
      <c r="J152" s="58">
        <v>18784</v>
      </c>
      <c r="K152" s="1" t="s">
        <v>106</v>
      </c>
      <c r="L152" s="1" t="s">
        <v>124</v>
      </c>
      <c r="M152" s="1" t="s">
        <v>125</v>
      </c>
      <c r="N152" s="1">
        <v>1</v>
      </c>
      <c r="O152" s="58"/>
      <c r="P152" s="58">
        <v>2113.1999999999998</v>
      </c>
      <c r="Q152" t="s">
        <v>113</v>
      </c>
      <c r="R152" s="1" t="s">
        <v>158</v>
      </c>
    </row>
    <row r="153" spans="3:18" x14ac:dyDescent="0.35">
      <c r="C153" t="s">
        <v>51</v>
      </c>
      <c r="D153" t="s">
        <v>91</v>
      </c>
      <c r="E153" t="s">
        <v>49</v>
      </c>
      <c r="F153" t="s">
        <v>46</v>
      </c>
      <c r="G153" s="58">
        <v>18526776</v>
      </c>
      <c r="H153" s="1" t="s">
        <v>59</v>
      </c>
      <c r="I153" s="1" t="s">
        <v>108</v>
      </c>
      <c r="J153" s="58">
        <v>555803280</v>
      </c>
      <c r="K153" s="1" t="s">
        <v>106</v>
      </c>
      <c r="L153" s="1" t="s">
        <v>124</v>
      </c>
      <c r="N153" s="1">
        <v>1</v>
      </c>
      <c r="O153" s="58"/>
      <c r="P153" s="58">
        <v>12783475.439999999</v>
      </c>
      <c r="Q153" t="s">
        <v>118</v>
      </c>
      <c r="R153" s="1" t="s">
        <v>158</v>
      </c>
    </row>
    <row r="154" spans="3:18" x14ac:dyDescent="0.35">
      <c r="C154" t="s">
        <v>51</v>
      </c>
      <c r="D154" t="s">
        <v>24</v>
      </c>
      <c r="E154" t="s">
        <v>50</v>
      </c>
      <c r="F154" t="s">
        <v>46</v>
      </c>
      <c r="G154" s="58">
        <v>102511</v>
      </c>
      <c r="H154" s="1" t="s">
        <v>56</v>
      </c>
      <c r="I154" s="1" t="s">
        <v>111</v>
      </c>
      <c r="J154" s="58">
        <v>1947709</v>
      </c>
      <c r="K154" s="1" t="s">
        <v>106</v>
      </c>
      <c r="L154" s="1" t="s">
        <v>109</v>
      </c>
      <c r="N154" s="1">
        <v>1</v>
      </c>
      <c r="O154" s="58"/>
      <c r="P154" s="58">
        <v>65607.039999999994</v>
      </c>
      <c r="Q154" t="s">
        <v>118</v>
      </c>
      <c r="R154" s="1" t="s">
        <v>158</v>
      </c>
    </row>
    <row r="155" spans="3:18" x14ac:dyDescent="0.35">
      <c r="C155" t="s">
        <v>51</v>
      </c>
      <c r="D155" t="s">
        <v>19</v>
      </c>
      <c r="E155" t="s">
        <v>49</v>
      </c>
      <c r="F155" t="s">
        <v>46</v>
      </c>
      <c r="G155" s="58">
        <v>15449706</v>
      </c>
      <c r="H155" s="1" t="s">
        <v>48</v>
      </c>
      <c r="I155" s="1" t="s">
        <v>119</v>
      </c>
      <c r="J155" s="58">
        <v>123597648</v>
      </c>
      <c r="K155" s="1" t="s">
        <v>106</v>
      </c>
      <c r="L155" s="1" t="s">
        <v>124</v>
      </c>
      <c r="M155" s="1" t="s">
        <v>122</v>
      </c>
      <c r="N155" s="1">
        <v>1</v>
      </c>
      <c r="O155" s="58"/>
      <c r="P155" s="58">
        <v>3398935.32</v>
      </c>
      <c r="Q155" t="s">
        <v>107</v>
      </c>
      <c r="R155" s="1" t="s">
        <v>158</v>
      </c>
    </row>
    <row r="156" spans="3:18" x14ac:dyDescent="0.35">
      <c r="C156" t="s">
        <v>51</v>
      </c>
      <c r="D156" t="s">
        <v>92</v>
      </c>
      <c r="E156" t="s">
        <v>45</v>
      </c>
      <c r="F156" t="s">
        <v>46</v>
      </c>
      <c r="G156" s="58">
        <v>4776325</v>
      </c>
      <c r="H156" s="1" t="s">
        <v>48</v>
      </c>
      <c r="I156" s="1" t="s">
        <v>105</v>
      </c>
      <c r="J156" s="58">
        <v>9552650</v>
      </c>
      <c r="K156" s="1" t="s">
        <v>106</v>
      </c>
      <c r="L156" s="1" t="s">
        <v>120</v>
      </c>
      <c r="M156" s="1" t="s">
        <v>123</v>
      </c>
      <c r="N156" s="1">
        <v>1</v>
      </c>
      <c r="O156" s="58"/>
      <c r="P156" s="58">
        <v>764212</v>
      </c>
      <c r="Q156" t="s">
        <v>107</v>
      </c>
      <c r="R156" s="1" t="s">
        <v>158</v>
      </c>
    </row>
    <row r="157" spans="3:18" x14ac:dyDescent="0.35">
      <c r="C157" t="s">
        <v>51</v>
      </c>
      <c r="D157" t="s">
        <v>23</v>
      </c>
      <c r="E157" t="s">
        <v>55</v>
      </c>
      <c r="F157" t="s">
        <v>46</v>
      </c>
      <c r="G157" s="58">
        <v>303184</v>
      </c>
      <c r="H157" s="1" t="s">
        <v>47</v>
      </c>
      <c r="I157" s="1" t="s">
        <v>119</v>
      </c>
      <c r="J157" s="58">
        <v>2425472</v>
      </c>
      <c r="K157" s="1" t="s">
        <v>106</v>
      </c>
      <c r="L157" s="1" t="s">
        <v>120</v>
      </c>
      <c r="N157" s="1">
        <v>1</v>
      </c>
      <c r="O157" s="58"/>
      <c r="P157" s="58">
        <v>139464.64000000001</v>
      </c>
      <c r="Q157" t="s">
        <v>113</v>
      </c>
      <c r="R157" s="1" t="s">
        <v>158</v>
      </c>
    </row>
    <row r="158" spans="3:18" x14ac:dyDescent="0.35">
      <c r="C158" t="s">
        <v>51</v>
      </c>
      <c r="D158" t="s">
        <v>92</v>
      </c>
      <c r="E158" t="s">
        <v>49</v>
      </c>
      <c r="F158" t="s">
        <v>46</v>
      </c>
      <c r="G158" s="58">
        <v>3581160</v>
      </c>
      <c r="H158" s="1" t="s">
        <v>48</v>
      </c>
      <c r="I158" s="1" t="s">
        <v>108</v>
      </c>
      <c r="J158" s="58">
        <v>103853640</v>
      </c>
      <c r="K158" s="1" t="s">
        <v>106</v>
      </c>
      <c r="L158" s="1" t="s">
        <v>120</v>
      </c>
      <c r="M158" s="1" t="s">
        <v>115</v>
      </c>
      <c r="N158" s="1">
        <v>1</v>
      </c>
      <c r="O158" s="58"/>
      <c r="P158" s="58">
        <v>2506812</v>
      </c>
      <c r="Q158" t="s">
        <v>118</v>
      </c>
      <c r="R158" s="1" t="s">
        <v>48</v>
      </c>
    </row>
    <row r="159" spans="3:18" x14ac:dyDescent="0.35">
      <c r="C159" t="s">
        <v>51</v>
      </c>
      <c r="D159" t="s">
        <v>20</v>
      </c>
      <c r="E159" t="s">
        <v>49</v>
      </c>
      <c r="F159" t="s">
        <v>46</v>
      </c>
      <c r="G159" s="58">
        <v>366296</v>
      </c>
      <c r="H159" s="1" t="s">
        <v>47</v>
      </c>
      <c r="I159" s="1" t="s">
        <v>108</v>
      </c>
      <c r="J159" s="58">
        <v>13552952</v>
      </c>
      <c r="K159" s="1" t="s">
        <v>106</v>
      </c>
      <c r="L159" s="1" t="s">
        <v>114</v>
      </c>
      <c r="N159" s="1">
        <v>1</v>
      </c>
      <c r="O159" s="58"/>
      <c r="P159" s="58">
        <v>355307.12</v>
      </c>
      <c r="Q159" t="s">
        <v>127</v>
      </c>
      <c r="R159" s="1" t="s">
        <v>158</v>
      </c>
    </row>
    <row r="160" spans="3:18" x14ac:dyDescent="0.35">
      <c r="C160" t="s">
        <v>51</v>
      </c>
      <c r="D160" t="s">
        <v>91</v>
      </c>
      <c r="E160" t="s">
        <v>55</v>
      </c>
      <c r="F160" t="s">
        <v>46</v>
      </c>
      <c r="G160" s="58">
        <v>405742</v>
      </c>
      <c r="H160" s="1" t="s">
        <v>48</v>
      </c>
      <c r="I160" s="1" t="s">
        <v>111</v>
      </c>
      <c r="J160" s="58">
        <v>6086130</v>
      </c>
      <c r="K160" s="1" t="s">
        <v>106</v>
      </c>
      <c r="L160" s="1" t="s">
        <v>114</v>
      </c>
      <c r="M160" s="1" t="s">
        <v>122</v>
      </c>
      <c r="N160" s="1">
        <v>1</v>
      </c>
      <c r="O160" s="58"/>
      <c r="P160" s="58">
        <v>142009.70000000001</v>
      </c>
      <c r="Q160" t="s">
        <v>107</v>
      </c>
      <c r="R160" s="1" t="s">
        <v>158</v>
      </c>
    </row>
    <row r="161" spans="3:18" x14ac:dyDescent="0.35">
      <c r="C161" t="s">
        <v>51</v>
      </c>
      <c r="D161" t="s">
        <v>23</v>
      </c>
      <c r="E161" t="s">
        <v>55</v>
      </c>
      <c r="F161" t="s">
        <v>46</v>
      </c>
      <c r="G161" s="58">
        <v>47647</v>
      </c>
      <c r="H161" s="1" t="s">
        <v>47</v>
      </c>
      <c r="I161" s="1" t="s">
        <v>119</v>
      </c>
      <c r="J161" s="58">
        <v>428823</v>
      </c>
      <c r="K161" s="1" t="s">
        <v>106</v>
      </c>
      <c r="L161" s="1" t="s">
        <v>109</v>
      </c>
      <c r="N161" s="1">
        <v>1</v>
      </c>
      <c r="O161" s="58"/>
      <c r="P161" s="58">
        <v>21441.15</v>
      </c>
      <c r="Q161" t="s">
        <v>113</v>
      </c>
      <c r="R161" s="1" t="s">
        <v>158</v>
      </c>
    </row>
    <row r="162" spans="3:18" x14ac:dyDescent="0.35">
      <c r="C162" t="s">
        <v>53</v>
      </c>
      <c r="D162" t="s">
        <v>21</v>
      </c>
      <c r="E162" t="s">
        <v>45</v>
      </c>
      <c r="F162" t="s">
        <v>46</v>
      </c>
      <c r="G162" s="58">
        <v>146184</v>
      </c>
      <c r="H162" s="1" t="s">
        <v>58</v>
      </c>
      <c r="I162" s="1" t="s">
        <v>105</v>
      </c>
      <c r="J162" s="58">
        <v>292368</v>
      </c>
      <c r="K162" s="1" t="s">
        <v>106</v>
      </c>
      <c r="L162" s="1" t="s">
        <v>120</v>
      </c>
      <c r="N162" s="1">
        <v>1</v>
      </c>
      <c r="O162" s="58"/>
      <c r="P162" s="58">
        <v>1461.84</v>
      </c>
      <c r="Q162" t="s">
        <v>107</v>
      </c>
      <c r="R162" s="1" t="s">
        <v>158</v>
      </c>
    </row>
    <row r="163" spans="3:18" x14ac:dyDescent="0.35">
      <c r="C163" t="s">
        <v>51</v>
      </c>
      <c r="D163" t="s">
        <v>24</v>
      </c>
      <c r="E163" t="s">
        <v>55</v>
      </c>
      <c r="F163" t="s">
        <v>46</v>
      </c>
      <c r="G163" s="58">
        <v>219069</v>
      </c>
      <c r="H163" s="1" t="s">
        <v>48</v>
      </c>
      <c r="I163" s="1" t="s">
        <v>108</v>
      </c>
      <c r="J163" s="58">
        <v>7886484</v>
      </c>
      <c r="K163" s="1" t="s">
        <v>106</v>
      </c>
      <c r="L163" s="1" t="s">
        <v>120</v>
      </c>
      <c r="M163" s="1" t="s">
        <v>125</v>
      </c>
      <c r="N163" s="1">
        <v>1</v>
      </c>
      <c r="O163" s="58"/>
      <c r="P163" s="58">
        <v>135822.78</v>
      </c>
      <c r="Q163" t="s">
        <v>118</v>
      </c>
      <c r="R163" s="1" t="s">
        <v>158</v>
      </c>
    </row>
    <row r="164" spans="3:18" x14ac:dyDescent="0.35">
      <c r="C164" t="s">
        <v>53</v>
      </c>
      <c r="D164" t="s">
        <v>19</v>
      </c>
      <c r="E164" t="s">
        <v>45</v>
      </c>
      <c r="F164" t="s">
        <v>46</v>
      </c>
      <c r="G164" s="58">
        <v>237600</v>
      </c>
      <c r="H164" s="1" t="s">
        <v>54</v>
      </c>
      <c r="I164" s="1" t="s">
        <v>111</v>
      </c>
      <c r="J164" s="58">
        <v>3326400</v>
      </c>
      <c r="K164" s="1" t="s">
        <v>106</v>
      </c>
      <c r="L164" s="1" t="s">
        <v>120</v>
      </c>
      <c r="N164" s="1">
        <v>1</v>
      </c>
      <c r="O164" s="58"/>
      <c r="P164" s="58">
        <v>268488</v>
      </c>
      <c r="Q164" t="s">
        <v>110</v>
      </c>
      <c r="R164" s="1" t="s">
        <v>158</v>
      </c>
    </row>
    <row r="165" spans="3:18" x14ac:dyDescent="0.35">
      <c r="C165" t="s">
        <v>51</v>
      </c>
      <c r="D165" t="s">
        <v>92</v>
      </c>
      <c r="E165" t="s">
        <v>45</v>
      </c>
      <c r="F165" t="s">
        <v>46</v>
      </c>
      <c r="G165" s="58">
        <v>302201</v>
      </c>
      <c r="H165" s="1" t="s">
        <v>54</v>
      </c>
      <c r="I165" s="1" t="s">
        <v>108</v>
      </c>
      <c r="J165" s="58">
        <v>7252824</v>
      </c>
      <c r="K165" s="1" t="s">
        <v>106</v>
      </c>
      <c r="L165" s="1" t="s">
        <v>120</v>
      </c>
      <c r="N165" s="1">
        <v>1</v>
      </c>
      <c r="O165" s="58"/>
      <c r="P165" s="58">
        <v>96704.320000000007</v>
      </c>
      <c r="Q165" t="s">
        <v>107</v>
      </c>
      <c r="R165" s="1" t="s">
        <v>158</v>
      </c>
    </row>
    <row r="166" spans="3:18" x14ac:dyDescent="0.35">
      <c r="C166" t="s">
        <v>51</v>
      </c>
      <c r="D166" t="s">
        <v>24</v>
      </c>
      <c r="E166" t="s">
        <v>45</v>
      </c>
      <c r="F166" t="s">
        <v>46</v>
      </c>
      <c r="G166" s="58">
        <v>231823</v>
      </c>
      <c r="H166" s="1" t="s">
        <v>48</v>
      </c>
      <c r="I166" s="1" t="s">
        <v>108</v>
      </c>
      <c r="J166" s="58">
        <v>7881982</v>
      </c>
      <c r="K166" s="1" t="s">
        <v>106</v>
      </c>
      <c r="L166" s="1" t="s">
        <v>124</v>
      </c>
      <c r="M166" s="1" t="s">
        <v>126</v>
      </c>
      <c r="N166" s="1">
        <v>1</v>
      </c>
      <c r="O166" s="58"/>
      <c r="P166" s="58">
        <v>171549.02</v>
      </c>
      <c r="Q166" t="s">
        <v>118</v>
      </c>
      <c r="R166" s="1" t="s">
        <v>158</v>
      </c>
    </row>
    <row r="167" spans="3:18" x14ac:dyDescent="0.35">
      <c r="C167" t="s">
        <v>51</v>
      </c>
      <c r="D167" t="s">
        <v>22</v>
      </c>
      <c r="E167" t="s">
        <v>45</v>
      </c>
      <c r="F167" t="s">
        <v>46</v>
      </c>
      <c r="G167" s="58">
        <v>8117985</v>
      </c>
      <c r="H167" s="1" t="s">
        <v>48</v>
      </c>
      <c r="I167" s="1" t="s">
        <v>111</v>
      </c>
      <c r="J167" s="58">
        <v>138005745</v>
      </c>
      <c r="K167" s="1" t="s">
        <v>106</v>
      </c>
      <c r="L167" s="1" t="s">
        <v>120</v>
      </c>
      <c r="M167" s="1" t="s">
        <v>115</v>
      </c>
      <c r="N167" s="1">
        <v>1</v>
      </c>
      <c r="O167" s="58"/>
      <c r="P167" s="58">
        <v>5439049.9500000002</v>
      </c>
      <c r="Q167" t="s">
        <v>118</v>
      </c>
      <c r="R167" s="1" t="s">
        <v>48</v>
      </c>
    </row>
    <row r="168" spans="3:18" x14ac:dyDescent="0.35">
      <c r="C168" t="s">
        <v>51</v>
      </c>
      <c r="D168" t="s">
        <v>91</v>
      </c>
      <c r="E168" t="s">
        <v>50</v>
      </c>
      <c r="F168" t="s">
        <v>46</v>
      </c>
      <c r="G168" s="58">
        <v>468471</v>
      </c>
      <c r="H168" s="1" t="s">
        <v>48</v>
      </c>
      <c r="I168" s="1" t="s">
        <v>108</v>
      </c>
      <c r="J168" s="58">
        <v>15928014</v>
      </c>
      <c r="K168" s="1" t="s">
        <v>106</v>
      </c>
      <c r="L168" s="1" t="s">
        <v>109</v>
      </c>
      <c r="M168" s="1" t="s">
        <v>122</v>
      </c>
      <c r="N168" s="1">
        <v>1</v>
      </c>
      <c r="O168" s="58"/>
      <c r="P168" s="58">
        <v>440362.74</v>
      </c>
      <c r="Q168" t="s">
        <v>127</v>
      </c>
      <c r="R168" s="1" t="s">
        <v>158</v>
      </c>
    </row>
    <row r="169" spans="3:18" x14ac:dyDescent="0.35">
      <c r="C169" t="s">
        <v>51</v>
      </c>
      <c r="D169" t="s">
        <v>21</v>
      </c>
      <c r="E169" t="s">
        <v>49</v>
      </c>
      <c r="F169" t="s">
        <v>46</v>
      </c>
      <c r="G169" s="58">
        <v>10820096</v>
      </c>
      <c r="H169" s="1" t="s">
        <v>47</v>
      </c>
      <c r="I169" s="1" t="s">
        <v>108</v>
      </c>
      <c r="J169" s="58">
        <v>346243072</v>
      </c>
      <c r="K169" s="1" t="s">
        <v>112</v>
      </c>
      <c r="N169" s="1">
        <v>1</v>
      </c>
      <c r="O169" s="58"/>
      <c r="P169" s="58">
        <v>7465866.2400000002</v>
      </c>
      <c r="Q169" t="s">
        <v>118</v>
      </c>
      <c r="R169" s="1" t="s">
        <v>158</v>
      </c>
    </row>
    <row r="170" spans="3:18" x14ac:dyDescent="0.35">
      <c r="C170" t="s">
        <v>51</v>
      </c>
      <c r="D170" t="s">
        <v>21</v>
      </c>
      <c r="E170" t="s">
        <v>49</v>
      </c>
      <c r="F170" t="s">
        <v>46</v>
      </c>
      <c r="G170" s="58">
        <v>2647387</v>
      </c>
      <c r="H170" s="1" t="s">
        <v>59</v>
      </c>
      <c r="I170" s="1" t="s">
        <v>111</v>
      </c>
      <c r="J170" s="58">
        <v>45005579</v>
      </c>
      <c r="K170" s="1" t="s">
        <v>106</v>
      </c>
      <c r="L170" s="1" t="s">
        <v>124</v>
      </c>
      <c r="N170" s="1">
        <v>1</v>
      </c>
      <c r="O170" s="58"/>
      <c r="P170" s="58">
        <v>2250278.9500000002</v>
      </c>
      <c r="Q170" t="s">
        <v>127</v>
      </c>
      <c r="R170" s="1" t="s">
        <v>158</v>
      </c>
    </row>
    <row r="171" spans="3:18" x14ac:dyDescent="0.35">
      <c r="C171" t="s">
        <v>51</v>
      </c>
      <c r="D171" t="s">
        <v>23</v>
      </c>
      <c r="E171" t="s">
        <v>55</v>
      </c>
      <c r="F171" t="s">
        <v>46</v>
      </c>
      <c r="G171" s="58">
        <v>26288</v>
      </c>
      <c r="H171" s="1" t="s">
        <v>56</v>
      </c>
      <c r="I171" s="1" t="s">
        <v>119</v>
      </c>
      <c r="J171" s="58">
        <v>262880</v>
      </c>
      <c r="K171" s="1" t="s">
        <v>112</v>
      </c>
      <c r="N171" s="1">
        <v>1</v>
      </c>
      <c r="O171" s="58"/>
      <c r="P171" s="58">
        <v>13406.88</v>
      </c>
      <c r="Q171" t="s">
        <v>113</v>
      </c>
      <c r="R171" s="1" t="s">
        <v>158</v>
      </c>
    </row>
    <row r="172" spans="3:18" x14ac:dyDescent="0.35">
      <c r="C172" t="s">
        <v>51</v>
      </c>
      <c r="D172" t="s">
        <v>21</v>
      </c>
      <c r="E172" t="s">
        <v>49</v>
      </c>
      <c r="F172" t="s">
        <v>46</v>
      </c>
      <c r="G172" s="58">
        <v>2317214</v>
      </c>
      <c r="H172" s="1" t="s">
        <v>54</v>
      </c>
      <c r="I172" s="1" t="s">
        <v>111</v>
      </c>
      <c r="J172" s="58">
        <v>37075424</v>
      </c>
      <c r="K172" s="1" t="s">
        <v>112</v>
      </c>
      <c r="N172" s="1">
        <v>1</v>
      </c>
      <c r="O172" s="58"/>
      <c r="P172" s="58">
        <v>1598877.66</v>
      </c>
      <c r="Q172" t="s">
        <v>118</v>
      </c>
      <c r="R172" s="1" t="s">
        <v>158</v>
      </c>
    </row>
    <row r="173" spans="3:18" x14ac:dyDescent="0.35">
      <c r="C173" t="s">
        <v>53</v>
      </c>
      <c r="D173" t="s">
        <v>92</v>
      </c>
      <c r="E173" t="s">
        <v>45</v>
      </c>
      <c r="F173" t="s">
        <v>46</v>
      </c>
      <c r="G173" s="58">
        <v>5851631</v>
      </c>
      <c r="H173" s="1" t="s">
        <v>56</v>
      </c>
      <c r="I173" s="1" t="s">
        <v>119</v>
      </c>
      <c r="J173" s="58">
        <v>40961417</v>
      </c>
      <c r="K173" s="1" t="s">
        <v>106</v>
      </c>
      <c r="L173" s="1" t="s">
        <v>120</v>
      </c>
      <c r="N173" s="1">
        <v>1</v>
      </c>
      <c r="O173" s="58"/>
      <c r="P173" s="58">
        <v>1462907.75</v>
      </c>
      <c r="Q173" t="s">
        <v>107</v>
      </c>
      <c r="R173" s="1" t="s">
        <v>158</v>
      </c>
    </row>
    <row r="174" spans="3:18" x14ac:dyDescent="0.35">
      <c r="C174" t="s">
        <v>51</v>
      </c>
      <c r="D174" t="s">
        <v>21</v>
      </c>
      <c r="E174" t="s">
        <v>45</v>
      </c>
      <c r="F174" t="s">
        <v>46</v>
      </c>
      <c r="G174" s="58">
        <v>11720126</v>
      </c>
      <c r="H174" s="1" t="s">
        <v>47</v>
      </c>
      <c r="I174" s="1" t="s">
        <v>108</v>
      </c>
      <c r="J174" s="58">
        <v>363323906</v>
      </c>
      <c r="K174" s="1" t="s">
        <v>106</v>
      </c>
      <c r="L174" s="1" t="s">
        <v>120</v>
      </c>
      <c r="N174" s="1">
        <v>1</v>
      </c>
      <c r="O174" s="58"/>
      <c r="P174" s="58">
        <v>10196509.619999999</v>
      </c>
      <c r="Q174" t="s">
        <v>127</v>
      </c>
      <c r="R174" s="1" t="s">
        <v>158</v>
      </c>
    </row>
    <row r="175" spans="3:18" x14ac:dyDescent="0.35">
      <c r="C175" t="s">
        <v>51</v>
      </c>
      <c r="D175" t="s">
        <v>91</v>
      </c>
      <c r="E175" t="s">
        <v>49</v>
      </c>
      <c r="F175" t="s">
        <v>46</v>
      </c>
      <c r="G175" s="58">
        <v>1018590</v>
      </c>
      <c r="H175" s="1" t="s">
        <v>48</v>
      </c>
      <c r="I175" s="1" t="s">
        <v>111</v>
      </c>
      <c r="J175" s="58">
        <v>16297440</v>
      </c>
      <c r="K175" s="1" t="s">
        <v>112</v>
      </c>
      <c r="N175" s="1">
        <v>1</v>
      </c>
      <c r="O175" s="58"/>
      <c r="P175" s="58">
        <v>509295</v>
      </c>
      <c r="Q175" t="s">
        <v>113</v>
      </c>
      <c r="R175" s="1" t="s">
        <v>158</v>
      </c>
    </row>
    <row r="176" spans="3:18" x14ac:dyDescent="0.35">
      <c r="C176" t="s">
        <v>51</v>
      </c>
      <c r="D176" t="s">
        <v>23</v>
      </c>
      <c r="E176" t="s">
        <v>50</v>
      </c>
      <c r="F176" t="s">
        <v>46</v>
      </c>
      <c r="G176" s="58">
        <v>7660247</v>
      </c>
      <c r="H176" s="1" t="s">
        <v>48</v>
      </c>
      <c r="I176" s="1" t="s">
        <v>108</v>
      </c>
      <c r="J176" s="58">
        <v>252788151</v>
      </c>
      <c r="K176" s="1" t="s">
        <v>106</v>
      </c>
      <c r="L176" s="1" t="s">
        <v>120</v>
      </c>
      <c r="M176" s="1" t="s">
        <v>125</v>
      </c>
      <c r="N176" s="1">
        <v>1</v>
      </c>
      <c r="O176" s="58"/>
      <c r="P176" s="58">
        <v>5438775.3700000001</v>
      </c>
      <c r="Q176" t="s">
        <v>118</v>
      </c>
      <c r="R176" s="1" t="s">
        <v>48</v>
      </c>
    </row>
    <row r="177" spans="3:18" x14ac:dyDescent="0.35">
      <c r="C177" t="s">
        <v>51</v>
      </c>
      <c r="D177" t="s">
        <v>91</v>
      </c>
      <c r="E177" t="s">
        <v>49</v>
      </c>
      <c r="F177" t="s">
        <v>46</v>
      </c>
      <c r="G177" s="58">
        <v>60816307</v>
      </c>
      <c r="H177" s="1" t="s">
        <v>47</v>
      </c>
      <c r="I177" s="1" t="s">
        <v>108</v>
      </c>
      <c r="J177" s="58">
        <v>1824489210</v>
      </c>
      <c r="K177" s="1" t="s">
        <v>106</v>
      </c>
      <c r="L177" s="1" t="s">
        <v>124</v>
      </c>
      <c r="N177" s="1">
        <v>1</v>
      </c>
      <c r="O177" s="58"/>
      <c r="P177" s="58">
        <v>41963251.829999998</v>
      </c>
      <c r="Q177" t="s">
        <v>118</v>
      </c>
      <c r="R177" s="1" t="s">
        <v>158</v>
      </c>
    </row>
    <row r="178" spans="3:18" x14ac:dyDescent="0.35">
      <c r="C178" t="s">
        <v>51</v>
      </c>
      <c r="D178" t="s">
        <v>24</v>
      </c>
      <c r="E178" t="s">
        <v>50</v>
      </c>
      <c r="F178" t="s">
        <v>46</v>
      </c>
      <c r="G178" s="58">
        <v>870351</v>
      </c>
      <c r="H178" s="1" t="s">
        <v>48</v>
      </c>
      <c r="I178" s="1" t="s">
        <v>119</v>
      </c>
      <c r="J178" s="58">
        <v>6092457</v>
      </c>
      <c r="K178" s="1" t="s">
        <v>106</v>
      </c>
      <c r="L178" s="1" t="s">
        <v>109</v>
      </c>
      <c r="M178" s="1" t="s">
        <v>121</v>
      </c>
      <c r="N178" s="1">
        <v>1</v>
      </c>
      <c r="O178" s="58"/>
      <c r="P178" s="58">
        <v>391657.95</v>
      </c>
      <c r="Q178" t="s">
        <v>113</v>
      </c>
      <c r="R178" s="1" t="s">
        <v>48</v>
      </c>
    </row>
    <row r="179" spans="3:18" x14ac:dyDescent="0.35">
      <c r="C179" t="s">
        <v>53</v>
      </c>
      <c r="D179" t="s">
        <v>21</v>
      </c>
      <c r="E179" t="s">
        <v>45</v>
      </c>
      <c r="F179" t="s">
        <v>46</v>
      </c>
      <c r="G179" s="58">
        <v>347313</v>
      </c>
      <c r="H179" s="1" t="s">
        <v>47</v>
      </c>
      <c r="I179" s="1" t="s">
        <v>108</v>
      </c>
      <c r="J179" s="58">
        <v>9377451</v>
      </c>
      <c r="K179" s="1" t="s">
        <v>106</v>
      </c>
      <c r="L179" s="1" t="s">
        <v>120</v>
      </c>
      <c r="N179" s="1">
        <v>1</v>
      </c>
      <c r="O179" s="58"/>
      <c r="P179" s="58">
        <v>69462.600000000006</v>
      </c>
      <c r="Q179" t="s">
        <v>107</v>
      </c>
      <c r="R179" s="1" t="s">
        <v>158</v>
      </c>
    </row>
    <row r="180" spans="3:18" x14ac:dyDescent="0.35">
      <c r="C180" t="s">
        <v>51</v>
      </c>
      <c r="D180" t="s">
        <v>21</v>
      </c>
      <c r="E180" t="s">
        <v>45</v>
      </c>
      <c r="F180" t="s">
        <v>46</v>
      </c>
      <c r="G180" s="58">
        <v>5386</v>
      </c>
      <c r="H180" s="1" t="s">
        <v>56</v>
      </c>
      <c r="I180" s="1" t="s">
        <v>105</v>
      </c>
      <c r="J180" s="58">
        <v>21544</v>
      </c>
      <c r="K180" s="1" t="s">
        <v>106</v>
      </c>
      <c r="L180" s="1" t="s">
        <v>120</v>
      </c>
      <c r="N180" s="1">
        <v>1</v>
      </c>
      <c r="O180" s="58"/>
      <c r="P180" s="58">
        <v>2531.42</v>
      </c>
      <c r="Q180" t="s">
        <v>113</v>
      </c>
      <c r="R180" s="1" t="s">
        <v>158</v>
      </c>
    </row>
    <row r="181" spans="3:18" x14ac:dyDescent="0.35">
      <c r="C181" t="s">
        <v>51</v>
      </c>
      <c r="D181" t="s">
        <v>21</v>
      </c>
      <c r="E181" t="s">
        <v>45</v>
      </c>
      <c r="F181" t="s">
        <v>46</v>
      </c>
      <c r="G181" s="58">
        <v>187547</v>
      </c>
      <c r="H181" s="1" t="s">
        <v>59</v>
      </c>
      <c r="I181" s="1" t="s">
        <v>108</v>
      </c>
      <c r="J181" s="58">
        <v>5626410</v>
      </c>
      <c r="K181" s="1" t="s">
        <v>106</v>
      </c>
      <c r="L181" s="1" t="s">
        <v>109</v>
      </c>
      <c r="N181" s="1">
        <v>1</v>
      </c>
      <c r="O181" s="58"/>
      <c r="P181" s="58">
        <v>110652.73</v>
      </c>
      <c r="Q181" t="s">
        <v>113</v>
      </c>
      <c r="R181" s="1" t="s">
        <v>158</v>
      </c>
    </row>
    <row r="182" spans="3:18" x14ac:dyDescent="0.35">
      <c r="C182" t="s">
        <v>51</v>
      </c>
      <c r="D182" t="s">
        <v>20</v>
      </c>
      <c r="E182" t="s">
        <v>49</v>
      </c>
      <c r="F182" t="s">
        <v>46</v>
      </c>
      <c r="G182" s="58">
        <v>198353</v>
      </c>
      <c r="H182" s="1" t="s">
        <v>54</v>
      </c>
      <c r="I182" s="1" t="s">
        <v>128</v>
      </c>
      <c r="J182" s="58"/>
      <c r="K182" s="1" t="s">
        <v>106</v>
      </c>
      <c r="L182" s="1" t="s">
        <v>124</v>
      </c>
      <c r="N182" s="1">
        <v>0</v>
      </c>
      <c r="O182" s="58"/>
      <c r="P182" s="58">
        <v>17851.77</v>
      </c>
      <c r="Q182" t="s">
        <v>107</v>
      </c>
      <c r="R182" s="1" t="s">
        <v>158</v>
      </c>
    </row>
    <row r="183" spans="3:18" x14ac:dyDescent="0.35">
      <c r="C183" t="s">
        <v>51</v>
      </c>
      <c r="D183" t="s">
        <v>23</v>
      </c>
      <c r="E183" t="s">
        <v>45</v>
      </c>
      <c r="F183" t="s">
        <v>46</v>
      </c>
      <c r="G183" s="58">
        <v>229361</v>
      </c>
      <c r="H183" s="1" t="s">
        <v>48</v>
      </c>
      <c r="I183" s="1" t="s">
        <v>108</v>
      </c>
      <c r="J183" s="58">
        <v>4816581</v>
      </c>
      <c r="K183" s="1" t="s">
        <v>106</v>
      </c>
      <c r="L183" s="1" t="s">
        <v>114</v>
      </c>
      <c r="M183" s="1" t="s">
        <v>121</v>
      </c>
      <c r="N183" s="1">
        <v>1</v>
      </c>
      <c r="O183" s="58"/>
      <c r="P183" s="58">
        <v>84863.57</v>
      </c>
      <c r="Q183" t="s">
        <v>107</v>
      </c>
      <c r="R183" s="1" t="s">
        <v>158</v>
      </c>
    </row>
    <row r="184" spans="3:18" x14ac:dyDescent="0.35">
      <c r="C184" t="s">
        <v>51</v>
      </c>
      <c r="D184" t="s">
        <v>22</v>
      </c>
      <c r="E184" t="s">
        <v>55</v>
      </c>
      <c r="F184" t="s">
        <v>46</v>
      </c>
      <c r="G184" s="58">
        <v>50182</v>
      </c>
      <c r="H184" s="1" t="s">
        <v>54</v>
      </c>
      <c r="I184" s="1" t="s">
        <v>111</v>
      </c>
      <c r="J184" s="58">
        <v>752730</v>
      </c>
      <c r="K184" s="1" t="s">
        <v>112</v>
      </c>
      <c r="N184" s="1">
        <v>1</v>
      </c>
      <c r="O184" s="58"/>
      <c r="P184" s="58">
        <v>28101.919999999998</v>
      </c>
      <c r="Q184" t="s">
        <v>113</v>
      </c>
      <c r="R184" s="1" t="s">
        <v>158</v>
      </c>
    </row>
    <row r="185" spans="3:18" x14ac:dyDescent="0.35">
      <c r="C185" t="s">
        <v>51</v>
      </c>
      <c r="D185" t="s">
        <v>23</v>
      </c>
      <c r="E185" t="s">
        <v>55</v>
      </c>
      <c r="F185" t="s">
        <v>46</v>
      </c>
      <c r="G185" s="58">
        <v>480914</v>
      </c>
      <c r="H185" s="1" t="s">
        <v>48</v>
      </c>
      <c r="I185" s="1" t="s">
        <v>108</v>
      </c>
      <c r="J185" s="58">
        <v>14908334</v>
      </c>
      <c r="K185" s="1" t="s">
        <v>106</v>
      </c>
      <c r="L185" s="1" t="s">
        <v>120</v>
      </c>
      <c r="M185" s="1" t="s">
        <v>125</v>
      </c>
      <c r="N185" s="1">
        <v>1</v>
      </c>
      <c r="O185" s="58"/>
      <c r="P185" s="58">
        <v>125037.64</v>
      </c>
      <c r="Q185" t="s">
        <v>107</v>
      </c>
      <c r="R185" s="1" t="s">
        <v>48</v>
      </c>
    </row>
    <row r="186" spans="3:18" x14ac:dyDescent="0.35">
      <c r="C186" t="s">
        <v>51</v>
      </c>
      <c r="D186" t="s">
        <v>24</v>
      </c>
      <c r="E186" t="s">
        <v>55</v>
      </c>
      <c r="F186" t="s">
        <v>46</v>
      </c>
      <c r="G186" s="58">
        <v>51901</v>
      </c>
      <c r="H186" s="1" t="s">
        <v>48</v>
      </c>
      <c r="I186" s="1" t="s">
        <v>119</v>
      </c>
      <c r="J186" s="58">
        <v>363307</v>
      </c>
      <c r="K186" s="1" t="s">
        <v>106</v>
      </c>
      <c r="L186" s="1" t="s">
        <v>120</v>
      </c>
      <c r="M186" s="1" t="s">
        <v>125</v>
      </c>
      <c r="N186" s="1">
        <v>1</v>
      </c>
      <c r="O186" s="58"/>
      <c r="P186" s="58">
        <v>9861.19</v>
      </c>
      <c r="Q186" t="s">
        <v>107</v>
      </c>
      <c r="R186" s="1" t="s">
        <v>48</v>
      </c>
    </row>
    <row r="187" spans="3:18" x14ac:dyDescent="0.35">
      <c r="C187" t="s">
        <v>53</v>
      </c>
      <c r="D187" t="s">
        <v>91</v>
      </c>
      <c r="E187" t="s">
        <v>45</v>
      </c>
      <c r="F187" t="s">
        <v>46</v>
      </c>
      <c r="G187" s="58">
        <v>1763347</v>
      </c>
      <c r="H187" s="1" t="s">
        <v>48</v>
      </c>
      <c r="I187" s="1" t="s">
        <v>119</v>
      </c>
      <c r="J187" s="58">
        <v>10580082</v>
      </c>
      <c r="K187" s="1" t="s">
        <v>106</v>
      </c>
      <c r="L187" s="1" t="s">
        <v>120</v>
      </c>
      <c r="M187" s="1" t="s">
        <v>122</v>
      </c>
      <c r="N187" s="1">
        <v>1</v>
      </c>
      <c r="O187" s="58"/>
      <c r="P187" s="58">
        <v>687705.33</v>
      </c>
      <c r="Q187" t="s">
        <v>107</v>
      </c>
      <c r="R187" s="1" t="s">
        <v>158</v>
      </c>
    </row>
    <row r="188" spans="3:18" x14ac:dyDescent="0.35">
      <c r="C188" t="s">
        <v>51</v>
      </c>
      <c r="D188" t="s">
        <v>24</v>
      </c>
      <c r="E188" t="s">
        <v>55</v>
      </c>
      <c r="F188" t="s">
        <v>46</v>
      </c>
      <c r="G188" s="58">
        <v>119210</v>
      </c>
      <c r="H188" s="1" t="s">
        <v>48</v>
      </c>
      <c r="I188" s="1" t="s">
        <v>111</v>
      </c>
      <c r="J188" s="58">
        <v>1668940</v>
      </c>
      <c r="K188" s="1" t="s">
        <v>106</v>
      </c>
      <c r="L188" s="1" t="s">
        <v>114</v>
      </c>
      <c r="M188" s="1" t="s">
        <v>121</v>
      </c>
      <c r="N188" s="1">
        <v>1</v>
      </c>
      <c r="O188" s="58"/>
      <c r="P188" s="58">
        <v>147820.4</v>
      </c>
      <c r="Q188" t="s">
        <v>110</v>
      </c>
      <c r="R188" s="1" t="s">
        <v>158</v>
      </c>
    </row>
    <row r="189" spans="3:18" x14ac:dyDescent="0.35">
      <c r="C189" t="s">
        <v>51</v>
      </c>
      <c r="D189" t="s">
        <v>21</v>
      </c>
      <c r="E189" t="s">
        <v>49</v>
      </c>
      <c r="F189" t="s">
        <v>46</v>
      </c>
      <c r="G189" s="58">
        <v>105997737</v>
      </c>
      <c r="H189" s="1" t="s">
        <v>59</v>
      </c>
      <c r="I189" s="1" t="s">
        <v>111</v>
      </c>
      <c r="J189" s="58">
        <v>1483968318</v>
      </c>
      <c r="K189" s="1" t="s">
        <v>106</v>
      </c>
      <c r="L189" s="1" t="s">
        <v>124</v>
      </c>
      <c r="N189" s="1">
        <v>1</v>
      </c>
      <c r="O189" s="58"/>
      <c r="P189" s="58">
        <v>29679366.359999999</v>
      </c>
      <c r="Q189" t="s">
        <v>107</v>
      </c>
      <c r="R189" s="1" t="s">
        <v>158</v>
      </c>
    </row>
    <row r="190" spans="3:18" x14ac:dyDescent="0.35">
      <c r="C190" t="s">
        <v>51</v>
      </c>
      <c r="D190" t="s">
        <v>22</v>
      </c>
      <c r="E190" t="s">
        <v>45</v>
      </c>
      <c r="F190" t="s">
        <v>46</v>
      </c>
      <c r="G190" s="58">
        <v>10336881</v>
      </c>
      <c r="H190" s="1" t="s">
        <v>56</v>
      </c>
      <c r="I190" s="1" t="s">
        <v>108</v>
      </c>
      <c r="J190" s="58">
        <v>320443311</v>
      </c>
      <c r="K190" s="1" t="s">
        <v>112</v>
      </c>
      <c r="N190" s="1">
        <v>1</v>
      </c>
      <c r="O190" s="58"/>
      <c r="P190" s="58">
        <v>7339185.5099999998</v>
      </c>
      <c r="Q190" t="s">
        <v>118</v>
      </c>
      <c r="R190" s="1" t="s">
        <v>158</v>
      </c>
    </row>
    <row r="191" spans="3:18" x14ac:dyDescent="0.35">
      <c r="C191" t="s">
        <v>51</v>
      </c>
      <c r="D191" t="s">
        <v>21</v>
      </c>
      <c r="E191" t="s">
        <v>45</v>
      </c>
      <c r="F191" t="s">
        <v>46</v>
      </c>
      <c r="G191" s="58">
        <v>927</v>
      </c>
      <c r="H191" s="1" t="s">
        <v>47</v>
      </c>
      <c r="I191" s="1" t="s">
        <v>105</v>
      </c>
      <c r="J191" s="58">
        <v>927</v>
      </c>
      <c r="K191" s="1" t="s">
        <v>106</v>
      </c>
      <c r="L191" s="1" t="s">
        <v>109</v>
      </c>
      <c r="N191" s="1">
        <v>1</v>
      </c>
      <c r="O191" s="58"/>
      <c r="P191" s="58">
        <v>9.27</v>
      </c>
      <c r="Q191" t="s">
        <v>107</v>
      </c>
      <c r="R191" s="1" t="s">
        <v>158</v>
      </c>
    </row>
    <row r="192" spans="3:18" x14ac:dyDescent="0.35">
      <c r="C192" t="s">
        <v>53</v>
      </c>
      <c r="D192" t="s">
        <v>20</v>
      </c>
      <c r="E192" t="s">
        <v>49</v>
      </c>
      <c r="F192" t="s">
        <v>46</v>
      </c>
      <c r="G192" s="58">
        <v>1153120</v>
      </c>
      <c r="H192" s="1" t="s">
        <v>59</v>
      </c>
      <c r="I192" s="1" t="s">
        <v>119</v>
      </c>
      <c r="J192" s="58">
        <v>8071840</v>
      </c>
      <c r="K192" s="1" t="s">
        <v>106</v>
      </c>
      <c r="L192" s="1" t="s">
        <v>124</v>
      </c>
      <c r="N192" s="1">
        <v>1</v>
      </c>
      <c r="O192" s="58"/>
      <c r="P192" s="58">
        <v>415123.20000000001</v>
      </c>
      <c r="Q192" t="s">
        <v>107</v>
      </c>
      <c r="R192" s="1" t="s">
        <v>158</v>
      </c>
    </row>
    <row r="193" spans="3:18" x14ac:dyDescent="0.35">
      <c r="C193" t="s">
        <v>51</v>
      </c>
      <c r="D193" t="s">
        <v>23</v>
      </c>
      <c r="E193" t="s">
        <v>55</v>
      </c>
      <c r="F193" t="s">
        <v>46</v>
      </c>
      <c r="G193" s="58">
        <v>4590563</v>
      </c>
      <c r="H193" s="1" t="s">
        <v>56</v>
      </c>
      <c r="I193" s="1" t="s">
        <v>108</v>
      </c>
      <c r="J193" s="58">
        <v>137716890</v>
      </c>
      <c r="K193" s="1" t="s">
        <v>106</v>
      </c>
      <c r="L193" s="1" t="s">
        <v>114</v>
      </c>
      <c r="N193" s="1">
        <v>1</v>
      </c>
      <c r="O193" s="58"/>
      <c r="P193" s="58">
        <v>3901978.55</v>
      </c>
      <c r="Q193" t="s">
        <v>127</v>
      </c>
      <c r="R193" s="1" t="s">
        <v>158</v>
      </c>
    </row>
    <row r="194" spans="3:18" x14ac:dyDescent="0.35">
      <c r="C194" t="s">
        <v>51</v>
      </c>
      <c r="D194" t="s">
        <v>22</v>
      </c>
      <c r="E194" t="s">
        <v>45</v>
      </c>
      <c r="F194" t="s">
        <v>46</v>
      </c>
      <c r="G194" s="58">
        <v>27334649</v>
      </c>
      <c r="H194" s="1" t="s">
        <v>59</v>
      </c>
      <c r="I194" s="1" t="s">
        <v>111</v>
      </c>
      <c r="J194" s="58">
        <v>464689033</v>
      </c>
      <c r="K194" s="1" t="s">
        <v>106</v>
      </c>
      <c r="L194" s="1" t="s">
        <v>120</v>
      </c>
      <c r="N194" s="1">
        <v>1</v>
      </c>
      <c r="O194" s="58"/>
      <c r="P194" s="58">
        <v>18314214.829999998</v>
      </c>
      <c r="Q194" t="s">
        <v>118</v>
      </c>
      <c r="R194" s="1" t="s">
        <v>158</v>
      </c>
    </row>
    <row r="195" spans="3:18" x14ac:dyDescent="0.35">
      <c r="C195" t="s">
        <v>53</v>
      </c>
      <c r="D195" t="s">
        <v>21</v>
      </c>
      <c r="E195" t="s">
        <v>49</v>
      </c>
      <c r="F195" t="s">
        <v>46</v>
      </c>
      <c r="G195" s="58">
        <v>2244932</v>
      </c>
      <c r="H195" s="1" t="s">
        <v>54</v>
      </c>
      <c r="I195" s="1" t="s">
        <v>111</v>
      </c>
      <c r="J195" s="58">
        <v>26939184</v>
      </c>
      <c r="K195" s="1" t="s">
        <v>106</v>
      </c>
      <c r="L195" s="1" t="s">
        <v>124</v>
      </c>
      <c r="N195" s="1">
        <v>1</v>
      </c>
      <c r="O195" s="58"/>
      <c r="P195" s="58">
        <v>1593901.72</v>
      </c>
      <c r="Q195" t="s">
        <v>118</v>
      </c>
      <c r="R195" s="1" t="s">
        <v>158</v>
      </c>
    </row>
    <row r="196" spans="3:18" x14ac:dyDescent="0.35">
      <c r="C196" t="s">
        <v>51</v>
      </c>
      <c r="D196" t="s">
        <v>25</v>
      </c>
      <c r="E196" t="s">
        <v>50</v>
      </c>
      <c r="F196" t="s">
        <v>46</v>
      </c>
      <c r="G196" s="58">
        <v>67575</v>
      </c>
      <c r="H196" s="1" t="s">
        <v>54</v>
      </c>
      <c r="I196" s="1" t="s">
        <v>111</v>
      </c>
      <c r="J196" s="58">
        <v>1351500</v>
      </c>
      <c r="K196" s="1" t="s">
        <v>112</v>
      </c>
      <c r="N196" s="1">
        <v>1</v>
      </c>
      <c r="O196" s="58"/>
      <c r="P196" s="58">
        <v>56763</v>
      </c>
      <c r="Q196" t="s">
        <v>127</v>
      </c>
      <c r="R196" s="1" t="s">
        <v>158</v>
      </c>
    </row>
    <row r="197" spans="3:18" x14ac:dyDescent="0.35">
      <c r="C197" t="s">
        <v>51</v>
      </c>
      <c r="D197" t="s">
        <v>20</v>
      </c>
      <c r="E197" t="s">
        <v>49</v>
      </c>
      <c r="F197" t="s">
        <v>64</v>
      </c>
      <c r="G197" s="58">
        <v>601208</v>
      </c>
      <c r="H197" s="1" t="s">
        <v>48</v>
      </c>
      <c r="I197" s="1" t="s">
        <v>108</v>
      </c>
      <c r="J197" s="58">
        <v>22244696</v>
      </c>
      <c r="K197" s="1" t="s">
        <v>112</v>
      </c>
      <c r="N197" s="1">
        <v>1</v>
      </c>
      <c r="O197" s="58"/>
      <c r="P197" s="58">
        <v>511026.8</v>
      </c>
      <c r="Q197" t="s">
        <v>127</v>
      </c>
      <c r="R197" s="1" t="s">
        <v>48</v>
      </c>
    </row>
    <row r="198" spans="3:18" x14ac:dyDescent="0.35">
      <c r="C198" t="s">
        <v>51</v>
      </c>
      <c r="D198" t="s">
        <v>22</v>
      </c>
      <c r="E198" t="s">
        <v>45</v>
      </c>
      <c r="F198" t="s">
        <v>46</v>
      </c>
      <c r="G198" s="58">
        <v>9962191</v>
      </c>
      <c r="H198" s="1" t="s">
        <v>48</v>
      </c>
      <c r="I198" s="1" t="s">
        <v>111</v>
      </c>
      <c r="J198" s="58">
        <v>149432865</v>
      </c>
      <c r="K198" s="1" t="s">
        <v>106</v>
      </c>
      <c r="L198" s="1" t="s">
        <v>120</v>
      </c>
      <c r="M198" s="1" t="s">
        <v>115</v>
      </c>
      <c r="N198" s="1">
        <v>1</v>
      </c>
      <c r="O198" s="58"/>
      <c r="P198" s="58">
        <v>5080717.41</v>
      </c>
      <c r="Q198" t="s">
        <v>113</v>
      </c>
      <c r="R198" s="1" t="s">
        <v>48</v>
      </c>
    </row>
    <row r="199" spans="3:18" x14ac:dyDescent="0.35">
      <c r="C199" t="s">
        <v>51</v>
      </c>
      <c r="D199" t="s">
        <v>23</v>
      </c>
      <c r="E199" t="s">
        <v>45</v>
      </c>
      <c r="F199" t="s">
        <v>46</v>
      </c>
      <c r="G199" s="58">
        <v>15441667</v>
      </c>
      <c r="H199" s="1" t="s">
        <v>54</v>
      </c>
      <c r="I199" s="1" t="s">
        <v>119</v>
      </c>
      <c r="J199" s="58">
        <v>108091669</v>
      </c>
      <c r="K199" s="1" t="s">
        <v>106</v>
      </c>
      <c r="L199" s="1" t="s">
        <v>120</v>
      </c>
      <c r="N199" s="1">
        <v>1</v>
      </c>
      <c r="O199" s="58"/>
      <c r="P199" s="58">
        <v>3242750.07</v>
      </c>
      <c r="Q199" t="s">
        <v>107</v>
      </c>
      <c r="R199" s="1" t="s">
        <v>158</v>
      </c>
    </row>
    <row r="200" spans="3:18" x14ac:dyDescent="0.35">
      <c r="C200" t="s">
        <v>51</v>
      </c>
      <c r="D200" t="s">
        <v>19</v>
      </c>
      <c r="E200" t="s">
        <v>49</v>
      </c>
      <c r="F200" t="s">
        <v>46</v>
      </c>
      <c r="G200" s="58">
        <v>233305</v>
      </c>
      <c r="H200" s="1" t="s">
        <v>54</v>
      </c>
      <c r="I200" s="1" t="s">
        <v>111</v>
      </c>
      <c r="J200" s="58">
        <v>3499575</v>
      </c>
      <c r="K200" s="1" t="s">
        <v>112</v>
      </c>
      <c r="N200" s="1">
        <v>1</v>
      </c>
      <c r="O200" s="58"/>
      <c r="P200" s="58">
        <v>39661.85</v>
      </c>
      <c r="Q200" t="s">
        <v>107</v>
      </c>
      <c r="R200" s="1" t="s">
        <v>158</v>
      </c>
    </row>
    <row r="201" spans="3:18" x14ac:dyDescent="0.35">
      <c r="C201" t="s">
        <v>51</v>
      </c>
      <c r="D201" t="s">
        <v>21</v>
      </c>
      <c r="E201" t="s">
        <v>45</v>
      </c>
      <c r="F201" t="s">
        <v>46</v>
      </c>
      <c r="G201" s="58">
        <v>4981790</v>
      </c>
      <c r="H201" s="1" t="s">
        <v>56</v>
      </c>
      <c r="I201" s="1" t="s">
        <v>108</v>
      </c>
      <c r="J201" s="58">
        <v>129526540</v>
      </c>
      <c r="K201" s="1" t="s">
        <v>106</v>
      </c>
      <c r="L201" s="1" t="s">
        <v>120</v>
      </c>
      <c r="N201" s="1">
        <v>1</v>
      </c>
      <c r="O201" s="58"/>
      <c r="P201" s="58">
        <v>2640348.7000000002</v>
      </c>
      <c r="Q201" t="s">
        <v>113</v>
      </c>
      <c r="R201" s="1" t="s">
        <v>158</v>
      </c>
    </row>
    <row r="202" spans="3:18" x14ac:dyDescent="0.35">
      <c r="C202" t="s">
        <v>51</v>
      </c>
      <c r="D202" t="s">
        <v>20</v>
      </c>
      <c r="E202" t="s">
        <v>49</v>
      </c>
      <c r="F202" t="s">
        <v>46</v>
      </c>
      <c r="G202" s="58">
        <v>2827</v>
      </c>
      <c r="H202" s="1" t="s">
        <v>59</v>
      </c>
      <c r="I202" s="1" t="s">
        <v>105</v>
      </c>
      <c r="J202" s="58">
        <v>2827</v>
      </c>
      <c r="K202" s="1" t="s">
        <v>106</v>
      </c>
      <c r="L202" s="1" t="s">
        <v>116</v>
      </c>
      <c r="N202" s="1">
        <v>1</v>
      </c>
      <c r="O202" s="58"/>
      <c r="P202" s="58">
        <v>28.27</v>
      </c>
      <c r="Q202" t="s">
        <v>107</v>
      </c>
      <c r="R202" s="1" t="s">
        <v>158</v>
      </c>
    </row>
    <row r="203" spans="3:18" x14ac:dyDescent="0.35">
      <c r="C203" t="s">
        <v>51</v>
      </c>
      <c r="D203" t="s">
        <v>19</v>
      </c>
      <c r="E203" t="s">
        <v>49</v>
      </c>
      <c r="F203" t="s">
        <v>46</v>
      </c>
      <c r="G203" s="58">
        <v>28721</v>
      </c>
      <c r="H203" s="1" t="s">
        <v>48</v>
      </c>
      <c r="I203" s="1" t="s">
        <v>111</v>
      </c>
      <c r="J203" s="58">
        <v>344652</v>
      </c>
      <c r="K203" s="1" t="s">
        <v>106</v>
      </c>
      <c r="L203" s="1" t="s">
        <v>114</v>
      </c>
      <c r="M203" s="1" t="s">
        <v>121</v>
      </c>
      <c r="N203" s="1">
        <v>1</v>
      </c>
      <c r="O203" s="58"/>
      <c r="P203" s="58">
        <v>2297.6799999999998</v>
      </c>
      <c r="Q203" t="s">
        <v>107</v>
      </c>
      <c r="R203" s="1" t="s">
        <v>158</v>
      </c>
    </row>
    <row r="204" spans="3:18" x14ac:dyDescent="0.35">
      <c r="C204" t="s">
        <v>51</v>
      </c>
      <c r="D204" t="s">
        <v>21</v>
      </c>
      <c r="E204" t="s">
        <v>45</v>
      </c>
      <c r="F204" t="s">
        <v>46</v>
      </c>
      <c r="G204" s="58">
        <v>7559386</v>
      </c>
      <c r="H204" s="1" t="s">
        <v>59</v>
      </c>
      <c r="I204" s="1" t="s">
        <v>108</v>
      </c>
      <c r="J204" s="58">
        <v>188984650</v>
      </c>
      <c r="K204" s="1" t="s">
        <v>106</v>
      </c>
      <c r="L204" s="1" t="s">
        <v>120</v>
      </c>
      <c r="N204" s="1">
        <v>1</v>
      </c>
      <c r="O204" s="58"/>
      <c r="P204" s="58">
        <v>3855286.86</v>
      </c>
      <c r="Q204" t="s">
        <v>113</v>
      </c>
      <c r="R204" s="1" t="s">
        <v>158</v>
      </c>
    </row>
    <row r="205" spans="3:18" x14ac:dyDescent="0.35">
      <c r="C205" t="s">
        <v>51</v>
      </c>
      <c r="D205" t="s">
        <v>24</v>
      </c>
      <c r="E205" t="s">
        <v>45</v>
      </c>
      <c r="F205" t="s">
        <v>46</v>
      </c>
      <c r="G205" s="58">
        <v>227505</v>
      </c>
      <c r="H205" s="1" t="s">
        <v>47</v>
      </c>
      <c r="I205" s="1" t="s">
        <v>119</v>
      </c>
      <c r="J205" s="58">
        <v>1592535</v>
      </c>
      <c r="K205" s="1" t="s">
        <v>106</v>
      </c>
      <c r="L205" s="1" t="s">
        <v>120</v>
      </c>
      <c r="N205" s="1">
        <v>1</v>
      </c>
      <c r="O205" s="58"/>
      <c r="P205" s="58">
        <v>100102.2</v>
      </c>
      <c r="Q205" t="s">
        <v>113</v>
      </c>
      <c r="R205" s="1" t="s">
        <v>158</v>
      </c>
    </row>
    <row r="206" spans="3:18" x14ac:dyDescent="0.35">
      <c r="C206" t="s">
        <v>51</v>
      </c>
      <c r="D206" t="s">
        <v>20</v>
      </c>
      <c r="E206" t="s">
        <v>49</v>
      </c>
      <c r="F206" t="s">
        <v>46</v>
      </c>
      <c r="G206" s="58">
        <v>314480</v>
      </c>
      <c r="H206" s="1" t="s">
        <v>48</v>
      </c>
      <c r="I206" s="1" t="s">
        <v>105</v>
      </c>
      <c r="J206" s="58">
        <v>943440</v>
      </c>
      <c r="K206" s="1" t="s">
        <v>106</v>
      </c>
      <c r="L206" s="1" t="s">
        <v>124</v>
      </c>
      <c r="M206" s="1" t="s">
        <v>123</v>
      </c>
      <c r="N206" s="1">
        <v>1</v>
      </c>
      <c r="O206" s="58"/>
      <c r="P206" s="58">
        <v>31448</v>
      </c>
      <c r="Q206" t="s">
        <v>107</v>
      </c>
      <c r="R206" s="1" t="s">
        <v>48</v>
      </c>
    </row>
    <row r="207" spans="3:18" x14ac:dyDescent="0.35">
      <c r="C207" t="s">
        <v>53</v>
      </c>
      <c r="D207" t="s">
        <v>92</v>
      </c>
      <c r="E207" t="s">
        <v>55</v>
      </c>
      <c r="F207" t="s">
        <v>46</v>
      </c>
      <c r="G207" s="58">
        <v>95800</v>
      </c>
      <c r="H207" s="1" t="s">
        <v>48</v>
      </c>
      <c r="I207" s="1" t="s">
        <v>119</v>
      </c>
      <c r="J207" s="58">
        <v>766400</v>
      </c>
      <c r="K207" s="1" t="s">
        <v>106</v>
      </c>
      <c r="L207" s="1" t="s">
        <v>114</v>
      </c>
      <c r="M207" s="1" t="s">
        <v>123</v>
      </c>
      <c r="N207" s="1">
        <v>1</v>
      </c>
      <c r="O207" s="58"/>
      <c r="P207" s="58">
        <v>47900</v>
      </c>
      <c r="Q207" t="s">
        <v>113</v>
      </c>
      <c r="R207" s="1" t="s">
        <v>158</v>
      </c>
    </row>
    <row r="208" spans="3:18" x14ac:dyDescent="0.35">
      <c r="C208" t="s">
        <v>51</v>
      </c>
      <c r="D208" t="s">
        <v>20</v>
      </c>
      <c r="E208" t="s">
        <v>49</v>
      </c>
      <c r="F208" t="s">
        <v>46</v>
      </c>
      <c r="G208" s="58">
        <v>451</v>
      </c>
      <c r="H208" s="1" t="s">
        <v>56</v>
      </c>
      <c r="I208" s="1" t="s">
        <v>105</v>
      </c>
      <c r="J208" s="58"/>
      <c r="K208" s="1" t="s">
        <v>106</v>
      </c>
      <c r="L208" s="1" t="s">
        <v>124</v>
      </c>
      <c r="N208" s="1">
        <v>0</v>
      </c>
      <c r="O208" s="58"/>
      <c r="P208" s="58">
        <v>0</v>
      </c>
      <c r="Q208" t="s">
        <v>107</v>
      </c>
      <c r="R208" s="1" t="s">
        <v>158</v>
      </c>
    </row>
    <row r="209" spans="3:18" x14ac:dyDescent="0.35">
      <c r="C209" t="s">
        <v>51</v>
      </c>
      <c r="D209" t="s">
        <v>23</v>
      </c>
      <c r="E209" t="s">
        <v>52</v>
      </c>
      <c r="F209" t="s">
        <v>46</v>
      </c>
      <c r="G209" s="58">
        <v>107537</v>
      </c>
      <c r="H209" s="1" t="s">
        <v>48</v>
      </c>
      <c r="I209" s="1" t="s">
        <v>119</v>
      </c>
      <c r="J209" s="58">
        <v>752759</v>
      </c>
      <c r="K209" s="1" t="s">
        <v>106</v>
      </c>
      <c r="L209" s="1" t="s">
        <v>130</v>
      </c>
      <c r="M209" s="1" t="s">
        <v>125</v>
      </c>
      <c r="N209" s="1">
        <v>1</v>
      </c>
      <c r="O209" s="58"/>
      <c r="P209" s="58">
        <v>32261.1</v>
      </c>
      <c r="Q209" t="s">
        <v>107</v>
      </c>
      <c r="R209" s="1" t="s">
        <v>48</v>
      </c>
    </row>
    <row r="210" spans="3:18" x14ac:dyDescent="0.35">
      <c r="C210" t="s">
        <v>51</v>
      </c>
      <c r="D210" t="s">
        <v>24</v>
      </c>
      <c r="E210" t="s">
        <v>52</v>
      </c>
      <c r="F210" t="s">
        <v>46</v>
      </c>
      <c r="G210" s="58">
        <v>121750</v>
      </c>
      <c r="H210" s="1" t="s">
        <v>48</v>
      </c>
      <c r="I210" s="1" t="s">
        <v>119</v>
      </c>
      <c r="J210" s="58">
        <v>1095750</v>
      </c>
      <c r="K210" s="1" t="s">
        <v>106</v>
      </c>
      <c r="L210" s="1" t="s">
        <v>130</v>
      </c>
      <c r="M210" s="1" t="s">
        <v>121</v>
      </c>
      <c r="N210" s="1">
        <v>1</v>
      </c>
      <c r="O210" s="58"/>
      <c r="P210" s="58">
        <v>92530</v>
      </c>
      <c r="Q210" t="s">
        <v>118</v>
      </c>
      <c r="R210" s="1" t="s">
        <v>48</v>
      </c>
    </row>
    <row r="211" spans="3:18" x14ac:dyDescent="0.35">
      <c r="C211" t="s">
        <v>51</v>
      </c>
      <c r="D211" t="s">
        <v>23</v>
      </c>
      <c r="E211" t="s">
        <v>62</v>
      </c>
      <c r="F211" t="s">
        <v>46</v>
      </c>
      <c r="G211" s="58">
        <v>910765</v>
      </c>
      <c r="H211" s="1" t="s">
        <v>48</v>
      </c>
      <c r="I211" s="1" t="s">
        <v>108</v>
      </c>
      <c r="J211" s="58">
        <v>29144480</v>
      </c>
      <c r="K211" s="1" t="s">
        <v>106</v>
      </c>
      <c r="L211" s="1" t="s">
        <v>120</v>
      </c>
      <c r="M211" s="1" t="s">
        <v>125</v>
      </c>
      <c r="N211" s="1">
        <v>1</v>
      </c>
      <c r="O211" s="58"/>
      <c r="P211" s="58">
        <v>746827.3</v>
      </c>
      <c r="Q211" t="s">
        <v>127</v>
      </c>
      <c r="R211" s="1" t="s">
        <v>48</v>
      </c>
    </row>
    <row r="212" spans="3:18" x14ac:dyDescent="0.35">
      <c r="C212" t="s">
        <v>51</v>
      </c>
      <c r="D212" t="s">
        <v>91</v>
      </c>
      <c r="E212" t="s">
        <v>49</v>
      </c>
      <c r="F212" t="s">
        <v>46</v>
      </c>
      <c r="G212" s="58">
        <v>64411015</v>
      </c>
      <c r="H212" s="1" t="s">
        <v>48</v>
      </c>
      <c r="I212" s="1" t="s">
        <v>108</v>
      </c>
      <c r="J212" s="58">
        <v>2383207555</v>
      </c>
      <c r="K212" s="1" t="s">
        <v>112</v>
      </c>
      <c r="N212" s="1">
        <v>1</v>
      </c>
      <c r="O212" s="58"/>
      <c r="P212" s="58">
        <v>56681693.200000003</v>
      </c>
      <c r="Q212" t="s">
        <v>127</v>
      </c>
      <c r="R212" s="1" t="s">
        <v>48</v>
      </c>
    </row>
    <row r="213" spans="3:18" x14ac:dyDescent="0.35">
      <c r="C213" t="s">
        <v>51</v>
      </c>
      <c r="D213" t="s">
        <v>91</v>
      </c>
      <c r="E213" t="s">
        <v>49</v>
      </c>
      <c r="F213" t="s">
        <v>46</v>
      </c>
      <c r="G213" s="58">
        <v>307111</v>
      </c>
      <c r="H213" s="1" t="s">
        <v>47</v>
      </c>
      <c r="I213" s="1" t="s">
        <v>111</v>
      </c>
      <c r="J213" s="58">
        <v>5835109</v>
      </c>
      <c r="K213" s="1" t="s">
        <v>106</v>
      </c>
      <c r="L213" s="1" t="s">
        <v>114</v>
      </c>
      <c r="N213" s="1">
        <v>1</v>
      </c>
      <c r="O213" s="58"/>
      <c r="P213" s="58">
        <v>199622.15</v>
      </c>
      <c r="Q213" t="s">
        <v>118</v>
      </c>
      <c r="R213" s="1" t="s">
        <v>158</v>
      </c>
    </row>
    <row r="214" spans="3:18" x14ac:dyDescent="0.35">
      <c r="C214" t="s">
        <v>53</v>
      </c>
      <c r="D214" t="s">
        <v>22</v>
      </c>
      <c r="E214" t="s">
        <v>45</v>
      </c>
      <c r="F214" t="s">
        <v>46</v>
      </c>
      <c r="G214" s="58">
        <v>2029381</v>
      </c>
      <c r="H214" s="1" t="s">
        <v>56</v>
      </c>
      <c r="I214" s="1" t="s">
        <v>111</v>
      </c>
      <c r="J214" s="58">
        <v>26381953</v>
      </c>
      <c r="K214" s="1" t="s">
        <v>106</v>
      </c>
      <c r="L214" s="1" t="s">
        <v>120</v>
      </c>
      <c r="N214" s="1">
        <v>1</v>
      </c>
      <c r="O214" s="58"/>
      <c r="P214" s="58">
        <v>1339391.46</v>
      </c>
      <c r="Q214" t="s">
        <v>118</v>
      </c>
      <c r="R214" s="1" t="s">
        <v>158</v>
      </c>
    </row>
    <row r="215" spans="3:18" x14ac:dyDescent="0.35">
      <c r="C215" t="s">
        <v>53</v>
      </c>
      <c r="D215" t="s">
        <v>92</v>
      </c>
      <c r="E215" t="s">
        <v>45</v>
      </c>
      <c r="F215" t="s">
        <v>46</v>
      </c>
      <c r="G215" s="58">
        <v>24733741</v>
      </c>
      <c r="H215" s="1" t="s">
        <v>48</v>
      </c>
      <c r="I215" s="1" t="s">
        <v>111</v>
      </c>
      <c r="J215" s="58">
        <v>321538633</v>
      </c>
      <c r="K215" s="1" t="s">
        <v>106</v>
      </c>
      <c r="L215" s="1" t="s">
        <v>120</v>
      </c>
      <c r="M215" s="1" t="s">
        <v>123</v>
      </c>
      <c r="N215" s="1">
        <v>1</v>
      </c>
      <c r="O215" s="58"/>
      <c r="P215" s="58">
        <v>16076931.65</v>
      </c>
      <c r="Q215" t="s">
        <v>118</v>
      </c>
      <c r="R215" s="1" t="s">
        <v>158</v>
      </c>
    </row>
    <row r="216" spans="3:18" x14ac:dyDescent="0.35">
      <c r="C216" t="s">
        <v>51</v>
      </c>
      <c r="D216" t="s">
        <v>20</v>
      </c>
      <c r="E216" t="s">
        <v>49</v>
      </c>
      <c r="F216" t="s">
        <v>46</v>
      </c>
      <c r="G216" s="58">
        <v>40738315</v>
      </c>
      <c r="H216" s="1" t="s">
        <v>48</v>
      </c>
      <c r="I216" s="1" t="s">
        <v>111</v>
      </c>
      <c r="J216" s="58">
        <v>651813040</v>
      </c>
      <c r="K216" s="1" t="s">
        <v>106</v>
      </c>
      <c r="L216" s="1" t="s">
        <v>124</v>
      </c>
      <c r="M216" s="1" t="s">
        <v>123</v>
      </c>
      <c r="N216" s="1">
        <v>1</v>
      </c>
      <c r="O216" s="58"/>
      <c r="P216" s="58">
        <v>19961774.350000001</v>
      </c>
      <c r="Q216" t="s">
        <v>113</v>
      </c>
      <c r="R216" s="1" t="s">
        <v>158</v>
      </c>
    </row>
    <row r="217" spans="3:18" x14ac:dyDescent="0.35">
      <c r="C217" t="s">
        <v>51</v>
      </c>
      <c r="D217" t="s">
        <v>20</v>
      </c>
      <c r="E217" t="s">
        <v>45</v>
      </c>
      <c r="F217" t="s">
        <v>46</v>
      </c>
      <c r="G217" s="58">
        <v>415351</v>
      </c>
      <c r="H217" s="1" t="s">
        <v>59</v>
      </c>
      <c r="I217" s="1" t="s">
        <v>108</v>
      </c>
      <c r="J217" s="58">
        <v>14537285</v>
      </c>
      <c r="K217" s="1" t="s">
        <v>106</v>
      </c>
      <c r="L217" s="1" t="s">
        <v>120</v>
      </c>
      <c r="N217" s="1">
        <v>1</v>
      </c>
      <c r="O217" s="58"/>
      <c r="P217" s="58">
        <v>344741.33</v>
      </c>
      <c r="Q217" t="s">
        <v>127</v>
      </c>
      <c r="R217" s="1" t="s">
        <v>158</v>
      </c>
    </row>
    <row r="218" spans="3:18" x14ac:dyDescent="0.35">
      <c r="C218" t="s">
        <v>53</v>
      </c>
      <c r="D218" t="s">
        <v>21</v>
      </c>
      <c r="E218" t="s">
        <v>49</v>
      </c>
      <c r="F218" t="s">
        <v>46</v>
      </c>
      <c r="G218" s="58">
        <v>21328</v>
      </c>
      <c r="H218" s="1" t="s">
        <v>47</v>
      </c>
      <c r="I218" s="1" t="s">
        <v>105</v>
      </c>
      <c r="J218" s="58">
        <v>63984</v>
      </c>
      <c r="K218" s="1" t="s">
        <v>106</v>
      </c>
      <c r="L218" s="1" t="s">
        <v>120</v>
      </c>
      <c r="N218" s="1">
        <v>1</v>
      </c>
      <c r="O218" s="58"/>
      <c r="P218" s="58">
        <v>9384.32</v>
      </c>
      <c r="Q218" t="s">
        <v>113</v>
      </c>
      <c r="R218" s="1" t="s">
        <v>158</v>
      </c>
    </row>
    <row r="219" spans="3:18" x14ac:dyDescent="0.35">
      <c r="C219" t="s">
        <v>51</v>
      </c>
      <c r="D219" t="s">
        <v>92</v>
      </c>
      <c r="E219" t="s">
        <v>49</v>
      </c>
      <c r="F219" t="s">
        <v>46</v>
      </c>
      <c r="G219" s="58">
        <v>164282</v>
      </c>
      <c r="H219" s="1" t="s">
        <v>47</v>
      </c>
      <c r="I219" s="1" t="s">
        <v>111</v>
      </c>
      <c r="J219" s="58">
        <v>2957076</v>
      </c>
      <c r="K219" s="1" t="s">
        <v>106</v>
      </c>
      <c r="L219" s="1" t="s">
        <v>120</v>
      </c>
      <c r="N219" s="1">
        <v>1</v>
      </c>
      <c r="O219" s="58"/>
      <c r="P219" s="58">
        <v>73926.899999999994</v>
      </c>
      <c r="Q219" t="s">
        <v>113</v>
      </c>
      <c r="R219" s="1" t="s">
        <v>158</v>
      </c>
    </row>
    <row r="220" spans="3:18" x14ac:dyDescent="0.35">
      <c r="C220" t="s">
        <v>51</v>
      </c>
      <c r="D220" t="s">
        <v>21</v>
      </c>
      <c r="E220" t="s">
        <v>45</v>
      </c>
      <c r="F220" t="s">
        <v>46</v>
      </c>
      <c r="G220" s="58">
        <v>15041</v>
      </c>
      <c r="H220" s="1" t="s">
        <v>48</v>
      </c>
      <c r="I220" s="1" t="s">
        <v>105</v>
      </c>
      <c r="J220" s="58">
        <v>60164</v>
      </c>
      <c r="K220" s="1" t="s">
        <v>106</v>
      </c>
      <c r="L220" s="1" t="s">
        <v>120</v>
      </c>
      <c r="M220" s="1" t="s">
        <v>126</v>
      </c>
      <c r="N220" s="1">
        <v>1</v>
      </c>
      <c r="O220" s="58"/>
      <c r="P220" s="58">
        <v>10528.7</v>
      </c>
      <c r="Q220" t="s">
        <v>118</v>
      </c>
      <c r="R220" s="1" t="s">
        <v>158</v>
      </c>
    </row>
    <row r="221" spans="3:18" x14ac:dyDescent="0.35">
      <c r="C221" t="s">
        <v>51</v>
      </c>
      <c r="D221" t="s">
        <v>91</v>
      </c>
      <c r="E221" t="s">
        <v>49</v>
      </c>
      <c r="F221" t="s">
        <v>46</v>
      </c>
      <c r="G221" s="58">
        <v>1606777</v>
      </c>
      <c r="H221" s="1" t="s">
        <v>54</v>
      </c>
      <c r="I221" s="1" t="s">
        <v>111</v>
      </c>
      <c r="J221" s="58">
        <v>27315209</v>
      </c>
      <c r="K221" s="1" t="s">
        <v>106</v>
      </c>
      <c r="L221" s="1" t="s">
        <v>124</v>
      </c>
      <c r="N221" s="1">
        <v>1</v>
      </c>
      <c r="O221" s="58"/>
      <c r="P221" s="58">
        <v>1044405.05</v>
      </c>
      <c r="Q221" t="s">
        <v>118</v>
      </c>
      <c r="R221" s="1" t="s">
        <v>158</v>
      </c>
    </row>
    <row r="222" spans="3:18" x14ac:dyDescent="0.35">
      <c r="C222" t="s">
        <v>53</v>
      </c>
      <c r="D222" t="s">
        <v>92</v>
      </c>
      <c r="E222" t="s">
        <v>45</v>
      </c>
      <c r="F222" t="s">
        <v>46</v>
      </c>
      <c r="G222" s="58">
        <v>373960</v>
      </c>
      <c r="H222" s="1" t="s">
        <v>47</v>
      </c>
      <c r="I222" s="1" t="s">
        <v>119</v>
      </c>
      <c r="J222" s="58">
        <v>3739600</v>
      </c>
      <c r="K222" s="1" t="s">
        <v>112</v>
      </c>
      <c r="N222" s="1">
        <v>1</v>
      </c>
      <c r="O222" s="58"/>
      <c r="P222" s="58">
        <v>254292.8</v>
      </c>
      <c r="Q222" t="s">
        <v>118</v>
      </c>
      <c r="R222" s="1" t="s">
        <v>158</v>
      </c>
    </row>
    <row r="223" spans="3:18" x14ac:dyDescent="0.35">
      <c r="C223" t="s">
        <v>51</v>
      </c>
      <c r="D223" t="s">
        <v>25</v>
      </c>
      <c r="E223" t="s">
        <v>55</v>
      </c>
      <c r="F223" t="s">
        <v>46</v>
      </c>
      <c r="G223" s="58">
        <v>1809200</v>
      </c>
      <c r="H223" s="1" t="s">
        <v>47</v>
      </c>
      <c r="I223" s="1" t="s">
        <v>119</v>
      </c>
      <c r="J223" s="58">
        <v>12664400</v>
      </c>
      <c r="K223" s="1" t="s">
        <v>106</v>
      </c>
      <c r="L223" s="1" t="s">
        <v>114</v>
      </c>
      <c r="N223" s="1">
        <v>1</v>
      </c>
      <c r="O223" s="58"/>
      <c r="P223" s="58">
        <v>379932</v>
      </c>
      <c r="Q223" t="s">
        <v>107</v>
      </c>
      <c r="R223" s="1" t="s">
        <v>158</v>
      </c>
    </row>
    <row r="224" spans="3:18" x14ac:dyDescent="0.35">
      <c r="C224" t="s">
        <v>51</v>
      </c>
      <c r="D224" t="s">
        <v>22</v>
      </c>
      <c r="E224" t="s">
        <v>49</v>
      </c>
      <c r="F224" t="s">
        <v>46</v>
      </c>
      <c r="G224" s="58">
        <v>583697</v>
      </c>
      <c r="H224" s="1" t="s">
        <v>54</v>
      </c>
      <c r="I224" s="1" t="s">
        <v>111</v>
      </c>
      <c r="J224" s="58">
        <v>7004364</v>
      </c>
      <c r="K224" s="1" t="s">
        <v>112</v>
      </c>
      <c r="N224" s="1">
        <v>1</v>
      </c>
      <c r="O224" s="58"/>
      <c r="P224" s="58">
        <v>396913.96</v>
      </c>
      <c r="Q224" t="s">
        <v>118</v>
      </c>
      <c r="R224" s="1" t="s">
        <v>158</v>
      </c>
    </row>
    <row r="225" spans="3:18" x14ac:dyDescent="0.35">
      <c r="C225" t="s">
        <v>51</v>
      </c>
      <c r="D225" t="s">
        <v>22</v>
      </c>
      <c r="E225" t="s">
        <v>49</v>
      </c>
      <c r="F225" t="s">
        <v>46</v>
      </c>
      <c r="G225" s="58">
        <v>2581833</v>
      </c>
      <c r="H225" s="1" t="s">
        <v>48</v>
      </c>
      <c r="I225" s="1" t="s">
        <v>108</v>
      </c>
      <c r="J225" s="58">
        <v>87782322</v>
      </c>
      <c r="K225" s="1" t="s">
        <v>106</v>
      </c>
      <c r="L225" s="1" t="s">
        <v>120</v>
      </c>
      <c r="M225" s="1" t="s">
        <v>115</v>
      </c>
      <c r="N225" s="1">
        <v>1</v>
      </c>
      <c r="O225" s="58"/>
      <c r="P225" s="58">
        <v>1833101.43</v>
      </c>
      <c r="Q225" t="s">
        <v>118</v>
      </c>
      <c r="R225" s="1" t="s">
        <v>158</v>
      </c>
    </row>
    <row r="226" spans="3:18" x14ac:dyDescent="0.35">
      <c r="C226" t="s">
        <v>51</v>
      </c>
      <c r="D226" t="s">
        <v>23</v>
      </c>
      <c r="E226" t="s">
        <v>55</v>
      </c>
      <c r="F226" t="s">
        <v>46</v>
      </c>
      <c r="G226" s="58">
        <v>203073</v>
      </c>
      <c r="H226" s="1" t="s">
        <v>56</v>
      </c>
      <c r="I226" s="1" t="s">
        <v>111</v>
      </c>
      <c r="J226" s="58">
        <v>3858387</v>
      </c>
      <c r="K226" s="1" t="s">
        <v>112</v>
      </c>
      <c r="N226" s="1">
        <v>1</v>
      </c>
      <c r="O226" s="58"/>
      <c r="P226" s="58">
        <v>160427.67000000001</v>
      </c>
      <c r="Q226" t="s">
        <v>118</v>
      </c>
      <c r="R226" s="1" t="s">
        <v>158</v>
      </c>
    </row>
    <row r="227" spans="3:18" x14ac:dyDescent="0.35">
      <c r="C227" t="s">
        <v>53</v>
      </c>
      <c r="D227" t="s">
        <v>20</v>
      </c>
      <c r="E227" t="s">
        <v>45</v>
      </c>
      <c r="F227" t="s">
        <v>46</v>
      </c>
      <c r="G227" s="58">
        <v>2922144</v>
      </c>
      <c r="H227" s="1" t="s">
        <v>56</v>
      </c>
      <c r="I227" s="1" t="s">
        <v>111</v>
      </c>
      <c r="J227" s="58">
        <v>32143584</v>
      </c>
      <c r="K227" s="1" t="s">
        <v>106</v>
      </c>
      <c r="L227" s="1" t="s">
        <v>120</v>
      </c>
      <c r="N227" s="1">
        <v>1</v>
      </c>
      <c r="O227" s="58"/>
      <c r="P227" s="58">
        <v>1431850.56</v>
      </c>
      <c r="Q227" t="s">
        <v>113</v>
      </c>
      <c r="R227" s="1" t="s">
        <v>158</v>
      </c>
    </row>
    <row r="228" spans="3:18" x14ac:dyDescent="0.35">
      <c r="C228" t="s">
        <v>51</v>
      </c>
      <c r="D228" t="s">
        <v>92</v>
      </c>
      <c r="E228" t="s">
        <v>49</v>
      </c>
      <c r="F228" t="s">
        <v>46</v>
      </c>
      <c r="G228" s="58">
        <v>12545</v>
      </c>
      <c r="H228" s="1" t="s">
        <v>59</v>
      </c>
      <c r="I228" s="1" t="s">
        <v>105</v>
      </c>
      <c r="J228" s="58">
        <v>37635</v>
      </c>
      <c r="K228" s="1" t="s">
        <v>106</v>
      </c>
      <c r="L228" s="1" t="s">
        <v>124</v>
      </c>
      <c r="N228" s="1">
        <v>1</v>
      </c>
      <c r="O228" s="58"/>
      <c r="P228" s="58">
        <v>7777.9</v>
      </c>
      <c r="Q228" t="s">
        <v>118</v>
      </c>
      <c r="R228" s="1" t="s">
        <v>158</v>
      </c>
    </row>
    <row r="229" spans="3:18" x14ac:dyDescent="0.35">
      <c r="C229" t="s">
        <v>51</v>
      </c>
      <c r="D229" t="s">
        <v>21</v>
      </c>
      <c r="E229" t="s">
        <v>49</v>
      </c>
      <c r="F229" t="s">
        <v>46</v>
      </c>
      <c r="G229" s="58">
        <v>113396</v>
      </c>
      <c r="H229" s="1" t="s">
        <v>54</v>
      </c>
      <c r="I229" s="1" t="s">
        <v>119</v>
      </c>
      <c r="J229" s="58">
        <v>1133960</v>
      </c>
      <c r="K229" s="1" t="s">
        <v>112</v>
      </c>
      <c r="N229" s="1">
        <v>1</v>
      </c>
      <c r="O229" s="58"/>
      <c r="P229" s="58">
        <v>57831.96</v>
      </c>
      <c r="Q229" t="s">
        <v>113</v>
      </c>
      <c r="R229" s="1" t="s">
        <v>158</v>
      </c>
    </row>
    <row r="230" spans="3:18" x14ac:dyDescent="0.35">
      <c r="C230" t="s">
        <v>53</v>
      </c>
      <c r="D230" t="s">
        <v>19</v>
      </c>
      <c r="E230" t="s">
        <v>49</v>
      </c>
      <c r="F230" t="s">
        <v>46</v>
      </c>
      <c r="G230" s="58">
        <v>2155787</v>
      </c>
      <c r="H230" s="1" t="s">
        <v>47</v>
      </c>
      <c r="I230" s="1" t="s">
        <v>111</v>
      </c>
      <c r="J230" s="58">
        <v>21557870</v>
      </c>
      <c r="K230" s="1" t="s">
        <v>106</v>
      </c>
      <c r="L230" s="1" t="s">
        <v>114</v>
      </c>
      <c r="N230" s="1">
        <v>1</v>
      </c>
      <c r="O230" s="58"/>
      <c r="P230" s="58">
        <v>1271914.33</v>
      </c>
      <c r="Q230" t="s">
        <v>113</v>
      </c>
      <c r="R230" s="1" t="s">
        <v>158</v>
      </c>
    </row>
    <row r="231" spans="3:18" x14ac:dyDescent="0.35">
      <c r="C231" t="s">
        <v>51</v>
      </c>
      <c r="D231" t="s">
        <v>21</v>
      </c>
      <c r="E231" t="s">
        <v>45</v>
      </c>
      <c r="F231" t="s">
        <v>46</v>
      </c>
      <c r="G231" s="58">
        <v>1736925</v>
      </c>
      <c r="H231" s="1" t="s">
        <v>47</v>
      </c>
      <c r="I231" s="1" t="s">
        <v>108</v>
      </c>
      <c r="J231" s="58">
        <v>55581600</v>
      </c>
      <c r="K231" s="1" t="s">
        <v>112</v>
      </c>
      <c r="N231" s="1">
        <v>1</v>
      </c>
      <c r="O231" s="58"/>
      <c r="P231" s="58">
        <v>920570.25</v>
      </c>
      <c r="Q231" t="s">
        <v>113</v>
      </c>
      <c r="R231" s="1" t="s">
        <v>158</v>
      </c>
    </row>
    <row r="232" spans="3:18" x14ac:dyDescent="0.35">
      <c r="C232" t="s">
        <v>51</v>
      </c>
      <c r="D232" t="s">
        <v>23</v>
      </c>
      <c r="E232" t="s">
        <v>50</v>
      </c>
      <c r="F232" t="s">
        <v>46</v>
      </c>
      <c r="G232" s="58">
        <v>112814</v>
      </c>
      <c r="H232" s="1" t="s">
        <v>48</v>
      </c>
      <c r="I232" s="1" t="s">
        <v>119</v>
      </c>
      <c r="J232" s="58">
        <v>1128140</v>
      </c>
      <c r="K232" s="1" t="s">
        <v>106</v>
      </c>
      <c r="L232" s="1" t="s">
        <v>120</v>
      </c>
      <c r="M232" s="1" t="s">
        <v>125</v>
      </c>
      <c r="N232" s="1">
        <v>1</v>
      </c>
      <c r="O232" s="58"/>
      <c r="P232" s="58">
        <v>41741.18</v>
      </c>
      <c r="Q232" t="s">
        <v>107</v>
      </c>
      <c r="R232" s="1" t="s">
        <v>48</v>
      </c>
    </row>
    <row r="233" spans="3:18" x14ac:dyDescent="0.35">
      <c r="C233" t="s">
        <v>53</v>
      </c>
      <c r="D233" t="s">
        <v>20</v>
      </c>
      <c r="E233" t="s">
        <v>49</v>
      </c>
      <c r="F233" t="s">
        <v>46</v>
      </c>
      <c r="G233" s="58">
        <v>5757069</v>
      </c>
      <c r="H233" s="1" t="s">
        <v>56</v>
      </c>
      <c r="I233" s="1" t="s">
        <v>105</v>
      </c>
      <c r="J233" s="58">
        <v>17271207</v>
      </c>
      <c r="K233" s="1" t="s">
        <v>106</v>
      </c>
      <c r="L233" s="1" t="s">
        <v>124</v>
      </c>
      <c r="N233" s="1">
        <v>1</v>
      </c>
      <c r="O233" s="58"/>
      <c r="P233" s="58">
        <v>2072544.84</v>
      </c>
      <c r="Q233" t="s">
        <v>107</v>
      </c>
      <c r="R233" s="1" t="s">
        <v>158</v>
      </c>
    </row>
    <row r="234" spans="3:18" x14ac:dyDescent="0.35">
      <c r="C234" t="s">
        <v>51</v>
      </c>
      <c r="D234" t="s">
        <v>19</v>
      </c>
      <c r="E234" t="s">
        <v>49</v>
      </c>
      <c r="F234" t="s">
        <v>46</v>
      </c>
      <c r="G234" s="58">
        <v>31583878</v>
      </c>
      <c r="H234" s="1" t="s">
        <v>47</v>
      </c>
      <c r="I234" s="1" t="s">
        <v>119</v>
      </c>
      <c r="J234" s="58">
        <v>221087146</v>
      </c>
      <c r="K234" s="1" t="s">
        <v>106</v>
      </c>
      <c r="L234" s="1" t="s">
        <v>124</v>
      </c>
      <c r="N234" s="1">
        <v>1</v>
      </c>
      <c r="O234" s="58"/>
      <c r="P234" s="58">
        <v>6632614.3799999999</v>
      </c>
      <c r="Q234" t="s">
        <v>107</v>
      </c>
      <c r="R234" s="1" t="s">
        <v>158</v>
      </c>
    </row>
    <row r="235" spans="3:18" x14ac:dyDescent="0.35">
      <c r="C235" t="s">
        <v>51</v>
      </c>
      <c r="D235" t="s">
        <v>22</v>
      </c>
      <c r="E235" t="s">
        <v>55</v>
      </c>
      <c r="F235" t="s">
        <v>64</v>
      </c>
      <c r="G235" s="58">
        <v>296164</v>
      </c>
      <c r="H235" s="1" t="s">
        <v>48</v>
      </c>
      <c r="I235" s="1" t="s">
        <v>108</v>
      </c>
      <c r="J235" s="58">
        <v>11846560</v>
      </c>
      <c r="K235" s="1" t="s">
        <v>106</v>
      </c>
      <c r="L235" s="1" t="s">
        <v>114</v>
      </c>
      <c r="M235" s="1" t="s">
        <v>115</v>
      </c>
      <c r="N235" s="1">
        <v>1</v>
      </c>
      <c r="O235" s="58"/>
      <c r="P235" s="58">
        <v>210276.44</v>
      </c>
      <c r="Q235" t="s">
        <v>118</v>
      </c>
      <c r="R235" s="1" t="s">
        <v>48</v>
      </c>
    </row>
    <row r="236" spans="3:18" x14ac:dyDescent="0.35">
      <c r="C236" t="s">
        <v>51</v>
      </c>
      <c r="D236" t="s">
        <v>22</v>
      </c>
      <c r="E236" t="s">
        <v>55</v>
      </c>
      <c r="F236" t="s">
        <v>46</v>
      </c>
      <c r="G236" s="58">
        <v>655274</v>
      </c>
      <c r="H236" s="1" t="s">
        <v>48</v>
      </c>
      <c r="I236" s="1" t="s">
        <v>108</v>
      </c>
      <c r="J236" s="58">
        <v>18347672</v>
      </c>
      <c r="K236" s="1" t="s">
        <v>112</v>
      </c>
      <c r="N236" s="1">
        <v>1</v>
      </c>
      <c r="O236" s="58"/>
      <c r="P236" s="58">
        <v>334189.74</v>
      </c>
      <c r="Q236" t="s">
        <v>113</v>
      </c>
      <c r="R236" s="1" t="s">
        <v>158</v>
      </c>
    </row>
    <row r="237" spans="3:18" x14ac:dyDescent="0.35">
      <c r="C237" t="s">
        <v>51</v>
      </c>
      <c r="D237" t="s">
        <v>21</v>
      </c>
      <c r="E237" t="s">
        <v>45</v>
      </c>
      <c r="F237" t="s">
        <v>46</v>
      </c>
      <c r="G237" s="58">
        <v>5675389</v>
      </c>
      <c r="H237" s="1" t="s">
        <v>54</v>
      </c>
      <c r="I237" s="1" t="s">
        <v>111</v>
      </c>
      <c r="J237" s="58">
        <v>79455446</v>
      </c>
      <c r="K237" s="1" t="s">
        <v>106</v>
      </c>
      <c r="L237" s="1" t="s">
        <v>120</v>
      </c>
      <c r="N237" s="1">
        <v>1</v>
      </c>
      <c r="O237" s="58"/>
      <c r="P237" s="58">
        <v>1418847.25</v>
      </c>
      <c r="Q237" t="s">
        <v>107</v>
      </c>
      <c r="R237" s="1" t="s">
        <v>158</v>
      </c>
    </row>
    <row r="238" spans="3:18" x14ac:dyDescent="0.35">
      <c r="C238" t="s">
        <v>53</v>
      </c>
      <c r="D238" t="s">
        <v>21</v>
      </c>
      <c r="E238" t="s">
        <v>45</v>
      </c>
      <c r="F238" t="s">
        <v>46</v>
      </c>
      <c r="G238" s="58">
        <v>721</v>
      </c>
      <c r="H238" s="1" t="s">
        <v>48</v>
      </c>
      <c r="I238" s="1" t="s">
        <v>128</v>
      </c>
      <c r="J238" s="58"/>
      <c r="K238" s="1" t="s">
        <v>106</v>
      </c>
      <c r="L238" s="1" t="s">
        <v>120</v>
      </c>
      <c r="M238" s="1" t="s">
        <v>126</v>
      </c>
      <c r="N238" s="1">
        <v>0</v>
      </c>
      <c r="O238" s="58"/>
      <c r="P238" s="58">
        <v>0</v>
      </c>
      <c r="Q238" t="s">
        <v>107</v>
      </c>
      <c r="R238" s="1" t="s">
        <v>158</v>
      </c>
    </row>
    <row r="239" spans="3:18" x14ac:dyDescent="0.35">
      <c r="C239" t="s">
        <v>51</v>
      </c>
      <c r="D239" t="s">
        <v>24</v>
      </c>
      <c r="E239" t="s">
        <v>55</v>
      </c>
      <c r="F239" t="s">
        <v>46</v>
      </c>
      <c r="G239" s="58">
        <v>107611</v>
      </c>
      <c r="H239" s="1" t="s">
        <v>54</v>
      </c>
      <c r="I239" s="1" t="s">
        <v>119</v>
      </c>
      <c r="J239" s="58">
        <v>753277</v>
      </c>
      <c r="K239" s="1" t="s">
        <v>112</v>
      </c>
      <c r="N239" s="1">
        <v>1</v>
      </c>
      <c r="O239" s="58"/>
      <c r="P239" s="58">
        <v>34435.519999999997</v>
      </c>
      <c r="Q239" t="s">
        <v>107</v>
      </c>
      <c r="R239" s="1" t="s">
        <v>158</v>
      </c>
    </row>
    <row r="240" spans="3:18" x14ac:dyDescent="0.35">
      <c r="C240" t="s">
        <v>51</v>
      </c>
      <c r="D240" t="s">
        <v>20</v>
      </c>
      <c r="E240" t="s">
        <v>49</v>
      </c>
      <c r="F240" t="s">
        <v>46</v>
      </c>
      <c r="G240" s="58">
        <v>202587</v>
      </c>
      <c r="H240" s="1" t="s">
        <v>48</v>
      </c>
      <c r="I240" s="1" t="s">
        <v>108</v>
      </c>
      <c r="J240" s="58">
        <v>7293132</v>
      </c>
      <c r="K240" s="1" t="s">
        <v>106</v>
      </c>
      <c r="L240" s="1" t="s">
        <v>124</v>
      </c>
      <c r="M240" s="1" t="s">
        <v>115</v>
      </c>
      <c r="N240" s="1">
        <v>1</v>
      </c>
      <c r="O240" s="58"/>
      <c r="P240" s="58">
        <v>137759.16</v>
      </c>
      <c r="Q240" t="s">
        <v>118</v>
      </c>
      <c r="R240" s="1" t="s">
        <v>158</v>
      </c>
    </row>
    <row r="241" spans="3:18" x14ac:dyDescent="0.35">
      <c r="C241" t="s">
        <v>51</v>
      </c>
      <c r="D241" t="s">
        <v>24</v>
      </c>
      <c r="E241" t="s">
        <v>55</v>
      </c>
      <c r="F241" t="s">
        <v>46</v>
      </c>
      <c r="G241" s="58">
        <v>123372</v>
      </c>
      <c r="H241" s="1" t="s">
        <v>48</v>
      </c>
      <c r="I241" s="1" t="s">
        <v>108</v>
      </c>
      <c r="J241" s="58">
        <v>4194648</v>
      </c>
      <c r="K241" s="1" t="s">
        <v>106</v>
      </c>
      <c r="L241" s="1" t="s">
        <v>120</v>
      </c>
      <c r="M241" s="1" t="s">
        <v>125</v>
      </c>
      <c r="N241" s="1">
        <v>1</v>
      </c>
      <c r="O241" s="58"/>
      <c r="P241" s="58">
        <v>96230.16</v>
      </c>
      <c r="Q241" t="s">
        <v>118</v>
      </c>
      <c r="R241" s="1" t="s">
        <v>48</v>
      </c>
    </row>
    <row r="242" spans="3:18" x14ac:dyDescent="0.35">
      <c r="C242" t="s">
        <v>53</v>
      </c>
      <c r="D242" t="s">
        <v>24</v>
      </c>
      <c r="E242" t="s">
        <v>50</v>
      </c>
      <c r="F242" t="s">
        <v>46</v>
      </c>
      <c r="G242" s="58">
        <v>42669</v>
      </c>
      <c r="H242" s="1" t="s">
        <v>48</v>
      </c>
      <c r="I242" s="1" t="s">
        <v>105</v>
      </c>
      <c r="J242" s="58">
        <v>128007</v>
      </c>
      <c r="K242" s="1" t="s">
        <v>106</v>
      </c>
      <c r="L242" s="1" t="s">
        <v>109</v>
      </c>
      <c r="M242" s="1" t="s">
        <v>121</v>
      </c>
      <c r="N242" s="1">
        <v>1</v>
      </c>
      <c r="O242" s="58"/>
      <c r="P242" s="58">
        <v>11520.63</v>
      </c>
      <c r="Q242" t="s">
        <v>107</v>
      </c>
      <c r="R242" s="1" t="s">
        <v>158</v>
      </c>
    </row>
    <row r="243" spans="3:18" x14ac:dyDescent="0.35">
      <c r="C243" t="s">
        <v>51</v>
      </c>
      <c r="D243" t="s">
        <v>25</v>
      </c>
      <c r="E243" t="s">
        <v>50</v>
      </c>
      <c r="F243" t="s">
        <v>46</v>
      </c>
      <c r="G243" s="58">
        <v>30362</v>
      </c>
      <c r="H243" s="1" t="s">
        <v>54</v>
      </c>
      <c r="I243" s="1" t="s">
        <v>119</v>
      </c>
      <c r="J243" s="58">
        <v>212534</v>
      </c>
      <c r="K243" s="1" t="s">
        <v>106</v>
      </c>
      <c r="L243" s="1" t="s">
        <v>114</v>
      </c>
      <c r="N243" s="1">
        <v>1</v>
      </c>
      <c r="O243" s="58"/>
      <c r="P243" s="58">
        <v>9108.6</v>
      </c>
      <c r="Q243" t="s">
        <v>107</v>
      </c>
      <c r="R243" s="1" t="s">
        <v>158</v>
      </c>
    </row>
    <row r="244" spans="3:18" x14ac:dyDescent="0.35">
      <c r="C244" t="s">
        <v>51</v>
      </c>
      <c r="D244" t="s">
        <v>23</v>
      </c>
      <c r="E244" t="s">
        <v>49</v>
      </c>
      <c r="F244" t="s">
        <v>46</v>
      </c>
      <c r="G244" s="58">
        <v>211481</v>
      </c>
      <c r="H244" s="1" t="s">
        <v>48</v>
      </c>
      <c r="I244" s="1" t="s">
        <v>108</v>
      </c>
      <c r="J244" s="58">
        <v>8036278</v>
      </c>
      <c r="K244" s="1" t="s">
        <v>106</v>
      </c>
      <c r="L244" s="1" t="s">
        <v>124</v>
      </c>
      <c r="M244" s="1" t="s">
        <v>125</v>
      </c>
      <c r="N244" s="1">
        <v>1</v>
      </c>
      <c r="O244" s="58"/>
      <c r="P244" s="58">
        <v>186103.28</v>
      </c>
      <c r="Q244" t="s">
        <v>127</v>
      </c>
      <c r="R244" s="1" t="s">
        <v>48</v>
      </c>
    </row>
    <row r="245" spans="3:18" x14ac:dyDescent="0.35">
      <c r="C245" t="s">
        <v>51</v>
      </c>
      <c r="D245" t="s">
        <v>23</v>
      </c>
      <c r="E245" t="s">
        <v>62</v>
      </c>
      <c r="F245" t="s">
        <v>46</v>
      </c>
      <c r="G245" s="58">
        <v>8111321</v>
      </c>
      <c r="H245" s="1" t="s">
        <v>48</v>
      </c>
      <c r="I245" s="1" t="s">
        <v>108</v>
      </c>
      <c r="J245" s="58">
        <v>235228309</v>
      </c>
      <c r="K245" s="1" t="s">
        <v>106</v>
      </c>
      <c r="L245" s="1" t="s">
        <v>131</v>
      </c>
      <c r="M245" s="1" t="s">
        <v>125</v>
      </c>
      <c r="N245" s="1">
        <v>1</v>
      </c>
      <c r="O245" s="58"/>
      <c r="P245" s="58">
        <v>4217886.92</v>
      </c>
      <c r="Q245" t="s">
        <v>113</v>
      </c>
      <c r="R245" s="1" t="s">
        <v>48</v>
      </c>
    </row>
    <row r="246" spans="3:18" x14ac:dyDescent="0.35">
      <c r="C246" t="s">
        <v>51</v>
      </c>
      <c r="D246" t="s">
        <v>21</v>
      </c>
      <c r="E246" t="s">
        <v>45</v>
      </c>
      <c r="F246" t="s">
        <v>46</v>
      </c>
      <c r="G246" s="58">
        <v>199736</v>
      </c>
      <c r="H246" s="1" t="s">
        <v>56</v>
      </c>
      <c r="I246" s="1" t="s">
        <v>111</v>
      </c>
      <c r="J246" s="58">
        <v>3794984</v>
      </c>
      <c r="K246" s="1" t="s">
        <v>106</v>
      </c>
      <c r="L246" s="1" t="s">
        <v>120</v>
      </c>
      <c r="N246" s="1">
        <v>1</v>
      </c>
      <c r="O246" s="58"/>
      <c r="P246" s="58">
        <v>161786.16</v>
      </c>
      <c r="Q246" t="s">
        <v>127</v>
      </c>
      <c r="R246" s="1" t="s">
        <v>158</v>
      </c>
    </row>
    <row r="247" spans="3:18" x14ac:dyDescent="0.35">
      <c r="C247" t="s">
        <v>51</v>
      </c>
      <c r="D247" t="s">
        <v>22</v>
      </c>
      <c r="E247" t="s">
        <v>45</v>
      </c>
      <c r="F247" t="s">
        <v>46</v>
      </c>
      <c r="G247" s="58">
        <v>528983</v>
      </c>
      <c r="H247" s="1" t="s">
        <v>54</v>
      </c>
      <c r="I247" s="1" t="s">
        <v>111</v>
      </c>
      <c r="J247" s="58">
        <v>7934745</v>
      </c>
      <c r="K247" s="1" t="s">
        <v>106</v>
      </c>
      <c r="L247" s="1" t="s">
        <v>116</v>
      </c>
      <c r="N247" s="1">
        <v>1</v>
      </c>
      <c r="O247" s="58"/>
      <c r="P247" s="58">
        <v>343838.95</v>
      </c>
      <c r="Q247" t="s">
        <v>118</v>
      </c>
      <c r="R247" s="1" t="s">
        <v>158</v>
      </c>
    </row>
    <row r="248" spans="3:18" x14ac:dyDescent="0.35">
      <c r="C248" t="s">
        <v>51</v>
      </c>
      <c r="D248" t="s">
        <v>22</v>
      </c>
      <c r="E248" t="s">
        <v>49</v>
      </c>
      <c r="F248" t="s">
        <v>46</v>
      </c>
      <c r="G248" s="58">
        <v>4124165</v>
      </c>
      <c r="H248" s="1" t="s">
        <v>47</v>
      </c>
      <c r="I248" s="1" t="s">
        <v>105</v>
      </c>
      <c r="J248" s="58">
        <v>12372495</v>
      </c>
      <c r="K248" s="1" t="s">
        <v>106</v>
      </c>
      <c r="L248" s="1" t="s">
        <v>124</v>
      </c>
      <c r="N248" s="1">
        <v>1</v>
      </c>
      <c r="O248" s="58"/>
      <c r="P248" s="58">
        <v>2062082.5</v>
      </c>
      <c r="Q248" t="s">
        <v>113</v>
      </c>
      <c r="R248" s="1" t="s">
        <v>158</v>
      </c>
    </row>
    <row r="249" spans="3:18" x14ac:dyDescent="0.35">
      <c r="C249" t="s">
        <v>51</v>
      </c>
      <c r="D249" t="s">
        <v>23</v>
      </c>
      <c r="E249" t="s">
        <v>45</v>
      </c>
      <c r="F249" t="s">
        <v>46</v>
      </c>
      <c r="G249" s="58">
        <v>96623</v>
      </c>
      <c r="H249" s="1" t="s">
        <v>54</v>
      </c>
      <c r="I249" s="1" t="s">
        <v>111</v>
      </c>
      <c r="J249" s="58">
        <v>1835837</v>
      </c>
      <c r="K249" s="1" t="s">
        <v>106</v>
      </c>
      <c r="L249" s="1" t="s">
        <v>120</v>
      </c>
      <c r="N249" s="1">
        <v>1</v>
      </c>
      <c r="O249" s="58"/>
      <c r="P249" s="58">
        <v>87926.93</v>
      </c>
      <c r="Q249" t="s">
        <v>127</v>
      </c>
      <c r="R249" s="1" t="s">
        <v>158</v>
      </c>
    </row>
    <row r="250" spans="3:18" x14ac:dyDescent="0.35">
      <c r="C250" t="s">
        <v>51</v>
      </c>
      <c r="D250" t="s">
        <v>24</v>
      </c>
      <c r="E250" t="s">
        <v>45</v>
      </c>
      <c r="F250" t="s">
        <v>46</v>
      </c>
      <c r="G250" s="58">
        <v>3987316</v>
      </c>
      <c r="H250" s="1" t="s">
        <v>59</v>
      </c>
      <c r="I250" s="1" t="s">
        <v>108</v>
      </c>
      <c r="J250" s="58">
        <v>107657532</v>
      </c>
      <c r="K250" s="1" t="s">
        <v>106</v>
      </c>
      <c r="L250" s="1" t="s">
        <v>120</v>
      </c>
      <c r="N250" s="1">
        <v>1</v>
      </c>
      <c r="O250" s="58"/>
      <c r="P250" s="58">
        <v>1076575.32</v>
      </c>
      <c r="Q250" t="s">
        <v>107</v>
      </c>
      <c r="R250" s="1" t="s">
        <v>158</v>
      </c>
    </row>
    <row r="251" spans="3:18" x14ac:dyDescent="0.35">
      <c r="C251" t="s">
        <v>51</v>
      </c>
      <c r="D251" t="s">
        <v>20</v>
      </c>
      <c r="E251" t="s">
        <v>49</v>
      </c>
      <c r="F251" t="s">
        <v>46</v>
      </c>
      <c r="G251" s="58">
        <v>103235</v>
      </c>
      <c r="H251" s="1" t="s">
        <v>47</v>
      </c>
      <c r="I251" s="1" t="s">
        <v>119</v>
      </c>
      <c r="J251" s="58">
        <v>1032350</v>
      </c>
      <c r="K251" s="1" t="s">
        <v>112</v>
      </c>
      <c r="N251" s="1">
        <v>1</v>
      </c>
      <c r="O251" s="58"/>
      <c r="P251" s="58">
        <v>38196.949999999997</v>
      </c>
      <c r="Q251" t="s">
        <v>107</v>
      </c>
      <c r="R251" s="1" t="s">
        <v>158</v>
      </c>
    </row>
    <row r="252" spans="3:18" x14ac:dyDescent="0.35">
      <c r="C252" t="s">
        <v>51</v>
      </c>
      <c r="D252" t="s">
        <v>21</v>
      </c>
      <c r="E252" t="s">
        <v>50</v>
      </c>
      <c r="F252" t="s">
        <v>46</v>
      </c>
      <c r="G252" s="58">
        <v>63991</v>
      </c>
      <c r="H252" s="1" t="s">
        <v>48</v>
      </c>
      <c r="I252" s="1" t="s">
        <v>111</v>
      </c>
      <c r="J252" s="58">
        <v>831883</v>
      </c>
      <c r="K252" s="1" t="s">
        <v>106</v>
      </c>
      <c r="L252" s="1" t="s">
        <v>109</v>
      </c>
      <c r="M252" s="1" t="s">
        <v>126</v>
      </c>
      <c r="N252" s="1">
        <v>1</v>
      </c>
      <c r="O252" s="58"/>
      <c r="P252" s="58">
        <v>21117.03</v>
      </c>
      <c r="Q252" t="s">
        <v>107</v>
      </c>
      <c r="R252" s="1" t="s">
        <v>48</v>
      </c>
    </row>
    <row r="253" spans="3:18" x14ac:dyDescent="0.35">
      <c r="C253" t="s">
        <v>51</v>
      </c>
      <c r="D253" t="s">
        <v>22</v>
      </c>
      <c r="E253" t="s">
        <v>45</v>
      </c>
      <c r="F253" t="s">
        <v>46</v>
      </c>
      <c r="G253" s="58">
        <v>178246</v>
      </c>
      <c r="H253" s="1" t="s">
        <v>56</v>
      </c>
      <c r="I253" s="1" t="s">
        <v>111</v>
      </c>
      <c r="J253" s="58">
        <v>3208428</v>
      </c>
      <c r="K253" s="1" t="s">
        <v>106</v>
      </c>
      <c r="L253" s="1" t="s">
        <v>114</v>
      </c>
      <c r="N253" s="1">
        <v>1</v>
      </c>
      <c r="O253" s="58"/>
      <c r="P253" s="58">
        <v>114077.44</v>
      </c>
      <c r="Q253" t="s">
        <v>118</v>
      </c>
      <c r="R253" s="1" t="s">
        <v>158</v>
      </c>
    </row>
    <row r="254" spans="3:18" x14ac:dyDescent="0.35">
      <c r="C254" t="s">
        <v>51</v>
      </c>
      <c r="D254" t="s">
        <v>92</v>
      </c>
      <c r="E254" t="s">
        <v>45</v>
      </c>
      <c r="F254" t="s">
        <v>46</v>
      </c>
      <c r="G254" s="58">
        <v>282013</v>
      </c>
      <c r="H254" s="1" t="s">
        <v>47</v>
      </c>
      <c r="I254" s="1" t="s">
        <v>119</v>
      </c>
      <c r="J254" s="58">
        <v>2256104</v>
      </c>
      <c r="K254" s="1" t="s">
        <v>106</v>
      </c>
      <c r="L254" s="1" t="s">
        <v>120</v>
      </c>
      <c r="N254" s="1">
        <v>1</v>
      </c>
      <c r="O254" s="58"/>
      <c r="P254" s="58">
        <v>64862.99</v>
      </c>
      <c r="Q254" t="s">
        <v>107</v>
      </c>
      <c r="R254" s="1" t="s">
        <v>158</v>
      </c>
    </row>
    <row r="255" spans="3:18" x14ac:dyDescent="0.35">
      <c r="C255" t="s">
        <v>51</v>
      </c>
      <c r="D255" t="s">
        <v>21</v>
      </c>
      <c r="E255" t="s">
        <v>49</v>
      </c>
      <c r="F255" t="s">
        <v>46</v>
      </c>
      <c r="G255" s="58">
        <v>222226</v>
      </c>
      <c r="H255" s="1" t="s">
        <v>59</v>
      </c>
      <c r="I255" s="1" t="s">
        <v>108</v>
      </c>
      <c r="J255" s="58">
        <v>5111198</v>
      </c>
      <c r="K255" s="1" t="s">
        <v>106</v>
      </c>
      <c r="L255" s="1" t="s">
        <v>116</v>
      </c>
      <c r="N255" s="1">
        <v>1</v>
      </c>
      <c r="O255" s="58"/>
      <c r="P255" s="58">
        <v>122224.3</v>
      </c>
      <c r="Q255" t="s">
        <v>113</v>
      </c>
      <c r="R255" s="1" t="s">
        <v>158</v>
      </c>
    </row>
    <row r="256" spans="3:18" x14ac:dyDescent="0.35">
      <c r="C256" t="s">
        <v>51</v>
      </c>
      <c r="D256" t="s">
        <v>21</v>
      </c>
      <c r="E256" t="s">
        <v>45</v>
      </c>
      <c r="F256" t="s">
        <v>46</v>
      </c>
      <c r="G256" s="58">
        <v>245</v>
      </c>
      <c r="H256" s="1" t="s">
        <v>54</v>
      </c>
      <c r="I256" s="1" t="s">
        <v>128</v>
      </c>
      <c r="J256" s="58"/>
      <c r="K256" s="1" t="s">
        <v>106</v>
      </c>
      <c r="L256" s="1" t="s">
        <v>124</v>
      </c>
      <c r="N256" s="1">
        <v>0</v>
      </c>
      <c r="O256" s="58"/>
      <c r="P256" s="58">
        <v>0</v>
      </c>
      <c r="Q256" t="s">
        <v>107</v>
      </c>
      <c r="R256" s="1" t="s">
        <v>158</v>
      </c>
    </row>
    <row r="257" spans="3:18" x14ac:dyDescent="0.35">
      <c r="C257" t="s">
        <v>51</v>
      </c>
      <c r="D257" t="s">
        <v>21</v>
      </c>
      <c r="E257" t="s">
        <v>49</v>
      </c>
      <c r="F257" t="s">
        <v>46</v>
      </c>
      <c r="G257" s="58">
        <v>545961</v>
      </c>
      <c r="H257" s="1" t="s">
        <v>54</v>
      </c>
      <c r="I257" s="1" t="s">
        <v>119</v>
      </c>
      <c r="J257" s="58">
        <v>4367688</v>
      </c>
      <c r="K257" s="1" t="s">
        <v>106</v>
      </c>
      <c r="L257" s="1" t="s">
        <v>124</v>
      </c>
      <c r="N257" s="1">
        <v>1</v>
      </c>
      <c r="O257" s="58"/>
      <c r="P257" s="58">
        <v>376713.09</v>
      </c>
      <c r="Q257" t="s">
        <v>118</v>
      </c>
      <c r="R257" s="1" t="s">
        <v>158</v>
      </c>
    </row>
    <row r="258" spans="3:18" x14ac:dyDescent="0.35">
      <c r="C258" t="s">
        <v>53</v>
      </c>
      <c r="D258" t="s">
        <v>21</v>
      </c>
      <c r="E258" t="s">
        <v>45</v>
      </c>
      <c r="F258" t="s">
        <v>46</v>
      </c>
      <c r="G258" s="58">
        <v>344534</v>
      </c>
      <c r="H258" s="1" t="s">
        <v>47</v>
      </c>
      <c r="I258" s="1" t="s">
        <v>108</v>
      </c>
      <c r="J258" s="58">
        <v>7579748</v>
      </c>
      <c r="K258" s="1" t="s">
        <v>106</v>
      </c>
      <c r="L258" s="1" t="s">
        <v>124</v>
      </c>
      <c r="N258" s="1">
        <v>1</v>
      </c>
      <c r="O258" s="58"/>
      <c r="P258" s="58">
        <v>220501.76000000001</v>
      </c>
      <c r="Q258" t="s">
        <v>118</v>
      </c>
      <c r="R258" s="1" t="s">
        <v>158</v>
      </c>
    </row>
    <row r="259" spans="3:18" x14ac:dyDescent="0.35">
      <c r="C259" t="s">
        <v>44</v>
      </c>
      <c r="D259" t="s">
        <v>22</v>
      </c>
      <c r="E259" t="s">
        <v>45</v>
      </c>
      <c r="F259" t="s">
        <v>46</v>
      </c>
      <c r="G259" s="58">
        <v>26865039</v>
      </c>
      <c r="H259" s="1" t="s">
        <v>47</v>
      </c>
      <c r="I259" s="1" t="s">
        <v>108</v>
      </c>
      <c r="J259" s="58"/>
      <c r="N259" s="1">
        <v>0</v>
      </c>
      <c r="O259" s="58"/>
      <c r="P259" s="58"/>
      <c r="R259" s="1" t="s">
        <v>158</v>
      </c>
    </row>
    <row r="260" spans="3:18" x14ac:dyDescent="0.35">
      <c r="C260" t="s">
        <v>44</v>
      </c>
      <c r="D260" t="s">
        <v>19</v>
      </c>
      <c r="E260" t="s">
        <v>45</v>
      </c>
      <c r="F260" t="s">
        <v>46</v>
      </c>
      <c r="G260" s="58">
        <v>191749</v>
      </c>
      <c r="H260" s="1" t="s">
        <v>59</v>
      </c>
      <c r="I260" s="1" t="s">
        <v>108</v>
      </c>
      <c r="J260" s="58"/>
      <c r="N260" s="1">
        <v>0</v>
      </c>
      <c r="O260" s="58"/>
      <c r="P260" s="58"/>
      <c r="R260" s="1" t="s">
        <v>158</v>
      </c>
    </row>
    <row r="261" spans="3:18" x14ac:dyDescent="0.35">
      <c r="C261" t="s">
        <v>51</v>
      </c>
      <c r="D261" t="s">
        <v>25</v>
      </c>
      <c r="E261" t="s">
        <v>55</v>
      </c>
      <c r="F261" t="s">
        <v>46</v>
      </c>
      <c r="G261" s="58">
        <v>1648912</v>
      </c>
      <c r="H261" s="1" t="s">
        <v>54</v>
      </c>
      <c r="I261" s="1" t="s">
        <v>105</v>
      </c>
      <c r="J261" s="58">
        <v>4946736</v>
      </c>
      <c r="K261" s="1" t="s">
        <v>106</v>
      </c>
      <c r="L261" s="1" t="s">
        <v>114</v>
      </c>
      <c r="N261" s="1">
        <v>1</v>
      </c>
      <c r="O261" s="58"/>
      <c r="P261" s="58">
        <v>181380.32</v>
      </c>
      <c r="Q261" t="s">
        <v>107</v>
      </c>
      <c r="R261" s="1" t="s">
        <v>158</v>
      </c>
    </row>
    <row r="262" spans="3:18" x14ac:dyDescent="0.35">
      <c r="C262" t="s">
        <v>53</v>
      </c>
      <c r="D262" t="s">
        <v>22</v>
      </c>
      <c r="E262" t="s">
        <v>45</v>
      </c>
      <c r="F262" t="s">
        <v>46</v>
      </c>
      <c r="G262" s="58">
        <v>1088412</v>
      </c>
      <c r="H262" s="1" t="s">
        <v>47</v>
      </c>
      <c r="I262" s="1" t="s">
        <v>128</v>
      </c>
      <c r="J262" s="58"/>
      <c r="K262" s="1" t="s">
        <v>106</v>
      </c>
      <c r="L262" s="1" t="s">
        <v>120</v>
      </c>
      <c r="N262" s="1">
        <v>0</v>
      </c>
      <c r="O262" s="58"/>
      <c r="P262" s="58">
        <v>65304.72</v>
      </c>
      <c r="Q262" t="s">
        <v>107</v>
      </c>
      <c r="R262" s="1" t="s">
        <v>158</v>
      </c>
    </row>
    <row r="263" spans="3:18" x14ac:dyDescent="0.35">
      <c r="C263" t="s">
        <v>51</v>
      </c>
      <c r="D263" t="s">
        <v>21</v>
      </c>
      <c r="E263" t="s">
        <v>49</v>
      </c>
      <c r="F263" t="s">
        <v>46</v>
      </c>
      <c r="G263" s="58">
        <v>111000531</v>
      </c>
      <c r="H263" s="1" t="s">
        <v>48</v>
      </c>
      <c r="I263" s="1" t="s">
        <v>111</v>
      </c>
      <c r="J263" s="58">
        <v>1887009027</v>
      </c>
      <c r="K263" s="1" t="s">
        <v>106</v>
      </c>
      <c r="L263" s="1" t="s">
        <v>124</v>
      </c>
      <c r="M263" s="1" t="s">
        <v>126</v>
      </c>
      <c r="N263" s="1">
        <v>1</v>
      </c>
      <c r="O263" s="58"/>
      <c r="P263" s="58">
        <v>74370355.769999996</v>
      </c>
      <c r="Q263" t="s">
        <v>118</v>
      </c>
      <c r="R263" s="1" t="s">
        <v>158</v>
      </c>
    </row>
    <row r="264" spans="3:18" x14ac:dyDescent="0.35">
      <c r="C264" t="s">
        <v>51</v>
      </c>
      <c r="D264" t="s">
        <v>23</v>
      </c>
      <c r="E264" t="s">
        <v>45</v>
      </c>
      <c r="F264" t="s">
        <v>46</v>
      </c>
      <c r="G264" s="58">
        <v>431007</v>
      </c>
      <c r="H264" s="1" t="s">
        <v>48</v>
      </c>
      <c r="I264" s="1" t="s">
        <v>108</v>
      </c>
      <c r="J264" s="58">
        <v>14654238</v>
      </c>
      <c r="K264" s="1" t="s">
        <v>106</v>
      </c>
      <c r="L264" s="1" t="s">
        <v>124</v>
      </c>
      <c r="M264" s="1" t="s">
        <v>126</v>
      </c>
      <c r="N264" s="1">
        <v>1</v>
      </c>
      <c r="O264" s="58"/>
      <c r="P264" s="58">
        <v>297394.83</v>
      </c>
      <c r="Q264" t="s">
        <v>118</v>
      </c>
      <c r="R264" s="1" t="s">
        <v>48</v>
      </c>
    </row>
    <row r="265" spans="3:18" x14ac:dyDescent="0.35">
      <c r="C265" t="s">
        <v>51</v>
      </c>
      <c r="D265" t="s">
        <v>19</v>
      </c>
      <c r="E265" t="s">
        <v>49</v>
      </c>
      <c r="F265" t="s">
        <v>46</v>
      </c>
      <c r="G265" s="58">
        <v>266116</v>
      </c>
      <c r="H265" s="1" t="s">
        <v>48</v>
      </c>
      <c r="I265" s="1" t="s">
        <v>108</v>
      </c>
      <c r="J265" s="58">
        <v>7717364</v>
      </c>
      <c r="K265" s="1" t="s">
        <v>106</v>
      </c>
      <c r="L265" s="1" t="s">
        <v>120</v>
      </c>
      <c r="M265" s="1" t="s">
        <v>122</v>
      </c>
      <c r="N265" s="1">
        <v>1</v>
      </c>
      <c r="O265" s="58"/>
      <c r="P265" s="58">
        <v>175636.56</v>
      </c>
      <c r="Q265" t="s">
        <v>118</v>
      </c>
      <c r="R265" s="1" t="s">
        <v>48</v>
      </c>
    </row>
    <row r="266" spans="3:18" x14ac:dyDescent="0.35">
      <c r="C266" t="s">
        <v>51</v>
      </c>
      <c r="D266" t="s">
        <v>92</v>
      </c>
      <c r="E266" t="s">
        <v>45</v>
      </c>
      <c r="F266" t="s">
        <v>46</v>
      </c>
      <c r="G266" s="58">
        <v>8740699</v>
      </c>
      <c r="H266" s="1" t="s">
        <v>48</v>
      </c>
      <c r="I266" s="1" t="s">
        <v>108</v>
      </c>
      <c r="J266" s="58">
        <v>297183766</v>
      </c>
      <c r="K266" s="1" t="s">
        <v>106</v>
      </c>
      <c r="L266" s="1" t="s">
        <v>120</v>
      </c>
      <c r="M266" s="1" t="s">
        <v>123</v>
      </c>
      <c r="N266" s="1">
        <v>1</v>
      </c>
      <c r="O266" s="58"/>
      <c r="P266" s="58">
        <v>7254780.1699999999</v>
      </c>
      <c r="Q266" t="s">
        <v>127</v>
      </c>
      <c r="R266" s="1" t="s">
        <v>158</v>
      </c>
    </row>
    <row r="267" spans="3:18" x14ac:dyDescent="0.35">
      <c r="C267" t="s">
        <v>51</v>
      </c>
      <c r="D267" t="s">
        <v>91</v>
      </c>
      <c r="E267" t="s">
        <v>49</v>
      </c>
      <c r="F267" t="s">
        <v>46</v>
      </c>
      <c r="G267" s="58">
        <v>601513</v>
      </c>
      <c r="H267" s="1" t="s">
        <v>59</v>
      </c>
      <c r="I267" s="1" t="s">
        <v>108</v>
      </c>
      <c r="J267" s="58">
        <v>19849929</v>
      </c>
      <c r="K267" s="1" t="s">
        <v>106</v>
      </c>
      <c r="L267" s="1" t="s">
        <v>120</v>
      </c>
      <c r="N267" s="1">
        <v>1</v>
      </c>
      <c r="O267" s="58"/>
      <c r="P267" s="58">
        <v>511286.05</v>
      </c>
      <c r="Q267" t="s">
        <v>127</v>
      </c>
      <c r="R267" s="1" t="s">
        <v>158</v>
      </c>
    </row>
    <row r="268" spans="3:18" x14ac:dyDescent="0.35">
      <c r="C268" t="s">
        <v>51</v>
      </c>
      <c r="D268" t="s">
        <v>24</v>
      </c>
      <c r="E268" t="s">
        <v>62</v>
      </c>
      <c r="F268" t="s">
        <v>46</v>
      </c>
      <c r="G268" s="58">
        <v>16691862</v>
      </c>
      <c r="H268" s="1" t="s">
        <v>48</v>
      </c>
      <c r="I268" s="1" t="s">
        <v>108</v>
      </c>
      <c r="J268" s="58">
        <v>517447722</v>
      </c>
      <c r="K268" s="1" t="s">
        <v>106</v>
      </c>
      <c r="L268" s="1" t="s">
        <v>131</v>
      </c>
      <c r="M268" s="1" t="s">
        <v>121</v>
      </c>
      <c r="N268" s="1">
        <v>1</v>
      </c>
      <c r="O268" s="58"/>
      <c r="P268" s="58">
        <v>8512849.6199999992</v>
      </c>
      <c r="Q268" t="s">
        <v>113</v>
      </c>
      <c r="R268" s="1" t="s">
        <v>48</v>
      </c>
    </row>
    <row r="269" spans="3:18" x14ac:dyDescent="0.35">
      <c r="C269" t="s">
        <v>51</v>
      </c>
      <c r="D269" t="s">
        <v>24</v>
      </c>
      <c r="E269" t="s">
        <v>49</v>
      </c>
      <c r="F269" t="s">
        <v>46</v>
      </c>
      <c r="G269" s="58">
        <v>101534</v>
      </c>
      <c r="H269" s="1" t="s">
        <v>48</v>
      </c>
      <c r="I269" s="1" t="s">
        <v>108</v>
      </c>
      <c r="J269" s="58">
        <v>3350622</v>
      </c>
      <c r="K269" s="1" t="s">
        <v>106</v>
      </c>
      <c r="L269" s="1" t="s">
        <v>124</v>
      </c>
      <c r="M269" s="1" t="s">
        <v>123</v>
      </c>
      <c r="N269" s="1">
        <v>1</v>
      </c>
      <c r="O269" s="58"/>
      <c r="P269" s="58">
        <v>84273.22</v>
      </c>
      <c r="Q269" t="s">
        <v>127</v>
      </c>
      <c r="R269" s="1" t="s">
        <v>158</v>
      </c>
    </row>
    <row r="270" spans="3:18" x14ac:dyDescent="0.35">
      <c r="C270" t="s">
        <v>51</v>
      </c>
      <c r="D270" t="s">
        <v>92</v>
      </c>
      <c r="E270" t="s">
        <v>49</v>
      </c>
      <c r="F270" t="s">
        <v>46</v>
      </c>
      <c r="G270" s="58">
        <v>223325</v>
      </c>
      <c r="H270" s="1" t="s">
        <v>47</v>
      </c>
      <c r="I270" s="1" t="s">
        <v>111</v>
      </c>
      <c r="J270" s="58">
        <v>4019850</v>
      </c>
      <c r="K270" s="1" t="s">
        <v>112</v>
      </c>
      <c r="N270" s="1">
        <v>1</v>
      </c>
      <c r="O270" s="58"/>
      <c r="P270" s="58">
        <v>37965.25</v>
      </c>
      <c r="Q270" t="s">
        <v>107</v>
      </c>
      <c r="R270" s="1" t="s">
        <v>158</v>
      </c>
    </row>
    <row r="271" spans="3:18" x14ac:dyDescent="0.35">
      <c r="C271" t="s">
        <v>51</v>
      </c>
      <c r="D271" t="s">
        <v>20</v>
      </c>
      <c r="E271" t="s">
        <v>49</v>
      </c>
      <c r="F271" t="s">
        <v>46</v>
      </c>
      <c r="G271" s="58">
        <v>858871</v>
      </c>
      <c r="H271" s="1" t="s">
        <v>48</v>
      </c>
      <c r="I271" s="1" t="s">
        <v>108</v>
      </c>
      <c r="J271" s="58">
        <v>30060485</v>
      </c>
      <c r="K271" s="1" t="s">
        <v>106</v>
      </c>
      <c r="L271" s="1" t="s">
        <v>120</v>
      </c>
      <c r="M271" s="1" t="s">
        <v>115</v>
      </c>
      <c r="N271" s="1">
        <v>1</v>
      </c>
      <c r="O271" s="58"/>
      <c r="P271" s="58">
        <v>558266.15</v>
      </c>
      <c r="Q271" t="s">
        <v>118</v>
      </c>
      <c r="R271" s="1" t="s">
        <v>158</v>
      </c>
    </row>
    <row r="272" spans="3:18" x14ac:dyDescent="0.35">
      <c r="C272" t="s">
        <v>53</v>
      </c>
      <c r="D272" t="s">
        <v>60</v>
      </c>
      <c r="E272" t="s">
        <v>60</v>
      </c>
      <c r="F272" t="s">
        <v>46</v>
      </c>
      <c r="G272" s="58">
        <v>0</v>
      </c>
      <c r="H272" s="1" t="s">
        <v>61</v>
      </c>
      <c r="I272" s="1" t="s">
        <v>119</v>
      </c>
      <c r="J272" s="58">
        <v>0</v>
      </c>
      <c r="K272" s="1" t="s">
        <v>106</v>
      </c>
      <c r="N272" s="1">
        <v>1</v>
      </c>
      <c r="O272" s="58"/>
      <c r="P272" s="58">
        <v>0</v>
      </c>
      <c r="Q272" t="s">
        <v>110</v>
      </c>
    </row>
    <row r="273" spans="3:18" x14ac:dyDescent="0.35">
      <c r="C273" t="s">
        <v>51</v>
      </c>
      <c r="D273" t="s">
        <v>21</v>
      </c>
      <c r="E273" t="s">
        <v>45</v>
      </c>
      <c r="F273" t="s">
        <v>46</v>
      </c>
      <c r="G273" s="58">
        <v>895766</v>
      </c>
      <c r="H273" s="1" t="s">
        <v>47</v>
      </c>
      <c r="I273" s="1" t="s">
        <v>108</v>
      </c>
      <c r="J273" s="58">
        <v>31351810</v>
      </c>
      <c r="K273" s="1" t="s">
        <v>106</v>
      </c>
      <c r="L273" s="1" t="s">
        <v>116</v>
      </c>
      <c r="N273" s="1">
        <v>1</v>
      </c>
      <c r="O273" s="58"/>
      <c r="P273" s="58">
        <v>627036.19999999995</v>
      </c>
      <c r="Q273" t="s">
        <v>118</v>
      </c>
      <c r="R273" s="1" t="s">
        <v>158</v>
      </c>
    </row>
    <row r="274" spans="3:18" x14ac:dyDescent="0.35">
      <c r="C274" t="s">
        <v>51</v>
      </c>
      <c r="D274" t="s">
        <v>20</v>
      </c>
      <c r="E274" t="s">
        <v>49</v>
      </c>
      <c r="F274" t="s">
        <v>46</v>
      </c>
      <c r="G274" s="58">
        <v>530613</v>
      </c>
      <c r="H274" s="1" t="s">
        <v>48</v>
      </c>
      <c r="I274" s="1" t="s">
        <v>108</v>
      </c>
      <c r="J274" s="58">
        <v>14857164</v>
      </c>
      <c r="K274" s="1" t="s">
        <v>106</v>
      </c>
      <c r="L274" s="1" t="s">
        <v>124</v>
      </c>
      <c r="M274" s="1" t="s">
        <v>122</v>
      </c>
      <c r="N274" s="1">
        <v>1</v>
      </c>
      <c r="O274" s="58"/>
      <c r="P274" s="58">
        <v>265306.5</v>
      </c>
      <c r="Q274" t="s">
        <v>113</v>
      </c>
      <c r="R274" s="1" t="s">
        <v>158</v>
      </c>
    </row>
    <row r="275" spans="3:18" x14ac:dyDescent="0.35">
      <c r="C275" t="s">
        <v>51</v>
      </c>
      <c r="D275" t="s">
        <v>91</v>
      </c>
      <c r="E275" t="s">
        <v>50</v>
      </c>
      <c r="F275" t="s">
        <v>46</v>
      </c>
      <c r="G275" s="58">
        <v>396756</v>
      </c>
      <c r="H275" s="1" t="s">
        <v>48</v>
      </c>
      <c r="I275" s="1" t="s">
        <v>111</v>
      </c>
      <c r="J275" s="58">
        <v>5554584</v>
      </c>
      <c r="K275" s="1" t="s">
        <v>106</v>
      </c>
      <c r="L275" s="1" t="s">
        <v>109</v>
      </c>
      <c r="M275" s="1" t="s">
        <v>122</v>
      </c>
      <c r="N275" s="1">
        <v>1</v>
      </c>
      <c r="O275" s="58"/>
      <c r="P275" s="58">
        <v>210280.68</v>
      </c>
      <c r="Q275" t="s">
        <v>113</v>
      </c>
      <c r="R275" s="1" t="s">
        <v>158</v>
      </c>
    </row>
    <row r="276" spans="3:18" x14ac:dyDescent="0.35">
      <c r="C276" t="s">
        <v>51</v>
      </c>
      <c r="D276" t="s">
        <v>23</v>
      </c>
      <c r="E276" t="s">
        <v>55</v>
      </c>
      <c r="F276" t="s">
        <v>46</v>
      </c>
      <c r="G276" s="58">
        <v>13627544</v>
      </c>
      <c r="H276" s="1" t="s">
        <v>48</v>
      </c>
      <c r="I276" s="1" t="s">
        <v>111</v>
      </c>
      <c r="J276" s="58">
        <v>231668248</v>
      </c>
      <c r="K276" s="1" t="s">
        <v>106</v>
      </c>
      <c r="L276" s="1" t="s">
        <v>114</v>
      </c>
      <c r="M276" s="1" t="s">
        <v>125</v>
      </c>
      <c r="N276" s="1">
        <v>1</v>
      </c>
      <c r="O276" s="58"/>
      <c r="P276" s="58">
        <v>9403005.3599999994</v>
      </c>
      <c r="Q276" t="s">
        <v>118</v>
      </c>
      <c r="R276" s="1" t="s">
        <v>158</v>
      </c>
    </row>
    <row r="277" spans="3:18" x14ac:dyDescent="0.35">
      <c r="C277" t="s">
        <v>53</v>
      </c>
      <c r="D277" t="s">
        <v>23</v>
      </c>
      <c r="E277" t="s">
        <v>45</v>
      </c>
      <c r="F277" t="s">
        <v>46</v>
      </c>
      <c r="G277" s="58">
        <v>16000</v>
      </c>
      <c r="H277" s="1" t="s">
        <v>56</v>
      </c>
      <c r="I277" s="1" t="s">
        <v>111</v>
      </c>
      <c r="J277" s="58">
        <v>192000</v>
      </c>
      <c r="K277" s="1" t="s">
        <v>106</v>
      </c>
      <c r="L277" s="1" t="s">
        <v>120</v>
      </c>
      <c r="N277" s="1">
        <v>1</v>
      </c>
      <c r="O277" s="58"/>
      <c r="P277" s="58">
        <v>15520</v>
      </c>
      <c r="Q277" t="s">
        <v>127</v>
      </c>
      <c r="R277" s="1" t="s">
        <v>158</v>
      </c>
    </row>
    <row r="278" spans="3:18" x14ac:dyDescent="0.35">
      <c r="C278" t="s">
        <v>53</v>
      </c>
      <c r="D278" t="s">
        <v>21</v>
      </c>
      <c r="E278" t="s">
        <v>45</v>
      </c>
      <c r="F278" t="s">
        <v>46</v>
      </c>
      <c r="G278" s="58">
        <v>8207753</v>
      </c>
      <c r="H278" s="1" t="s">
        <v>59</v>
      </c>
      <c r="I278" s="1" t="s">
        <v>111</v>
      </c>
      <c r="J278" s="58">
        <v>98493036</v>
      </c>
      <c r="K278" s="1" t="s">
        <v>106</v>
      </c>
      <c r="L278" s="1" t="s">
        <v>120</v>
      </c>
      <c r="N278" s="1">
        <v>1</v>
      </c>
      <c r="O278" s="58"/>
      <c r="P278" s="58">
        <v>4268031.5599999996</v>
      </c>
      <c r="Q278" t="s">
        <v>113</v>
      </c>
      <c r="R278" s="1" t="s">
        <v>158</v>
      </c>
    </row>
    <row r="279" spans="3:18" x14ac:dyDescent="0.35">
      <c r="C279" t="s">
        <v>51</v>
      </c>
      <c r="D279" t="s">
        <v>23</v>
      </c>
      <c r="E279" t="s">
        <v>52</v>
      </c>
      <c r="F279" t="s">
        <v>46</v>
      </c>
      <c r="G279" s="58">
        <v>41933513</v>
      </c>
      <c r="H279" s="1" t="s">
        <v>48</v>
      </c>
      <c r="I279" s="1" t="s">
        <v>108</v>
      </c>
      <c r="J279" s="58">
        <v>1551539981</v>
      </c>
      <c r="K279" s="1" t="s">
        <v>112</v>
      </c>
      <c r="N279" s="1">
        <v>1</v>
      </c>
      <c r="O279" s="58"/>
      <c r="P279" s="58">
        <v>37320826.57</v>
      </c>
      <c r="Q279" t="s">
        <v>127</v>
      </c>
      <c r="R279" s="1" t="s">
        <v>48</v>
      </c>
    </row>
    <row r="280" spans="3:18" x14ac:dyDescent="0.35">
      <c r="C280" t="s">
        <v>51</v>
      </c>
      <c r="D280" t="s">
        <v>22</v>
      </c>
      <c r="E280" t="s">
        <v>45</v>
      </c>
      <c r="F280" t="s">
        <v>46</v>
      </c>
      <c r="G280" s="58">
        <v>960062</v>
      </c>
      <c r="H280" s="1" t="s">
        <v>54</v>
      </c>
      <c r="I280" s="1" t="s">
        <v>111</v>
      </c>
      <c r="J280" s="58">
        <v>15360992</v>
      </c>
      <c r="K280" s="1" t="s">
        <v>112</v>
      </c>
      <c r="N280" s="1">
        <v>1</v>
      </c>
      <c r="O280" s="58"/>
      <c r="P280" s="58">
        <v>259216.74</v>
      </c>
      <c r="Q280" t="s">
        <v>107</v>
      </c>
      <c r="R280" s="1" t="s">
        <v>158</v>
      </c>
    </row>
    <row r="281" spans="3:18" x14ac:dyDescent="0.35">
      <c r="C281" t="s">
        <v>51</v>
      </c>
      <c r="D281" t="s">
        <v>21</v>
      </c>
      <c r="E281" t="s">
        <v>45</v>
      </c>
      <c r="F281" t="s">
        <v>46</v>
      </c>
      <c r="G281" s="58">
        <v>2716316</v>
      </c>
      <c r="H281" s="1" t="s">
        <v>48</v>
      </c>
      <c r="I281" s="1" t="s">
        <v>111</v>
      </c>
      <c r="J281" s="58">
        <v>46177372</v>
      </c>
      <c r="K281" s="1" t="s">
        <v>112</v>
      </c>
      <c r="N281" s="1">
        <v>1</v>
      </c>
      <c r="O281" s="58"/>
      <c r="P281" s="58">
        <v>1303831.68</v>
      </c>
      <c r="Q281" t="s">
        <v>113</v>
      </c>
      <c r="R281" s="1" t="s">
        <v>48</v>
      </c>
    </row>
    <row r="282" spans="3:18" x14ac:dyDescent="0.35">
      <c r="C282" t="s">
        <v>53</v>
      </c>
      <c r="D282" t="s">
        <v>20</v>
      </c>
      <c r="E282" t="s">
        <v>49</v>
      </c>
      <c r="F282" t="s">
        <v>46</v>
      </c>
      <c r="G282" s="58">
        <v>314551</v>
      </c>
      <c r="H282" s="1" t="s">
        <v>47</v>
      </c>
      <c r="I282" s="1" t="s">
        <v>119</v>
      </c>
      <c r="J282" s="58">
        <v>2830959</v>
      </c>
      <c r="K282" s="1" t="s">
        <v>106</v>
      </c>
      <c r="L282" s="1" t="s">
        <v>124</v>
      </c>
      <c r="N282" s="1">
        <v>1</v>
      </c>
      <c r="O282" s="58"/>
      <c r="P282" s="58">
        <v>28309.59</v>
      </c>
      <c r="Q282" t="s">
        <v>107</v>
      </c>
      <c r="R282" s="1" t="s">
        <v>158</v>
      </c>
    </row>
    <row r="283" spans="3:18" x14ac:dyDescent="0.35">
      <c r="C283" t="s">
        <v>51</v>
      </c>
      <c r="D283" t="s">
        <v>24</v>
      </c>
      <c r="E283" t="s">
        <v>50</v>
      </c>
      <c r="F283" t="s">
        <v>46</v>
      </c>
      <c r="G283" s="58">
        <v>4498580</v>
      </c>
      <c r="H283" s="1" t="s">
        <v>48</v>
      </c>
      <c r="I283" s="1" t="s">
        <v>108</v>
      </c>
      <c r="J283" s="58">
        <v>125960240</v>
      </c>
      <c r="K283" s="1" t="s">
        <v>106</v>
      </c>
      <c r="L283" s="1" t="s">
        <v>109</v>
      </c>
      <c r="M283" s="1" t="s">
        <v>121</v>
      </c>
      <c r="N283" s="1">
        <v>1</v>
      </c>
      <c r="O283" s="58"/>
      <c r="P283" s="58">
        <v>2249290</v>
      </c>
      <c r="Q283" t="s">
        <v>113</v>
      </c>
      <c r="R283" s="1" t="s">
        <v>48</v>
      </c>
    </row>
    <row r="284" spans="3:18" x14ac:dyDescent="0.35">
      <c r="C284" t="s">
        <v>51</v>
      </c>
      <c r="D284" t="s">
        <v>24</v>
      </c>
      <c r="E284" t="s">
        <v>55</v>
      </c>
      <c r="F284" t="s">
        <v>46</v>
      </c>
      <c r="G284" s="58">
        <v>1538302</v>
      </c>
      <c r="H284" s="1" t="s">
        <v>47</v>
      </c>
      <c r="I284" s="1" t="s">
        <v>111</v>
      </c>
      <c r="J284" s="58">
        <v>26151134</v>
      </c>
      <c r="K284" s="1" t="s">
        <v>112</v>
      </c>
      <c r="N284" s="1">
        <v>1</v>
      </c>
      <c r="O284" s="58"/>
      <c r="P284" s="58">
        <v>769151</v>
      </c>
      <c r="Q284" t="s">
        <v>113</v>
      </c>
      <c r="R284" s="1" t="s">
        <v>158</v>
      </c>
    </row>
    <row r="285" spans="3:18" x14ac:dyDescent="0.35">
      <c r="C285" t="s">
        <v>51</v>
      </c>
      <c r="D285" t="s">
        <v>22</v>
      </c>
      <c r="E285" t="s">
        <v>50</v>
      </c>
      <c r="F285" t="s">
        <v>46</v>
      </c>
      <c r="G285" s="58">
        <v>5234835</v>
      </c>
      <c r="H285" s="1" t="s">
        <v>48</v>
      </c>
      <c r="I285" s="1" t="s">
        <v>108</v>
      </c>
      <c r="J285" s="58">
        <v>177984390</v>
      </c>
      <c r="K285" s="1" t="s">
        <v>106</v>
      </c>
      <c r="L285" s="1" t="s">
        <v>120</v>
      </c>
      <c r="M285" s="1" t="s">
        <v>115</v>
      </c>
      <c r="N285" s="1">
        <v>1</v>
      </c>
      <c r="O285" s="58"/>
      <c r="P285" s="58">
        <v>3769081.2</v>
      </c>
      <c r="Q285" t="s">
        <v>118</v>
      </c>
      <c r="R285" s="1" t="s">
        <v>48</v>
      </c>
    </row>
    <row r="286" spans="3:18" x14ac:dyDescent="0.35">
      <c r="C286" t="s">
        <v>51</v>
      </c>
      <c r="D286" t="s">
        <v>20</v>
      </c>
      <c r="E286" t="s">
        <v>45</v>
      </c>
      <c r="F286" t="s">
        <v>46</v>
      </c>
      <c r="G286" s="58">
        <v>607929</v>
      </c>
      <c r="H286" s="1" t="s">
        <v>48</v>
      </c>
      <c r="I286" s="1" t="s">
        <v>108</v>
      </c>
      <c r="J286" s="58">
        <v>18237870</v>
      </c>
      <c r="K286" s="1" t="s">
        <v>112</v>
      </c>
      <c r="N286" s="1">
        <v>1</v>
      </c>
      <c r="O286" s="58"/>
      <c r="P286" s="58">
        <v>194537.28</v>
      </c>
      <c r="Q286" t="s">
        <v>107</v>
      </c>
      <c r="R286" s="1" t="s">
        <v>48</v>
      </c>
    </row>
    <row r="287" spans="3:18" x14ac:dyDescent="0.35">
      <c r="C287" t="s">
        <v>53</v>
      </c>
      <c r="D287" t="s">
        <v>23</v>
      </c>
      <c r="E287" t="s">
        <v>55</v>
      </c>
      <c r="F287" t="s">
        <v>46</v>
      </c>
      <c r="G287" s="58">
        <v>6736112</v>
      </c>
      <c r="H287" s="1" t="s">
        <v>54</v>
      </c>
      <c r="I287" s="1" t="s">
        <v>119</v>
      </c>
      <c r="J287" s="58">
        <v>53888896</v>
      </c>
      <c r="K287" s="1" t="s">
        <v>106</v>
      </c>
      <c r="L287" s="1" t="s">
        <v>114</v>
      </c>
      <c r="N287" s="1">
        <v>1</v>
      </c>
      <c r="O287" s="58"/>
      <c r="P287" s="58">
        <v>1616666.88</v>
      </c>
      <c r="Q287" t="s">
        <v>107</v>
      </c>
      <c r="R287" s="1" t="s">
        <v>158</v>
      </c>
    </row>
    <row r="288" spans="3:18" x14ac:dyDescent="0.35">
      <c r="C288" t="s">
        <v>51</v>
      </c>
      <c r="D288" t="s">
        <v>23</v>
      </c>
      <c r="E288" t="s">
        <v>49</v>
      </c>
      <c r="F288" t="s">
        <v>46</v>
      </c>
      <c r="G288" s="58">
        <v>2290319</v>
      </c>
      <c r="H288" s="1" t="s">
        <v>54</v>
      </c>
      <c r="I288" s="1" t="s">
        <v>111</v>
      </c>
      <c r="J288" s="58">
        <v>32064466</v>
      </c>
      <c r="K288" s="1" t="s">
        <v>106</v>
      </c>
      <c r="L288" s="1" t="s">
        <v>124</v>
      </c>
      <c r="N288" s="1">
        <v>1</v>
      </c>
      <c r="O288" s="58"/>
      <c r="P288" s="58">
        <v>526773.37</v>
      </c>
      <c r="Q288" t="s">
        <v>107</v>
      </c>
      <c r="R288" s="1" t="s">
        <v>158</v>
      </c>
    </row>
    <row r="289" spans="3:18" x14ac:dyDescent="0.35">
      <c r="C289" t="s">
        <v>53</v>
      </c>
      <c r="D289" t="s">
        <v>19</v>
      </c>
      <c r="E289" t="s">
        <v>49</v>
      </c>
      <c r="F289" t="s">
        <v>46</v>
      </c>
      <c r="G289" s="58">
        <v>90668</v>
      </c>
      <c r="H289" s="1" t="s">
        <v>48</v>
      </c>
      <c r="I289" s="1" t="s">
        <v>111</v>
      </c>
      <c r="J289" s="58">
        <v>997348</v>
      </c>
      <c r="K289" s="1" t="s">
        <v>106</v>
      </c>
      <c r="L289" s="1" t="s">
        <v>124</v>
      </c>
      <c r="M289" s="1" t="s">
        <v>122</v>
      </c>
      <c r="N289" s="1">
        <v>1</v>
      </c>
      <c r="O289" s="58"/>
      <c r="P289" s="58">
        <v>44427.32</v>
      </c>
      <c r="Q289" t="s">
        <v>113</v>
      </c>
      <c r="R289" s="1" t="s">
        <v>158</v>
      </c>
    </row>
    <row r="290" spans="3:18" x14ac:dyDescent="0.35">
      <c r="C290" t="s">
        <v>53</v>
      </c>
      <c r="D290" t="s">
        <v>92</v>
      </c>
      <c r="E290" t="s">
        <v>45</v>
      </c>
      <c r="F290" t="s">
        <v>46</v>
      </c>
      <c r="G290" s="58">
        <v>375600</v>
      </c>
      <c r="H290" s="1" t="s">
        <v>54</v>
      </c>
      <c r="I290" s="1" t="s">
        <v>119</v>
      </c>
      <c r="J290" s="58">
        <v>3380400</v>
      </c>
      <c r="K290" s="1" t="s">
        <v>106</v>
      </c>
      <c r="L290" s="1" t="s">
        <v>120</v>
      </c>
      <c r="N290" s="1">
        <v>1</v>
      </c>
      <c r="O290" s="58"/>
      <c r="P290" s="58">
        <v>356820</v>
      </c>
      <c r="Q290" t="s">
        <v>127</v>
      </c>
      <c r="R290" s="1" t="s">
        <v>158</v>
      </c>
    </row>
    <row r="291" spans="3:18" x14ac:dyDescent="0.35">
      <c r="C291" t="s">
        <v>51</v>
      </c>
      <c r="D291" t="s">
        <v>20</v>
      </c>
      <c r="E291" t="s">
        <v>50</v>
      </c>
      <c r="F291" t="s">
        <v>46</v>
      </c>
      <c r="G291" s="58">
        <v>135358</v>
      </c>
      <c r="H291" s="1" t="s">
        <v>48</v>
      </c>
      <c r="I291" s="1" t="s">
        <v>108</v>
      </c>
      <c r="J291" s="58">
        <v>3519308</v>
      </c>
      <c r="K291" s="1" t="s">
        <v>106</v>
      </c>
      <c r="L291" s="1" t="s">
        <v>109</v>
      </c>
      <c r="M291" s="1" t="s">
        <v>123</v>
      </c>
      <c r="N291" s="1">
        <v>1</v>
      </c>
      <c r="O291" s="58"/>
      <c r="P291" s="58">
        <v>62264.68</v>
      </c>
      <c r="Q291" t="s">
        <v>113</v>
      </c>
      <c r="R291" s="1" t="s">
        <v>158</v>
      </c>
    </row>
    <row r="292" spans="3:18" x14ac:dyDescent="0.35">
      <c r="C292" t="s">
        <v>51</v>
      </c>
      <c r="D292" t="s">
        <v>92</v>
      </c>
      <c r="E292" t="s">
        <v>49</v>
      </c>
      <c r="F292" t="s">
        <v>46</v>
      </c>
      <c r="G292" s="58">
        <v>39669253</v>
      </c>
      <c r="H292" s="1" t="s">
        <v>47</v>
      </c>
      <c r="I292" s="1" t="s">
        <v>111</v>
      </c>
      <c r="J292" s="58">
        <v>634708048</v>
      </c>
      <c r="K292" s="1" t="s">
        <v>106</v>
      </c>
      <c r="L292" s="1" t="s">
        <v>124</v>
      </c>
      <c r="N292" s="1">
        <v>1</v>
      </c>
      <c r="O292" s="58"/>
      <c r="P292" s="58">
        <v>19437933.969999999</v>
      </c>
      <c r="Q292" t="s">
        <v>113</v>
      </c>
      <c r="R292" s="1" t="s">
        <v>158</v>
      </c>
    </row>
    <row r="293" spans="3:18" x14ac:dyDescent="0.35">
      <c r="C293" t="s">
        <v>51</v>
      </c>
      <c r="D293" t="s">
        <v>25</v>
      </c>
      <c r="E293" t="s">
        <v>45</v>
      </c>
      <c r="F293" t="s">
        <v>46</v>
      </c>
      <c r="G293" s="58">
        <v>1351582</v>
      </c>
      <c r="H293" s="1" t="s">
        <v>47</v>
      </c>
      <c r="I293" s="1" t="s">
        <v>111</v>
      </c>
      <c r="J293" s="58">
        <v>24328476</v>
      </c>
      <c r="K293" s="1" t="s">
        <v>106</v>
      </c>
      <c r="L293" s="1" t="s">
        <v>120</v>
      </c>
      <c r="N293" s="1">
        <v>1</v>
      </c>
      <c r="O293" s="58"/>
      <c r="P293" s="58">
        <v>716338.46</v>
      </c>
      <c r="Q293" t="s">
        <v>113</v>
      </c>
      <c r="R293" s="1" t="s">
        <v>158</v>
      </c>
    </row>
    <row r="294" spans="3:18" x14ac:dyDescent="0.35">
      <c r="C294" t="s">
        <v>51</v>
      </c>
      <c r="D294" t="s">
        <v>24</v>
      </c>
      <c r="E294" t="s">
        <v>55</v>
      </c>
      <c r="F294" t="s">
        <v>46</v>
      </c>
      <c r="G294" s="58">
        <v>1024504</v>
      </c>
      <c r="H294" s="1" t="s">
        <v>48</v>
      </c>
      <c r="I294" s="1" t="s">
        <v>111</v>
      </c>
      <c r="J294" s="58">
        <v>15367560</v>
      </c>
      <c r="K294" s="1" t="s">
        <v>106</v>
      </c>
      <c r="L294" s="1" t="s">
        <v>114</v>
      </c>
      <c r="M294" s="1" t="s">
        <v>121</v>
      </c>
      <c r="N294" s="1">
        <v>1</v>
      </c>
      <c r="O294" s="58"/>
      <c r="P294" s="58">
        <v>532742.07999999996</v>
      </c>
      <c r="Q294" t="s">
        <v>113</v>
      </c>
      <c r="R294" s="1" t="s">
        <v>48</v>
      </c>
    </row>
    <row r="295" spans="3:18" x14ac:dyDescent="0.35">
      <c r="C295" t="s">
        <v>51</v>
      </c>
      <c r="D295" t="s">
        <v>19</v>
      </c>
      <c r="E295" t="s">
        <v>49</v>
      </c>
      <c r="F295" t="s">
        <v>46</v>
      </c>
      <c r="G295" s="58">
        <v>2384274</v>
      </c>
      <c r="H295" s="1" t="s">
        <v>56</v>
      </c>
      <c r="I295" s="1" t="s">
        <v>111</v>
      </c>
      <c r="J295" s="58">
        <v>26227014</v>
      </c>
      <c r="K295" s="1" t="s">
        <v>106</v>
      </c>
      <c r="L295" s="1" t="s">
        <v>124</v>
      </c>
      <c r="N295" s="1">
        <v>1</v>
      </c>
      <c r="O295" s="58"/>
      <c r="P295" s="58">
        <v>2217374.8199999998</v>
      </c>
      <c r="Q295" t="s">
        <v>127</v>
      </c>
      <c r="R295" s="1" t="s">
        <v>158</v>
      </c>
    </row>
    <row r="296" spans="3:18" x14ac:dyDescent="0.35">
      <c r="C296" t="s">
        <v>51</v>
      </c>
      <c r="D296" t="s">
        <v>23</v>
      </c>
      <c r="E296" t="s">
        <v>45</v>
      </c>
      <c r="F296" t="s">
        <v>46</v>
      </c>
      <c r="G296" s="58">
        <v>39178</v>
      </c>
      <c r="H296" s="1" t="s">
        <v>47</v>
      </c>
      <c r="I296" s="1" t="s">
        <v>105</v>
      </c>
      <c r="J296" s="58">
        <v>117534</v>
      </c>
      <c r="K296" s="1" t="s">
        <v>106</v>
      </c>
      <c r="L296" s="1" t="s">
        <v>114</v>
      </c>
      <c r="N296" s="1">
        <v>1</v>
      </c>
      <c r="O296" s="58"/>
      <c r="P296" s="58">
        <v>21547.9</v>
      </c>
      <c r="Q296" t="s">
        <v>113</v>
      </c>
      <c r="R296" s="1" t="s">
        <v>158</v>
      </c>
    </row>
    <row r="297" spans="3:18" x14ac:dyDescent="0.35">
      <c r="C297" t="s">
        <v>51</v>
      </c>
      <c r="D297" t="s">
        <v>91</v>
      </c>
      <c r="E297" t="s">
        <v>49</v>
      </c>
      <c r="F297" t="s">
        <v>46</v>
      </c>
      <c r="G297" s="58">
        <v>9052741</v>
      </c>
      <c r="H297" s="1" t="s">
        <v>59</v>
      </c>
      <c r="I297" s="1" t="s">
        <v>108</v>
      </c>
      <c r="J297" s="58">
        <v>253476748</v>
      </c>
      <c r="K297" s="1" t="s">
        <v>106</v>
      </c>
      <c r="L297" s="1" t="s">
        <v>124</v>
      </c>
      <c r="N297" s="1">
        <v>1</v>
      </c>
      <c r="O297" s="58"/>
      <c r="P297" s="58">
        <v>2534767.48</v>
      </c>
      <c r="Q297" t="s">
        <v>107</v>
      </c>
      <c r="R297" s="1" t="s">
        <v>158</v>
      </c>
    </row>
    <row r="298" spans="3:18" x14ac:dyDescent="0.35">
      <c r="C298" t="s">
        <v>51</v>
      </c>
      <c r="D298" t="s">
        <v>22</v>
      </c>
      <c r="E298" t="s">
        <v>45</v>
      </c>
      <c r="F298" t="s">
        <v>46</v>
      </c>
      <c r="G298" s="58">
        <v>107333</v>
      </c>
      <c r="H298" s="1" t="s">
        <v>48</v>
      </c>
      <c r="I298" s="1" t="s">
        <v>108</v>
      </c>
      <c r="J298" s="58">
        <v>3112657</v>
      </c>
      <c r="K298" s="1" t="s">
        <v>106</v>
      </c>
      <c r="L298" s="1" t="s">
        <v>124</v>
      </c>
      <c r="M298" s="1" t="s">
        <v>122</v>
      </c>
      <c r="N298" s="1">
        <v>1</v>
      </c>
      <c r="O298" s="58"/>
      <c r="P298" s="58">
        <v>8586.64</v>
      </c>
      <c r="Q298" t="s">
        <v>107</v>
      </c>
      <c r="R298" s="1" t="s">
        <v>48</v>
      </c>
    </row>
    <row r="299" spans="3:18" x14ac:dyDescent="0.35">
      <c r="C299" t="s">
        <v>51</v>
      </c>
      <c r="D299" t="s">
        <v>91</v>
      </c>
      <c r="E299" t="s">
        <v>55</v>
      </c>
      <c r="F299" t="s">
        <v>46</v>
      </c>
      <c r="G299" s="58">
        <v>210449</v>
      </c>
      <c r="H299" s="1" t="s">
        <v>48</v>
      </c>
      <c r="I299" s="1" t="s">
        <v>111</v>
      </c>
      <c r="J299" s="58">
        <v>3577633</v>
      </c>
      <c r="K299" s="1" t="s">
        <v>106</v>
      </c>
      <c r="L299" s="1" t="s">
        <v>114</v>
      </c>
      <c r="M299" s="1" t="s">
        <v>122</v>
      </c>
      <c r="N299" s="1">
        <v>1</v>
      </c>
      <c r="O299" s="58"/>
      <c r="P299" s="58">
        <v>130478.38</v>
      </c>
      <c r="Q299" t="s">
        <v>118</v>
      </c>
      <c r="R299" s="1" t="s">
        <v>158</v>
      </c>
    </row>
    <row r="300" spans="3:18" x14ac:dyDescent="0.35">
      <c r="C300" t="s">
        <v>51</v>
      </c>
      <c r="D300" t="s">
        <v>23</v>
      </c>
      <c r="E300" t="s">
        <v>55</v>
      </c>
      <c r="F300" t="s">
        <v>46</v>
      </c>
      <c r="G300" s="58">
        <v>75841</v>
      </c>
      <c r="H300" s="1" t="s">
        <v>58</v>
      </c>
      <c r="I300" s="1" t="s">
        <v>108</v>
      </c>
      <c r="J300" s="58">
        <v>2047707</v>
      </c>
      <c r="K300" s="1" t="s">
        <v>106</v>
      </c>
      <c r="L300" s="1" t="s">
        <v>120</v>
      </c>
      <c r="N300" s="1">
        <v>1</v>
      </c>
      <c r="O300" s="58"/>
      <c r="P300" s="58">
        <v>34128.449999999997</v>
      </c>
      <c r="Q300" t="s">
        <v>113</v>
      </c>
      <c r="R300" s="1" t="s">
        <v>158</v>
      </c>
    </row>
    <row r="301" spans="3:18" x14ac:dyDescent="0.35">
      <c r="C301" t="s">
        <v>51</v>
      </c>
      <c r="D301" t="s">
        <v>24</v>
      </c>
      <c r="E301" t="s">
        <v>62</v>
      </c>
      <c r="F301" t="s">
        <v>46</v>
      </c>
      <c r="G301" s="58">
        <v>78426</v>
      </c>
      <c r="H301" s="1" t="s">
        <v>48</v>
      </c>
      <c r="I301" s="1" t="s">
        <v>111</v>
      </c>
      <c r="J301" s="58">
        <v>1333242</v>
      </c>
      <c r="K301" s="1" t="s">
        <v>106</v>
      </c>
      <c r="L301" s="1" t="s">
        <v>124</v>
      </c>
      <c r="M301" s="1" t="s">
        <v>121</v>
      </c>
      <c r="N301" s="1">
        <v>1</v>
      </c>
      <c r="O301" s="58"/>
      <c r="P301" s="58">
        <v>51761.16</v>
      </c>
      <c r="Q301" t="s">
        <v>118</v>
      </c>
      <c r="R301" s="1" t="s">
        <v>48</v>
      </c>
    </row>
    <row r="302" spans="3:18" x14ac:dyDescent="0.35">
      <c r="C302" t="s">
        <v>51</v>
      </c>
      <c r="D302" t="s">
        <v>22</v>
      </c>
      <c r="E302" t="s">
        <v>49</v>
      </c>
      <c r="F302" t="s">
        <v>46</v>
      </c>
      <c r="G302" s="58">
        <v>50639</v>
      </c>
      <c r="H302" s="1" t="s">
        <v>47</v>
      </c>
      <c r="I302" s="1" t="s">
        <v>119</v>
      </c>
      <c r="J302" s="58">
        <v>405112</v>
      </c>
      <c r="K302" s="1" t="s">
        <v>106</v>
      </c>
      <c r="L302" s="1" t="s">
        <v>120</v>
      </c>
      <c r="N302" s="1">
        <v>1</v>
      </c>
      <c r="O302" s="58"/>
      <c r="P302" s="58">
        <v>4051.12</v>
      </c>
      <c r="Q302" t="s">
        <v>107</v>
      </c>
      <c r="R302" s="1" t="s">
        <v>158</v>
      </c>
    </row>
    <row r="303" spans="3:18" x14ac:dyDescent="0.35">
      <c r="C303" t="s">
        <v>51</v>
      </c>
      <c r="D303" t="s">
        <v>21</v>
      </c>
      <c r="E303" t="s">
        <v>49</v>
      </c>
      <c r="F303" t="s">
        <v>46</v>
      </c>
      <c r="G303" s="58">
        <v>85905</v>
      </c>
      <c r="H303" s="1" t="s">
        <v>47</v>
      </c>
      <c r="I303" s="1" t="s">
        <v>119</v>
      </c>
      <c r="J303" s="58">
        <v>601335</v>
      </c>
      <c r="K303" s="1" t="s">
        <v>106</v>
      </c>
      <c r="L303" s="1" t="s">
        <v>116</v>
      </c>
      <c r="N303" s="1">
        <v>1</v>
      </c>
      <c r="O303" s="58"/>
      <c r="P303" s="58">
        <v>20617.2</v>
      </c>
      <c r="Q303" t="s">
        <v>107</v>
      </c>
      <c r="R303" s="1" t="s">
        <v>158</v>
      </c>
    </row>
    <row r="304" spans="3:18" x14ac:dyDescent="0.35">
      <c r="C304" t="s">
        <v>51</v>
      </c>
      <c r="D304" t="s">
        <v>19</v>
      </c>
      <c r="E304" t="s">
        <v>49</v>
      </c>
      <c r="F304" t="s">
        <v>64</v>
      </c>
      <c r="G304" s="58">
        <v>150065</v>
      </c>
      <c r="H304" s="1" t="s">
        <v>48</v>
      </c>
      <c r="I304" s="1" t="s">
        <v>119</v>
      </c>
      <c r="J304" s="58">
        <v>1350585</v>
      </c>
      <c r="K304" s="1" t="s">
        <v>112</v>
      </c>
      <c r="N304" s="1">
        <v>1</v>
      </c>
      <c r="O304" s="58"/>
      <c r="P304" s="58">
        <v>25511.05</v>
      </c>
      <c r="Q304" t="s">
        <v>107</v>
      </c>
      <c r="R304" s="1" t="s">
        <v>48</v>
      </c>
    </row>
    <row r="305" spans="3:18" x14ac:dyDescent="0.35">
      <c r="C305" t="s">
        <v>51</v>
      </c>
      <c r="D305" t="s">
        <v>23</v>
      </c>
      <c r="E305" t="s">
        <v>55</v>
      </c>
      <c r="F305" t="s">
        <v>46</v>
      </c>
      <c r="G305" s="58">
        <v>748937</v>
      </c>
      <c r="H305" s="1" t="s">
        <v>47</v>
      </c>
      <c r="I305" s="1" t="s">
        <v>108</v>
      </c>
      <c r="J305" s="58">
        <v>20970236</v>
      </c>
      <c r="K305" s="1" t="s">
        <v>106</v>
      </c>
      <c r="L305" s="1" t="s">
        <v>109</v>
      </c>
      <c r="N305" s="1">
        <v>1</v>
      </c>
      <c r="O305" s="58"/>
      <c r="P305" s="58">
        <v>509277.16</v>
      </c>
      <c r="Q305" t="s">
        <v>118</v>
      </c>
      <c r="R305" s="1" t="s">
        <v>158</v>
      </c>
    </row>
    <row r="306" spans="3:18" x14ac:dyDescent="0.35">
      <c r="C306" t="s">
        <v>53</v>
      </c>
      <c r="D306" t="s">
        <v>92</v>
      </c>
      <c r="E306" t="s">
        <v>49</v>
      </c>
      <c r="F306" t="s">
        <v>46</v>
      </c>
      <c r="G306" s="58">
        <v>6846437</v>
      </c>
      <c r="H306" s="1" t="s">
        <v>59</v>
      </c>
      <c r="I306" s="1" t="s">
        <v>105</v>
      </c>
      <c r="J306" s="58">
        <v>27385748</v>
      </c>
      <c r="K306" s="1" t="s">
        <v>112</v>
      </c>
      <c r="N306" s="1">
        <v>1</v>
      </c>
      <c r="O306" s="58"/>
      <c r="P306" s="58">
        <v>3012432.28</v>
      </c>
      <c r="Q306" t="s">
        <v>113</v>
      </c>
      <c r="R306" s="1" t="s">
        <v>158</v>
      </c>
    </row>
    <row r="307" spans="3:18" x14ac:dyDescent="0.35">
      <c r="C307" t="s">
        <v>51</v>
      </c>
      <c r="D307" t="s">
        <v>22</v>
      </c>
      <c r="E307" t="s">
        <v>45</v>
      </c>
      <c r="F307" t="s">
        <v>46</v>
      </c>
      <c r="G307" s="58">
        <v>108643</v>
      </c>
      <c r="H307" s="1" t="s">
        <v>59</v>
      </c>
      <c r="I307" s="1" t="s">
        <v>119</v>
      </c>
      <c r="J307" s="58">
        <v>1086430</v>
      </c>
      <c r="K307" s="1" t="s">
        <v>112</v>
      </c>
      <c r="N307" s="1">
        <v>1</v>
      </c>
      <c r="O307" s="58"/>
      <c r="P307" s="58">
        <v>88000.83</v>
      </c>
      <c r="Q307" t="s">
        <v>127</v>
      </c>
      <c r="R307" s="1" t="s">
        <v>158</v>
      </c>
    </row>
    <row r="308" spans="3:18" x14ac:dyDescent="0.35">
      <c r="C308" t="s">
        <v>51</v>
      </c>
      <c r="D308" t="s">
        <v>24</v>
      </c>
      <c r="E308" t="s">
        <v>55</v>
      </c>
      <c r="F308" t="s">
        <v>46</v>
      </c>
      <c r="G308" s="58">
        <v>595505</v>
      </c>
      <c r="H308" s="1" t="s">
        <v>48</v>
      </c>
      <c r="I308" s="1" t="s">
        <v>111</v>
      </c>
      <c r="J308" s="58">
        <v>11314595</v>
      </c>
      <c r="K308" s="1" t="s">
        <v>112</v>
      </c>
      <c r="N308" s="1">
        <v>1</v>
      </c>
      <c r="O308" s="58"/>
      <c r="P308" s="58">
        <v>136966.15</v>
      </c>
      <c r="Q308" t="s">
        <v>107</v>
      </c>
      <c r="R308" s="1" t="s">
        <v>48</v>
      </c>
    </row>
    <row r="309" spans="3:18" x14ac:dyDescent="0.35">
      <c r="C309" t="s">
        <v>51</v>
      </c>
      <c r="D309" t="s">
        <v>24</v>
      </c>
      <c r="E309" t="s">
        <v>50</v>
      </c>
      <c r="F309" t="s">
        <v>46</v>
      </c>
      <c r="G309" s="58">
        <v>48941</v>
      </c>
      <c r="H309" s="1" t="s">
        <v>48</v>
      </c>
      <c r="I309" s="1" t="s">
        <v>105</v>
      </c>
      <c r="J309" s="58">
        <v>146823</v>
      </c>
      <c r="K309" s="1" t="s">
        <v>106</v>
      </c>
      <c r="L309" s="1" t="s">
        <v>109</v>
      </c>
      <c r="M309" s="1" t="s">
        <v>121</v>
      </c>
      <c r="N309" s="1">
        <v>1</v>
      </c>
      <c r="O309" s="58"/>
      <c r="P309" s="58">
        <v>9298.7900000000009</v>
      </c>
      <c r="Q309" t="s">
        <v>107</v>
      </c>
      <c r="R309" s="1" t="s">
        <v>48</v>
      </c>
    </row>
    <row r="310" spans="3:18" x14ac:dyDescent="0.35">
      <c r="C310" t="s">
        <v>51</v>
      </c>
      <c r="D310" t="s">
        <v>23</v>
      </c>
      <c r="E310" t="s">
        <v>45</v>
      </c>
      <c r="F310" t="s">
        <v>46</v>
      </c>
      <c r="G310" s="58">
        <v>1176</v>
      </c>
      <c r="H310" s="1" t="s">
        <v>54</v>
      </c>
      <c r="I310" s="1" t="s">
        <v>128</v>
      </c>
      <c r="J310" s="58"/>
      <c r="K310" s="1" t="s">
        <v>106</v>
      </c>
      <c r="L310" s="1" t="s">
        <v>120</v>
      </c>
      <c r="N310" s="1">
        <v>0</v>
      </c>
      <c r="O310" s="58"/>
      <c r="P310" s="58">
        <v>0</v>
      </c>
      <c r="Q310" t="s">
        <v>107</v>
      </c>
      <c r="R310" s="1" t="s">
        <v>158</v>
      </c>
    </row>
    <row r="311" spans="3:18" x14ac:dyDescent="0.35">
      <c r="C311" t="s">
        <v>51</v>
      </c>
      <c r="D311" t="s">
        <v>23</v>
      </c>
      <c r="E311" t="s">
        <v>55</v>
      </c>
      <c r="F311" t="s">
        <v>46</v>
      </c>
      <c r="G311" s="58">
        <v>1458</v>
      </c>
      <c r="H311" s="1" t="s">
        <v>59</v>
      </c>
      <c r="I311" s="1" t="s">
        <v>119</v>
      </c>
      <c r="J311" s="58">
        <v>10206</v>
      </c>
      <c r="K311" s="1" t="s">
        <v>106</v>
      </c>
      <c r="L311" s="1" t="s">
        <v>114</v>
      </c>
      <c r="N311" s="1">
        <v>1</v>
      </c>
      <c r="O311" s="58"/>
      <c r="P311" s="58">
        <v>2187</v>
      </c>
      <c r="Q311" t="s">
        <v>110</v>
      </c>
      <c r="R311" s="1" t="s">
        <v>158</v>
      </c>
    </row>
    <row r="312" spans="3:18" x14ac:dyDescent="0.35">
      <c r="C312" t="s">
        <v>51</v>
      </c>
      <c r="D312" t="s">
        <v>91</v>
      </c>
      <c r="E312" t="s">
        <v>49</v>
      </c>
      <c r="F312" t="s">
        <v>46</v>
      </c>
      <c r="G312" s="58">
        <v>89735</v>
      </c>
      <c r="H312" s="1" t="s">
        <v>56</v>
      </c>
      <c r="I312" s="1" t="s">
        <v>105</v>
      </c>
      <c r="J312" s="58">
        <v>358940</v>
      </c>
      <c r="K312" s="1" t="s">
        <v>106</v>
      </c>
      <c r="L312" s="1" t="s">
        <v>124</v>
      </c>
      <c r="N312" s="1">
        <v>1</v>
      </c>
      <c r="O312" s="58"/>
      <c r="P312" s="58">
        <v>12562.9</v>
      </c>
      <c r="Q312" t="s">
        <v>107</v>
      </c>
      <c r="R312" s="1" t="s">
        <v>158</v>
      </c>
    </row>
    <row r="313" spans="3:18" x14ac:dyDescent="0.35">
      <c r="C313" t="s">
        <v>51</v>
      </c>
      <c r="D313" t="s">
        <v>23</v>
      </c>
      <c r="E313" t="s">
        <v>45</v>
      </c>
      <c r="F313" t="s">
        <v>46</v>
      </c>
      <c r="G313" s="58">
        <v>193061173</v>
      </c>
      <c r="H313" s="1" t="s">
        <v>47</v>
      </c>
      <c r="I313" s="1" t="s">
        <v>108</v>
      </c>
      <c r="J313" s="58">
        <v>5405712844</v>
      </c>
      <c r="K313" s="1" t="s">
        <v>106</v>
      </c>
      <c r="L313" s="1" t="s">
        <v>120</v>
      </c>
      <c r="N313" s="1">
        <v>1</v>
      </c>
      <c r="O313" s="58"/>
      <c r="P313" s="58">
        <v>131281597.64</v>
      </c>
      <c r="Q313" t="s">
        <v>118</v>
      </c>
      <c r="R313" s="1" t="s">
        <v>158</v>
      </c>
    </row>
    <row r="314" spans="3:18" x14ac:dyDescent="0.35">
      <c r="C314" t="s">
        <v>53</v>
      </c>
      <c r="D314" t="s">
        <v>92</v>
      </c>
      <c r="E314" t="s">
        <v>45</v>
      </c>
      <c r="F314" t="s">
        <v>46</v>
      </c>
      <c r="G314" s="58">
        <v>78785</v>
      </c>
      <c r="H314" s="1" t="s">
        <v>47</v>
      </c>
      <c r="I314" s="1" t="s">
        <v>108</v>
      </c>
      <c r="J314" s="58">
        <v>2521120</v>
      </c>
      <c r="K314" s="1" t="s">
        <v>106</v>
      </c>
      <c r="L314" s="1" t="s">
        <v>120</v>
      </c>
      <c r="N314" s="1">
        <v>1</v>
      </c>
      <c r="O314" s="58"/>
      <c r="P314" s="58">
        <v>59876.6</v>
      </c>
      <c r="Q314" t="s">
        <v>118</v>
      </c>
      <c r="R314" s="1" t="s">
        <v>158</v>
      </c>
    </row>
    <row r="315" spans="3:18" x14ac:dyDescent="0.35">
      <c r="C315" t="s">
        <v>51</v>
      </c>
      <c r="D315" t="s">
        <v>92</v>
      </c>
      <c r="E315" t="s">
        <v>45</v>
      </c>
      <c r="F315" t="s">
        <v>46</v>
      </c>
      <c r="G315" s="58">
        <v>215182</v>
      </c>
      <c r="H315" s="1" t="s">
        <v>47</v>
      </c>
      <c r="I315" s="1" t="s">
        <v>108</v>
      </c>
      <c r="J315" s="58">
        <v>7961734</v>
      </c>
      <c r="K315" s="1" t="s">
        <v>112</v>
      </c>
      <c r="N315" s="1">
        <v>1</v>
      </c>
      <c r="O315" s="58"/>
      <c r="P315" s="58">
        <v>172145.6</v>
      </c>
      <c r="Q315" t="s">
        <v>118</v>
      </c>
      <c r="R315" s="1" t="s">
        <v>158</v>
      </c>
    </row>
    <row r="316" spans="3:18" x14ac:dyDescent="0.35">
      <c r="C316" t="s">
        <v>51</v>
      </c>
      <c r="D316" t="s">
        <v>25</v>
      </c>
      <c r="E316" t="s">
        <v>50</v>
      </c>
      <c r="F316" t="s">
        <v>46</v>
      </c>
      <c r="G316" s="58">
        <v>461880</v>
      </c>
      <c r="H316" s="1" t="s">
        <v>54</v>
      </c>
      <c r="I316" s="1" t="s">
        <v>111</v>
      </c>
      <c r="J316" s="58">
        <v>7390080</v>
      </c>
      <c r="K316" s="1" t="s">
        <v>106</v>
      </c>
      <c r="L316" s="1" t="s">
        <v>109</v>
      </c>
      <c r="N316" s="1">
        <v>1</v>
      </c>
      <c r="O316" s="58"/>
      <c r="P316" s="58">
        <v>235558.8</v>
      </c>
      <c r="Q316" t="s">
        <v>113</v>
      </c>
      <c r="R316" s="1" t="s">
        <v>158</v>
      </c>
    </row>
    <row r="317" spans="3:18" x14ac:dyDescent="0.35">
      <c r="C317" t="s">
        <v>51</v>
      </c>
      <c r="D317" t="s">
        <v>22</v>
      </c>
      <c r="E317" t="s">
        <v>45</v>
      </c>
      <c r="F317" t="s">
        <v>46</v>
      </c>
      <c r="G317" s="58">
        <v>551240</v>
      </c>
      <c r="H317" s="1" t="s">
        <v>48</v>
      </c>
      <c r="I317" s="1" t="s">
        <v>108</v>
      </c>
      <c r="J317" s="58">
        <v>18742160</v>
      </c>
      <c r="K317" s="1" t="s">
        <v>106</v>
      </c>
      <c r="L317" s="1" t="s">
        <v>114</v>
      </c>
      <c r="M317" s="1" t="s">
        <v>115</v>
      </c>
      <c r="N317" s="1">
        <v>1</v>
      </c>
      <c r="O317" s="58"/>
      <c r="P317" s="58">
        <v>407917.6</v>
      </c>
      <c r="Q317" t="s">
        <v>118</v>
      </c>
      <c r="R317" s="1" t="s">
        <v>48</v>
      </c>
    </row>
    <row r="318" spans="3:18" x14ac:dyDescent="0.35">
      <c r="C318" t="s">
        <v>51</v>
      </c>
      <c r="D318" t="s">
        <v>23</v>
      </c>
      <c r="E318" t="s">
        <v>55</v>
      </c>
      <c r="F318" t="s">
        <v>46</v>
      </c>
      <c r="G318" s="58">
        <v>3243917</v>
      </c>
      <c r="H318" s="1" t="s">
        <v>47</v>
      </c>
      <c r="I318" s="1" t="s">
        <v>108</v>
      </c>
      <c r="J318" s="58">
        <v>103805344</v>
      </c>
      <c r="K318" s="1" t="s">
        <v>112</v>
      </c>
      <c r="N318" s="1">
        <v>1</v>
      </c>
      <c r="O318" s="58"/>
      <c r="P318" s="58">
        <v>2724890.28</v>
      </c>
      <c r="Q318" t="s">
        <v>127</v>
      </c>
      <c r="R318" s="1" t="s">
        <v>158</v>
      </c>
    </row>
    <row r="319" spans="3:18" x14ac:dyDescent="0.35">
      <c r="C319" t="s">
        <v>51</v>
      </c>
      <c r="D319" t="s">
        <v>21</v>
      </c>
      <c r="E319" t="s">
        <v>45</v>
      </c>
      <c r="F319" t="s">
        <v>46</v>
      </c>
      <c r="G319" s="58">
        <v>562</v>
      </c>
      <c r="H319" s="1" t="s">
        <v>54</v>
      </c>
      <c r="I319" s="1" t="s">
        <v>128</v>
      </c>
      <c r="J319" s="58"/>
      <c r="K319" s="1" t="s">
        <v>106</v>
      </c>
      <c r="L319" s="1" t="s">
        <v>120</v>
      </c>
      <c r="N319" s="1">
        <v>0</v>
      </c>
      <c r="O319" s="58"/>
      <c r="P319" s="58">
        <v>0</v>
      </c>
      <c r="Q319" t="s">
        <v>107</v>
      </c>
      <c r="R319" s="1" t="s">
        <v>158</v>
      </c>
    </row>
    <row r="320" spans="3:18" x14ac:dyDescent="0.35">
      <c r="C320" t="s">
        <v>51</v>
      </c>
      <c r="D320" t="s">
        <v>92</v>
      </c>
      <c r="E320" t="s">
        <v>45</v>
      </c>
      <c r="F320" t="s">
        <v>46</v>
      </c>
      <c r="G320" s="58">
        <v>272319</v>
      </c>
      <c r="H320" s="1" t="s">
        <v>59</v>
      </c>
      <c r="I320" s="1" t="s">
        <v>108</v>
      </c>
      <c r="J320" s="58">
        <v>9803484</v>
      </c>
      <c r="K320" s="1" t="s">
        <v>106</v>
      </c>
      <c r="L320" s="1" t="s">
        <v>120</v>
      </c>
      <c r="N320" s="1">
        <v>1</v>
      </c>
      <c r="O320" s="58"/>
      <c r="P320" s="58">
        <v>217855.2</v>
      </c>
      <c r="Q320" t="s">
        <v>127</v>
      </c>
      <c r="R320" s="1" t="s">
        <v>158</v>
      </c>
    </row>
    <row r="321" spans="3:18" x14ac:dyDescent="0.35">
      <c r="C321" t="s">
        <v>51</v>
      </c>
      <c r="D321" t="s">
        <v>60</v>
      </c>
      <c r="E321" t="s">
        <v>60</v>
      </c>
      <c r="F321" t="s">
        <v>46</v>
      </c>
      <c r="G321" s="58">
        <v>46318</v>
      </c>
      <c r="H321" s="1" t="s">
        <v>61</v>
      </c>
      <c r="I321" s="1" t="s">
        <v>111</v>
      </c>
      <c r="J321" s="58">
        <v>509498</v>
      </c>
      <c r="K321" s="1" t="s">
        <v>106</v>
      </c>
      <c r="N321" s="1">
        <v>1</v>
      </c>
      <c r="O321" s="58"/>
      <c r="P321" s="58">
        <v>14358.58</v>
      </c>
      <c r="Q321" t="s">
        <v>107</v>
      </c>
    </row>
    <row r="322" spans="3:18" x14ac:dyDescent="0.35">
      <c r="C322" t="s">
        <v>53</v>
      </c>
      <c r="D322" t="s">
        <v>60</v>
      </c>
      <c r="E322" t="s">
        <v>60</v>
      </c>
      <c r="F322" t="s">
        <v>46</v>
      </c>
      <c r="G322" s="58">
        <v>531</v>
      </c>
      <c r="H322" s="1" t="s">
        <v>90</v>
      </c>
      <c r="I322" s="1" t="s">
        <v>111</v>
      </c>
      <c r="J322" s="58">
        <v>6372</v>
      </c>
      <c r="K322" s="1" t="s">
        <v>106</v>
      </c>
      <c r="N322" s="1">
        <v>1</v>
      </c>
      <c r="O322" s="58"/>
      <c r="P322" s="58">
        <v>515.07000000000005</v>
      </c>
      <c r="Q322" t="s">
        <v>127</v>
      </c>
      <c r="R322" s="1" t="s">
        <v>90</v>
      </c>
    </row>
    <row r="323" spans="3:18" x14ac:dyDescent="0.35">
      <c r="C323" t="s">
        <v>53</v>
      </c>
      <c r="D323" t="s">
        <v>21</v>
      </c>
      <c r="E323" t="s">
        <v>55</v>
      </c>
      <c r="F323" t="s">
        <v>46</v>
      </c>
      <c r="G323" s="58">
        <v>233902</v>
      </c>
      <c r="H323" s="1" t="s">
        <v>47</v>
      </c>
      <c r="I323" s="1" t="s">
        <v>105</v>
      </c>
      <c r="J323" s="58">
        <v>1169510</v>
      </c>
      <c r="K323" s="1" t="s">
        <v>106</v>
      </c>
      <c r="L323" s="1" t="s">
        <v>114</v>
      </c>
      <c r="N323" s="1">
        <v>1</v>
      </c>
      <c r="O323" s="58"/>
      <c r="P323" s="58">
        <v>95899.82</v>
      </c>
      <c r="Q323" t="s">
        <v>113</v>
      </c>
      <c r="R323" s="1" t="s">
        <v>158</v>
      </c>
    </row>
    <row r="324" spans="3:18" x14ac:dyDescent="0.35">
      <c r="C324" t="s">
        <v>51</v>
      </c>
      <c r="D324" t="s">
        <v>22</v>
      </c>
      <c r="E324" t="s">
        <v>50</v>
      </c>
      <c r="F324" t="s">
        <v>46</v>
      </c>
      <c r="G324" s="58">
        <v>447184</v>
      </c>
      <c r="H324" s="1" t="s">
        <v>48</v>
      </c>
      <c r="I324" s="1" t="s">
        <v>119</v>
      </c>
      <c r="J324" s="58">
        <v>3577472</v>
      </c>
      <c r="K324" s="1" t="s">
        <v>106</v>
      </c>
      <c r="L324" s="1" t="s">
        <v>109</v>
      </c>
      <c r="M324" s="1" t="s">
        <v>115</v>
      </c>
      <c r="N324" s="1">
        <v>1</v>
      </c>
      <c r="O324" s="58"/>
      <c r="P324" s="58">
        <v>129683.36</v>
      </c>
      <c r="Q324" t="s">
        <v>107</v>
      </c>
      <c r="R324" s="1" t="s">
        <v>48</v>
      </c>
    </row>
    <row r="325" spans="3:18" x14ac:dyDescent="0.35">
      <c r="C325" t="s">
        <v>51</v>
      </c>
      <c r="D325" t="s">
        <v>24</v>
      </c>
      <c r="E325" t="s">
        <v>50</v>
      </c>
      <c r="F325" t="s">
        <v>46</v>
      </c>
      <c r="G325" s="58">
        <v>88946</v>
      </c>
      <c r="H325" s="1" t="s">
        <v>54</v>
      </c>
      <c r="I325" s="1" t="s">
        <v>119</v>
      </c>
      <c r="J325" s="58">
        <v>711568</v>
      </c>
      <c r="K325" s="1" t="s">
        <v>106</v>
      </c>
      <c r="L325" s="1" t="s">
        <v>109</v>
      </c>
      <c r="N325" s="1">
        <v>1</v>
      </c>
      <c r="O325" s="58"/>
      <c r="P325" s="58">
        <v>40025.699999999997</v>
      </c>
      <c r="Q325" t="s">
        <v>113</v>
      </c>
      <c r="R325" s="1" t="s">
        <v>158</v>
      </c>
    </row>
    <row r="326" spans="3:18" x14ac:dyDescent="0.35">
      <c r="C326" t="s">
        <v>51</v>
      </c>
      <c r="D326" t="s">
        <v>22</v>
      </c>
      <c r="E326" t="s">
        <v>45</v>
      </c>
      <c r="F326" t="s">
        <v>46</v>
      </c>
      <c r="G326" s="58">
        <v>5231384</v>
      </c>
      <c r="H326" s="1" t="s">
        <v>56</v>
      </c>
      <c r="I326" s="1" t="s">
        <v>108</v>
      </c>
      <c r="J326" s="58">
        <v>141247368</v>
      </c>
      <c r="K326" s="1" t="s">
        <v>112</v>
      </c>
      <c r="N326" s="1">
        <v>1</v>
      </c>
      <c r="O326" s="58"/>
      <c r="P326" s="58">
        <v>1517101.36</v>
      </c>
      <c r="Q326" t="s">
        <v>107</v>
      </c>
      <c r="R326" s="1" t="s">
        <v>158</v>
      </c>
    </row>
    <row r="327" spans="3:18" x14ac:dyDescent="0.35">
      <c r="C327" t="s">
        <v>51</v>
      </c>
      <c r="D327" t="s">
        <v>23</v>
      </c>
      <c r="E327" t="s">
        <v>55</v>
      </c>
      <c r="F327" t="s">
        <v>46</v>
      </c>
      <c r="G327" s="58">
        <v>22255733</v>
      </c>
      <c r="H327" s="1" t="s">
        <v>59</v>
      </c>
      <c r="I327" s="1" t="s">
        <v>108</v>
      </c>
      <c r="J327" s="58">
        <v>623160524</v>
      </c>
      <c r="K327" s="1" t="s">
        <v>106</v>
      </c>
      <c r="L327" s="1" t="s">
        <v>114</v>
      </c>
      <c r="N327" s="1">
        <v>1</v>
      </c>
      <c r="O327" s="58"/>
      <c r="P327" s="58">
        <v>15356455.77</v>
      </c>
      <c r="Q327" t="s">
        <v>118</v>
      </c>
      <c r="R327" s="1" t="s">
        <v>158</v>
      </c>
    </row>
    <row r="328" spans="3:18" x14ac:dyDescent="0.35">
      <c r="C328" t="s">
        <v>51</v>
      </c>
      <c r="D328" t="s">
        <v>24</v>
      </c>
      <c r="E328" t="s">
        <v>55</v>
      </c>
      <c r="F328" t="s">
        <v>64</v>
      </c>
      <c r="G328" s="58">
        <v>48110</v>
      </c>
      <c r="H328" s="1" t="s">
        <v>47</v>
      </c>
      <c r="I328" s="1" t="s">
        <v>108</v>
      </c>
      <c r="J328" s="58">
        <v>1780070</v>
      </c>
      <c r="K328" s="1" t="s">
        <v>112</v>
      </c>
      <c r="N328" s="1">
        <v>1</v>
      </c>
      <c r="O328" s="58"/>
      <c r="P328" s="58">
        <v>3848.8</v>
      </c>
      <c r="Q328" t="s">
        <v>107</v>
      </c>
      <c r="R328" s="1" t="s">
        <v>158</v>
      </c>
    </row>
    <row r="329" spans="3:18" x14ac:dyDescent="0.35">
      <c r="C329" t="s">
        <v>51</v>
      </c>
      <c r="D329" t="s">
        <v>92</v>
      </c>
      <c r="E329" t="s">
        <v>49</v>
      </c>
      <c r="F329" t="s">
        <v>46</v>
      </c>
      <c r="G329" s="58">
        <v>234330</v>
      </c>
      <c r="H329" s="1" t="s">
        <v>48</v>
      </c>
      <c r="I329" s="1" t="s">
        <v>108</v>
      </c>
      <c r="J329" s="58">
        <v>4686600</v>
      </c>
      <c r="K329" s="1" t="s">
        <v>106</v>
      </c>
      <c r="L329" s="1" t="s">
        <v>124</v>
      </c>
      <c r="M329" s="1" t="s">
        <v>121</v>
      </c>
      <c r="N329" s="1">
        <v>1</v>
      </c>
      <c r="O329" s="58"/>
      <c r="P329" s="58">
        <v>98418.6</v>
      </c>
      <c r="Q329" t="s">
        <v>113</v>
      </c>
      <c r="R329" s="1" t="s">
        <v>48</v>
      </c>
    </row>
    <row r="330" spans="3:18" x14ac:dyDescent="0.35">
      <c r="C330" t="s">
        <v>53</v>
      </c>
      <c r="D330" t="s">
        <v>92</v>
      </c>
      <c r="E330" t="s">
        <v>49</v>
      </c>
      <c r="F330" t="s">
        <v>46</v>
      </c>
      <c r="G330" s="58">
        <v>111452</v>
      </c>
      <c r="H330" s="1" t="s">
        <v>48</v>
      </c>
      <c r="I330" s="1" t="s">
        <v>108</v>
      </c>
      <c r="J330" s="58">
        <v>3120656</v>
      </c>
      <c r="K330" s="1" t="s">
        <v>106</v>
      </c>
      <c r="L330" s="1" t="s">
        <v>124</v>
      </c>
      <c r="M330" s="1" t="s">
        <v>123</v>
      </c>
      <c r="N330" s="1">
        <v>1</v>
      </c>
      <c r="O330" s="58"/>
      <c r="P330" s="58">
        <v>0</v>
      </c>
      <c r="Q330" t="s">
        <v>107</v>
      </c>
      <c r="R330" s="1" t="s">
        <v>158</v>
      </c>
    </row>
    <row r="331" spans="3:18" x14ac:dyDescent="0.35">
      <c r="C331" t="s">
        <v>51</v>
      </c>
      <c r="D331" t="s">
        <v>24</v>
      </c>
      <c r="E331" t="s">
        <v>50</v>
      </c>
      <c r="F331" t="s">
        <v>46</v>
      </c>
      <c r="G331" s="58">
        <v>964132</v>
      </c>
      <c r="H331" s="1" t="s">
        <v>48</v>
      </c>
      <c r="I331" s="1" t="s">
        <v>108</v>
      </c>
      <c r="J331" s="58">
        <v>29888092</v>
      </c>
      <c r="K331" s="1" t="s">
        <v>112</v>
      </c>
      <c r="N331" s="1">
        <v>1</v>
      </c>
      <c r="O331" s="58"/>
      <c r="P331" s="58">
        <v>269956.96000000002</v>
      </c>
      <c r="Q331" t="s">
        <v>107</v>
      </c>
      <c r="R331" s="1" t="s">
        <v>48</v>
      </c>
    </row>
    <row r="332" spans="3:18" x14ac:dyDescent="0.35">
      <c r="C332" t="s">
        <v>53</v>
      </c>
      <c r="D332" t="s">
        <v>21</v>
      </c>
      <c r="E332" t="s">
        <v>45</v>
      </c>
      <c r="F332" t="s">
        <v>46</v>
      </c>
      <c r="G332" s="58">
        <v>68914</v>
      </c>
      <c r="H332" s="1" t="s">
        <v>59</v>
      </c>
      <c r="I332" s="1" t="s">
        <v>111</v>
      </c>
      <c r="J332" s="58">
        <v>1033710</v>
      </c>
      <c r="K332" s="1" t="s">
        <v>112</v>
      </c>
      <c r="N332" s="1">
        <v>1</v>
      </c>
      <c r="O332" s="58"/>
      <c r="P332" s="58">
        <v>8958.82</v>
      </c>
      <c r="Q332" t="s">
        <v>107</v>
      </c>
      <c r="R332" s="1" t="s">
        <v>158</v>
      </c>
    </row>
    <row r="333" spans="3:18" x14ac:dyDescent="0.35">
      <c r="C333" t="s">
        <v>53</v>
      </c>
      <c r="D333" t="s">
        <v>21</v>
      </c>
      <c r="E333" t="s">
        <v>49</v>
      </c>
      <c r="F333" t="s">
        <v>46</v>
      </c>
      <c r="G333" s="58">
        <v>4594941</v>
      </c>
      <c r="H333" s="1" t="s">
        <v>56</v>
      </c>
      <c r="I333" s="1" t="s">
        <v>105</v>
      </c>
      <c r="J333" s="58">
        <v>13784823</v>
      </c>
      <c r="K333" s="1" t="s">
        <v>106</v>
      </c>
      <c r="L333" s="1" t="s">
        <v>124</v>
      </c>
      <c r="N333" s="1">
        <v>1</v>
      </c>
      <c r="O333" s="58"/>
      <c r="P333" s="58">
        <v>643291.74</v>
      </c>
      <c r="Q333" t="s">
        <v>107</v>
      </c>
      <c r="R333" s="1" t="s">
        <v>158</v>
      </c>
    </row>
    <row r="334" spans="3:18" x14ac:dyDescent="0.35">
      <c r="C334" t="s">
        <v>53</v>
      </c>
      <c r="D334" t="s">
        <v>92</v>
      </c>
      <c r="E334" t="s">
        <v>49</v>
      </c>
      <c r="F334" t="s">
        <v>46</v>
      </c>
      <c r="G334" s="58">
        <v>147395</v>
      </c>
      <c r="H334" s="1" t="s">
        <v>47</v>
      </c>
      <c r="I334" s="1" t="s">
        <v>108</v>
      </c>
      <c r="J334" s="58">
        <v>3095295</v>
      </c>
      <c r="K334" s="1" t="s">
        <v>106</v>
      </c>
      <c r="L334" s="1" t="s">
        <v>124</v>
      </c>
      <c r="N334" s="1">
        <v>1</v>
      </c>
      <c r="O334" s="58"/>
      <c r="P334" s="58">
        <v>60431.95</v>
      </c>
      <c r="Q334" t="s">
        <v>113</v>
      </c>
      <c r="R334" s="1" t="s">
        <v>158</v>
      </c>
    </row>
    <row r="335" spans="3:18" x14ac:dyDescent="0.35">
      <c r="C335" t="s">
        <v>51</v>
      </c>
      <c r="D335" t="s">
        <v>23</v>
      </c>
      <c r="E335" t="s">
        <v>50</v>
      </c>
      <c r="F335" t="s">
        <v>46</v>
      </c>
      <c r="G335" s="58">
        <v>89746</v>
      </c>
      <c r="H335" s="1" t="s">
        <v>48</v>
      </c>
      <c r="I335" s="1" t="s">
        <v>108</v>
      </c>
      <c r="J335" s="58">
        <v>3051364</v>
      </c>
      <c r="K335" s="1" t="s">
        <v>106</v>
      </c>
      <c r="L335" s="1" t="s">
        <v>124</v>
      </c>
      <c r="M335" s="1" t="s">
        <v>125</v>
      </c>
      <c r="N335" s="1">
        <v>1</v>
      </c>
      <c r="O335" s="58"/>
      <c r="P335" s="58">
        <v>43078.080000000002</v>
      </c>
      <c r="Q335" t="s">
        <v>113</v>
      </c>
      <c r="R335" s="1" t="s">
        <v>48</v>
      </c>
    </row>
    <row r="336" spans="3:18" x14ac:dyDescent="0.35">
      <c r="C336" t="s">
        <v>51</v>
      </c>
      <c r="D336" t="s">
        <v>19</v>
      </c>
      <c r="E336" t="s">
        <v>49</v>
      </c>
      <c r="F336" t="s">
        <v>46</v>
      </c>
      <c r="G336" s="58">
        <v>25975177</v>
      </c>
      <c r="H336" s="1" t="s">
        <v>48</v>
      </c>
      <c r="I336" s="1" t="s">
        <v>111</v>
      </c>
      <c r="J336" s="58">
        <v>441578009</v>
      </c>
      <c r="K336" s="1" t="s">
        <v>106</v>
      </c>
      <c r="L336" s="1" t="s">
        <v>124</v>
      </c>
      <c r="M336" s="1" t="s">
        <v>122</v>
      </c>
      <c r="N336" s="1">
        <v>1</v>
      </c>
      <c r="O336" s="58"/>
      <c r="P336" s="58">
        <v>17403368.59</v>
      </c>
      <c r="Q336" t="s">
        <v>118</v>
      </c>
      <c r="R336" s="1" t="s">
        <v>158</v>
      </c>
    </row>
    <row r="337" spans="3:18" x14ac:dyDescent="0.35">
      <c r="C337" t="s">
        <v>51</v>
      </c>
      <c r="D337" t="s">
        <v>24</v>
      </c>
      <c r="E337" t="s">
        <v>50</v>
      </c>
      <c r="F337" t="s">
        <v>46</v>
      </c>
      <c r="G337" s="58">
        <v>2196053</v>
      </c>
      <c r="H337" s="1" t="s">
        <v>48</v>
      </c>
      <c r="I337" s="1" t="s">
        <v>108</v>
      </c>
      <c r="J337" s="58">
        <v>72469749</v>
      </c>
      <c r="K337" s="1" t="s">
        <v>106</v>
      </c>
      <c r="L337" s="1" t="s">
        <v>114</v>
      </c>
      <c r="M337" s="1" t="s">
        <v>121</v>
      </c>
      <c r="N337" s="1">
        <v>1</v>
      </c>
      <c r="O337" s="58"/>
      <c r="P337" s="58">
        <v>1800763.46</v>
      </c>
      <c r="Q337" t="s">
        <v>127</v>
      </c>
      <c r="R337" s="1" t="s">
        <v>48</v>
      </c>
    </row>
    <row r="338" spans="3:18" x14ac:dyDescent="0.35">
      <c r="C338" t="s">
        <v>51</v>
      </c>
      <c r="D338" t="s">
        <v>21</v>
      </c>
      <c r="E338" t="s">
        <v>45</v>
      </c>
      <c r="F338" t="s">
        <v>46</v>
      </c>
      <c r="G338" s="58">
        <v>5251939</v>
      </c>
      <c r="H338" s="1" t="s">
        <v>48</v>
      </c>
      <c r="I338" s="1" t="s">
        <v>108</v>
      </c>
      <c r="J338" s="58">
        <v>173313987</v>
      </c>
      <c r="K338" s="1" t="s">
        <v>112</v>
      </c>
      <c r="N338" s="1">
        <v>1</v>
      </c>
      <c r="O338" s="58"/>
      <c r="P338" s="58">
        <v>3728876.69</v>
      </c>
      <c r="Q338" t="s">
        <v>118</v>
      </c>
      <c r="R338" s="1" t="s">
        <v>158</v>
      </c>
    </row>
    <row r="339" spans="3:18" x14ac:dyDescent="0.35">
      <c r="C339" t="s">
        <v>51</v>
      </c>
      <c r="D339" t="s">
        <v>23</v>
      </c>
      <c r="E339" t="s">
        <v>50</v>
      </c>
      <c r="F339" t="s">
        <v>46</v>
      </c>
      <c r="G339" s="58">
        <v>183029</v>
      </c>
      <c r="H339" s="1" t="s">
        <v>48</v>
      </c>
      <c r="I339" s="1" t="s">
        <v>105</v>
      </c>
      <c r="J339" s="58">
        <v>732116</v>
      </c>
      <c r="K339" s="1" t="s">
        <v>106</v>
      </c>
      <c r="L339" s="1" t="s">
        <v>109</v>
      </c>
      <c r="M339" s="1" t="s">
        <v>125</v>
      </c>
      <c r="N339" s="1">
        <v>1</v>
      </c>
      <c r="O339" s="58"/>
      <c r="P339" s="58">
        <v>84193.34</v>
      </c>
      <c r="Q339" t="s">
        <v>113</v>
      </c>
      <c r="R339" s="1" t="s">
        <v>48</v>
      </c>
    </row>
    <row r="340" spans="3:18" x14ac:dyDescent="0.35">
      <c r="C340" t="s">
        <v>51</v>
      </c>
      <c r="D340" t="s">
        <v>24</v>
      </c>
      <c r="E340" t="s">
        <v>55</v>
      </c>
      <c r="F340" t="s">
        <v>46</v>
      </c>
      <c r="G340" s="58">
        <v>1737958</v>
      </c>
      <c r="H340" s="1" t="s">
        <v>48</v>
      </c>
      <c r="I340" s="1" t="s">
        <v>119</v>
      </c>
      <c r="J340" s="58">
        <v>13903664</v>
      </c>
      <c r="K340" s="1" t="s">
        <v>106</v>
      </c>
      <c r="L340" s="1" t="s">
        <v>114</v>
      </c>
      <c r="M340" s="1" t="s">
        <v>121</v>
      </c>
      <c r="N340" s="1">
        <v>1</v>
      </c>
      <c r="O340" s="58"/>
      <c r="P340" s="58">
        <v>834219.84</v>
      </c>
      <c r="Q340" t="s">
        <v>113</v>
      </c>
      <c r="R340" s="1" t="s">
        <v>158</v>
      </c>
    </row>
    <row r="341" spans="3:18" x14ac:dyDescent="0.35">
      <c r="C341" t="s">
        <v>51</v>
      </c>
      <c r="D341" t="s">
        <v>24</v>
      </c>
      <c r="E341" t="s">
        <v>50</v>
      </c>
      <c r="F341" t="s">
        <v>46</v>
      </c>
      <c r="G341" s="58">
        <v>90155</v>
      </c>
      <c r="H341" s="1" t="s">
        <v>59</v>
      </c>
      <c r="I341" s="1" t="s">
        <v>111</v>
      </c>
      <c r="J341" s="58">
        <v>1622790</v>
      </c>
      <c r="K341" s="1" t="s">
        <v>112</v>
      </c>
      <c r="N341" s="1">
        <v>1</v>
      </c>
      <c r="O341" s="58"/>
      <c r="P341" s="58">
        <v>31554.25</v>
      </c>
      <c r="Q341" t="s">
        <v>107</v>
      </c>
      <c r="R341" s="1" t="s">
        <v>158</v>
      </c>
    </row>
    <row r="342" spans="3:18" x14ac:dyDescent="0.35">
      <c r="C342" t="s">
        <v>51</v>
      </c>
      <c r="D342" t="s">
        <v>20</v>
      </c>
      <c r="E342" t="s">
        <v>49</v>
      </c>
      <c r="F342" t="s">
        <v>46</v>
      </c>
      <c r="G342" s="58">
        <v>195014</v>
      </c>
      <c r="H342" s="1" t="s">
        <v>48</v>
      </c>
      <c r="I342" s="1" t="s">
        <v>108</v>
      </c>
      <c r="J342" s="58">
        <v>6240448</v>
      </c>
      <c r="K342" s="1" t="s">
        <v>106</v>
      </c>
      <c r="L342" s="1" t="s">
        <v>114</v>
      </c>
      <c r="M342" s="1" t="s">
        <v>121</v>
      </c>
      <c r="N342" s="1">
        <v>1</v>
      </c>
      <c r="O342" s="58"/>
      <c r="P342" s="58">
        <v>91656.58</v>
      </c>
      <c r="Q342" t="s">
        <v>113</v>
      </c>
      <c r="R342" s="1" t="s">
        <v>48</v>
      </c>
    </row>
    <row r="343" spans="3:18" x14ac:dyDescent="0.35">
      <c r="C343" t="s">
        <v>51</v>
      </c>
      <c r="D343" t="s">
        <v>22</v>
      </c>
      <c r="E343" t="s">
        <v>49</v>
      </c>
      <c r="F343" t="s">
        <v>46</v>
      </c>
      <c r="G343" s="58">
        <v>48795</v>
      </c>
      <c r="H343" s="1" t="s">
        <v>56</v>
      </c>
      <c r="I343" s="1" t="s">
        <v>111</v>
      </c>
      <c r="J343" s="58">
        <v>536745</v>
      </c>
      <c r="K343" s="1" t="s">
        <v>112</v>
      </c>
      <c r="N343" s="1">
        <v>1</v>
      </c>
      <c r="O343" s="58"/>
      <c r="P343" s="58">
        <v>15126.45</v>
      </c>
      <c r="Q343" t="s">
        <v>107</v>
      </c>
      <c r="R343" s="1" t="s">
        <v>158</v>
      </c>
    </row>
    <row r="344" spans="3:18" x14ac:dyDescent="0.35">
      <c r="C344" t="s">
        <v>51</v>
      </c>
      <c r="D344" t="s">
        <v>22</v>
      </c>
      <c r="E344" t="s">
        <v>45</v>
      </c>
      <c r="F344" t="s">
        <v>46</v>
      </c>
      <c r="G344" s="58">
        <v>3175144</v>
      </c>
      <c r="H344" s="1" t="s">
        <v>48</v>
      </c>
      <c r="I344" s="1" t="s">
        <v>111</v>
      </c>
      <c r="J344" s="58">
        <v>53977448</v>
      </c>
      <c r="K344" s="1" t="s">
        <v>112</v>
      </c>
      <c r="N344" s="1">
        <v>1</v>
      </c>
      <c r="O344" s="58"/>
      <c r="P344" s="58">
        <v>2254352.2400000002</v>
      </c>
      <c r="Q344" t="s">
        <v>118</v>
      </c>
      <c r="R344" s="1" t="s">
        <v>48</v>
      </c>
    </row>
    <row r="345" spans="3:18" x14ac:dyDescent="0.35">
      <c r="C345" t="s">
        <v>51</v>
      </c>
      <c r="D345" t="s">
        <v>23</v>
      </c>
      <c r="E345" t="s">
        <v>50</v>
      </c>
      <c r="F345" t="s">
        <v>46</v>
      </c>
      <c r="G345" s="58">
        <v>119964</v>
      </c>
      <c r="H345" s="1" t="s">
        <v>48</v>
      </c>
      <c r="I345" s="1" t="s">
        <v>105</v>
      </c>
      <c r="J345" s="58">
        <v>599820</v>
      </c>
      <c r="K345" s="1" t="s">
        <v>106</v>
      </c>
      <c r="L345" s="1" t="s">
        <v>109</v>
      </c>
      <c r="M345" s="1" t="s">
        <v>125</v>
      </c>
      <c r="N345" s="1">
        <v>1</v>
      </c>
      <c r="O345" s="58"/>
      <c r="P345" s="58">
        <v>27591.72</v>
      </c>
      <c r="Q345" t="s">
        <v>107</v>
      </c>
      <c r="R345" s="1" t="s">
        <v>48</v>
      </c>
    </row>
    <row r="346" spans="3:18" x14ac:dyDescent="0.35">
      <c r="C346" t="s">
        <v>53</v>
      </c>
      <c r="D346" t="s">
        <v>24</v>
      </c>
      <c r="E346" t="s">
        <v>45</v>
      </c>
      <c r="F346" t="s">
        <v>46</v>
      </c>
      <c r="G346" s="58">
        <v>2031961</v>
      </c>
      <c r="H346" s="1" t="s">
        <v>54</v>
      </c>
      <c r="I346" s="1" t="s">
        <v>105</v>
      </c>
      <c r="J346" s="58">
        <v>6095883</v>
      </c>
      <c r="K346" s="1" t="s">
        <v>106</v>
      </c>
      <c r="L346" s="1" t="s">
        <v>120</v>
      </c>
      <c r="N346" s="1">
        <v>1</v>
      </c>
      <c r="O346" s="58"/>
      <c r="P346" s="58">
        <v>223515.71</v>
      </c>
      <c r="Q346" t="s">
        <v>107</v>
      </c>
      <c r="R346" s="1" t="s">
        <v>158</v>
      </c>
    </row>
    <row r="347" spans="3:18" x14ac:dyDescent="0.35">
      <c r="C347" t="s">
        <v>51</v>
      </c>
      <c r="D347" t="s">
        <v>22</v>
      </c>
      <c r="E347" t="s">
        <v>45</v>
      </c>
      <c r="F347" t="s">
        <v>46</v>
      </c>
      <c r="G347" s="58">
        <v>57936</v>
      </c>
      <c r="H347" s="1" t="s">
        <v>59</v>
      </c>
      <c r="I347" s="1" t="s">
        <v>119</v>
      </c>
      <c r="J347" s="58">
        <v>579360</v>
      </c>
      <c r="K347" s="1" t="s">
        <v>106</v>
      </c>
      <c r="L347" s="1" t="s">
        <v>124</v>
      </c>
      <c r="N347" s="1">
        <v>1</v>
      </c>
      <c r="O347" s="58"/>
      <c r="P347" s="58">
        <v>39396.480000000003</v>
      </c>
      <c r="Q347" t="s">
        <v>118</v>
      </c>
      <c r="R347" s="1" t="s">
        <v>158</v>
      </c>
    </row>
    <row r="348" spans="3:18" x14ac:dyDescent="0.35">
      <c r="C348" t="s">
        <v>51</v>
      </c>
      <c r="D348" t="s">
        <v>24</v>
      </c>
      <c r="E348" t="s">
        <v>45</v>
      </c>
      <c r="F348" t="s">
        <v>46</v>
      </c>
      <c r="G348" s="58">
        <v>2400807</v>
      </c>
      <c r="H348" s="1" t="s">
        <v>56</v>
      </c>
      <c r="I348" s="1" t="s">
        <v>108</v>
      </c>
      <c r="J348" s="58">
        <v>62420982</v>
      </c>
      <c r="K348" s="1" t="s">
        <v>106</v>
      </c>
      <c r="L348" s="1" t="s">
        <v>120</v>
      </c>
      <c r="N348" s="1">
        <v>1</v>
      </c>
      <c r="O348" s="58"/>
      <c r="P348" s="58">
        <v>744250.17</v>
      </c>
      <c r="Q348" t="s">
        <v>107</v>
      </c>
      <c r="R348" s="1" t="s">
        <v>158</v>
      </c>
    </row>
    <row r="349" spans="3:18" x14ac:dyDescent="0.35">
      <c r="C349" t="s">
        <v>51</v>
      </c>
      <c r="D349" t="s">
        <v>21</v>
      </c>
      <c r="E349" t="s">
        <v>55</v>
      </c>
      <c r="F349" t="s">
        <v>46</v>
      </c>
      <c r="G349" s="58">
        <v>207872</v>
      </c>
      <c r="H349" s="1" t="s">
        <v>48</v>
      </c>
      <c r="I349" s="1" t="s">
        <v>111</v>
      </c>
      <c r="J349" s="58">
        <v>3325952</v>
      </c>
      <c r="K349" s="1" t="s">
        <v>112</v>
      </c>
      <c r="N349" s="1">
        <v>1</v>
      </c>
      <c r="O349" s="58"/>
      <c r="P349" s="58">
        <v>56125.440000000002</v>
      </c>
      <c r="Q349" t="s">
        <v>107</v>
      </c>
      <c r="R349" s="1" t="s">
        <v>48</v>
      </c>
    </row>
    <row r="350" spans="3:18" x14ac:dyDescent="0.35">
      <c r="C350" t="s">
        <v>51</v>
      </c>
      <c r="D350" t="s">
        <v>91</v>
      </c>
      <c r="E350" t="s">
        <v>49</v>
      </c>
      <c r="F350" t="s">
        <v>46</v>
      </c>
      <c r="G350" s="58">
        <v>1473308</v>
      </c>
      <c r="H350" s="1" t="s">
        <v>56</v>
      </c>
      <c r="I350" s="1" t="s">
        <v>108</v>
      </c>
      <c r="J350" s="58">
        <v>42725932</v>
      </c>
      <c r="K350" s="1" t="s">
        <v>106</v>
      </c>
      <c r="L350" s="1" t="s">
        <v>124</v>
      </c>
      <c r="N350" s="1">
        <v>1</v>
      </c>
      <c r="O350" s="58"/>
      <c r="P350" s="58">
        <v>1252311.8</v>
      </c>
      <c r="Q350" t="s">
        <v>127</v>
      </c>
      <c r="R350" s="1" t="s">
        <v>158</v>
      </c>
    </row>
    <row r="351" spans="3:18" x14ac:dyDescent="0.35">
      <c r="C351" t="s">
        <v>51</v>
      </c>
      <c r="D351" t="s">
        <v>23</v>
      </c>
      <c r="E351" t="s">
        <v>52</v>
      </c>
      <c r="F351" t="s">
        <v>46</v>
      </c>
      <c r="G351" s="58">
        <v>207593</v>
      </c>
      <c r="H351" s="1" t="s">
        <v>48</v>
      </c>
      <c r="I351" s="1" t="s">
        <v>111</v>
      </c>
      <c r="J351" s="58">
        <v>2906302</v>
      </c>
      <c r="K351" s="1" t="s">
        <v>106</v>
      </c>
      <c r="L351" s="1" t="s">
        <v>120</v>
      </c>
      <c r="M351" s="1" t="s">
        <v>125</v>
      </c>
      <c r="N351" s="1">
        <v>1</v>
      </c>
      <c r="O351" s="58"/>
      <c r="P351" s="58">
        <v>78885.34</v>
      </c>
      <c r="Q351" t="s">
        <v>107</v>
      </c>
      <c r="R351" s="1" t="s">
        <v>48</v>
      </c>
    </row>
    <row r="352" spans="3:18" x14ac:dyDescent="0.35">
      <c r="C352" t="s">
        <v>51</v>
      </c>
      <c r="D352" t="s">
        <v>23</v>
      </c>
      <c r="E352" t="s">
        <v>50</v>
      </c>
      <c r="F352" t="s">
        <v>46</v>
      </c>
      <c r="G352" s="58">
        <v>2023989</v>
      </c>
      <c r="H352" s="1" t="s">
        <v>48</v>
      </c>
      <c r="I352" s="1" t="s">
        <v>111</v>
      </c>
      <c r="J352" s="58">
        <v>34407813</v>
      </c>
      <c r="K352" s="1" t="s">
        <v>112</v>
      </c>
      <c r="N352" s="1">
        <v>1</v>
      </c>
      <c r="O352" s="58"/>
      <c r="P352" s="58">
        <v>1315592.8500000001</v>
      </c>
      <c r="Q352" t="s">
        <v>118</v>
      </c>
      <c r="R352" s="1" t="s">
        <v>48</v>
      </c>
    </row>
    <row r="353" spans="3:18" x14ac:dyDescent="0.35">
      <c r="C353" t="s">
        <v>53</v>
      </c>
      <c r="D353" t="s">
        <v>23</v>
      </c>
      <c r="E353" t="s">
        <v>45</v>
      </c>
      <c r="F353" t="s">
        <v>46</v>
      </c>
      <c r="G353" s="58">
        <v>208030</v>
      </c>
      <c r="H353" s="1" t="s">
        <v>59</v>
      </c>
      <c r="I353" s="1" t="s">
        <v>105</v>
      </c>
      <c r="J353" s="58">
        <v>416060</v>
      </c>
      <c r="K353" s="1" t="s">
        <v>106</v>
      </c>
      <c r="L353" s="1" t="s">
        <v>120</v>
      </c>
      <c r="N353" s="1">
        <v>1</v>
      </c>
      <c r="O353" s="58"/>
      <c r="P353" s="58">
        <v>87372.6</v>
      </c>
      <c r="Q353" t="s">
        <v>113</v>
      </c>
      <c r="R353" s="1" t="s">
        <v>158</v>
      </c>
    </row>
    <row r="354" spans="3:18" x14ac:dyDescent="0.35">
      <c r="C354" t="s">
        <v>53</v>
      </c>
      <c r="D354" t="s">
        <v>22</v>
      </c>
      <c r="E354" t="s">
        <v>49</v>
      </c>
      <c r="F354" t="s">
        <v>46</v>
      </c>
      <c r="G354" s="58">
        <v>960443</v>
      </c>
      <c r="H354" s="1" t="s">
        <v>48</v>
      </c>
      <c r="I354" s="1" t="s">
        <v>119</v>
      </c>
      <c r="J354" s="58">
        <v>8643987</v>
      </c>
      <c r="K354" s="1" t="s">
        <v>106</v>
      </c>
      <c r="L354" s="1" t="s">
        <v>124</v>
      </c>
      <c r="M354" s="1" t="s">
        <v>115</v>
      </c>
      <c r="N354" s="1">
        <v>1</v>
      </c>
      <c r="O354" s="58"/>
      <c r="P354" s="58">
        <v>729936.68</v>
      </c>
      <c r="Q354" t="s">
        <v>118</v>
      </c>
      <c r="R354" s="1" t="s">
        <v>158</v>
      </c>
    </row>
    <row r="355" spans="3:18" x14ac:dyDescent="0.35">
      <c r="C355" t="s">
        <v>51</v>
      </c>
      <c r="D355" t="s">
        <v>22</v>
      </c>
      <c r="E355" t="s">
        <v>49</v>
      </c>
      <c r="F355" t="s">
        <v>46</v>
      </c>
      <c r="G355" s="58">
        <v>592408</v>
      </c>
      <c r="H355" s="1" t="s">
        <v>58</v>
      </c>
      <c r="I355" s="1" t="s">
        <v>111</v>
      </c>
      <c r="J355" s="58">
        <v>9478528</v>
      </c>
      <c r="K355" s="1" t="s">
        <v>106</v>
      </c>
      <c r="L355" s="1" t="s">
        <v>124</v>
      </c>
      <c r="N355" s="1">
        <v>1</v>
      </c>
      <c r="O355" s="58"/>
      <c r="P355" s="58">
        <v>100709.36</v>
      </c>
      <c r="Q355" t="s">
        <v>107</v>
      </c>
      <c r="R355" s="1" t="s">
        <v>158</v>
      </c>
    </row>
    <row r="356" spans="3:18" x14ac:dyDescent="0.35">
      <c r="C356" t="s">
        <v>53</v>
      </c>
      <c r="D356" t="s">
        <v>21</v>
      </c>
      <c r="E356" t="s">
        <v>49</v>
      </c>
      <c r="F356" t="s">
        <v>46</v>
      </c>
      <c r="G356" s="58">
        <v>62919446</v>
      </c>
      <c r="H356" s="1" t="s">
        <v>47</v>
      </c>
      <c r="I356" s="1" t="s">
        <v>111</v>
      </c>
      <c r="J356" s="58">
        <v>755033352</v>
      </c>
      <c r="K356" s="1" t="s">
        <v>106</v>
      </c>
      <c r="L356" s="1" t="s">
        <v>124</v>
      </c>
      <c r="N356" s="1">
        <v>1</v>
      </c>
      <c r="O356" s="58"/>
      <c r="P356" s="58">
        <v>16359055.960000001</v>
      </c>
      <c r="Q356" t="s">
        <v>107</v>
      </c>
      <c r="R356" s="1" t="s">
        <v>158</v>
      </c>
    </row>
    <row r="357" spans="3:18" x14ac:dyDescent="0.35">
      <c r="C357" t="s">
        <v>53</v>
      </c>
      <c r="D357" t="s">
        <v>25</v>
      </c>
      <c r="E357" t="s">
        <v>50</v>
      </c>
      <c r="F357" t="s">
        <v>46</v>
      </c>
      <c r="G357" s="58">
        <v>319071</v>
      </c>
      <c r="H357" s="1" t="s">
        <v>54</v>
      </c>
      <c r="I357" s="1" t="s">
        <v>105</v>
      </c>
      <c r="J357" s="58">
        <v>957213</v>
      </c>
      <c r="K357" s="1" t="s">
        <v>106</v>
      </c>
      <c r="L357" s="1" t="s">
        <v>109</v>
      </c>
      <c r="N357" s="1">
        <v>1</v>
      </c>
      <c r="O357" s="58"/>
      <c r="P357" s="58">
        <v>54242.07</v>
      </c>
      <c r="Q357" t="s">
        <v>107</v>
      </c>
      <c r="R357" s="1" t="s">
        <v>158</v>
      </c>
    </row>
    <row r="358" spans="3:18" x14ac:dyDescent="0.35">
      <c r="C358" t="s">
        <v>51</v>
      </c>
      <c r="D358" t="s">
        <v>22</v>
      </c>
      <c r="E358" t="s">
        <v>49</v>
      </c>
      <c r="F358" t="s">
        <v>46</v>
      </c>
      <c r="G358" s="58">
        <v>428406</v>
      </c>
      <c r="H358" s="1" t="s">
        <v>54</v>
      </c>
      <c r="I358" s="1" t="s">
        <v>111</v>
      </c>
      <c r="J358" s="58">
        <v>6426090</v>
      </c>
      <c r="K358" s="1" t="s">
        <v>112</v>
      </c>
      <c r="N358" s="1">
        <v>1</v>
      </c>
      <c r="O358" s="58"/>
      <c r="P358" s="58">
        <v>128521.8</v>
      </c>
      <c r="Q358" t="s">
        <v>107</v>
      </c>
      <c r="R358" s="1" t="s">
        <v>158</v>
      </c>
    </row>
    <row r="359" spans="3:18" x14ac:dyDescent="0.35">
      <c r="C359" t="s">
        <v>51</v>
      </c>
      <c r="D359" t="s">
        <v>19</v>
      </c>
      <c r="E359" t="s">
        <v>49</v>
      </c>
      <c r="F359" t="s">
        <v>46</v>
      </c>
      <c r="G359" s="58">
        <v>6772081</v>
      </c>
      <c r="H359" s="1" t="s">
        <v>48</v>
      </c>
      <c r="I359" s="1" t="s">
        <v>108</v>
      </c>
      <c r="J359" s="58">
        <v>209934511</v>
      </c>
      <c r="K359" s="1" t="s">
        <v>112</v>
      </c>
      <c r="N359" s="1">
        <v>1</v>
      </c>
      <c r="O359" s="58"/>
      <c r="P359" s="58">
        <v>3521482.12</v>
      </c>
      <c r="Q359" t="s">
        <v>113</v>
      </c>
      <c r="R359" s="1" t="s">
        <v>158</v>
      </c>
    </row>
    <row r="360" spans="3:18" x14ac:dyDescent="0.35">
      <c r="C360" t="s">
        <v>53</v>
      </c>
      <c r="D360" t="s">
        <v>24</v>
      </c>
      <c r="E360" t="s">
        <v>45</v>
      </c>
      <c r="F360" t="s">
        <v>46</v>
      </c>
      <c r="G360" s="58">
        <v>1388109</v>
      </c>
      <c r="H360" s="1" t="s">
        <v>48</v>
      </c>
      <c r="I360" s="1" t="s">
        <v>119</v>
      </c>
      <c r="J360" s="58">
        <v>11104872</v>
      </c>
      <c r="K360" s="1" t="s">
        <v>106</v>
      </c>
      <c r="L360" s="1" t="s">
        <v>120</v>
      </c>
      <c r="M360" s="1" t="s">
        <v>121</v>
      </c>
      <c r="N360" s="1">
        <v>1</v>
      </c>
      <c r="O360" s="58"/>
      <c r="P360" s="58">
        <v>763459.95</v>
      </c>
      <c r="Q360" t="s">
        <v>113</v>
      </c>
      <c r="R360" s="1" t="s">
        <v>158</v>
      </c>
    </row>
    <row r="361" spans="3:18" x14ac:dyDescent="0.35">
      <c r="C361" t="s">
        <v>51</v>
      </c>
      <c r="D361" t="s">
        <v>21</v>
      </c>
      <c r="E361" t="s">
        <v>45</v>
      </c>
      <c r="F361" t="s">
        <v>46</v>
      </c>
      <c r="G361" s="58">
        <v>1065661</v>
      </c>
      <c r="H361" s="1" t="s">
        <v>48</v>
      </c>
      <c r="I361" s="1" t="s">
        <v>105</v>
      </c>
      <c r="J361" s="58">
        <v>3196983</v>
      </c>
      <c r="K361" s="1" t="s">
        <v>106</v>
      </c>
      <c r="L361" s="1" t="s">
        <v>120</v>
      </c>
      <c r="M361" s="1" t="s">
        <v>126</v>
      </c>
      <c r="N361" s="1">
        <v>1</v>
      </c>
      <c r="O361" s="58"/>
      <c r="P361" s="58">
        <v>149192.54</v>
      </c>
      <c r="Q361" t="s">
        <v>107</v>
      </c>
      <c r="R361" s="1" t="s">
        <v>158</v>
      </c>
    </row>
    <row r="362" spans="3:18" x14ac:dyDescent="0.35">
      <c r="C362" t="s">
        <v>51</v>
      </c>
      <c r="D362" t="s">
        <v>92</v>
      </c>
      <c r="E362" t="s">
        <v>49</v>
      </c>
      <c r="F362" t="s">
        <v>46</v>
      </c>
      <c r="G362" s="58">
        <v>695367</v>
      </c>
      <c r="H362" s="1" t="s">
        <v>47</v>
      </c>
      <c r="I362" s="1" t="s">
        <v>111</v>
      </c>
      <c r="J362" s="58">
        <v>9039771</v>
      </c>
      <c r="K362" s="1" t="s">
        <v>106</v>
      </c>
      <c r="L362" s="1" t="s">
        <v>114</v>
      </c>
      <c r="N362" s="1">
        <v>1</v>
      </c>
      <c r="O362" s="58"/>
      <c r="P362" s="58">
        <v>194702.76</v>
      </c>
      <c r="Q362" t="s">
        <v>107</v>
      </c>
      <c r="R362" s="1" t="s">
        <v>158</v>
      </c>
    </row>
    <row r="363" spans="3:18" x14ac:dyDescent="0.35">
      <c r="C363" t="s">
        <v>51</v>
      </c>
      <c r="D363" t="s">
        <v>23</v>
      </c>
      <c r="E363" t="s">
        <v>55</v>
      </c>
      <c r="F363" t="s">
        <v>46</v>
      </c>
      <c r="G363" s="58">
        <v>10509939</v>
      </c>
      <c r="H363" s="1" t="s">
        <v>54</v>
      </c>
      <c r="I363" s="1" t="s">
        <v>111</v>
      </c>
      <c r="J363" s="58">
        <v>147139146</v>
      </c>
      <c r="K363" s="1" t="s">
        <v>106</v>
      </c>
      <c r="L363" s="1" t="s">
        <v>114</v>
      </c>
      <c r="N363" s="1">
        <v>1</v>
      </c>
      <c r="O363" s="58"/>
      <c r="P363" s="58">
        <v>2837683.53</v>
      </c>
      <c r="Q363" t="s">
        <v>107</v>
      </c>
      <c r="R363" s="1" t="s">
        <v>158</v>
      </c>
    </row>
    <row r="364" spans="3:18" x14ac:dyDescent="0.35">
      <c r="C364" t="s">
        <v>53</v>
      </c>
      <c r="D364" t="s">
        <v>20</v>
      </c>
      <c r="E364" t="s">
        <v>49</v>
      </c>
      <c r="F364" t="s">
        <v>46</v>
      </c>
      <c r="G364" s="58">
        <v>3695742</v>
      </c>
      <c r="H364" s="1" t="s">
        <v>54</v>
      </c>
      <c r="I364" s="1" t="s">
        <v>111</v>
      </c>
      <c r="J364" s="58">
        <v>40653162</v>
      </c>
      <c r="K364" s="1" t="s">
        <v>106</v>
      </c>
      <c r="L364" s="1" t="s">
        <v>124</v>
      </c>
      <c r="N364" s="1">
        <v>1</v>
      </c>
      <c r="O364" s="58"/>
      <c r="P364" s="58">
        <v>850020.66</v>
      </c>
      <c r="Q364" t="s">
        <v>107</v>
      </c>
      <c r="R364" s="1" t="s">
        <v>158</v>
      </c>
    </row>
    <row r="365" spans="3:18" x14ac:dyDescent="0.35">
      <c r="C365" t="s">
        <v>51</v>
      </c>
      <c r="D365" t="s">
        <v>22</v>
      </c>
      <c r="E365" t="s">
        <v>49</v>
      </c>
      <c r="F365" t="s">
        <v>46</v>
      </c>
      <c r="G365" s="58">
        <v>412540</v>
      </c>
      <c r="H365" s="1" t="s">
        <v>47</v>
      </c>
      <c r="I365" s="1" t="s">
        <v>119</v>
      </c>
      <c r="J365" s="58">
        <v>3712860</v>
      </c>
      <c r="K365" s="1" t="s">
        <v>106</v>
      </c>
      <c r="L365" s="1" t="s">
        <v>124</v>
      </c>
      <c r="N365" s="1">
        <v>1</v>
      </c>
      <c r="O365" s="58"/>
      <c r="P365" s="58">
        <v>280527.2</v>
      </c>
      <c r="Q365" t="s">
        <v>118</v>
      </c>
      <c r="R365" s="1" t="s">
        <v>158</v>
      </c>
    </row>
    <row r="366" spans="3:18" x14ac:dyDescent="0.35">
      <c r="C366" t="s">
        <v>51</v>
      </c>
      <c r="D366" t="s">
        <v>23</v>
      </c>
      <c r="E366" t="s">
        <v>55</v>
      </c>
      <c r="F366" t="s">
        <v>46</v>
      </c>
      <c r="G366" s="58">
        <v>51174</v>
      </c>
      <c r="H366" s="1" t="s">
        <v>47</v>
      </c>
      <c r="I366" s="1" t="s">
        <v>119</v>
      </c>
      <c r="J366" s="58">
        <v>511740</v>
      </c>
      <c r="K366" s="1" t="s">
        <v>106</v>
      </c>
      <c r="L366" s="1" t="s">
        <v>124</v>
      </c>
      <c r="N366" s="1">
        <v>1</v>
      </c>
      <c r="O366" s="58"/>
      <c r="P366" s="58">
        <v>25075.26</v>
      </c>
      <c r="Q366" t="s">
        <v>113</v>
      </c>
      <c r="R366" s="1" t="s">
        <v>158</v>
      </c>
    </row>
    <row r="367" spans="3:18" x14ac:dyDescent="0.35">
      <c r="C367" t="s">
        <v>51</v>
      </c>
      <c r="D367" t="s">
        <v>23</v>
      </c>
      <c r="E367" t="s">
        <v>45</v>
      </c>
      <c r="F367" t="s">
        <v>46</v>
      </c>
      <c r="G367" s="58">
        <v>1915974</v>
      </c>
      <c r="H367" s="1" t="s">
        <v>47</v>
      </c>
      <c r="I367" s="1" t="s">
        <v>111</v>
      </c>
      <c r="J367" s="58">
        <v>28739610</v>
      </c>
      <c r="K367" s="1" t="s">
        <v>106</v>
      </c>
      <c r="L367" s="1" t="s">
        <v>114</v>
      </c>
      <c r="N367" s="1">
        <v>1</v>
      </c>
      <c r="O367" s="58"/>
      <c r="P367" s="58">
        <v>574792.19999999995</v>
      </c>
      <c r="Q367" t="s">
        <v>107</v>
      </c>
      <c r="R367" s="1" t="s">
        <v>158</v>
      </c>
    </row>
    <row r="368" spans="3:18" x14ac:dyDescent="0.35">
      <c r="C368" t="s">
        <v>51</v>
      </c>
      <c r="D368" t="s">
        <v>22</v>
      </c>
      <c r="E368" t="s">
        <v>45</v>
      </c>
      <c r="F368" t="s">
        <v>46</v>
      </c>
      <c r="G368" s="58">
        <v>201650</v>
      </c>
      <c r="H368" s="1" t="s">
        <v>47</v>
      </c>
      <c r="I368" s="1" t="s">
        <v>108</v>
      </c>
      <c r="J368" s="58">
        <v>7259400</v>
      </c>
      <c r="K368" s="1" t="s">
        <v>106</v>
      </c>
      <c r="L368" s="1" t="s">
        <v>114</v>
      </c>
      <c r="N368" s="1">
        <v>1</v>
      </c>
      <c r="O368" s="58"/>
      <c r="P368" s="58">
        <v>284326.5</v>
      </c>
      <c r="Q368" t="s">
        <v>110</v>
      </c>
      <c r="R368" s="1" t="s">
        <v>158</v>
      </c>
    </row>
    <row r="369" spans="3:18" x14ac:dyDescent="0.35">
      <c r="C369" t="s">
        <v>51</v>
      </c>
      <c r="D369" t="s">
        <v>20</v>
      </c>
      <c r="E369" t="s">
        <v>49</v>
      </c>
      <c r="F369" t="s">
        <v>46</v>
      </c>
      <c r="G369" s="58">
        <v>82713</v>
      </c>
      <c r="H369" s="1" t="s">
        <v>54</v>
      </c>
      <c r="I369" s="1" t="s">
        <v>111</v>
      </c>
      <c r="J369" s="58">
        <v>1406121</v>
      </c>
      <c r="K369" s="1" t="s">
        <v>106</v>
      </c>
      <c r="L369" s="1" t="s">
        <v>116</v>
      </c>
      <c r="N369" s="1">
        <v>1</v>
      </c>
      <c r="O369" s="58"/>
      <c r="P369" s="58">
        <v>12406.95</v>
      </c>
      <c r="Q369" t="s">
        <v>107</v>
      </c>
      <c r="R369" s="1" t="s">
        <v>158</v>
      </c>
    </row>
    <row r="370" spans="3:18" x14ac:dyDescent="0.35">
      <c r="C370" t="s">
        <v>53</v>
      </c>
      <c r="D370" t="s">
        <v>23</v>
      </c>
      <c r="E370" t="s">
        <v>55</v>
      </c>
      <c r="F370" t="s">
        <v>46</v>
      </c>
      <c r="G370" s="58">
        <v>466499</v>
      </c>
      <c r="H370" s="1" t="s">
        <v>54</v>
      </c>
      <c r="I370" s="1" t="s">
        <v>111</v>
      </c>
      <c r="J370" s="58">
        <v>6997485</v>
      </c>
      <c r="K370" s="1" t="s">
        <v>106</v>
      </c>
      <c r="L370" s="1" t="s">
        <v>114</v>
      </c>
      <c r="N370" s="1">
        <v>1</v>
      </c>
      <c r="O370" s="58"/>
      <c r="P370" s="58">
        <v>102629.78</v>
      </c>
      <c r="Q370" t="s">
        <v>107</v>
      </c>
      <c r="R370" s="1" t="s">
        <v>158</v>
      </c>
    </row>
    <row r="371" spans="3:18" x14ac:dyDescent="0.35">
      <c r="C371" t="s">
        <v>51</v>
      </c>
      <c r="D371" t="s">
        <v>23</v>
      </c>
      <c r="E371" t="s">
        <v>45</v>
      </c>
      <c r="F371" t="s">
        <v>46</v>
      </c>
      <c r="G371" s="58">
        <v>22688</v>
      </c>
      <c r="H371" s="1" t="s">
        <v>47</v>
      </c>
      <c r="I371" s="1" t="s">
        <v>119</v>
      </c>
      <c r="J371" s="58">
        <v>226880</v>
      </c>
      <c r="K371" s="1" t="s">
        <v>106</v>
      </c>
      <c r="L371" s="1" t="s">
        <v>124</v>
      </c>
      <c r="N371" s="1">
        <v>1</v>
      </c>
      <c r="O371" s="58"/>
      <c r="P371" s="58">
        <v>9075.2000000000007</v>
      </c>
      <c r="Q371" t="s">
        <v>113</v>
      </c>
      <c r="R371" s="1" t="s">
        <v>158</v>
      </c>
    </row>
    <row r="372" spans="3:18" x14ac:dyDescent="0.35">
      <c r="C372" t="s">
        <v>51</v>
      </c>
      <c r="D372" t="s">
        <v>23</v>
      </c>
      <c r="E372" t="s">
        <v>45</v>
      </c>
      <c r="F372" t="s">
        <v>46</v>
      </c>
      <c r="G372" s="58">
        <v>7507784</v>
      </c>
      <c r="H372" s="1" t="s">
        <v>48</v>
      </c>
      <c r="I372" s="1" t="s">
        <v>108</v>
      </c>
      <c r="J372" s="58">
        <v>270280224</v>
      </c>
      <c r="K372" s="1" t="s">
        <v>112</v>
      </c>
      <c r="N372" s="1">
        <v>1</v>
      </c>
      <c r="O372" s="58"/>
      <c r="P372" s="58">
        <v>6306538.5599999996</v>
      </c>
      <c r="Q372" t="s">
        <v>127</v>
      </c>
      <c r="R372" s="1" t="s">
        <v>158</v>
      </c>
    </row>
    <row r="373" spans="3:18" x14ac:dyDescent="0.35">
      <c r="C373" t="s">
        <v>53</v>
      </c>
      <c r="D373" t="s">
        <v>19</v>
      </c>
      <c r="E373" t="s">
        <v>49</v>
      </c>
      <c r="F373" t="s">
        <v>46</v>
      </c>
      <c r="G373" s="58">
        <v>9763210</v>
      </c>
      <c r="H373" s="1" t="s">
        <v>47</v>
      </c>
      <c r="I373" s="1" t="s">
        <v>119</v>
      </c>
      <c r="J373" s="58">
        <v>87868890</v>
      </c>
      <c r="K373" s="1" t="s">
        <v>106</v>
      </c>
      <c r="L373" s="1" t="s">
        <v>124</v>
      </c>
      <c r="N373" s="1">
        <v>1</v>
      </c>
      <c r="O373" s="58"/>
      <c r="P373" s="58">
        <v>7615303.7999999998</v>
      </c>
      <c r="Q373" t="s">
        <v>118</v>
      </c>
      <c r="R373" s="1" t="s">
        <v>158</v>
      </c>
    </row>
    <row r="374" spans="3:18" x14ac:dyDescent="0.35">
      <c r="C374" t="s">
        <v>51</v>
      </c>
      <c r="D374" t="s">
        <v>21</v>
      </c>
      <c r="E374" t="s">
        <v>49</v>
      </c>
      <c r="F374" t="s">
        <v>46</v>
      </c>
      <c r="G374" s="58">
        <v>149213</v>
      </c>
      <c r="H374" s="1" t="s">
        <v>48</v>
      </c>
      <c r="I374" s="1" t="s">
        <v>108</v>
      </c>
      <c r="J374" s="58">
        <v>3431899</v>
      </c>
      <c r="K374" s="1" t="s">
        <v>106</v>
      </c>
      <c r="L374" s="1" t="s">
        <v>120</v>
      </c>
      <c r="M374" s="1" t="s">
        <v>115</v>
      </c>
      <c r="N374" s="1">
        <v>1</v>
      </c>
      <c r="O374" s="58"/>
      <c r="P374" s="58">
        <v>195469.03</v>
      </c>
      <c r="Q374" t="s">
        <v>110</v>
      </c>
      <c r="R374" s="1" t="s">
        <v>48</v>
      </c>
    </row>
    <row r="375" spans="3:18" x14ac:dyDescent="0.35">
      <c r="C375" t="s">
        <v>51</v>
      </c>
      <c r="D375" t="s">
        <v>21</v>
      </c>
      <c r="E375" t="s">
        <v>49</v>
      </c>
      <c r="F375" t="s">
        <v>46</v>
      </c>
      <c r="G375" s="58">
        <v>341470</v>
      </c>
      <c r="H375" s="1" t="s">
        <v>54</v>
      </c>
      <c r="I375" s="1" t="s">
        <v>119</v>
      </c>
      <c r="J375" s="58">
        <v>2731760</v>
      </c>
      <c r="K375" s="1" t="s">
        <v>106</v>
      </c>
      <c r="L375" s="1" t="s">
        <v>124</v>
      </c>
      <c r="N375" s="1">
        <v>1</v>
      </c>
      <c r="O375" s="58"/>
      <c r="P375" s="58">
        <v>297078.90000000002</v>
      </c>
      <c r="Q375" t="s">
        <v>127</v>
      </c>
      <c r="R375" s="1" t="s">
        <v>158</v>
      </c>
    </row>
    <row r="376" spans="3:18" x14ac:dyDescent="0.35">
      <c r="C376" t="s">
        <v>51</v>
      </c>
      <c r="D376" t="s">
        <v>21</v>
      </c>
      <c r="E376" t="s">
        <v>49</v>
      </c>
      <c r="F376" t="s">
        <v>46</v>
      </c>
      <c r="G376" s="58">
        <v>229695</v>
      </c>
      <c r="H376" s="1" t="s">
        <v>59</v>
      </c>
      <c r="I376" s="1" t="s">
        <v>108</v>
      </c>
      <c r="J376" s="58">
        <v>5512680</v>
      </c>
      <c r="K376" s="1" t="s">
        <v>106</v>
      </c>
      <c r="L376" s="1" t="s">
        <v>116</v>
      </c>
      <c r="N376" s="1">
        <v>1</v>
      </c>
      <c r="O376" s="58"/>
      <c r="P376" s="58">
        <v>241179.75</v>
      </c>
      <c r="Q376" t="s">
        <v>110</v>
      </c>
      <c r="R376" s="1" t="s">
        <v>158</v>
      </c>
    </row>
    <row r="377" spans="3:18" x14ac:dyDescent="0.35">
      <c r="C377" t="s">
        <v>51</v>
      </c>
      <c r="D377" t="s">
        <v>25</v>
      </c>
      <c r="E377" t="s">
        <v>49</v>
      </c>
      <c r="F377" t="s">
        <v>46</v>
      </c>
      <c r="G377" s="58">
        <v>451990</v>
      </c>
      <c r="H377" s="1" t="s">
        <v>48</v>
      </c>
      <c r="I377" s="1" t="s">
        <v>111</v>
      </c>
      <c r="J377" s="58">
        <v>7683830</v>
      </c>
      <c r="K377" s="1" t="s">
        <v>106</v>
      </c>
      <c r="L377" s="1" t="s">
        <v>124</v>
      </c>
      <c r="M377" s="1" t="s">
        <v>117</v>
      </c>
      <c r="N377" s="1">
        <v>1</v>
      </c>
      <c r="O377" s="58"/>
      <c r="P377" s="58">
        <v>135597</v>
      </c>
      <c r="Q377" t="s">
        <v>107</v>
      </c>
      <c r="R377" s="1" t="s">
        <v>158</v>
      </c>
    </row>
    <row r="378" spans="3:18" x14ac:dyDescent="0.35">
      <c r="C378" t="s">
        <v>53</v>
      </c>
      <c r="D378" t="s">
        <v>21</v>
      </c>
      <c r="E378" t="s">
        <v>49</v>
      </c>
      <c r="F378" t="s">
        <v>46</v>
      </c>
      <c r="G378" s="58">
        <v>124674</v>
      </c>
      <c r="H378" s="1" t="s">
        <v>48</v>
      </c>
      <c r="I378" s="1" t="s">
        <v>119</v>
      </c>
      <c r="J378" s="58">
        <v>1246740</v>
      </c>
      <c r="K378" s="1" t="s">
        <v>106</v>
      </c>
      <c r="L378" s="1" t="s">
        <v>124</v>
      </c>
      <c r="M378" s="1" t="s">
        <v>126</v>
      </c>
      <c r="N378" s="1">
        <v>1</v>
      </c>
      <c r="O378" s="58"/>
      <c r="P378" s="58">
        <v>82284.84</v>
      </c>
      <c r="Q378" t="s">
        <v>118</v>
      </c>
      <c r="R378" s="1" t="s">
        <v>48</v>
      </c>
    </row>
    <row r="379" spans="3:18" x14ac:dyDescent="0.35">
      <c r="C379" t="s">
        <v>51</v>
      </c>
      <c r="D379" t="s">
        <v>24</v>
      </c>
      <c r="E379" t="s">
        <v>52</v>
      </c>
      <c r="F379" t="s">
        <v>46</v>
      </c>
      <c r="G379" s="58">
        <v>258054</v>
      </c>
      <c r="H379" s="1" t="s">
        <v>48</v>
      </c>
      <c r="I379" s="1" t="s">
        <v>108</v>
      </c>
      <c r="J379" s="58">
        <v>8773836</v>
      </c>
      <c r="K379" s="1" t="s">
        <v>106</v>
      </c>
      <c r="L379" s="1" t="s">
        <v>109</v>
      </c>
      <c r="M379" s="1" t="s">
        <v>121</v>
      </c>
      <c r="N379" s="1">
        <v>1</v>
      </c>
      <c r="O379" s="58"/>
      <c r="P379" s="58">
        <v>216765.36</v>
      </c>
      <c r="Q379" t="s">
        <v>127</v>
      </c>
      <c r="R379" s="1" t="s">
        <v>48</v>
      </c>
    </row>
    <row r="380" spans="3:18" x14ac:dyDescent="0.35">
      <c r="C380" t="s">
        <v>51</v>
      </c>
      <c r="D380" t="s">
        <v>23</v>
      </c>
      <c r="E380" t="s">
        <v>50</v>
      </c>
      <c r="F380" t="s">
        <v>46</v>
      </c>
      <c r="G380" s="58">
        <v>81224</v>
      </c>
      <c r="H380" s="1" t="s">
        <v>48</v>
      </c>
      <c r="I380" s="1" t="s">
        <v>108</v>
      </c>
      <c r="J380" s="58">
        <v>2436720</v>
      </c>
      <c r="K380" s="1" t="s">
        <v>106</v>
      </c>
      <c r="L380" s="1" t="s">
        <v>109</v>
      </c>
      <c r="M380" s="1" t="s">
        <v>125</v>
      </c>
      <c r="N380" s="1">
        <v>1</v>
      </c>
      <c r="O380" s="58"/>
      <c r="P380" s="58">
        <v>25991.68</v>
      </c>
      <c r="Q380" t="s">
        <v>107</v>
      </c>
      <c r="R380" s="1" t="s">
        <v>158</v>
      </c>
    </row>
    <row r="381" spans="3:18" x14ac:dyDescent="0.35">
      <c r="C381" t="s">
        <v>53</v>
      </c>
      <c r="D381" t="s">
        <v>24</v>
      </c>
      <c r="E381" t="s">
        <v>55</v>
      </c>
      <c r="F381" t="s">
        <v>46</v>
      </c>
      <c r="G381" s="58">
        <v>573138</v>
      </c>
      <c r="H381" s="1" t="s">
        <v>59</v>
      </c>
      <c r="I381" s="1" t="s">
        <v>119</v>
      </c>
      <c r="J381" s="58">
        <v>4585104</v>
      </c>
      <c r="K381" s="1" t="s">
        <v>106</v>
      </c>
      <c r="L381" s="1" t="s">
        <v>114</v>
      </c>
      <c r="N381" s="1">
        <v>1</v>
      </c>
      <c r="O381" s="58"/>
      <c r="P381" s="58">
        <v>149015.88</v>
      </c>
      <c r="Q381" t="s">
        <v>107</v>
      </c>
      <c r="R381" s="1" t="s">
        <v>158</v>
      </c>
    </row>
    <row r="382" spans="3:18" x14ac:dyDescent="0.35">
      <c r="C382" t="s">
        <v>51</v>
      </c>
      <c r="D382" t="s">
        <v>92</v>
      </c>
      <c r="E382" t="s">
        <v>49</v>
      </c>
      <c r="F382" t="s">
        <v>46</v>
      </c>
      <c r="G382" s="58">
        <v>2048254</v>
      </c>
      <c r="H382" s="1" t="s">
        <v>59</v>
      </c>
      <c r="I382" s="1" t="s">
        <v>119</v>
      </c>
      <c r="J382" s="58">
        <v>16386032</v>
      </c>
      <c r="K382" s="1" t="s">
        <v>106</v>
      </c>
      <c r="L382" s="1" t="s">
        <v>124</v>
      </c>
      <c r="N382" s="1">
        <v>1</v>
      </c>
      <c r="O382" s="58"/>
      <c r="P382" s="58">
        <v>983161.92</v>
      </c>
      <c r="Q382" t="s">
        <v>113</v>
      </c>
      <c r="R382" s="1" t="s">
        <v>158</v>
      </c>
    </row>
    <row r="383" spans="3:18" x14ac:dyDescent="0.35">
      <c r="C383" t="s">
        <v>51</v>
      </c>
      <c r="D383" t="s">
        <v>23</v>
      </c>
      <c r="E383" t="s">
        <v>62</v>
      </c>
      <c r="F383" t="s">
        <v>64</v>
      </c>
      <c r="G383" s="58">
        <v>323664</v>
      </c>
      <c r="H383" s="1" t="s">
        <v>48</v>
      </c>
      <c r="I383" s="1" t="s">
        <v>111</v>
      </c>
      <c r="J383" s="58">
        <v>6473280</v>
      </c>
      <c r="K383" s="1" t="s">
        <v>112</v>
      </c>
      <c r="N383" s="1">
        <v>1</v>
      </c>
      <c r="O383" s="58"/>
      <c r="P383" s="58">
        <v>258931.20000000001</v>
      </c>
      <c r="Q383" t="s">
        <v>127</v>
      </c>
      <c r="R383" s="1" t="s">
        <v>48</v>
      </c>
    </row>
    <row r="384" spans="3:18" x14ac:dyDescent="0.35">
      <c r="C384" t="s">
        <v>51</v>
      </c>
      <c r="D384" t="s">
        <v>24</v>
      </c>
      <c r="E384" t="s">
        <v>50</v>
      </c>
      <c r="F384" t="s">
        <v>46</v>
      </c>
      <c r="G384" s="58">
        <v>281322</v>
      </c>
      <c r="H384" s="1" t="s">
        <v>48</v>
      </c>
      <c r="I384" s="1" t="s">
        <v>111</v>
      </c>
      <c r="J384" s="58">
        <v>5345118</v>
      </c>
      <c r="K384" s="1" t="s">
        <v>106</v>
      </c>
      <c r="L384" s="1" t="s">
        <v>109</v>
      </c>
      <c r="M384" s="1" t="s">
        <v>121</v>
      </c>
      <c r="N384" s="1">
        <v>1</v>
      </c>
      <c r="O384" s="58"/>
      <c r="P384" s="58">
        <v>239123.7</v>
      </c>
      <c r="Q384" t="s">
        <v>127</v>
      </c>
      <c r="R384" s="1" t="s">
        <v>158</v>
      </c>
    </row>
    <row r="385" spans="3:18" x14ac:dyDescent="0.35">
      <c r="C385" t="s">
        <v>51</v>
      </c>
      <c r="D385" t="s">
        <v>25</v>
      </c>
      <c r="E385" t="s">
        <v>55</v>
      </c>
      <c r="F385" t="s">
        <v>46</v>
      </c>
      <c r="G385" s="58">
        <v>160412</v>
      </c>
      <c r="H385" s="1" t="s">
        <v>54</v>
      </c>
      <c r="I385" s="1" t="s">
        <v>108</v>
      </c>
      <c r="J385" s="58">
        <v>4170712</v>
      </c>
      <c r="K385" s="1" t="s">
        <v>112</v>
      </c>
      <c r="N385" s="1">
        <v>1</v>
      </c>
      <c r="O385" s="58"/>
      <c r="P385" s="58">
        <v>134746.07999999999</v>
      </c>
      <c r="Q385" t="s">
        <v>127</v>
      </c>
      <c r="R385" s="1" t="s">
        <v>158</v>
      </c>
    </row>
    <row r="386" spans="3:18" x14ac:dyDescent="0.35">
      <c r="C386" t="s">
        <v>51</v>
      </c>
      <c r="D386" t="s">
        <v>22</v>
      </c>
      <c r="E386" t="s">
        <v>49</v>
      </c>
      <c r="F386" t="s">
        <v>46</v>
      </c>
      <c r="G386" s="58">
        <v>310117</v>
      </c>
      <c r="H386" s="1" t="s">
        <v>47</v>
      </c>
      <c r="I386" s="1" t="s">
        <v>111</v>
      </c>
      <c r="J386" s="58">
        <v>4651755</v>
      </c>
      <c r="K386" s="1" t="s">
        <v>106</v>
      </c>
      <c r="L386" s="1" t="s">
        <v>120</v>
      </c>
      <c r="N386" s="1">
        <v>1</v>
      </c>
      <c r="O386" s="58"/>
      <c r="P386" s="58">
        <v>96136.27</v>
      </c>
      <c r="Q386" t="s">
        <v>107</v>
      </c>
      <c r="R386" s="1" t="s">
        <v>158</v>
      </c>
    </row>
    <row r="387" spans="3:18" x14ac:dyDescent="0.35">
      <c r="C387" t="s">
        <v>53</v>
      </c>
      <c r="D387" t="s">
        <v>22</v>
      </c>
      <c r="E387" t="s">
        <v>49</v>
      </c>
      <c r="F387" t="s">
        <v>46</v>
      </c>
      <c r="G387" s="58">
        <v>9296</v>
      </c>
      <c r="H387" s="1" t="s">
        <v>47</v>
      </c>
      <c r="I387" s="1" t="s">
        <v>119</v>
      </c>
      <c r="J387" s="58">
        <v>83664</v>
      </c>
      <c r="K387" s="1" t="s">
        <v>106</v>
      </c>
      <c r="L387" s="1" t="s">
        <v>124</v>
      </c>
      <c r="N387" s="1">
        <v>1</v>
      </c>
      <c r="O387" s="58"/>
      <c r="P387" s="58">
        <v>4276.16</v>
      </c>
      <c r="Q387" t="s">
        <v>113</v>
      </c>
      <c r="R387" s="1" t="s">
        <v>158</v>
      </c>
    </row>
    <row r="388" spans="3:18" x14ac:dyDescent="0.35">
      <c r="C388" t="s">
        <v>51</v>
      </c>
      <c r="D388" t="s">
        <v>19</v>
      </c>
      <c r="E388" t="s">
        <v>49</v>
      </c>
      <c r="F388" t="s">
        <v>46</v>
      </c>
      <c r="G388" s="58">
        <v>39730</v>
      </c>
      <c r="H388" s="1" t="s">
        <v>54</v>
      </c>
      <c r="I388" s="1" t="s">
        <v>108</v>
      </c>
      <c r="J388" s="58">
        <v>834330</v>
      </c>
      <c r="K388" s="1" t="s">
        <v>106</v>
      </c>
      <c r="L388" s="1" t="s">
        <v>114</v>
      </c>
      <c r="N388" s="1">
        <v>1</v>
      </c>
      <c r="O388" s="58"/>
      <c r="P388" s="58">
        <v>11124.4</v>
      </c>
      <c r="Q388" t="s">
        <v>107</v>
      </c>
      <c r="R388" s="1" t="s">
        <v>158</v>
      </c>
    </row>
    <row r="389" spans="3:18" x14ac:dyDescent="0.35">
      <c r="C389" t="s">
        <v>53</v>
      </c>
      <c r="D389" t="s">
        <v>22</v>
      </c>
      <c r="E389" t="s">
        <v>45</v>
      </c>
      <c r="F389" t="s">
        <v>46</v>
      </c>
      <c r="G389" s="58">
        <v>43013479</v>
      </c>
      <c r="H389" s="1" t="s">
        <v>54</v>
      </c>
      <c r="I389" s="1" t="s">
        <v>119</v>
      </c>
      <c r="J389" s="58">
        <v>301094353</v>
      </c>
      <c r="K389" s="1" t="s">
        <v>106</v>
      </c>
      <c r="L389" s="1" t="s">
        <v>120</v>
      </c>
      <c r="N389" s="1">
        <v>1</v>
      </c>
      <c r="O389" s="58"/>
      <c r="P389" s="58">
        <v>20646469.920000002</v>
      </c>
      <c r="Q389" t="s">
        <v>113</v>
      </c>
      <c r="R389" s="1" t="s">
        <v>158</v>
      </c>
    </row>
    <row r="390" spans="3:18" x14ac:dyDescent="0.35">
      <c r="C390" t="s">
        <v>53</v>
      </c>
      <c r="D390" t="s">
        <v>21</v>
      </c>
      <c r="E390" t="s">
        <v>49</v>
      </c>
      <c r="F390" t="s">
        <v>46</v>
      </c>
      <c r="G390" s="58">
        <v>1048205</v>
      </c>
      <c r="H390" s="1" t="s">
        <v>48</v>
      </c>
      <c r="I390" s="1" t="s">
        <v>111</v>
      </c>
      <c r="J390" s="58">
        <v>12578460</v>
      </c>
      <c r="K390" s="1" t="s">
        <v>106</v>
      </c>
      <c r="L390" s="1" t="s">
        <v>124</v>
      </c>
      <c r="M390" s="1" t="s">
        <v>126</v>
      </c>
      <c r="N390" s="1">
        <v>1</v>
      </c>
      <c r="O390" s="58"/>
      <c r="P390" s="58">
        <v>461210.2</v>
      </c>
      <c r="Q390" t="s">
        <v>113</v>
      </c>
      <c r="R390" s="1" t="s">
        <v>48</v>
      </c>
    </row>
    <row r="391" spans="3:18" x14ac:dyDescent="0.35">
      <c r="C391" t="s">
        <v>51</v>
      </c>
      <c r="D391" t="s">
        <v>22</v>
      </c>
      <c r="E391" t="s">
        <v>55</v>
      </c>
      <c r="F391" t="s">
        <v>46</v>
      </c>
      <c r="G391" s="58">
        <v>465837</v>
      </c>
      <c r="H391" s="1" t="s">
        <v>48</v>
      </c>
      <c r="I391" s="1" t="s">
        <v>111</v>
      </c>
      <c r="J391" s="58">
        <v>6987555</v>
      </c>
      <c r="K391" s="1" t="s">
        <v>106</v>
      </c>
      <c r="L391" s="1" t="s">
        <v>120</v>
      </c>
      <c r="M391" s="1" t="s">
        <v>115</v>
      </c>
      <c r="N391" s="1">
        <v>1</v>
      </c>
      <c r="O391" s="58"/>
      <c r="P391" s="58">
        <v>298135.67999999999</v>
      </c>
      <c r="Q391" t="s">
        <v>118</v>
      </c>
      <c r="R391" s="1" t="s">
        <v>48</v>
      </c>
    </row>
    <row r="392" spans="3:18" x14ac:dyDescent="0.35">
      <c r="C392" t="s">
        <v>51</v>
      </c>
      <c r="D392" t="s">
        <v>23</v>
      </c>
      <c r="E392" t="s">
        <v>45</v>
      </c>
      <c r="F392" t="s">
        <v>64</v>
      </c>
      <c r="G392" s="58">
        <v>46638</v>
      </c>
      <c r="H392" s="1" t="s">
        <v>48</v>
      </c>
      <c r="I392" s="1" t="s">
        <v>119</v>
      </c>
      <c r="J392" s="58">
        <v>326466</v>
      </c>
      <c r="K392" s="1" t="s">
        <v>106</v>
      </c>
      <c r="L392" s="1" t="s">
        <v>120</v>
      </c>
      <c r="M392" s="1" t="s">
        <v>125</v>
      </c>
      <c r="N392" s="1">
        <v>1</v>
      </c>
      <c r="O392" s="58"/>
      <c r="P392" s="58">
        <v>8394.84</v>
      </c>
      <c r="Q392" t="s">
        <v>107</v>
      </c>
      <c r="R392" s="1" t="s">
        <v>158</v>
      </c>
    </row>
    <row r="393" spans="3:18" x14ac:dyDescent="0.35">
      <c r="C393" t="s">
        <v>51</v>
      </c>
      <c r="D393" t="s">
        <v>92</v>
      </c>
      <c r="E393" t="s">
        <v>49</v>
      </c>
      <c r="F393" t="s">
        <v>64</v>
      </c>
      <c r="G393" s="58">
        <v>79500</v>
      </c>
      <c r="H393" s="1" t="s">
        <v>59</v>
      </c>
      <c r="I393" s="1" t="s">
        <v>119</v>
      </c>
      <c r="J393" s="58">
        <v>556500</v>
      </c>
      <c r="K393" s="1" t="s">
        <v>106</v>
      </c>
      <c r="L393" s="1" t="s">
        <v>124</v>
      </c>
      <c r="N393" s="1">
        <v>1</v>
      </c>
      <c r="O393" s="58"/>
      <c r="P393" s="58">
        <v>9540</v>
      </c>
      <c r="Q393" t="s">
        <v>107</v>
      </c>
      <c r="R393" s="1" t="s">
        <v>158</v>
      </c>
    </row>
    <row r="394" spans="3:18" x14ac:dyDescent="0.35">
      <c r="C394" t="s">
        <v>53</v>
      </c>
      <c r="D394" t="s">
        <v>20</v>
      </c>
      <c r="E394" t="s">
        <v>45</v>
      </c>
      <c r="F394" t="s">
        <v>46</v>
      </c>
      <c r="G394" s="58">
        <v>1050724</v>
      </c>
      <c r="H394" s="1" t="s">
        <v>47</v>
      </c>
      <c r="I394" s="1" t="s">
        <v>119</v>
      </c>
      <c r="J394" s="58">
        <v>8405792</v>
      </c>
      <c r="K394" s="1" t="s">
        <v>106</v>
      </c>
      <c r="L394" s="1" t="s">
        <v>120</v>
      </c>
      <c r="N394" s="1">
        <v>1</v>
      </c>
      <c r="O394" s="58"/>
      <c r="P394" s="58">
        <v>714492.32</v>
      </c>
      <c r="Q394" t="s">
        <v>118</v>
      </c>
      <c r="R394" s="1" t="s">
        <v>158</v>
      </c>
    </row>
    <row r="395" spans="3:18" x14ac:dyDescent="0.35">
      <c r="C395" t="s">
        <v>51</v>
      </c>
      <c r="D395" t="s">
        <v>23</v>
      </c>
      <c r="E395" t="s">
        <v>45</v>
      </c>
      <c r="F395" t="s">
        <v>46</v>
      </c>
      <c r="G395" s="58">
        <v>3039508</v>
      </c>
      <c r="H395" s="1" t="s">
        <v>59</v>
      </c>
      <c r="I395" s="1" t="s">
        <v>108</v>
      </c>
      <c r="J395" s="58">
        <v>91185240</v>
      </c>
      <c r="K395" s="1" t="s">
        <v>112</v>
      </c>
      <c r="N395" s="1">
        <v>1</v>
      </c>
      <c r="O395" s="58"/>
      <c r="P395" s="58">
        <v>699086.84</v>
      </c>
      <c r="Q395" t="s">
        <v>107</v>
      </c>
      <c r="R395" s="1" t="s">
        <v>158</v>
      </c>
    </row>
    <row r="396" spans="3:18" x14ac:dyDescent="0.35">
      <c r="C396" t="s">
        <v>51</v>
      </c>
      <c r="D396" t="s">
        <v>24</v>
      </c>
      <c r="E396" t="s">
        <v>55</v>
      </c>
      <c r="F396" t="s">
        <v>46</v>
      </c>
      <c r="G396" s="58">
        <v>211746</v>
      </c>
      <c r="H396" s="1" t="s">
        <v>48</v>
      </c>
      <c r="I396" s="1" t="s">
        <v>111</v>
      </c>
      <c r="J396" s="58">
        <v>2329206</v>
      </c>
      <c r="K396" s="1" t="s">
        <v>106</v>
      </c>
      <c r="L396" s="1" t="s">
        <v>124</v>
      </c>
      <c r="M396" s="1" t="s">
        <v>121</v>
      </c>
      <c r="N396" s="1">
        <v>1</v>
      </c>
      <c r="O396" s="58"/>
      <c r="P396" s="58">
        <v>122812.68</v>
      </c>
      <c r="Q396" t="s">
        <v>113</v>
      </c>
      <c r="R396" s="1" t="s">
        <v>48</v>
      </c>
    </row>
    <row r="397" spans="3:18" x14ac:dyDescent="0.35">
      <c r="C397" t="s">
        <v>51</v>
      </c>
      <c r="D397" t="s">
        <v>22</v>
      </c>
      <c r="E397" t="s">
        <v>50</v>
      </c>
      <c r="F397" t="s">
        <v>46</v>
      </c>
      <c r="G397" s="58">
        <v>177678</v>
      </c>
      <c r="H397" s="1" t="s">
        <v>48</v>
      </c>
      <c r="I397" s="1" t="s">
        <v>108</v>
      </c>
      <c r="J397" s="58">
        <v>5685696</v>
      </c>
      <c r="K397" s="1" t="s">
        <v>106</v>
      </c>
      <c r="L397" s="1" t="s">
        <v>109</v>
      </c>
      <c r="M397" s="1" t="s">
        <v>115</v>
      </c>
      <c r="N397" s="1">
        <v>1</v>
      </c>
      <c r="O397" s="58"/>
      <c r="P397" s="58">
        <v>143919.18</v>
      </c>
      <c r="Q397" t="s">
        <v>127</v>
      </c>
      <c r="R397" s="1" t="s">
        <v>158</v>
      </c>
    </row>
    <row r="398" spans="3:18" x14ac:dyDescent="0.35">
      <c r="C398" t="s">
        <v>51</v>
      </c>
      <c r="D398" t="s">
        <v>24</v>
      </c>
      <c r="E398" t="s">
        <v>55</v>
      </c>
      <c r="F398" t="s">
        <v>46</v>
      </c>
      <c r="G398" s="58">
        <v>16197070</v>
      </c>
      <c r="H398" s="1" t="s">
        <v>54</v>
      </c>
      <c r="I398" s="1" t="s">
        <v>111</v>
      </c>
      <c r="J398" s="58">
        <v>226758980</v>
      </c>
      <c r="K398" s="1" t="s">
        <v>106</v>
      </c>
      <c r="L398" s="1" t="s">
        <v>114</v>
      </c>
      <c r="N398" s="1">
        <v>1</v>
      </c>
      <c r="O398" s="58"/>
      <c r="P398" s="58">
        <v>4535179.5999999996</v>
      </c>
      <c r="Q398" t="s">
        <v>107</v>
      </c>
      <c r="R398" s="1" t="s">
        <v>158</v>
      </c>
    </row>
    <row r="399" spans="3:18" x14ac:dyDescent="0.35">
      <c r="C399" t="s">
        <v>51</v>
      </c>
      <c r="D399" t="s">
        <v>24</v>
      </c>
      <c r="E399" t="s">
        <v>45</v>
      </c>
      <c r="F399" t="s">
        <v>46</v>
      </c>
      <c r="G399" s="58">
        <v>148602</v>
      </c>
      <c r="H399" s="1" t="s">
        <v>48</v>
      </c>
      <c r="I399" s="1" t="s">
        <v>111</v>
      </c>
      <c r="J399" s="58">
        <v>2674836</v>
      </c>
      <c r="K399" s="1" t="s">
        <v>106</v>
      </c>
      <c r="L399" s="1" t="s">
        <v>114</v>
      </c>
      <c r="M399" s="1" t="s">
        <v>121</v>
      </c>
      <c r="N399" s="1">
        <v>1</v>
      </c>
      <c r="O399" s="58"/>
      <c r="P399" s="58">
        <v>121853.64</v>
      </c>
      <c r="Q399" t="s">
        <v>127</v>
      </c>
      <c r="R399" s="1" t="s">
        <v>158</v>
      </c>
    </row>
    <row r="400" spans="3:18" x14ac:dyDescent="0.35">
      <c r="C400" t="s">
        <v>51</v>
      </c>
      <c r="D400" t="s">
        <v>91</v>
      </c>
      <c r="E400" t="s">
        <v>49</v>
      </c>
      <c r="F400" t="s">
        <v>64</v>
      </c>
      <c r="G400" s="58">
        <v>543111</v>
      </c>
      <c r="H400" s="1" t="s">
        <v>48</v>
      </c>
      <c r="I400" s="1" t="s">
        <v>111</v>
      </c>
      <c r="J400" s="58">
        <v>9775998</v>
      </c>
      <c r="K400" s="1" t="s">
        <v>112</v>
      </c>
      <c r="N400" s="1">
        <v>1</v>
      </c>
      <c r="O400" s="58"/>
      <c r="P400" s="58">
        <v>450782.13</v>
      </c>
      <c r="Q400" t="s">
        <v>127</v>
      </c>
      <c r="R400" s="1" t="s">
        <v>48</v>
      </c>
    </row>
    <row r="401" spans="3:18" x14ac:dyDescent="0.35">
      <c r="C401" t="s">
        <v>51</v>
      </c>
      <c r="D401" t="s">
        <v>20</v>
      </c>
      <c r="E401" t="s">
        <v>49</v>
      </c>
      <c r="F401" t="s">
        <v>46</v>
      </c>
      <c r="G401" s="58">
        <v>390336</v>
      </c>
      <c r="I401" s="1" t="s">
        <v>111</v>
      </c>
      <c r="J401" s="58">
        <v>7416384</v>
      </c>
      <c r="K401" s="1" t="s">
        <v>106</v>
      </c>
      <c r="L401" s="1" t="s">
        <v>124</v>
      </c>
      <c r="N401" s="1">
        <v>1</v>
      </c>
      <c r="O401" s="58"/>
      <c r="P401" s="58">
        <v>300558.71999999997</v>
      </c>
      <c r="Q401" t="s">
        <v>118</v>
      </c>
      <c r="R401" s="1" t="s">
        <v>158</v>
      </c>
    </row>
    <row r="402" spans="3:18" x14ac:dyDescent="0.35">
      <c r="C402" t="s">
        <v>53</v>
      </c>
      <c r="D402" t="s">
        <v>21</v>
      </c>
      <c r="E402" t="s">
        <v>49</v>
      </c>
      <c r="F402" t="s">
        <v>46</v>
      </c>
      <c r="G402" s="58">
        <v>3575409</v>
      </c>
      <c r="H402" s="1" t="s">
        <v>47</v>
      </c>
      <c r="I402" s="1" t="s">
        <v>105</v>
      </c>
      <c r="J402" s="58">
        <v>7150818</v>
      </c>
      <c r="K402" s="1" t="s">
        <v>106</v>
      </c>
      <c r="L402" s="1" t="s">
        <v>120</v>
      </c>
      <c r="N402" s="1">
        <v>1</v>
      </c>
      <c r="O402" s="58"/>
      <c r="P402" s="58">
        <v>536311.35</v>
      </c>
      <c r="Q402" t="s">
        <v>107</v>
      </c>
      <c r="R402" s="1" t="s">
        <v>158</v>
      </c>
    </row>
    <row r="403" spans="3:18" x14ac:dyDescent="0.35">
      <c r="C403" t="s">
        <v>51</v>
      </c>
      <c r="D403" t="s">
        <v>23</v>
      </c>
      <c r="E403" t="s">
        <v>55</v>
      </c>
      <c r="F403" t="s">
        <v>46</v>
      </c>
      <c r="G403" s="58">
        <v>20110403</v>
      </c>
      <c r="H403" s="1" t="s">
        <v>48</v>
      </c>
      <c r="I403" s="1" t="s">
        <v>108</v>
      </c>
      <c r="J403" s="58">
        <v>583201687</v>
      </c>
      <c r="K403" s="1" t="s">
        <v>106</v>
      </c>
      <c r="L403" s="1" t="s">
        <v>114</v>
      </c>
      <c r="M403" s="1" t="s">
        <v>125</v>
      </c>
      <c r="N403" s="1">
        <v>1</v>
      </c>
      <c r="O403" s="58"/>
      <c r="P403" s="58">
        <v>10457409.560000001</v>
      </c>
      <c r="Q403" t="s">
        <v>113</v>
      </c>
      <c r="R403" s="1" t="s">
        <v>48</v>
      </c>
    </row>
    <row r="404" spans="3:18" x14ac:dyDescent="0.35">
      <c r="C404" t="s">
        <v>51</v>
      </c>
      <c r="D404" t="s">
        <v>23</v>
      </c>
      <c r="E404" t="s">
        <v>55</v>
      </c>
      <c r="F404" t="s">
        <v>46</v>
      </c>
      <c r="G404" s="58">
        <v>155980</v>
      </c>
      <c r="H404" s="1" t="s">
        <v>48</v>
      </c>
      <c r="I404" s="1" t="s">
        <v>111</v>
      </c>
      <c r="J404" s="58">
        <v>3119600</v>
      </c>
      <c r="K404" s="1" t="s">
        <v>106</v>
      </c>
      <c r="L404" s="1" t="s">
        <v>114</v>
      </c>
      <c r="M404" s="1" t="s">
        <v>125</v>
      </c>
      <c r="N404" s="1">
        <v>1</v>
      </c>
      <c r="O404" s="58"/>
      <c r="P404" s="58">
        <v>165338.79999999999</v>
      </c>
      <c r="Q404" t="s">
        <v>110</v>
      </c>
      <c r="R404" s="1" t="s">
        <v>158</v>
      </c>
    </row>
    <row r="405" spans="3:18" x14ac:dyDescent="0.35">
      <c r="C405" t="s">
        <v>51</v>
      </c>
      <c r="D405" t="s">
        <v>19</v>
      </c>
      <c r="E405" t="s">
        <v>50</v>
      </c>
      <c r="F405" t="s">
        <v>46</v>
      </c>
      <c r="G405" s="58">
        <v>197471</v>
      </c>
      <c r="H405" s="1" t="s">
        <v>48</v>
      </c>
      <c r="I405" s="1" t="s">
        <v>108</v>
      </c>
      <c r="J405" s="58">
        <v>6121601</v>
      </c>
      <c r="K405" s="1" t="s">
        <v>106</v>
      </c>
      <c r="L405" s="1" t="s">
        <v>114</v>
      </c>
      <c r="M405" s="1" t="s">
        <v>122</v>
      </c>
      <c r="N405" s="1">
        <v>1</v>
      </c>
      <c r="O405" s="58"/>
      <c r="P405" s="58">
        <v>122432.02</v>
      </c>
      <c r="Q405" t="s">
        <v>118</v>
      </c>
      <c r="R405" s="1" t="s">
        <v>158</v>
      </c>
    </row>
    <row r="406" spans="3:18" x14ac:dyDescent="0.35">
      <c r="C406" t="s">
        <v>51</v>
      </c>
      <c r="D406" t="s">
        <v>25</v>
      </c>
      <c r="E406" t="s">
        <v>55</v>
      </c>
      <c r="F406" t="s">
        <v>46</v>
      </c>
      <c r="G406" s="58">
        <v>1873610</v>
      </c>
      <c r="H406" s="1" t="s">
        <v>47</v>
      </c>
      <c r="I406" s="1" t="s">
        <v>108</v>
      </c>
      <c r="J406" s="58">
        <v>48713860</v>
      </c>
      <c r="K406" s="1" t="s">
        <v>106</v>
      </c>
      <c r="L406" s="1" t="s">
        <v>114</v>
      </c>
      <c r="N406" s="1">
        <v>1</v>
      </c>
      <c r="O406" s="58"/>
      <c r="P406" s="58">
        <v>618291.30000000005</v>
      </c>
      <c r="Q406" t="s">
        <v>107</v>
      </c>
      <c r="R406" s="1" t="s">
        <v>158</v>
      </c>
    </row>
    <row r="407" spans="3:18" x14ac:dyDescent="0.35">
      <c r="C407" t="s">
        <v>51</v>
      </c>
      <c r="D407" t="s">
        <v>19</v>
      </c>
      <c r="E407" t="s">
        <v>49</v>
      </c>
      <c r="F407" t="s">
        <v>46</v>
      </c>
      <c r="G407" s="58">
        <v>6536745</v>
      </c>
      <c r="H407" s="1" t="s">
        <v>48</v>
      </c>
      <c r="I407" s="1" t="s">
        <v>108</v>
      </c>
      <c r="J407" s="58">
        <v>209175840</v>
      </c>
      <c r="K407" s="1" t="s">
        <v>112</v>
      </c>
      <c r="N407" s="1">
        <v>1</v>
      </c>
      <c r="O407" s="58"/>
      <c r="P407" s="58">
        <v>4575721.5</v>
      </c>
      <c r="Q407" t="s">
        <v>118</v>
      </c>
      <c r="R407" s="1" t="s">
        <v>158</v>
      </c>
    </row>
    <row r="408" spans="3:18" x14ac:dyDescent="0.35">
      <c r="C408" t="s">
        <v>51</v>
      </c>
      <c r="D408" t="s">
        <v>92</v>
      </c>
      <c r="E408" t="s">
        <v>55</v>
      </c>
      <c r="F408" t="s">
        <v>46</v>
      </c>
      <c r="G408" s="58">
        <v>318366</v>
      </c>
      <c r="H408" s="1" t="s">
        <v>48</v>
      </c>
      <c r="I408" s="1" t="s">
        <v>108</v>
      </c>
      <c r="J408" s="58">
        <v>7640784</v>
      </c>
      <c r="K408" s="1" t="s">
        <v>112</v>
      </c>
      <c r="N408" s="1">
        <v>1</v>
      </c>
      <c r="O408" s="58"/>
      <c r="P408" s="58">
        <v>155999.34</v>
      </c>
      <c r="Q408" t="s">
        <v>113</v>
      </c>
      <c r="R408" s="1" t="s">
        <v>48</v>
      </c>
    </row>
    <row r="409" spans="3:18" x14ac:dyDescent="0.35">
      <c r="C409" t="s">
        <v>51</v>
      </c>
      <c r="D409" t="s">
        <v>23</v>
      </c>
      <c r="E409" t="s">
        <v>45</v>
      </c>
      <c r="F409" t="s">
        <v>46</v>
      </c>
      <c r="G409" s="58">
        <v>282039</v>
      </c>
      <c r="H409" s="1" t="s">
        <v>48</v>
      </c>
      <c r="I409" s="1" t="s">
        <v>111</v>
      </c>
      <c r="J409" s="58">
        <v>4230585</v>
      </c>
      <c r="K409" s="1" t="s">
        <v>106</v>
      </c>
      <c r="L409" s="1" t="s">
        <v>124</v>
      </c>
      <c r="M409" s="1" t="s">
        <v>126</v>
      </c>
      <c r="N409" s="1">
        <v>1</v>
      </c>
      <c r="O409" s="58"/>
      <c r="P409" s="58">
        <v>172043.79</v>
      </c>
      <c r="Q409" t="s">
        <v>118</v>
      </c>
      <c r="R409" s="1" t="s">
        <v>158</v>
      </c>
    </row>
    <row r="410" spans="3:18" x14ac:dyDescent="0.35">
      <c r="C410" t="s">
        <v>51</v>
      </c>
      <c r="D410" t="s">
        <v>24</v>
      </c>
      <c r="E410" t="s">
        <v>50</v>
      </c>
      <c r="F410" t="s">
        <v>46</v>
      </c>
      <c r="G410" s="58">
        <v>1626584</v>
      </c>
      <c r="H410" s="1" t="s">
        <v>56</v>
      </c>
      <c r="I410" s="1" t="s">
        <v>108</v>
      </c>
      <c r="J410" s="58">
        <v>48797520</v>
      </c>
      <c r="K410" s="1" t="s">
        <v>106</v>
      </c>
      <c r="L410" s="1" t="s">
        <v>109</v>
      </c>
      <c r="N410" s="1">
        <v>1</v>
      </c>
      <c r="O410" s="58"/>
      <c r="P410" s="58">
        <v>1122342.96</v>
      </c>
      <c r="Q410" t="s">
        <v>118</v>
      </c>
      <c r="R410" s="1" t="s">
        <v>158</v>
      </c>
    </row>
    <row r="411" spans="3:18" x14ac:dyDescent="0.35">
      <c r="C411" t="s">
        <v>51</v>
      </c>
      <c r="D411" t="s">
        <v>21</v>
      </c>
      <c r="E411" t="s">
        <v>50</v>
      </c>
      <c r="F411" t="s">
        <v>46</v>
      </c>
      <c r="G411" s="58">
        <v>274720</v>
      </c>
      <c r="H411" s="1" t="s">
        <v>48</v>
      </c>
      <c r="I411" s="1" t="s">
        <v>108</v>
      </c>
      <c r="J411" s="58">
        <v>7692160</v>
      </c>
      <c r="K411" s="1" t="s">
        <v>106</v>
      </c>
      <c r="L411" s="1" t="s">
        <v>124</v>
      </c>
      <c r="M411" s="1" t="s">
        <v>126</v>
      </c>
      <c r="N411" s="1">
        <v>1</v>
      </c>
      <c r="O411" s="58"/>
      <c r="P411" s="58">
        <v>164832</v>
      </c>
      <c r="Q411" t="s">
        <v>118</v>
      </c>
      <c r="R411" s="1" t="s">
        <v>48</v>
      </c>
    </row>
    <row r="412" spans="3:18" x14ac:dyDescent="0.35">
      <c r="C412" t="s">
        <v>51</v>
      </c>
      <c r="D412" t="s">
        <v>23</v>
      </c>
      <c r="E412" t="s">
        <v>55</v>
      </c>
      <c r="F412" t="s">
        <v>64</v>
      </c>
      <c r="G412" s="58">
        <v>235768</v>
      </c>
      <c r="H412" s="1" t="s">
        <v>47</v>
      </c>
      <c r="I412" s="1" t="s">
        <v>111</v>
      </c>
      <c r="J412" s="58">
        <v>3772288</v>
      </c>
      <c r="K412" s="1" t="s">
        <v>112</v>
      </c>
      <c r="N412" s="1">
        <v>1</v>
      </c>
      <c r="O412" s="58"/>
      <c r="P412" s="58">
        <v>141460.79999999999</v>
      </c>
      <c r="Q412" t="s">
        <v>113</v>
      </c>
      <c r="R412" s="1" t="s">
        <v>158</v>
      </c>
    </row>
    <row r="413" spans="3:18" x14ac:dyDescent="0.35">
      <c r="C413" t="s">
        <v>53</v>
      </c>
      <c r="D413" t="s">
        <v>24</v>
      </c>
      <c r="E413" t="s">
        <v>45</v>
      </c>
      <c r="F413" t="s">
        <v>46</v>
      </c>
      <c r="G413" s="58">
        <v>39990</v>
      </c>
      <c r="H413" s="1" t="s">
        <v>59</v>
      </c>
      <c r="I413" s="1" t="s">
        <v>105</v>
      </c>
      <c r="J413" s="58">
        <v>159960</v>
      </c>
      <c r="K413" s="1" t="s">
        <v>106</v>
      </c>
      <c r="L413" s="1" t="s">
        <v>120</v>
      </c>
      <c r="N413" s="1">
        <v>1</v>
      </c>
      <c r="O413" s="58"/>
      <c r="P413" s="58">
        <v>13596.6</v>
      </c>
      <c r="Q413" t="s">
        <v>107</v>
      </c>
      <c r="R413" s="1" t="s">
        <v>158</v>
      </c>
    </row>
    <row r="414" spans="3:18" x14ac:dyDescent="0.35">
      <c r="C414" t="s">
        <v>53</v>
      </c>
      <c r="D414" t="s">
        <v>22</v>
      </c>
      <c r="E414" t="s">
        <v>45</v>
      </c>
      <c r="F414" t="s">
        <v>46</v>
      </c>
      <c r="G414" s="58">
        <v>27264843</v>
      </c>
      <c r="H414" s="1" t="s">
        <v>54</v>
      </c>
      <c r="I414" s="1" t="s">
        <v>105</v>
      </c>
      <c r="J414" s="58">
        <v>54529686</v>
      </c>
      <c r="K414" s="1" t="s">
        <v>106</v>
      </c>
      <c r="L414" s="1" t="s">
        <v>120</v>
      </c>
      <c r="N414" s="1">
        <v>1</v>
      </c>
      <c r="O414" s="58"/>
      <c r="P414" s="58">
        <v>4089726.45</v>
      </c>
      <c r="Q414" t="s">
        <v>107</v>
      </c>
      <c r="R414" s="1" t="s">
        <v>158</v>
      </c>
    </row>
    <row r="415" spans="3:18" x14ac:dyDescent="0.35">
      <c r="C415" t="s">
        <v>51</v>
      </c>
      <c r="D415" t="s">
        <v>23</v>
      </c>
      <c r="E415" t="s">
        <v>55</v>
      </c>
      <c r="F415" t="s">
        <v>46</v>
      </c>
      <c r="G415" s="58">
        <v>248569</v>
      </c>
      <c r="H415" s="1" t="s">
        <v>48</v>
      </c>
      <c r="I415" s="1" t="s">
        <v>111</v>
      </c>
      <c r="J415" s="58">
        <v>3231397</v>
      </c>
      <c r="K415" s="1" t="s">
        <v>112</v>
      </c>
      <c r="N415" s="1">
        <v>1</v>
      </c>
      <c r="O415" s="58"/>
      <c r="P415" s="58">
        <v>206312.27</v>
      </c>
      <c r="Q415" t="s">
        <v>127</v>
      </c>
      <c r="R415" s="1" t="s">
        <v>158</v>
      </c>
    </row>
    <row r="416" spans="3:18" x14ac:dyDescent="0.35">
      <c r="C416" t="s">
        <v>53</v>
      </c>
      <c r="D416" t="s">
        <v>21</v>
      </c>
      <c r="E416" t="s">
        <v>45</v>
      </c>
      <c r="F416" t="s">
        <v>46</v>
      </c>
      <c r="G416" s="58">
        <v>6783323</v>
      </c>
      <c r="H416" s="1" t="s">
        <v>48</v>
      </c>
      <c r="I416" s="1" t="s">
        <v>119</v>
      </c>
      <c r="J416" s="58">
        <v>54266584</v>
      </c>
      <c r="K416" s="1" t="s">
        <v>106</v>
      </c>
      <c r="L416" s="1" t="s">
        <v>120</v>
      </c>
      <c r="M416" s="1" t="s">
        <v>126</v>
      </c>
      <c r="N416" s="1">
        <v>1</v>
      </c>
      <c r="O416" s="58"/>
      <c r="P416" s="58">
        <v>3255995.04</v>
      </c>
      <c r="Q416" t="s">
        <v>113</v>
      </c>
      <c r="R416" s="1" t="s">
        <v>158</v>
      </c>
    </row>
    <row r="417" spans="3:18" x14ac:dyDescent="0.35">
      <c r="C417" t="s">
        <v>51</v>
      </c>
      <c r="D417" t="s">
        <v>92</v>
      </c>
      <c r="E417" t="s">
        <v>49</v>
      </c>
      <c r="F417" t="s">
        <v>46</v>
      </c>
      <c r="G417" s="58">
        <v>277929</v>
      </c>
      <c r="H417" s="1" t="s">
        <v>59</v>
      </c>
      <c r="I417" s="1" t="s">
        <v>119</v>
      </c>
      <c r="J417" s="58">
        <v>2223432</v>
      </c>
      <c r="K417" s="1" t="s">
        <v>106</v>
      </c>
      <c r="L417" s="1" t="s">
        <v>124</v>
      </c>
      <c r="N417" s="1">
        <v>1</v>
      </c>
      <c r="O417" s="58"/>
      <c r="P417" s="58">
        <v>188991.72</v>
      </c>
      <c r="Q417" t="s">
        <v>118</v>
      </c>
      <c r="R417" s="1" t="s">
        <v>158</v>
      </c>
    </row>
    <row r="418" spans="3:18" x14ac:dyDescent="0.35">
      <c r="C418" t="s">
        <v>53</v>
      </c>
      <c r="D418" t="s">
        <v>19</v>
      </c>
      <c r="E418" t="s">
        <v>49</v>
      </c>
      <c r="F418" t="s">
        <v>46</v>
      </c>
      <c r="G418" s="58">
        <v>182873</v>
      </c>
      <c r="H418" s="1" t="s">
        <v>59</v>
      </c>
      <c r="I418" s="1" t="s">
        <v>111</v>
      </c>
      <c r="J418" s="58">
        <v>2743095</v>
      </c>
      <c r="K418" s="1" t="s">
        <v>112</v>
      </c>
      <c r="N418" s="1">
        <v>1</v>
      </c>
      <c r="O418" s="58"/>
      <c r="P418" s="58">
        <v>47546.98</v>
      </c>
      <c r="Q418" t="s">
        <v>107</v>
      </c>
      <c r="R418" s="1" t="s">
        <v>158</v>
      </c>
    </row>
    <row r="419" spans="3:18" x14ac:dyDescent="0.35">
      <c r="C419" t="s">
        <v>51</v>
      </c>
      <c r="D419" t="s">
        <v>21</v>
      </c>
      <c r="E419" t="s">
        <v>49</v>
      </c>
      <c r="F419" t="s">
        <v>46</v>
      </c>
      <c r="G419" s="58">
        <v>762753</v>
      </c>
      <c r="H419" s="1" t="s">
        <v>48</v>
      </c>
      <c r="I419" s="1" t="s">
        <v>108</v>
      </c>
      <c r="J419" s="58">
        <v>19068825</v>
      </c>
      <c r="K419" s="1" t="s">
        <v>106</v>
      </c>
      <c r="L419" s="1" t="s">
        <v>120</v>
      </c>
      <c r="M419" s="1" t="s">
        <v>125</v>
      </c>
      <c r="N419" s="1">
        <v>1</v>
      </c>
      <c r="O419" s="58"/>
      <c r="P419" s="58">
        <v>389004.03</v>
      </c>
      <c r="Q419" t="s">
        <v>113</v>
      </c>
      <c r="R419" s="1" t="s">
        <v>48</v>
      </c>
    </row>
    <row r="420" spans="3:18" x14ac:dyDescent="0.35">
      <c r="C420" t="s">
        <v>51</v>
      </c>
      <c r="D420" t="s">
        <v>22</v>
      </c>
      <c r="E420" t="s">
        <v>55</v>
      </c>
      <c r="F420" t="s">
        <v>64</v>
      </c>
      <c r="G420" s="58">
        <v>234496</v>
      </c>
      <c r="H420" s="1" t="s">
        <v>48</v>
      </c>
      <c r="I420" s="1" t="s">
        <v>108</v>
      </c>
      <c r="J420" s="58">
        <v>6096896</v>
      </c>
      <c r="K420" s="1" t="s">
        <v>112</v>
      </c>
      <c r="N420" s="1">
        <v>1</v>
      </c>
      <c r="O420" s="58"/>
      <c r="P420" s="58">
        <v>49244.160000000003</v>
      </c>
      <c r="Q420" t="s">
        <v>107</v>
      </c>
      <c r="R420" s="1" t="s">
        <v>48</v>
      </c>
    </row>
    <row r="421" spans="3:18" x14ac:dyDescent="0.35">
      <c r="C421" t="s">
        <v>51</v>
      </c>
      <c r="D421" t="s">
        <v>24</v>
      </c>
      <c r="E421" t="s">
        <v>45</v>
      </c>
      <c r="F421" t="s">
        <v>46</v>
      </c>
      <c r="G421" s="58">
        <v>13513026</v>
      </c>
      <c r="H421" s="1" t="s">
        <v>59</v>
      </c>
      <c r="I421" s="1" t="s">
        <v>108</v>
      </c>
      <c r="J421" s="58">
        <v>351338676</v>
      </c>
      <c r="K421" s="1" t="s">
        <v>106</v>
      </c>
      <c r="L421" s="1" t="s">
        <v>120</v>
      </c>
      <c r="N421" s="1">
        <v>1</v>
      </c>
      <c r="O421" s="58"/>
      <c r="P421" s="58">
        <v>6891643.2599999998</v>
      </c>
      <c r="Q421" t="s">
        <v>113</v>
      </c>
      <c r="R421" s="1" t="s">
        <v>158</v>
      </c>
    </row>
    <row r="422" spans="3:18" x14ac:dyDescent="0.35">
      <c r="C422" t="s">
        <v>51</v>
      </c>
      <c r="D422" t="s">
        <v>92</v>
      </c>
      <c r="E422" t="s">
        <v>49</v>
      </c>
      <c r="F422" t="s">
        <v>46</v>
      </c>
      <c r="G422" s="58">
        <v>288024</v>
      </c>
      <c r="H422" s="1" t="s">
        <v>48</v>
      </c>
      <c r="I422" s="1" t="s">
        <v>119</v>
      </c>
      <c r="J422" s="58">
        <v>1728144</v>
      </c>
      <c r="K422" s="1" t="s">
        <v>112</v>
      </c>
      <c r="N422" s="1">
        <v>1</v>
      </c>
      <c r="O422" s="58"/>
      <c r="P422" s="58">
        <v>46083.839999999997</v>
      </c>
      <c r="Q422" t="s">
        <v>107</v>
      </c>
      <c r="R422" s="1" t="s">
        <v>48</v>
      </c>
    </row>
    <row r="423" spans="3:18" x14ac:dyDescent="0.35">
      <c r="C423" t="s">
        <v>51</v>
      </c>
      <c r="D423" t="s">
        <v>22</v>
      </c>
      <c r="E423" t="s">
        <v>50</v>
      </c>
      <c r="F423" t="s">
        <v>46</v>
      </c>
      <c r="G423" s="58">
        <v>154122</v>
      </c>
      <c r="H423" s="1" t="s">
        <v>48</v>
      </c>
      <c r="I423" s="1" t="s">
        <v>108</v>
      </c>
      <c r="J423" s="58">
        <v>4007172</v>
      </c>
      <c r="K423" s="1" t="s">
        <v>106</v>
      </c>
      <c r="L423" s="1" t="s">
        <v>120</v>
      </c>
      <c r="M423" s="1" t="s">
        <v>122</v>
      </c>
      <c r="N423" s="1">
        <v>1</v>
      </c>
      <c r="O423" s="58"/>
      <c r="P423" s="58">
        <v>84767.1</v>
      </c>
      <c r="Q423" t="s">
        <v>113</v>
      </c>
      <c r="R423" s="1" t="s">
        <v>48</v>
      </c>
    </row>
    <row r="424" spans="3:18" x14ac:dyDescent="0.35">
      <c r="C424" t="s">
        <v>51</v>
      </c>
      <c r="D424" t="s">
        <v>21</v>
      </c>
      <c r="E424" t="s">
        <v>50</v>
      </c>
      <c r="F424" t="s">
        <v>46</v>
      </c>
      <c r="G424" s="58">
        <v>600200</v>
      </c>
      <c r="H424" s="1" t="s">
        <v>48</v>
      </c>
      <c r="I424" s="1" t="s">
        <v>108</v>
      </c>
      <c r="J424" s="58">
        <v>22807600</v>
      </c>
      <c r="K424" s="1" t="s">
        <v>112</v>
      </c>
      <c r="N424" s="1">
        <v>1</v>
      </c>
      <c r="O424" s="58"/>
      <c r="P424" s="58">
        <v>600200</v>
      </c>
      <c r="Q424" t="s">
        <v>110</v>
      </c>
      <c r="R424" s="1" t="s">
        <v>48</v>
      </c>
    </row>
    <row r="425" spans="3:18" x14ac:dyDescent="0.35">
      <c r="C425" t="s">
        <v>51</v>
      </c>
      <c r="D425" t="s">
        <v>92</v>
      </c>
      <c r="E425" t="s">
        <v>49</v>
      </c>
      <c r="F425" t="s">
        <v>46</v>
      </c>
      <c r="G425" s="58">
        <v>175789</v>
      </c>
      <c r="H425" s="1" t="s">
        <v>48</v>
      </c>
      <c r="I425" s="1" t="s">
        <v>108</v>
      </c>
      <c r="J425" s="58">
        <v>6328404</v>
      </c>
      <c r="K425" s="1" t="s">
        <v>106</v>
      </c>
      <c r="L425" s="1" t="s">
        <v>114</v>
      </c>
      <c r="M425" s="1" t="s">
        <v>125</v>
      </c>
      <c r="N425" s="1">
        <v>1</v>
      </c>
      <c r="O425" s="58"/>
      <c r="P425" s="58">
        <v>144146.98000000001</v>
      </c>
      <c r="Q425" t="s">
        <v>127</v>
      </c>
      <c r="R425" s="1" t="s">
        <v>158</v>
      </c>
    </row>
    <row r="426" spans="3:18" x14ac:dyDescent="0.35">
      <c r="C426" t="s">
        <v>51</v>
      </c>
      <c r="D426" t="s">
        <v>24</v>
      </c>
      <c r="E426" t="s">
        <v>55</v>
      </c>
      <c r="F426" t="s">
        <v>46</v>
      </c>
      <c r="G426" s="58">
        <v>194549</v>
      </c>
      <c r="H426" s="1" t="s">
        <v>48</v>
      </c>
      <c r="I426" s="1" t="s">
        <v>108</v>
      </c>
      <c r="J426" s="58">
        <v>4863725</v>
      </c>
      <c r="K426" s="1" t="s">
        <v>106</v>
      </c>
      <c r="L426" s="1" t="s">
        <v>120</v>
      </c>
      <c r="M426" s="1" t="s">
        <v>115</v>
      </c>
      <c r="N426" s="1">
        <v>1</v>
      </c>
      <c r="O426" s="58"/>
      <c r="P426" s="58">
        <v>54473.72</v>
      </c>
      <c r="Q426" t="s">
        <v>107</v>
      </c>
      <c r="R426" s="1" t="s">
        <v>158</v>
      </c>
    </row>
    <row r="427" spans="3:18" x14ac:dyDescent="0.35">
      <c r="C427" t="s">
        <v>51</v>
      </c>
      <c r="D427" t="s">
        <v>22</v>
      </c>
      <c r="E427" t="s">
        <v>45</v>
      </c>
      <c r="F427" t="s">
        <v>46</v>
      </c>
      <c r="G427" s="58">
        <v>12285389</v>
      </c>
      <c r="H427" s="1" t="s">
        <v>47</v>
      </c>
      <c r="I427" s="1" t="s">
        <v>105</v>
      </c>
      <c r="J427" s="58">
        <v>24570778</v>
      </c>
      <c r="K427" s="1" t="s">
        <v>106</v>
      </c>
      <c r="L427" s="1" t="s">
        <v>120</v>
      </c>
      <c r="N427" s="1">
        <v>1</v>
      </c>
      <c r="O427" s="58"/>
      <c r="P427" s="58">
        <v>13145366.23</v>
      </c>
      <c r="Q427" t="s">
        <v>110</v>
      </c>
      <c r="R427" s="1" t="s">
        <v>158</v>
      </c>
    </row>
    <row r="428" spans="3:18" x14ac:dyDescent="0.35">
      <c r="C428" t="s">
        <v>53</v>
      </c>
      <c r="D428" t="s">
        <v>22</v>
      </c>
      <c r="E428" t="s">
        <v>45</v>
      </c>
      <c r="F428" t="s">
        <v>46</v>
      </c>
      <c r="G428" s="58">
        <v>334026</v>
      </c>
      <c r="H428" s="1" t="s">
        <v>48</v>
      </c>
      <c r="I428" s="1" t="s">
        <v>119</v>
      </c>
      <c r="J428" s="58">
        <v>2004156</v>
      </c>
      <c r="K428" s="1" t="s">
        <v>106</v>
      </c>
      <c r="L428" s="1" t="s">
        <v>120</v>
      </c>
      <c r="M428" s="1" t="s">
        <v>115</v>
      </c>
      <c r="N428" s="1">
        <v>1</v>
      </c>
      <c r="O428" s="58"/>
      <c r="P428" s="58">
        <v>160332.48000000001</v>
      </c>
      <c r="Q428" t="s">
        <v>113</v>
      </c>
      <c r="R428" s="1" t="s">
        <v>48</v>
      </c>
    </row>
    <row r="429" spans="3:18" x14ac:dyDescent="0.35">
      <c r="C429" t="s">
        <v>51</v>
      </c>
      <c r="D429" t="s">
        <v>20</v>
      </c>
      <c r="E429" t="s">
        <v>45</v>
      </c>
      <c r="F429" t="s">
        <v>46</v>
      </c>
      <c r="G429" s="58">
        <v>163771</v>
      </c>
      <c r="H429" s="1" t="s">
        <v>48</v>
      </c>
      <c r="I429" s="1" t="s">
        <v>111</v>
      </c>
      <c r="J429" s="58">
        <v>1965252</v>
      </c>
      <c r="K429" s="1" t="s">
        <v>112</v>
      </c>
      <c r="N429" s="1">
        <v>1</v>
      </c>
      <c r="O429" s="58"/>
      <c r="P429" s="58">
        <v>50769.01</v>
      </c>
      <c r="Q429" t="s">
        <v>107</v>
      </c>
      <c r="R429" s="1" t="s">
        <v>48</v>
      </c>
    </row>
    <row r="430" spans="3:18" x14ac:dyDescent="0.35">
      <c r="C430" t="s">
        <v>51</v>
      </c>
      <c r="D430" t="s">
        <v>24</v>
      </c>
      <c r="E430" t="s">
        <v>45</v>
      </c>
      <c r="F430" t="s">
        <v>46</v>
      </c>
      <c r="G430" s="58">
        <v>2366433</v>
      </c>
      <c r="H430" s="1" t="s">
        <v>48</v>
      </c>
      <c r="I430" s="1" t="s">
        <v>108</v>
      </c>
      <c r="J430" s="58">
        <v>66260124</v>
      </c>
      <c r="K430" s="1" t="s">
        <v>106</v>
      </c>
      <c r="L430" s="1" t="s">
        <v>120</v>
      </c>
      <c r="M430" s="1" t="s">
        <v>121</v>
      </c>
      <c r="N430" s="1">
        <v>1</v>
      </c>
      <c r="O430" s="58"/>
      <c r="P430" s="58">
        <v>1325202.48</v>
      </c>
      <c r="Q430" t="s">
        <v>113</v>
      </c>
      <c r="R430" s="1" t="s">
        <v>48</v>
      </c>
    </row>
    <row r="431" spans="3:18" x14ac:dyDescent="0.35">
      <c r="C431" t="s">
        <v>51</v>
      </c>
      <c r="D431" t="s">
        <v>91</v>
      </c>
      <c r="E431" t="s">
        <v>49</v>
      </c>
      <c r="F431" t="s">
        <v>46</v>
      </c>
      <c r="G431" s="58">
        <v>160586</v>
      </c>
      <c r="H431" s="1" t="s">
        <v>48</v>
      </c>
      <c r="I431" s="1" t="s">
        <v>108</v>
      </c>
      <c r="J431" s="58">
        <v>5299338</v>
      </c>
      <c r="K431" s="1" t="s">
        <v>106</v>
      </c>
      <c r="L431" s="1" t="s">
        <v>109</v>
      </c>
      <c r="M431" s="1" t="s">
        <v>122</v>
      </c>
      <c r="N431" s="1">
        <v>1</v>
      </c>
      <c r="O431" s="58"/>
      <c r="P431" s="58">
        <v>112410.2</v>
      </c>
      <c r="Q431" t="s">
        <v>118</v>
      </c>
      <c r="R431" s="1" t="s">
        <v>48</v>
      </c>
    </row>
    <row r="432" spans="3:18" x14ac:dyDescent="0.35">
      <c r="C432" t="s">
        <v>51</v>
      </c>
      <c r="D432" t="s">
        <v>22</v>
      </c>
      <c r="E432" t="s">
        <v>45</v>
      </c>
      <c r="F432" t="s">
        <v>46</v>
      </c>
      <c r="G432" s="58">
        <v>21000234</v>
      </c>
      <c r="H432" s="1" t="s">
        <v>48</v>
      </c>
      <c r="I432" s="1" t="s">
        <v>108</v>
      </c>
      <c r="J432" s="58">
        <v>735008190</v>
      </c>
      <c r="K432" s="1" t="s">
        <v>112</v>
      </c>
      <c r="N432" s="1">
        <v>1</v>
      </c>
      <c r="O432" s="58"/>
      <c r="P432" s="58">
        <v>18270203.579999998</v>
      </c>
      <c r="Q432" t="s">
        <v>127</v>
      </c>
      <c r="R432" s="1" t="s">
        <v>158</v>
      </c>
    </row>
    <row r="433" spans="3:18" x14ac:dyDescent="0.35">
      <c r="C433" t="s">
        <v>51</v>
      </c>
      <c r="D433" t="s">
        <v>22</v>
      </c>
      <c r="E433" t="s">
        <v>45</v>
      </c>
      <c r="F433" t="s">
        <v>46</v>
      </c>
      <c r="G433" s="58">
        <v>4083255</v>
      </c>
      <c r="H433" s="1" t="s">
        <v>56</v>
      </c>
      <c r="I433" s="1" t="s">
        <v>111</v>
      </c>
      <c r="J433" s="58">
        <v>73498590</v>
      </c>
      <c r="K433" s="1" t="s">
        <v>106</v>
      </c>
      <c r="L433" s="1" t="s">
        <v>120</v>
      </c>
      <c r="N433" s="1">
        <v>1</v>
      </c>
      <c r="O433" s="58"/>
      <c r="P433" s="58">
        <v>3511599.3</v>
      </c>
      <c r="Q433" t="s">
        <v>127</v>
      </c>
      <c r="R433" s="1" t="s">
        <v>158</v>
      </c>
    </row>
    <row r="434" spans="3:18" x14ac:dyDescent="0.35">
      <c r="C434" t="s">
        <v>51</v>
      </c>
      <c r="D434" t="s">
        <v>23</v>
      </c>
      <c r="E434" t="s">
        <v>52</v>
      </c>
      <c r="F434" t="s">
        <v>46</v>
      </c>
      <c r="G434" s="58">
        <v>15437</v>
      </c>
      <c r="H434" s="1" t="s">
        <v>48</v>
      </c>
      <c r="I434" s="1" t="s">
        <v>108</v>
      </c>
      <c r="J434" s="58">
        <v>493984</v>
      </c>
      <c r="K434" s="1" t="s">
        <v>106</v>
      </c>
      <c r="L434" s="1" t="s">
        <v>120</v>
      </c>
      <c r="M434" s="1" t="s">
        <v>125</v>
      </c>
      <c r="N434" s="1">
        <v>1</v>
      </c>
      <c r="O434" s="58"/>
      <c r="P434" s="58">
        <v>3550.51</v>
      </c>
      <c r="Q434" t="s">
        <v>107</v>
      </c>
      <c r="R434" s="1" t="s">
        <v>48</v>
      </c>
    </row>
    <row r="435" spans="3:18" x14ac:dyDescent="0.35">
      <c r="C435" t="s">
        <v>51</v>
      </c>
      <c r="D435" t="s">
        <v>23</v>
      </c>
      <c r="E435" t="s">
        <v>50</v>
      </c>
      <c r="F435" t="s">
        <v>46</v>
      </c>
      <c r="G435" s="58">
        <v>224075</v>
      </c>
      <c r="H435" s="1" t="s">
        <v>48</v>
      </c>
      <c r="I435" s="1" t="s">
        <v>108</v>
      </c>
      <c r="J435" s="58">
        <v>7842625</v>
      </c>
      <c r="K435" s="1" t="s">
        <v>106</v>
      </c>
      <c r="L435" s="1" t="s">
        <v>124</v>
      </c>
      <c r="M435" s="1" t="s">
        <v>123</v>
      </c>
      <c r="N435" s="1">
        <v>1</v>
      </c>
      <c r="O435" s="58"/>
      <c r="P435" s="58">
        <v>168056.25</v>
      </c>
      <c r="Q435" t="s">
        <v>118</v>
      </c>
      <c r="R435" s="1" t="s">
        <v>48</v>
      </c>
    </row>
    <row r="436" spans="3:18" x14ac:dyDescent="0.35">
      <c r="C436" t="s">
        <v>51</v>
      </c>
      <c r="D436" t="s">
        <v>21</v>
      </c>
      <c r="E436" t="s">
        <v>55</v>
      </c>
      <c r="F436" t="s">
        <v>46</v>
      </c>
      <c r="G436" s="58">
        <v>1259171</v>
      </c>
      <c r="H436" s="1" t="s">
        <v>48</v>
      </c>
      <c r="I436" s="1" t="s">
        <v>108</v>
      </c>
      <c r="J436" s="58">
        <v>37775130</v>
      </c>
      <c r="K436" s="1" t="s">
        <v>106</v>
      </c>
      <c r="L436" s="1" t="s">
        <v>120</v>
      </c>
      <c r="M436" s="1" t="s">
        <v>126</v>
      </c>
      <c r="N436" s="1">
        <v>1</v>
      </c>
      <c r="O436" s="58"/>
      <c r="P436" s="58">
        <v>919194.83</v>
      </c>
      <c r="Q436" t="s">
        <v>118</v>
      </c>
      <c r="R436" s="1" t="s">
        <v>158</v>
      </c>
    </row>
    <row r="437" spans="3:18" x14ac:dyDescent="0.35">
      <c r="C437" t="s">
        <v>53</v>
      </c>
      <c r="D437" t="s">
        <v>23</v>
      </c>
      <c r="E437" t="s">
        <v>52</v>
      </c>
      <c r="F437" t="s">
        <v>46</v>
      </c>
      <c r="G437" s="58">
        <v>160511</v>
      </c>
      <c r="H437" s="1" t="s">
        <v>48</v>
      </c>
      <c r="I437" s="1" t="s">
        <v>119</v>
      </c>
      <c r="J437" s="58">
        <v>1444599</v>
      </c>
      <c r="K437" s="1" t="s">
        <v>106</v>
      </c>
      <c r="L437" s="1" t="s">
        <v>130</v>
      </c>
      <c r="M437" s="1" t="s">
        <v>125</v>
      </c>
      <c r="N437" s="1">
        <v>1</v>
      </c>
      <c r="O437" s="58"/>
      <c r="P437" s="58">
        <v>73835.06</v>
      </c>
      <c r="Q437" t="s">
        <v>113</v>
      </c>
      <c r="R437" s="1" t="s">
        <v>48</v>
      </c>
    </row>
    <row r="438" spans="3:18" x14ac:dyDescent="0.35">
      <c r="C438" t="s">
        <v>51</v>
      </c>
      <c r="D438" t="s">
        <v>20</v>
      </c>
      <c r="E438" t="s">
        <v>45</v>
      </c>
      <c r="F438" t="s">
        <v>46</v>
      </c>
      <c r="G438" s="58">
        <v>222066</v>
      </c>
      <c r="H438" s="1" t="s">
        <v>48</v>
      </c>
      <c r="I438" s="1" t="s">
        <v>105</v>
      </c>
      <c r="J438" s="58">
        <v>888264</v>
      </c>
      <c r="K438" s="1" t="s">
        <v>106</v>
      </c>
      <c r="L438" s="1" t="s">
        <v>120</v>
      </c>
      <c r="M438" s="1" t="s">
        <v>123</v>
      </c>
      <c r="N438" s="1">
        <v>1</v>
      </c>
      <c r="O438" s="58"/>
      <c r="P438" s="58">
        <v>86605.74</v>
      </c>
      <c r="Q438" t="s">
        <v>107</v>
      </c>
      <c r="R438" s="1" t="s">
        <v>48</v>
      </c>
    </row>
    <row r="439" spans="3:18" x14ac:dyDescent="0.35">
      <c r="C439" t="s">
        <v>51</v>
      </c>
      <c r="D439" t="s">
        <v>20</v>
      </c>
      <c r="E439" t="s">
        <v>49</v>
      </c>
      <c r="F439" t="s">
        <v>46</v>
      </c>
      <c r="G439" s="58">
        <v>2563460</v>
      </c>
      <c r="H439" s="1" t="s">
        <v>47</v>
      </c>
      <c r="I439" s="1" t="s">
        <v>119</v>
      </c>
      <c r="J439" s="58">
        <v>25634600</v>
      </c>
      <c r="K439" s="1" t="s">
        <v>112</v>
      </c>
      <c r="N439" s="1">
        <v>1</v>
      </c>
      <c r="O439" s="58"/>
      <c r="P439" s="58">
        <v>2050768</v>
      </c>
      <c r="Q439" t="s">
        <v>118</v>
      </c>
      <c r="R439" s="1" t="s">
        <v>158</v>
      </c>
    </row>
    <row r="440" spans="3:18" x14ac:dyDescent="0.35">
      <c r="C440" t="s">
        <v>51</v>
      </c>
      <c r="D440" t="s">
        <v>92</v>
      </c>
      <c r="E440" t="s">
        <v>49</v>
      </c>
      <c r="F440" t="s">
        <v>46</v>
      </c>
      <c r="G440" s="58">
        <v>209213</v>
      </c>
      <c r="H440" s="1" t="s">
        <v>56</v>
      </c>
      <c r="I440" s="1" t="s">
        <v>111</v>
      </c>
      <c r="J440" s="58">
        <v>3975047</v>
      </c>
      <c r="K440" s="1" t="s">
        <v>106</v>
      </c>
      <c r="L440" s="1" t="s">
        <v>124</v>
      </c>
      <c r="N440" s="1">
        <v>1</v>
      </c>
      <c r="O440" s="58"/>
      <c r="P440" s="58">
        <v>177831.05</v>
      </c>
      <c r="Q440" t="s">
        <v>127</v>
      </c>
      <c r="R440" s="1" t="s">
        <v>158</v>
      </c>
    </row>
    <row r="441" spans="3:18" x14ac:dyDescent="0.35">
      <c r="C441" t="s">
        <v>53</v>
      </c>
      <c r="D441" t="s">
        <v>22</v>
      </c>
      <c r="E441" t="s">
        <v>55</v>
      </c>
      <c r="F441" t="s">
        <v>46</v>
      </c>
      <c r="G441" s="58">
        <v>57967</v>
      </c>
      <c r="H441" s="1" t="s">
        <v>54</v>
      </c>
      <c r="I441" s="1" t="s">
        <v>108</v>
      </c>
      <c r="J441" s="58">
        <v>1159340</v>
      </c>
      <c r="K441" s="1" t="s">
        <v>106</v>
      </c>
      <c r="L441" s="1" t="s">
        <v>114</v>
      </c>
      <c r="N441" s="1">
        <v>1</v>
      </c>
      <c r="O441" s="58"/>
      <c r="P441" s="58">
        <v>27824.16</v>
      </c>
      <c r="Q441" t="s">
        <v>113</v>
      </c>
      <c r="R441" s="1" t="s">
        <v>158</v>
      </c>
    </row>
    <row r="442" spans="3:18" x14ac:dyDescent="0.35">
      <c r="C442" t="s">
        <v>51</v>
      </c>
      <c r="D442" t="s">
        <v>21</v>
      </c>
      <c r="E442" t="s">
        <v>49</v>
      </c>
      <c r="F442" t="s">
        <v>46</v>
      </c>
      <c r="G442" s="58">
        <v>217930270</v>
      </c>
      <c r="H442" s="1" t="s">
        <v>54</v>
      </c>
      <c r="I442" s="1" t="s">
        <v>108</v>
      </c>
      <c r="J442" s="58">
        <v>5448256750</v>
      </c>
      <c r="K442" s="1" t="s">
        <v>106</v>
      </c>
      <c r="L442" s="1" t="s">
        <v>124</v>
      </c>
      <c r="N442" s="1">
        <v>1</v>
      </c>
      <c r="O442" s="58"/>
      <c r="P442" s="58">
        <v>113323740.40000001</v>
      </c>
      <c r="Q442" t="s">
        <v>113</v>
      </c>
      <c r="R442" s="1" t="s">
        <v>158</v>
      </c>
    </row>
    <row r="443" spans="3:18" x14ac:dyDescent="0.35">
      <c r="C443" t="s">
        <v>51</v>
      </c>
      <c r="D443" t="s">
        <v>22</v>
      </c>
      <c r="E443" t="s">
        <v>45</v>
      </c>
      <c r="F443" t="s">
        <v>46</v>
      </c>
      <c r="G443" s="58">
        <v>3791271</v>
      </c>
      <c r="H443" s="1" t="s">
        <v>54</v>
      </c>
      <c r="I443" s="1" t="s">
        <v>108</v>
      </c>
      <c r="J443" s="58">
        <v>117529401</v>
      </c>
      <c r="K443" s="1" t="s">
        <v>106</v>
      </c>
      <c r="L443" s="1" t="s">
        <v>120</v>
      </c>
      <c r="N443" s="1">
        <v>1</v>
      </c>
      <c r="O443" s="58"/>
      <c r="P443" s="58">
        <v>4549525.2</v>
      </c>
      <c r="Q443" t="s">
        <v>110</v>
      </c>
      <c r="R443" s="1" t="s">
        <v>158</v>
      </c>
    </row>
    <row r="444" spans="3:18" x14ac:dyDescent="0.35">
      <c r="C444" t="s">
        <v>51</v>
      </c>
      <c r="D444" t="s">
        <v>19</v>
      </c>
      <c r="E444" t="s">
        <v>49</v>
      </c>
      <c r="F444" t="s">
        <v>46</v>
      </c>
      <c r="G444" s="58">
        <v>1144824</v>
      </c>
      <c r="H444" s="1" t="s">
        <v>56</v>
      </c>
      <c r="I444" s="1" t="s">
        <v>108</v>
      </c>
      <c r="J444" s="58">
        <v>35489544</v>
      </c>
      <c r="K444" s="1" t="s">
        <v>112</v>
      </c>
      <c r="N444" s="1">
        <v>1</v>
      </c>
      <c r="O444" s="58"/>
      <c r="P444" s="58">
        <v>778480.32</v>
      </c>
      <c r="Q444" t="s">
        <v>118</v>
      </c>
      <c r="R444" s="1" t="s">
        <v>158</v>
      </c>
    </row>
    <row r="445" spans="3:18" x14ac:dyDescent="0.35">
      <c r="C445" t="s">
        <v>53</v>
      </c>
      <c r="D445" t="s">
        <v>21</v>
      </c>
      <c r="E445" t="s">
        <v>45</v>
      </c>
      <c r="F445" t="s">
        <v>46</v>
      </c>
      <c r="G445" s="58">
        <v>1967256</v>
      </c>
      <c r="H445" s="1" t="s">
        <v>56</v>
      </c>
      <c r="I445" s="1" t="s">
        <v>119</v>
      </c>
      <c r="J445" s="58">
        <v>15738048</v>
      </c>
      <c r="K445" s="1" t="s">
        <v>112</v>
      </c>
      <c r="N445" s="1">
        <v>1</v>
      </c>
      <c r="O445" s="58"/>
      <c r="P445" s="58">
        <v>511486.56</v>
      </c>
      <c r="Q445" t="s">
        <v>107</v>
      </c>
      <c r="R445" s="1" t="s">
        <v>158</v>
      </c>
    </row>
    <row r="446" spans="3:18" x14ac:dyDescent="0.35">
      <c r="C446" t="s">
        <v>51</v>
      </c>
      <c r="D446" t="s">
        <v>21</v>
      </c>
      <c r="E446" t="s">
        <v>49</v>
      </c>
      <c r="F446" t="s">
        <v>46</v>
      </c>
      <c r="G446" s="58">
        <v>1178327</v>
      </c>
      <c r="H446" s="1" t="s">
        <v>48</v>
      </c>
      <c r="I446" s="1" t="s">
        <v>111</v>
      </c>
      <c r="J446" s="58">
        <v>18853232</v>
      </c>
      <c r="K446" s="1" t="s">
        <v>106</v>
      </c>
      <c r="L446" s="1" t="s">
        <v>120</v>
      </c>
      <c r="M446" s="1" t="s">
        <v>115</v>
      </c>
      <c r="N446" s="1">
        <v>1</v>
      </c>
      <c r="O446" s="58"/>
      <c r="P446" s="58">
        <v>565596.96</v>
      </c>
      <c r="Q446" t="s">
        <v>113</v>
      </c>
      <c r="R446" s="1" t="s">
        <v>48</v>
      </c>
    </row>
    <row r="447" spans="3:18" x14ac:dyDescent="0.35">
      <c r="C447" t="s">
        <v>51</v>
      </c>
      <c r="D447" t="s">
        <v>22</v>
      </c>
      <c r="E447" t="s">
        <v>55</v>
      </c>
      <c r="F447" t="s">
        <v>46</v>
      </c>
      <c r="G447" s="58">
        <v>18673</v>
      </c>
      <c r="H447" s="1" t="s">
        <v>48</v>
      </c>
      <c r="I447" s="1" t="s">
        <v>105</v>
      </c>
      <c r="J447" s="58">
        <v>37346</v>
      </c>
      <c r="K447" s="1" t="s">
        <v>106</v>
      </c>
      <c r="L447" s="1" t="s">
        <v>114</v>
      </c>
      <c r="M447" s="1" t="s">
        <v>121</v>
      </c>
      <c r="N447" s="1">
        <v>1</v>
      </c>
      <c r="O447" s="58"/>
      <c r="P447" s="58">
        <v>3547.87</v>
      </c>
      <c r="Q447" t="s">
        <v>107</v>
      </c>
      <c r="R447" s="1" t="s">
        <v>158</v>
      </c>
    </row>
    <row r="448" spans="3:18" x14ac:dyDescent="0.35">
      <c r="C448" t="s">
        <v>51</v>
      </c>
      <c r="D448" t="s">
        <v>23</v>
      </c>
      <c r="E448" t="s">
        <v>52</v>
      </c>
      <c r="F448" t="s">
        <v>64</v>
      </c>
      <c r="G448" s="58">
        <v>313553</v>
      </c>
      <c r="H448" s="1" t="s">
        <v>48</v>
      </c>
      <c r="I448" s="1" t="s">
        <v>108</v>
      </c>
      <c r="J448" s="58">
        <v>10974355</v>
      </c>
      <c r="K448" s="1" t="s">
        <v>106</v>
      </c>
      <c r="L448" s="1" t="s">
        <v>130</v>
      </c>
      <c r="M448" s="1" t="s">
        <v>125</v>
      </c>
      <c r="N448" s="1">
        <v>1</v>
      </c>
      <c r="O448" s="58"/>
      <c r="P448" s="58">
        <v>178725.21</v>
      </c>
      <c r="Q448" t="s">
        <v>113</v>
      </c>
      <c r="R448" s="1" t="s">
        <v>48</v>
      </c>
    </row>
    <row r="449" spans="3:18" x14ac:dyDescent="0.35">
      <c r="C449" t="s">
        <v>53</v>
      </c>
      <c r="D449" t="s">
        <v>20</v>
      </c>
      <c r="E449" t="s">
        <v>45</v>
      </c>
      <c r="F449" t="s">
        <v>46</v>
      </c>
      <c r="G449" s="58">
        <v>2889342</v>
      </c>
      <c r="H449" s="1" t="s">
        <v>59</v>
      </c>
      <c r="I449" s="1" t="s">
        <v>119</v>
      </c>
      <c r="J449" s="58">
        <v>20225394</v>
      </c>
      <c r="K449" s="1" t="s">
        <v>106</v>
      </c>
      <c r="L449" s="1" t="s">
        <v>120</v>
      </c>
      <c r="N449" s="1">
        <v>1</v>
      </c>
      <c r="O449" s="58"/>
      <c r="P449" s="58">
        <v>1820285.46</v>
      </c>
      <c r="Q449" t="s">
        <v>118</v>
      </c>
      <c r="R449" s="1" t="s">
        <v>158</v>
      </c>
    </row>
    <row r="450" spans="3:18" x14ac:dyDescent="0.35">
      <c r="C450" t="s">
        <v>51</v>
      </c>
      <c r="D450" t="s">
        <v>19</v>
      </c>
      <c r="E450" t="s">
        <v>49</v>
      </c>
      <c r="F450" t="s">
        <v>46</v>
      </c>
      <c r="G450" s="58">
        <v>11433199</v>
      </c>
      <c r="H450" s="1" t="s">
        <v>47</v>
      </c>
      <c r="I450" s="1" t="s">
        <v>108</v>
      </c>
      <c r="J450" s="58">
        <v>365862368</v>
      </c>
      <c r="K450" s="1" t="s">
        <v>106</v>
      </c>
      <c r="L450" s="1" t="s">
        <v>124</v>
      </c>
      <c r="N450" s="1">
        <v>1</v>
      </c>
      <c r="O450" s="58"/>
      <c r="P450" s="58">
        <v>14748826.710000001</v>
      </c>
      <c r="Q450" t="s">
        <v>110</v>
      </c>
      <c r="R450" s="1" t="s">
        <v>158</v>
      </c>
    </row>
    <row r="451" spans="3:18" x14ac:dyDescent="0.35">
      <c r="C451" t="s">
        <v>51</v>
      </c>
      <c r="D451" t="s">
        <v>23</v>
      </c>
      <c r="E451" t="s">
        <v>50</v>
      </c>
      <c r="F451" t="s">
        <v>46</v>
      </c>
      <c r="G451" s="58">
        <v>401486</v>
      </c>
      <c r="H451" s="1" t="s">
        <v>48</v>
      </c>
      <c r="I451" s="1" t="s">
        <v>108</v>
      </c>
      <c r="J451" s="58">
        <v>10037150</v>
      </c>
      <c r="K451" s="1" t="s">
        <v>106</v>
      </c>
      <c r="L451" s="1" t="s">
        <v>114</v>
      </c>
      <c r="M451" s="1" t="s">
        <v>125</v>
      </c>
      <c r="N451" s="1">
        <v>1</v>
      </c>
      <c r="O451" s="58"/>
      <c r="P451" s="58">
        <v>228847.02</v>
      </c>
      <c r="Q451" t="s">
        <v>113</v>
      </c>
      <c r="R451" s="1" t="s">
        <v>158</v>
      </c>
    </row>
    <row r="452" spans="3:18" x14ac:dyDescent="0.35">
      <c r="C452" t="s">
        <v>51</v>
      </c>
      <c r="D452" t="s">
        <v>92</v>
      </c>
      <c r="E452" t="s">
        <v>49</v>
      </c>
      <c r="F452" t="s">
        <v>46</v>
      </c>
      <c r="G452" s="58">
        <v>562287</v>
      </c>
      <c r="H452" s="1" t="s">
        <v>54</v>
      </c>
      <c r="I452" s="1" t="s">
        <v>108</v>
      </c>
      <c r="J452" s="58">
        <v>17993184</v>
      </c>
      <c r="K452" s="1" t="s">
        <v>112</v>
      </c>
      <c r="N452" s="1">
        <v>1</v>
      </c>
      <c r="O452" s="58"/>
      <c r="P452" s="58">
        <v>281143.5</v>
      </c>
      <c r="Q452" t="s">
        <v>113</v>
      </c>
      <c r="R452" s="1" t="s">
        <v>158</v>
      </c>
    </row>
    <row r="453" spans="3:18" x14ac:dyDescent="0.35">
      <c r="C453" t="s">
        <v>51</v>
      </c>
      <c r="D453" t="s">
        <v>19</v>
      </c>
      <c r="E453" t="s">
        <v>49</v>
      </c>
      <c r="F453" t="s">
        <v>46</v>
      </c>
      <c r="G453" s="58">
        <v>455266</v>
      </c>
      <c r="H453" s="1" t="s">
        <v>48</v>
      </c>
      <c r="I453" s="1" t="s">
        <v>108</v>
      </c>
      <c r="J453" s="58">
        <v>13202714</v>
      </c>
      <c r="K453" s="1" t="s">
        <v>106</v>
      </c>
      <c r="L453" s="1" t="s">
        <v>124</v>
      </c>
      <c r="M453" s="1" t="s">
        <v>126</v>
      </c>
      <c r="N453" s="1">
        <v>1</v>
      </c>
      <c r="O453" s="58"/>
      <c r="P453" s="58">
        <v>305028.21999999997</v>
      </c>
      <c r="Q453" t="s">
        <v>118</v>
      </c>
      <c r="R453" s="1" t="s">
        <v>48</v>
      </c>
    </row>
    <row r="454" spans="3:18" x14ac:dyDescent="0.35">
      <c r="C454" t="s">
        <v>51</v>
      </c>
      <c r="D454" t="s">
        <v>91</v>
      </c>
      <c r="E454" t="s">
        <v>49</v>
      </c>
      <c r="F454" t="s">
        <v>46</v>
      </c>
      <c r="G454" s="58">
        <v>423977</v>
      </c>
      <c r="H454" s="1" t="s">
        <v>48</v>
      </c>
      <c r="I454" s="1" t="s">
        <v>108</v>
      </c>
      <c r="J454" s="58">
        <v>14839195</v>
      </c>
      <c r="K454" s="1" t="s">
        <v>106</v>
      </c>
      <c r="L454" s="1" t="s">
        <v>114</v>
      </c>
      <c r="M454" s="1" t="s">
        <v>125</v>
      </c>
      <c r="N454" s="1">
        <v>1</v>
      </c>
      <c r="O454" s="58"/>
      <c r="P454" s="58">
        <v>351900.91</v>
      </c>
      <c r="Q454" t="s">
        <v>127</v>
      </c>
      <c r="R454" s="1" t="s">
        <v>158</v>
      </c>
    </row>
    <row r="455" spans="3:18" x14ac:dyDescent="0.35">
      <c r="C455" t="s">
        <v>53</v>
      </c>
      <c r="D455" t="s">
        <v>21</v>
      </c>
      <c r="E455" t="s">
        <v>45</v>
      </c>
      <c r="F455" t="s">
        <v>46</v>
      </c>
      <c r="G455" s="58">
        <v>0</v>
      </c>
      <c r="H455" s="1" t="s">
        <v>54</v>
      </c>
      <c r="I455" s="1" t="s">
        <v>128</v>
      </c>
      <c r="J455" s="58"/>
      <c r="K455" s="1" t="s">
        <v>106</v>
      </c>
      <c r="L455" s="1" t="s">
        <v>116</v>
      </c>
      <c r="N455" s="1">
        <v>0</v>
      </c>
      <c r="O455" s="58"/>
      <c r="P455" s="58">
        <v>0</v>
      </c>
      <c r="Q455" t="s">
        <v>107</v>
      </c>
      <c r="R455" s="1" t="s">
        <v>158</v>
      </c>
    </row>
    <row r="456" spans="3:18" x14ac:dyDescent="0.35">
      <c r="C456" t="s">
        <v>51</v>
      </c>
      <c r="D456" t="s">
        <v>24</v>
      </c>
      <c r="E456" t="s">
        <v>50</v>
      </c>
      <c r="F456" t="s">
        <v>46</v>
      </c>
      <c r="G456" s="58">
        <v>1733027</v>
      </c>
      <c r="H456" s="1" t="s">
        <v>47</v>
      </c>
      <c r="I456" s="1" t="s">
        <v>108</v>
      </c>
      <c r="J456" s="58">
        <v>53723837</v>
      </c>
      <c r="K456" s="1" t="s">
        <v>112</v>
      </c>
      <c r="N456" s="1">
        <v>1</v>
      </c>
      <c r="O456" s="58"/>
      <c r="P456" s="58">
        <v>1455742.68</v>
      </c>
      <c r="Q456" t="s">
        <v>127</v>
      </c>
      <c r="R456" s="1" t="s">
        <v>158</v>
      </c>
    </row>
    <row r="457" spans="3:18" x14ac:dyDescent="0.35">
      <c r="C457" t="s">
        <v>51</v>
      </c>
      <c r="D457" t="s">
        <v>19</v>
      </c>
      <c r="E457" t="s">
        <v>49</v>
      </c>
      <c r="F457" t="s">
        <v>46</v>
      </c>
      <c r="G457" s="58">
        <v>87090</v>
      </c>
      <c r="H457" s="1" t="s">
        <v>58</v>
      </c>
      <c r="I457" s="1" t="s">
        <v>108</v>
      </c>
      <c r="J457" s="58">
        <v>1741800</v>
      </c>
      <c r="K457" s="1" t="s">
        <v>106</v>
      </c>
      <c r="L457" s="1" t="s">
        <v>124</v>
      </c>
      <c r="N457" s="1">
        <v>1</v>
      </c>
      <c r="O457" s="58"/>
      <c r="P457" s="58">
        <v>18288.900000000001</v>
      </c>
      <c r="Q457" t="s">
        <v>107</v>
      </c>
      <c r="R457" s="1" t="s">
        <v>158</v>
      </c>
    </row>
    <row r="458" spans="3:18" x14ac:dyDescent="0.35">
      <c r="C458" t="s">
        <v>51</v>
      </c>
      <c r="D458" t="s">
        <v>22</v>
      </c>
      <c r="E458" t="s">
        <v>45</v>
      </c>
      <c r="F458" t="s">
        <v>46</v>
      </c>
      <c r="G458" s="58">
        <v>72973</v>
      </c>
      <c r="H458" s="1" t="s">
        <v>59</v>
      </c>
      <c r="I458" s="1" t="s">
        <v>108</v>
      </c>
      <c r="J458" s="58">
        <v>2700001</v>
      </c>
      <c r="K458" s="1" t="s">
        <v>106</v>
      </c>
      <c r="L458" s="1" t="s">
        <v>114</v>
      </c>
      <c r="N458" s="1">
        <v>1</v>
      </c>
      <c r="O458" s="58"/>
      <c r="P458" s="58">
        <v>56918.94</v>
      </c>
      <c r="Q458" t="s">
        <v>118</v>
      </c>
      <c r="R458" s="1" t="s">
        <v>158</v>
      </c>
    </row>
    <row r="459" spans="3:18" x14ac:dyDescent="0.35">
      <c r="C459" t="s">
        <v>51</v>
      </c>
      <c r="D459" t="s">
        <v>23</v>
      </c>
      <c r="E459" t="s">
        <v>45</v>
      </c>
      <c r="F459" t="s">
        <v>46</v>
      </c>
      <c r="G459" s="58">
        <v>1399724</v>
      </c>
      <c r="H459" s="1" t="s">
        <v>56</v>
      </c>
      <c r="I459" s="1" t="s">
        <v>108</v>
      </c>
      <c r="J459" s="58">
        <v>33593376</v>
      </c>
      <c r="K459" s="1" t="s">
        <v>112</v>
      </c>
      <c r="N459" s="1">
        <v>1</v>
      </c>
      <c r="O459" s="58"/>
      <c r="P459" s="58">
        <v>391922.72</v>
      </c>
      <c r="Q459" t="s">
        <v>107</v>
      </c>
      <c r="R459" s="1" t="s">
        <v>158</v>
      </c>
    </row>
    <row r="460" spans="3:18" x14ac:dyDescent="0.35">
      <c r="C460" t="s">
        <v>51</v>
      </c>
      <c r="D460" t="s">
        <v>24</v>
      </c>
      <c r="E460" t="s">
        <v>55</v>
      </c>
      <c r="F460" t="s">
        <v>46</v>
      </c>
      <c r="G460" s="58">
        <v>539569</v>
      </c>
      <c r="H460" s="1" t="s">
        <v>48</v>
      </c>
      <c r="I460" s="1" t="s">
        <v>108</v>
      </c>
      <c r="J460" s="58">
        <v>19424484</v>
      </c>
      <c r="K460" s="1" t="s">
        <v>106</v>
      </c>
      <c r="L460" s="1" t="s">
        <v>124</v>
      </c>
      <c r="M460" s="1" t="s">
        <v>126</v>
      </c>
      <c r="N460" s="1">
        <v>1</v>
      </c>
      <c r="O460" s="58"/>
      <c r="P460" s="58">
        <v>372302.61</v>
      </c>
      <c r="Q460" t="s">
        <v>118</v>
      </c>
      <c r="R460" s="1" t="s">
        <v>158</v>
      </c>
    </row>
    <row r="461" spans="3:18" x14ac:dyDescent="0.35">
      <c r="C461" t="s">
        <v>51</v>
      </c>
      <c r="D461" t="s">
        <v>20</v>
      </c>
      <c r="E461" t="s">
        <v>49</v>
      </c>
      <c r="F461" t="s">
        <v>46</v>
      </c>
      <c r="G461" s="58">
        <v>536469</v>
      </c>
      <c r="H461" s="1" t="s">
        <v>59</v>
      </c>
      <c r="I461" s="1" t="s">
        <v>108</v>
      </c>
      <c r="J461" s="58">
        <v>15021132</v>
      </c>
      <c r="K461" s="1" t="s">
        <v>106</v>
      </c>
      <c r="L461" s="1" t="s">
        <v>120</v>
      </c>
      <c r="N461" s="1">
        <v>1</v>
      </c>
      <c r="O461" s="58"/>
      <c r="P461" s="58">
        <v>171670.08</v>
      </c>
      <c r="Q461" t="s">
        <v>107</v>
      </c>
      <c r="R461" s="1" t="s">
        <v>158</v>
      </c>
    </row>
    <row r="462" spans="3:18" x14ac:dyDescent="0.35">
      <c r="C462" t="s">
        <v>51</v>
      </c>
      <c r="D462" t="s">
        <v>21</v>
      </c>
      <c r="E462" t="s">
        <v>62</v>
      </c>
      <c r="F462" t="s">
        <v>46</v>
      </c>
      <c r="G462" s="58">
        <v>502433</v>
      </c>
      <c r="H462" s="1" t="s">
        <v>48</v>
      </c>
      <c r="I462" s="1" t="s">
        <v>108</v>
      </c>
      <c r="J462" s="58">
        <v>18590021</v>
      </c>
      <c r="K462" s="1" t="s">
        <v>112</v>
      </c>
      <c r="N462" s="1">
        <v>1</v>
      </c>
      <c r="O462" s="58"/>
      <c r="P462" s="58">
        <v>346678.77</v>
      </c>
      <c r="Q462" t="s">
        <v>118</v>
      </c>
      <c r="R462" s="1" t="s">
        <v>48</v>
      </c>
    </row>
    <row r="463" spans="3:18" x14ac:dyDescent="0.35">
      <c r="C463" t="s">
        <v>51</v>
      </c>
      <c r="D463" t="s">
        <v>23</v>
      </c>
      <c r="E463" t="s">
        <v>45</v>
      </c>
      <c r="F463" t="s">
        <v>46</v>
      </c>
      <c r="G463" s="58">
        <v>476242</v>
      </c>
      <c r="H463" s="1" t="s">
        <v>47</v>
      </c>
      <c r="I463" s="1" t="s">
        <v>111</v>
      </c>
      <c r="J463" s="58">
        <v>8096114</v>
      </c>
      <c r="K463" s="1" t="s">
        <v>106</v>
      </c>
      <c r="L463" s="1" t="s">
        <v>120</v>
      </c>
      <c r="N463" s="1">
        <v>1</v>
      </c>
      <c r="O463" s="58"/>
      <c r="P463" s="58">
        <v>542915.88</v>
      </c>
      <c r="Q463" t="s">
        <v>110</v>
      </c>
      <c r="R463" s="1" t="s">
        <v>158</v>
      </c>
    </row>
    <row r="464" spans="3:18" x14ac:dyDescent="0.35">
      <c r="C464" t="s">
        <v>51</v>
      </c>
      <c r="D464" t="s">
        <v>22</v>
      </c>
      <c r="E464" t="s">
        <v>45</v>
      </c>
      <c r="F464" t="s">
        <v>46</v>
      </c>
      <c r="G464" s="58">
        <v>22323751</v>
      </c>
      <c r="H464" s="1" t="s">
        <v>47</v>
      </c>
      <c r="I464" s="1" t="s">
        <v>119</v>
      </c>
      <c r="J464" s="58">
        <v>178590008</v>
      </c>
      <c r="K464" s="1" t="s">
        <v>106</v>
      </c>
      <c r="L464" s="1" t="s">
        <v>120</v>
      </c>
      <c r="N464" s="1">
        <v>1</v>
      </c>
      <c r="O464" s="58"/>
      <c r="P464" s="58">
        <v>10492162.970000001</v>
      </c>
      <c r="Q464" t="s">
        <v>113</v>
      </c>
      <c r="R464" s="1" t="s">
        <v>158</v>
      </c>
    </row>
    <row r="465" spans="3:18" x14ac:dyDescent="0.35">
      <c r="C465" t="s">
        <v>51</v>
      </c>
      <c r="D465" t="s">
        <v>21</v>
      </c>
      <c r="E465" t="s">
        <v>49</v>
      </c>
      <c r="F465" t="s">
        <v>46</v>
      </c>
      <c r="G465" s="58">
        <v>61632483</v>
      </c>
      <c r="H465" s="1" t="s">
        <v>48</v>
      </c>
      <c r="I465" s="1" t="s">
        <v>108</v>
      </c>
      <c r="J465" s="58">
        <v>2095504422</v>
      </c>
      <c r="K465" s="1" t="s">
        <v>112</v>
      </c>
      <c r="N465" s="1">
        <v>1</v>
      </c>
      <c r="O465" s="58"/>
      <c r="P465" s="58">
        <v>43759062.93</v>
      </c>
      <c r="Q465" t="s">
        <v>118</v>
      </c>
      <c r="R465" s="1" t="s">
        <v>48</v>
      </c>
    </row>
    <row r="466" spans="3:18" x14ac:dyDescent="0.35">
      <c r="C466" t="s">
        <v>51</v>
      </c>
      <c r="D466" t="s">
        <v>22</v>
      </c>
      <c r="E466" t="s">
        <v>45</v>
      </c>
      <c r="F466" t="s">
        <v>46</v>
      </c>
      <c r="G466" s="58">
        <v>180754947</v>
      </c>
      <c r="H466" s="1" t="s">
        <v>59</v>
      </c>
      <c r="I466" s="1" t="s">
        <v>108</v>
      </c>
      <c r="J466" s="58">
        <v>4699628622</v>
      </c>
      <c r="K466" s="1" t="s">
        <v>106</v>
      </c>
      <c r="L466" s="1" t="s">
        <v>120</v>
      </c>
      <c r="N466" s="1">
        <v>1</v>
      </c>
      <c r="O466" s="58"/>
      <c r="P466" s="58">
        <v>93992572.439999998</v>
      </c>
      <c r="Q466" t="s">
        <v>113</v>
      </c>
      <c r="R466" s="1" t="s">
        <v>158</v>
      </c>
    </row>
    <row r="467" spans="3:18" x14ac:dyDescent="0.35">
      <c r="C467" t="s">
        <v>51</v>
      </c>
      <c r="D467" t="s">
        <v>22</v>
      </c>
      <c r="E467" t="s">
        <v>45</v>
      </c>
      <c r="F467" t="s">
        <v>46</v>
      </c>
      <c r="G467" s="58">
        <v>9013528</v>
      </c>
      <c r="H467" s="1" t="s">
        <v>48</v>
      </c>
      <c r="I467" s="1" t="s">
        <v>108</v>
      </c>
      <c r="J467" s="58">
        <v>270405840</v>
      </c>
      <c r="K467" s="1" t="s">
        <v>112</v>
      </c>
      <c r="N467" s="1">
        <v>1</v>
      </c>
      <c r="O467" s="58"/>
      <c r="P467" s="58">
        <v>2523787.84</v>
      </c>
      <c r="Q467" t="s">
        <v>107</v>
      </c>
      <c r="R467" s="1" t="s">
        <v>158</v>
      </c>
    </row>
    <row r="468" spans="3:18" x14ac:dyDescent="0.35">
      <c r="C468" t="s">
        <v>51</v>
      </c>
      <c r="D468" t="s">
        <v>92</v>
      </c>
      <c r="E468" t="s">
        <v>49</v>
      </c>
      <c r="F468" t="s">
        <v>46</v>
      </c>
      <c r="G468" s="58">
        <v>1925726</v>
      </c>
      <c r="H468" s="1" t="s">
        <v>47</v>
      </c>
      <c r="I468" s="1" t="s">
        <v>108</v>
      </c>
      <c r="J468" s="58">
        <v>55846054</v>
      </c>
      <c r="K468" s="1" t="s">
        <v>106</v>
      </c>
      <c r="L468" s="1" t="s">
        <v>124</v>
      </c>
      <c r="N468" s="1">
        <v>1</v>
      </c>
      <c r="O468" s="58"/>
      <c r="P468" s="58">
        <v>2387900.2400000002</v>
      </c>
      <c r="Q468" t="s">
        <v>110</v>
      </c>
      <c r="R468" s="1" t="s">
        <v>158</v>
      </c>
    </row>
    <row r="469" spans="3:18" x14ac:dyDescent="0.35">
      <c r="C469" t="s">
        <v>51</v>
      </c>
      <c r="D469" t="s">
        <v>22</v>
      </c>
      <c r="E469" t="s">
        <v>55</v>
      </c>
      <c r="F469" t="s">
        <v>46</v>
      </c>
      <c r="G469" s="58">
        <v>80117</v>
      </c>
      <c r="H469" s="1" t="s">
        <v>48</v>
      </c>
      <c r="I469" s="1" t="s">
        <v>111</v>
      </c>
      <c r="J469" s="58">
        <v>1201755</v>
      </c>
      <c r="K469" s="1" t="s">
        <v>106</v>
      </c>
      <c r="L469" s="1" t="s">
        <v>120</v>
      </c>
      <c r="M469" s="1" t="s">
        <v>115</v>
      </c>
      <c r="N469" s="1">
        <v>1</v>
      </c>
      <c r="O469" s="58"/>
      <c r="P469" s="58">
        <v>42462.01</v>
      </c>
      <c r="Q469" t="s">
        <v>113</v>
      </c>
      <c r="R469" s="1" t="s">
        <v>158</v>
      </c>
    </row>
    <row r="470" spans="3:18" x14ac:dyDescent="0.35">
      <c r="C470" t="s">
        <v>51</v>
      </c>
      <c r="D470" t="s">
        <v>22</v>
      </c>
      <c r="E470" t="s">
        <v>45</v>
      </c>
      <c r="F470" t="s">
        <v>46</v>
      </c>
      <c r="G470" s="58">
        <v>84490192</v>
      </c>
      <c r="H470" s="1" t="s">
        <v>56</v>
      </c>
      <c r="I470" s="1" t="s">
        <v>111</v>
      </c>
      <c r="J470" s="58">
        <v>1267352880</v>
      </c>
      <c r="K470" s="1" t="s">
        <v>106</v>
      </c>
      <c r="L470" s="1" t="s">
        <v>120</v>
      </c>
      <c r="N470" s="1">
        <v>1</v>
      </c>
      <c r="O470" s="58"/>
      <c r="P470" s="58">
        <v>24502155.68</v>
      </c>
      <c r="Q470" t="s">
        <v>107</v>
      </c>
      <c r="R470" s="1" t="s">
        <v>158</v>
      </c>
    </row>
    <row r="471" spans="3:18" x14ac:dyDescent="0.35">
      <c r="C471" t="s">
        <v>51</v>
      </c>
      <c r="D471" t="s">
        <v>21</v>
      </c>
      <c r="E471" t="s">
        <v>45</v>
      </c>
      <c r="F471" t="s">
        <v>46</v>
      </c>
      <c r="G471" s="58">
        <v>581405</v>
      </c>
      <c r="H471" s="1" t="s">
        <v>56</v>
      </c>
      <c r="I471" s="1" t="s">
        <v>108</v>
      </c>
      <c r="J471" s="58">
        <v>16860745</v>
      </c>
      <c r="K471" s="1" t="s">
        <v>112</v>
      </c>
      <c r="N471" s="1">
        <v>1</v>
      </c>
      <c r="O471" s="58"/>
      <c r="P471" s="58">
        <v>441867.8</v>
      </c>
      <c r="Q471" t="s">
        <v>118</v>
      </c>
      <c r="R471" s="1" t="s">
        <v>158</v>
      </c>
    </row>
    <row r="472" spans="3:18" x14ac:dyDescent="0.35">
      <c r="C472" t="s">
        <v>51</v>
      </c>
      <c r="D472" t="s">
        <v>22</v>
      </c>
      <c r="E472" t="s">
        <v>45</v>
      </c>
      <c r="F472" t="s">
        <v>46</v>
      </c>
      <c r="G472" s="58">
        <v>79461604</v>
      </c>
      <c r="H472" s="1" t="s">
        <v>48</v>
      </c>
      <c r="I472" s="1" t="s">
        <v>108</v>
      </c>
      <c r="J472" s="58">
        <v>2701694536</v>
      </c>
      <c r="K472" s="1" t="s">
        <v>112</v>
      </c>
      <c r="N472" s="1">
        <v>1</v>
      </c>
      <c r="O472" s="58"/>
      <c r="P472" s="58">
        <v>56417738.840000004</v>
      </c>
      <c r="Q472" t="s">
        <v>118</v>
      </c>
      <c r="R472" s="1" t="s">
        <v>48</v>
      </c>
    </row>
    <row r="473" spans="3:18" x14ac:dyDescent="0.35">
      <c r="C473" t="s">
        <v>51</v>
      </c>
      <c r="D473" t="s">
        <v>21</v>
      </c>
      <c r="E473" t="s">
        <v>50</v>
      </c>
      <c r="F473" t="s">
        <v>64</v>
      </c>
      <c r="G473" s="58">
        <v>380669</v>
      </c>
      <c r="H473" s="1" t="s">
        <v>48</v>
      </c>
      <c r="I473" s="1" t="s">
        <v>108</v>
      </c>
      <c r="J473" s="58">
        <v>11420070</v>
      </c>
      <c r="K473" s="1" t="s">
        <v>112</v>
      </c>
      <c r="N473" s="1">
        <v>1</v>
      </c>
      <c r="O473" s="58"/>
      <c r="P473" s="58">
        <v>319761.96000000002</v>
      </c>
      <c r="Q473" t="s">
        <v>127</v>
      </c>
      <c r="R473" s="1" t="s">
        <v>48</v>
      </c>
    </row>
    <row r="474" spans="3:18" x14ac:dyDescent="0.35">
      <c r="C474" t="s">
        <v>51</v>
      </c>
      <c r="D474" t="s">
        <v>22</v>
      </c>
      <c r="E474" t="s">
        <v>45</v>
      </c>
      <c r="F474" t="s">
        <v>46</v>
      </c>
      <c r="G474" s="58">
        <v>0</v>
      </c>
      <c r="H474" s="1" t="s">
        <v>58</v>
      </c>
      <c r="I474" s="1" t="s">
        <v>119</v>
      </c>
      <c r="J474" s="58">
        <v>0</v>
      </c>
      <c r="K474" s="1" t="s">
        <v>106</v>
      </c>
      <c r="L474" s="1" t="s">
        <v>120</v>
      </c>
      <c r="N474" s="1">
        <v>1</v>
      </c>
      <c r="O474" s="58"/>
      <c r="P474" s="58">
        <v>0</v>
      </c>
      <c r="Q474" t="s">
        <v>110</v>
      </c>
      <c r="R474" s="1" t="s">
        <v>158</v>
      </c>
    </row>
    <row r="475" spans="3:18" x14ac:dyDescent="0.35">
      <c r="C475" t="s">
        <v>51</v>
      </c>
      <c r="D475" t="s">
        <v>19</v>
      </c>
      <c r="E475" t="s">
        <v>49</v>
      </c>
      <c r="F475" t="s">
        <v>46</v>
      </c>
      <c r="G475" s="58">
        <v>117653</v>
      </c>
      <c r="H475" s="1" t="s">
        <v>48</v>
      </c>
      <c r="I475" s="1" t="s">
        <v>108</v>
      </c>
      <c r="J475" s="58">
        <v>2823672</v>
      </c>
      <c r="K475" s="1" t="s">
        <v>106</v>
      </c>
      <c r="L475" s="1" t="s">
        <v>114</v>
      </c>
      <c r="M475" s="1" t="s">
        <v>122</v>
      </c>
      <c r="N475" s="1">
        <v>1</v>
      </c>
      <c r="O475" s="58"/>
      <c r="P475" s="58">
        <v>48237.73</v>
      </c>
      <c r="Q475" t="s">
        <v>113</v>
      </c>
      <c r="R475" s="1" t="s">
        <v>158</v>
      </c>
    </row>
    <row r="476" spans="3:18" x14ac:dyDescent="0.35">
      <c r="C476" t="s">
        <v>53</v>
      </c>
      <c r="D476" t="s">
        <v>22</v>
      </c>
      <c r="E476" t="s">
        <v>45</v>
      </c>
      <c r="F476" t="s">
        <v>46</v>
      </c>
      <c r="G476" s="58">
        <v>111572</v>
      </c>
      <c r="H476" s="1" t="s">
        <v>54</v>
      </c>
      <c r="I476" s="1" t="s">
        <v>111</v>
      </c>
      <c r="J476" s="58">
        <v>1673580</v>
      </c>
      <c r="K476" s="1" t="s">
        <v>112</v>
      </c>
      <c r="N476" s="1">
        <v>1</v>
      </c>
      <c r="O476" s="58"/>
      <c r="P476" s="58">
        <v>59133.16</v>
      </c>
      <c r="Q476" t="s">
        <v>113</v>
      </c>
      <c r="R476" s="1" t="s">
        <v>158</v>
      </c>
    </row>
    <row r="477" spans="3:18" x14ac:dyDescent="0.35">
      <c r="C477" t="s">
        <v>51</v>
      </c>
      <c r="D477" t="s">
        <v>23</v>
      </c>
      <c r="E477" t="s">
        <v>55</v>
      </c>
      <c r="F477" t="s">
        <v>46</v>
      </c>
      <c r="G477" s="58">
        <v>56697506</v>
      </c>
      <c r="H477" s="1" t="s">
        <v>48</v>
      </c>
      <c r="I477" s="1" t="s">
        <v>108</v>
      </c>
      <c r="J477" s="58">
        <v>1814320192</v>
      </c>
      <c r="K477" s="1" t="s">
        <v>106</v>
      </c>
      <c r="L477" s="1" t="s">
        <v>114</v>
      </c>
      <c r="M477" s="1" t="s">
        <v>125</v>
      </c>
      <c r="N477" s="1">
        <v>1</v>
      </c>
      <c r="O477" s="58"/>
      <c r="P477" s="58">
        <v>40255229.259999998</v>
      </c>
      <c r="Q477" t="s">
        <v>118</v>
      </c>
      <c r="R477" s="1" t="s">
        <v>48</v>
      </c>
    </row>
    <row r="478" spans="3:18" x14ac:dyDescent="0.35">
      <c r="C478" t="s">
        <v>51</v>
      </c>
      <c r="D478" t="s">
        <v>21</v>
      </c>
      <c r="E478" t="s">
        <v>45</v>
      </c>
      <c r="F478" t="s">
        <v>46</v>
      </c>
      <c r="G478" s="58">
        <v>2335668</v>
      </c>
      <c r="H478" s="1" t="s">
        <v>56</v>
      </c>
      <c r="I478" s="1" t="s">
        <v>111</v>
      </c>
      <c r="J478" s="58">
        <v>39706356</v>
      </c>
      <c r="K478" s="1" t="s">
        <v>106</v>
      </c>
      <c r="L478" s="1" t="s">
        <v>120</v>
      </c>
      <c r="N478" s="1">
        <v>1</v>
      </c>
      <c r="O478" s="58"/>
      <c r="P478" s="58">
        <v>1191190.68</v>
      </c>
      <c r="Q478" t="s">
        <v>113</v>
      </c>
      <c r="R478" s="1" t="s">
        <v>158</v>
      </c>
    </row>
    <row r="479" spans="3:18" x14ac:dyDescent="0.35">
      <c r="C479" t="s">
        <v>51</v>
      </c>
      <c r="D479" t="s">
        <v>24</v>
      </c>
      <c r="E479" t="s">
        <v>55</v>
      </c>
      <c r="F479" t="s">
        <v>46</v>
      </c>
      <c r="G479" s="58">
        <v>1572761</v>
      </c>
      <c r="H479" s="1" t="s">
        <v>48</v>
      </c>
      <c r="I479" s="1" t="s">
        <v>108</v>
      </c>
      <c r="J479" s="58">
        <v>42464547</v>
      </c>
      <c r="K479" s="1" t="s">
        <v>106</v>
      </c>
      <c r="L479" s="1" t="s">
        <v>114</v>
      </c>
      <c r="M479" s="1" t="s">
        <v>121</v>
      </c>
      <c r="N479" s="1">
        <v>1</v>
      </c>
      <c r="O479" s="58"/>
      <c r="P479" s="58">
        <v>471828.3</v>
      </c>
      <c r="Q479" t="s">
        <v>107</v>
      </c>
      <c r="R479" s="1" t="s">
        <v>48</v>
      </c>
    </row>
    <row r="480" spans="3:18" x14ac:dyDescent="0.35">
      <c r="C480" t="s">
        <v>51</v>
      </c>
      <c r="D480" t="s">
        <v>21</v>
      </c>
      <c r="E480" t="s">
        <v>45</v>
      </c>
      <c r="F480" t="s">
        <v>64</v>
      </c>
      <c r="G480" s="58">
        <v>292278</v>
      </c>
      <c r="H480" s="1" t="s">
        <v>47</v>
      </c>
      <c r="I480" s="1" t="s">
        <v>108</v>
      </c>
      <c r="J480" s="58">
        <v>9060618</v>
      </c>
      <c r="K480" s="1" t="s">
        <v>106</v>
      </c>
      <c r="L480" s="1" t="s">
        <v>114</v>
      </c>
      <c r="N480" s="1">
        <v>1</v>
      </c>
      <c r="O480" s="58"/>
      <c r="P480" s="58">
        <v>87683.4</v>
      </c>
      <c r="Q480" t="s">
        <v>107</v>
      </c>
      <c r="R480" s="1" t="s">
        <v>158</v>
      </c>
    </row>
    <row r="481" spans="3:18" x14ac:dyDescent="0.35">
      <c r="C481" t="s">
        <v>51</v>
      </c>
      <c r="D481" t="s">
        <v>22</v>
      </c>
      <c r="E481" t="s">
        <v>45</v>
      </c>
      <c r="F481" t="s">
        <v>46</v>
      </c>
      <c r="G481" s="58">
        <v>399674</v>
      </c>
      <c r="H481" s="1" t="s">
        <v>48</v>
      </c>
      <c r="I481" s="1" t="s">
        <v>111</v>
      </c>
      <c r="J481" s="58">
        <v>5995110</v>
      </c>
      <c r="K481" s="1" t="s">
        <v>112</v>
      </c>
      <c r="N481" s="1">
        <v>1</v>
      </c>
      <c r="O481" s="58"/>
      <c r="P481" s="58">
        <v>339722.9</v>
      </c>
      <c r="Q481" t="s">
        <v>127</v>
      </c>
      <c r="R481" s="1" t="s">
        <v>48</v>
      </c>
    </row>
    <row r="482" spans="3:18" x14ac:dyDescent="0.35">
      <c r="C482" t="s">
        <v>51</v>
      </c>
      <c r="D482" t="s">
        <v>23</v>
      </c>
      <c r="E482" t="s">
        <v>50</v>
      </c>
      <c r="F482" t="s">
        <v>46</v>
      </c>
      <c r="G482" s="58">
        <v>250385</v>
      </c>
      <c r="H482" s="1" t="s">
        <v>48</v>
      </c>
      <c r="I482" s="1" t="s">
        <v>108</v>
      </c>
      <c r="J482" s="58">
        <v>8262705</v>
      </c>
      <c r="K482" s="1" t="s">
        <v>106</v>
      </c>
      <c r="L482" s="1" t="s">
        <v>124</v>
      </c>
      <c r="M482" s="1" t="s">
        <v>123</v>
      </c>
      <c r="N482" s="1">
        <v>1</v>
      </c>
      <c r="O482" s="58"/>
      <c r="P482" s="58">
        <v>20030.8</v>
      </c>
      <c r="Q482" t="s">
        <v>107</v>
      </c>
      <c r="R482" s="1" t="s">
        <v>48</v>
      </c>
    </row>
    <row r="483" spans="3:18" x14ac:dyDescent="0.35">
      <c r="C483" t="s">
        <v>51</v>
      </c>
      <c r="D483" t="s">
        <v>24</v>
      </c>
      <c r="E483" t="s">
        <v>55</v>
      </c>
      <c r="F483" t="s">
        <v>46</v>
      </c>
      <c r="G483" s="58">
        <v>7093617</v>
      </c>
      <c r="H483" s="1" t="s">
        <v>48</v>
      </c>
      <c r="I483" s="1" t="s">
        <v>108</v>
      </c>
      <c r="J483" s="58">
        <v>226995744</v>
      </c>
      <c r="K483" s="1" t="s">
        <v>106</v>
      </c>
      <c r="L483" s="1" t="s">
        <v>114</v>
      </c>
      <c r="M483" s="1" t="s">
        <v>121</v>
      </c>
      <c r="N483" s="1">
        <v>1</v>
      </c>
      <c r="O483" s="58"/>
      <c r="P483" s="58">
        <v>8796085.0800000001</v>
      </c>
      <c r="Q483" t="s">
        <v>110</v>
      </c>
      <c r="R483" s="1" t="s">
        <v>158</v>
      </c>
    </row>
    <row r="484" spans="3:18" x14ac:dyDescent="0.35">
      <c r="C484" t="s">
        <v>51</v>
      </c>
      <c r="D484" t="s">
        <v>22</v>
      </c>
      <c r="E484" t="s">
        <v>45</v>
      </c>
      <c r="F484" t="s">
        <v>46</v>
      </c>
      <c r="G484" s="58">
        <v>4516714</v>
      </c>
      <c r="H484" s="1" t="s">
        <v>47</v>
      </c>
      <c r="I484" s="1" t="s">
        <v>119</v>
      </c>
      <c r="J484" s="58">
        <v>36133712</v>
      </c>
      <c r="K484" s="1" t="s">
        <v>106</v>
      </c>
      <c r="L484" s="1" t="s">
        <v>120</v>
      </c>
      <c r="N484" s="1">
        <v>1</v>
      </c>
      <c r="O484" s="58"/>
      <c r="P484" s="58">
        <v>3026198.38</v>
      </c>
      <c r="Q484" t="s">
        <v>118</v>
      </c>
      <c r="R484" s="1" t="s">
        <v>158</v>
      </c>
    </row>
    <row r="485" spans="3:18" x14ac:dyDescent="0.35">
      <c r="C485" t="s">
        <v>53</v>
      </c>
      <c r="D485" t="s">
        <v>21</v>
      </c>
      <c r="E485" t="s">
        <v>45</v>
      </c>
      <c r="F485" t="s">
        <v>46</v>
      </c>
      <c r="G485" s="58">
        <v>114317</v>
      </c>
      <c r="H485" s="1" t="s">
        <v>56</v>
      </c>
      <c r="I485" s="1" t="s">
        <v>105</v>
      </c>
      <c r="J485" s="58">
        <v>342951</v>
      </c>
      <c r="K485" s="1" t="s">
        <v>112</v>
      </c>
      <c r="N485" s="1">
        <v>1</v>
      </c>
      <c r="O485" s="58"/>
      <c r="P485" s="58">
        <v>44583.63</v>
      </c>
      <c r="Q485" t="s">
        <v>107</v>
      </c>
      <c r="R485" s="1" t="s">
        <v>158</v>
      </c>
    </row>
    <row r="486" spans="3:18" x14ac:dyDescent="0.35">
      <c r="C486" t="s">
        <v>51</v>
      </c>
      <c r="D486" t="s">
        <v>20</v>
      </c>
      <c r="E486" t="s">
        <v>45</v>
      </c>
      <c r="F486" t="s">
        <v>46</v>
      </c>
      <c r="G486" s="58">
        <v>1001085</v>
      </c>
      <c r="H486" s="1" t="s">
        <v>48</v>
      </c>
      <c r="I486" s="1" t="s">
        <v>111</v>
      </c>
      <c r="J486" s="58">
        <v>20021700</v>
      </c>
      <c r="K486" s="1" t="s">
        <v>112</v>
      </c>
      <c r="N486" s="1">
        <v>1</v>
      </c>
      <c r="O486" s="58"/>
      <c r="P486" s="58">
        <v>650705.25</v>
      </c>
      <c r="Q486" t="s">
        <v>118</v>
      </c>
      <c r="R486" s="1" t="s">
        <v>48</v>
      </c>
    </row>
    <row r="487" spans="3:18" x14ac:dyDescent="0.35">
      <c r="C487" t="s">
        <v>51</v>
      </c>
      <c r="D487" t="s">
        <v>21</v>
      </c>
      <c r="E487" t="s">
        <v>55</v>
      </c>
      <c r="F487" t="s">
        <v>46</v>
      </c>
      <c r="G487" s="58">
        <v>2898359</v>
      </c>
      <c r="H487" s="1" t="s">
        <v>48</v>
      </c>
      <c r="I487" s="1" t="s">
        <v>108</v>
      </c>
      <c r="J487" s="58">
        <v>92747488</v>
      </c>
      <c r="K487" s="1" t="s">
        <v>106</v>
      </c>
      <c r="L487" s="1" t="s">
        <v>124</v>
      </c>
      <c r="M487" s="1" t="s">
        <v>126</v>
      </c>
      <c r="N487" s="1">
        <v>1</v>
      </c>
      <c r="O487" s="58"/>
      <c r="P487" s="58">
        <v>2115802.0699999998</v>
      </c>
      <c r="Q487" t="s">
        <v>118</v>
      </c>
      <c r="R487" s="1" t="s">
        <v>48</v>
      </c>
    </row>
    <row r="488" spans="3:18" x14ac:dyDescent="0.35">
      <c r="C488" t="s">
        <v>51</v>
      </c>
      <c r="D488" t="s">
        <v>22</v>
      </c>
      <c r="E488" t="s">
        <v>49</v>
      </c>
      <c r="F488" t="s">
        <v>46</v>
      </c>
      <c r="G488" s="58">
        <v>9097</v>
      </c>
      <c r="H488" s="1" t="s">
        <v>56</v>
      </c>
      <c r="I488" s="1" t="s">
        <v>105</v>
      </c>
      <c r="J488" s="58">
        <v>18194</v>
      </c>
      <c r="K488" s="1" t="s">
        <v>106</v>
      </c>
      <c r="L488" s="1" t="s">
        <v>124</v>
      </c>
      <c r="N488" s="1">
        <v>1</v>
      </c>
      <c r="O488" s="58"/>
      <c r="P488" s="58">
        <v>4184.62</v>
      </c>
      <c r="Q488" t="s">
        <v>113</v>
      </c>
      <c r="R488" s="1" t="s">
        <v>158</v>
      </c>
    </row>
    <row r="489" spans="3:18" x14ac:dyDescent="0.35">
      <c r="C489" t="s">
        <v>53</v>
      </c>
      <c r="D489" t="s">
        <v>21</v>
      </c>
      <c r="E489" t="s">
        <v>49</v>
      </c>
      <c r="F489" t="s">
        <v>46</v>
      </c>
      <c r="G489" s="58">
        <v>109100</v>
      </c>
      <c r="H489" s="1" t="s">
        <v>59</v>
      </c>
      <c r="I489" s="1" t="s">
        <v>111</v>
      </c>
      <c r="J489" s="58">
        <v>1418300</v>
      </c>
      <c r="K489" s="1" t="s">
        <v>112</v>
      </c>
      <c r="N489" s="1">
        <v>1</v>
      </c>
      <c r="O489" s="58"/>
      <c r="P489" s="58">
        <v>32730</v>
      </c>
      <c r="Q489" t="s">
        <v>107</v>
      </c>
      <c r="R489" s="1" t="s">
        <v>158</v>
      </c>
    </row>
    <row r="490" spans="3:18" x14ac:dyDescent="0.35">
      <c r="C490" t="s">
        <v>51</v>
      </c>
      <c r="D490" t="s">
        <v>22</v>
      </c>
      <c r="E490" t="s">
        <v>52</v>
      </c>
      <c r="F490" t="s">
        <v>46</v>
      </c>
      <c r="G490" s="58">
        <v>179078</v>
      </c>
      <c r="H490" s="1" t="s">
        <v>48</v>
      </c>
      <c r="I490" s="1" t="s">
        <v>111</v>
      </c>
      <c r="J490" s="58">
        <v>3223404</v>
      </c>
      <c r="K490" s="1" t="s">
        <v>112</v>
      </c>
      <c r="N490" s="1">
        <v>1</v>
      </c>
      <c r="O490" s="58"/>
      <c r="P490" s="58">
        <v>105656.02</v>
      </c>
      <c r="Q490" t="s">
        <v>113</v>
      </c>
      <c r="R490" s="1" t="s">
        <v>48</v>
      </c>
    </row>
    <row r="491" spans="3:18" x14ac:dyDescent="0.35">
      <c r="C491" t="s">
        <v>51</v>
      </c>
      <c r="D491" t="s">
        <v>19</v>
      </c>
      <c r="E491" t="s">
        <v>49</v>
      </c>
      <c r="F491" t="s">
        <v>46</v>
      </c>
      <c r="G491" s="58">
        <v>406179</v>
      </c>
      <c r="H491" s="1" t="s">
        <v>48</v>
      </c>
      <c r="I491" s="1" t="s">
        <v>111</v>
      </c>
      <c r="J491" s="58">
        <v>7311222</v>
      </c>
      <c r="K491" s="1" t="s">
        <v>112</v>
      </c>
      <c r="N491" s="1">
        <v>1</v>
      </c>
      <c r="O491" s="58"/>
      <c r="P491" s="58">
        <v>190904.13</v>
      </c>
      <c r="Q491" t="s">
        <v>113</v>
      </c>
      <c r="R491" s="1" t="s">
        <v>158</v>
      </c>
    </row>
    <row r="492" spans="3:18" x14ac:dyDescent="0.35">
      <c r="C492" t="s">
        <v>51</v>
      </c>
      <c r="D492" t="s">
        <v>21</v>
      </c>
      <c r="E492" t="s">
        <v>45</v>
      </c>
      <c r="F492" t="s">
        <v>46</v>
      </c>
      <c r="G492" s="58">
        <v>1101580</v>
      </c>
      <c r="H492" s="1" t="s">
        <v>47</v>
      </c>
      <c r="I492" s="1" t="s">
        <v>108</v>
      </c>
      <c r="J492" s="58">
        <v>31945820</v>
      </c>
      <c r="K492" s="1" t="s">
        <v>112</v>
      </c>
      <c r="N492" s="1">
        <v>1</v>
      </c>
      <c r="O492" s="58"/>
      <c r="P492" s="58">
        <v>925327.2</v>
      </c>
      <c r="Q492" t="s">
        <v>127</v>
      </c>
      <c r="R492" s="1" t="s">
        <v>158</v>
      </c>
    </row>
    <row r="493" spans="3:18" x14ac:dyDescent="0.35">
      <c r="C493" t="s">
        <v>51</v>
      </c>
      <c r="D493" t="s">
        <v>21</v>
      </c>
      <c r="E493" t="s">
        <v>49</v>
      </c>
      <c r="F493" t="s">
        <v>46</v>
      </c>
      <c r="G493" s="58">
        <v>317892</v>
      </c>
      <c r="H493" s="1" t="s">
        <v>54</v>
      </c>
      <c r="I493" s="1" t="s">
        <v>111</v>
      </c>
      <c r="J493" s="58">
        <v>5722056</v>
      </c>
      <c r="K493" s="1" t="s">
        <v>106</v>
      </c>
      <c r="L493" s="1" t="s">
        <v>120</v>
      </c>
      <c r="N493" s="1">
        <v>1</v>
      </c>
      <c r="O493" s="58"/>
      <c r="P493" s="58">
        <v>178019.52</v>
      </c>
      <c r="Q493" t="s">
        <v>113</v>
      </c>
      <c r="R493" s="1" t="s">
        <v>158</v>
      </c>
    </row>
    <row r="494" spans="3:18" x14ac:dyDescent="0.35">
      <c r="C494" t="s">
        <v>51</v>
      </c>
      <c r="D494" t="s">
        <v>21</v>
      </c>
      <c r="E494" t="s">
        <v>55</v>
      </c>
      <c r="F494" t="s">
        <v>46</v>
      </c>
      <c r="G494" s="58">
        <v>2455357</v>
      </c>
      <c r="H494" s="1" t="s">
        <v>48</v>
      </c>
      <c r="I494" s="1" t="s">
        <v>111</v>
      </c>
      <c r="J494" s="58">
        <v>39285712</v>
      </c>
      <c r="K494" s="1" t="s">
        <v>106</v>
      </c>
      <c r="L494" s="1" t="s">
        <v>114</v>
      </c>
      <c r="M494" s="1" t="s">
        <v>126</v>
      </c>
      <c r="N494" s="1">
        <v>1</v>
      </c>
      <c r="O494" s="58"/>
      <c r="P494" s="58">
        <v>687499.96</v>
      </c>
      <c r="Q494" t="s">
        <v>107</v>
      </c>
      <c r="R494" s="1" t="s">
        <v>48</v>
      </c>
    </row>
    <row r="495" spans="3:18" x14ac:dyDescent="0.35">
      <c r="C495" t="s">
        <v>51</v>
      </c>
      <c r="D495" t="s">
        <v>23</v>
      </c>
      <c r="E495" t="s">
        <v>55</v>
      </c>
      <c r="F495" t="s">
        <v>46</v>
      </c>
      <c r="G495" s="58">
        <v>660377</v>
      </c>
      <c r="H495" s="1" t="s">
        <v>59</v>
      </c>
      <c r="I495" s="1" t="s">
        <v>108</v>
      </c>
      <c r="J495" s="58">
        <v>21132064</v>
      </c>
      <c r="K495" s="1" t="s">
        <v>112</v>
      </c>
      <c r="N495" s="1">
        <v>1</v>
      </c>
      <c r="O495" s="58"/>
      <c r="P495" s="58">
        <v>145282.94</v>
      </c>
      <c r="Q495" t="s">
        <v>107</v>
      </c>
      <c r="R495" s="1" t="s">
        <v>158</v>
      </c>
    </row>
    <row r="496" spans="3:18" x14ac:dyDescent="0.35">
      <c r="C496" t="s">
        <v>51</v>
      </c>
      <c r="D496" t="s">
        <v>92</v>
      </c>
      <c r="E496" t="s">
        <v>45</v>
      </c>
      <c r="F496" t="s">
        <v>46</v>
      </c>
      <c r="G496" s="58">
        <v>1146534</v>
      </c>
      <c r="H496" s="1" t="s">
        <v>48</v>
      </c>
      <c r="I496" s="1" t="s">
        <v>108</v>
      </c>
      <c r="J496" s="58">
        <v>35542554</v>
      </c>
      <c r="K496" s="1" t="s">
        <v>106</v>
      </c>
      <c r="L496" s="1" t="s">
        <v>124</v>
      </c>
      <c r="M496" s="1" t="s">
        <v>123</v>
      </c>
      <c r="N496" s="1">
        <v>1</v>
      </c>
      <c r="O496" s="58"/>
      <c r="P496" s="58">
        <v>584732.34</v>
      </c>
      <c r="Q496" t="s">
        <v>113</v>
      </c>
      <c r="R496" s="1" t="s">
        <v>48</v>
      </c>
    </row>
    <row r="497" spans="3:18" x14ac:dyDescent="0.35">
      <c r="C497" t="s">
        <v>53</v>
      </c>
      <c r="D497" t="s">
        <v>24</v>
      </c>
      <c r="E497" t="s">
        <v>62</v>
      </c>
      <c r="F497" t="s">
        <v>46</v>
      </c>
      <c r="G497" s="58">
        <v>178526</v>
      </c>
      <c r="H497" s="1" t="s">
        <v>48</v>
      </c>
      <c r="I497" s="1" t="s">
        <v>111</v>
      </c>
      <c r="J497" s="58">
        <v>2499364</v>
      </c>
      <c r="K497" s="1" t="s">
        <v>106</v>
      </c>
      <c r="L497" s="1" t="s">
        <v>131</v>
      </c>
      <c r="M497" s="1" t="s">
        <v>121</v>
      </c>
      <c r="N497" s="1">
        <v>1</v>
      </c>
      <c r="O497" s="58"/>
      <c r="P497" s="58">
        <v>87477.74</v>
      </c>
      <c r="Q497" t="s">
        <v>113</v>
      </c>
      <c r="R497" s="1" t="s">
        <v>48</v>
      </c>
    </row>
    <row r="498" spans="3:18" x14ac:dyDescent="0.35">
      <c r="C498" t="s">
        <v>51</v>
      </c>
      <c r="D498" t="s">
        <v>19</v>
      </c>
      <c r="E498" t="s">
        <v>49</v>
      </c>
      <c r="F498" t="s">
        <v>46</v>
      </c>
      <c r="G498" s="58">
        <v>469792</v>
      </c>
      <c r="H498" s="1" t="s">
        <v>47</v>
      </c>
      <c r="I498" s="1" t="s">
        <v>105</v>
      </c>
      <c r="J498" s="58"/>
      <c r="K498" s="1" t="s">
        <v>106</v>
      </c>
      <c r="L498" s="1" t="s">
        <v>124</v>
      </c>
      <c r="N498" s="1">
        <v>0</v>
      </c>
      <c r="O498" s="58"/>
      <c r="P498" s="58">
        <v>37583.360000000001</v>
      </c>
      <c r="Q498" t="s">
        <v>107</v>
      </c>
      <c r="R498" s="1" t="s">
        <v>158</v>
      </c>
    </row>
    <row r="499" spans="3:18" x14ac:dyDescent="0.35">
      <c r="C499" t="s">
        <v>51</v>
      </c>
      <c r="D499" t="s">
        <v>23</v>
      </c>
      <c r="E499" t="s">
        <v>62</v>
      </c>
      <c r="F499" t="s">
        <v>46</v>
      </c>
      <c r="G499" s="58">
        <v>390434</v>
      </c>
      <c r="H499" s="1" t="s">
        <v>48</v>
      </c>
      <c r="I499" s="1" t="s">
        <v>108</v>
      </c>
      <c r="J499" s="58">
        <v>10932152</v>
      </c>
      <c r="K499" s="1" t="s">
        <v>106</v>
      </c>
      <c r="L499" s="1" t="s">
        <v>124</v>
      </c>
      <c r="M499" s="1" t="s">
        <v>125</v>
      </c>
      <c r="N499" s="1">
        <v>1</v>
      </c>
      <c r="O499" s="58"/>
      <c r="P499" s="58">
        <v>312347.2</v>
      </c>
      <c r="Q499" t="s">
        <v>118</v>
      </c>
      <c r="R499" s="1" t="s">
        <v>48</v>
      </c>
    </row>
    <row r="500" spans="3:18" x14ac:dyDescent="0.35">
      <c r="C500" t="s">
        <v>51</v>
      </c>
      <c r="D500" t="s">
        <v>92</v>
      </c>
      <c r="E500" t="s">
        <v>49</v>
      </c>
      <c r="F500" t="s">
        <v>46</v>
      </c>
      <c r="G500" s="58">
        <v>1420968</v>
      </c>
      <c r="H500" s="1" t="s">
        <v>54</v>
      </c>
      <c r="I500" s="1" t="s">
        <v>108</v>
      </c>
      <c r="J500" s="58">
        <v>44050008</v>
      </c>
      <c r="K500" s="1" t="s">
        <v>106</v>
      </c>
      <c r="L500" s="1" t="s">
        <v>124</v>
      </c>
      <c r="N500" s="1">
        <v>1</v>
      </c>
      <c r="O500" s="58"/>
      <c r="P500" s="58">
        <v>1619903.52</v>
      </c>
      <c r="Q500" t="s">
        <v>110</v>
      </c>
      <c r="R500" s="1" t="s">
        <v>158</v>
      </c>
    </row>
    <row r="501" spans="3:18" x14ac:dyDescent="0.35">
      <c r="C501" t="s">
        <v>51</v>
      </c>
      <c r="D501" t="s">
        <v>21</v>
      </c>
      <c r="E501" t="s">
        <v>55</v>
      </c>
      <c r="F501" t="s">
        <v>46</v>
      </c>
      <c r="G501" s="58">
        <v>978106</v>
      </c>
      <c r="H501" s="1" t="s">
        <v>48</v>
      </c>
      <c r="I501" s="1" t="s">
        <v>111</v>
      </c>
      <c r="J501" s="58">
        <v>17605908</v>
      </c>
      <c r="K501" s="1" t="s">
        <v>112</v>
      </c>
      <c r="N501" s="1">
        <v>1</v>
      </c>
      <c r="O501" s="58"/>
      <c r="P501" s="58">
        <v>831390.1</v>
      </c>
      <c r="Q501" t="s">
        <v>127</v>
      </c>
      <c r="R501" s="1" t="s">
        <v>48</v>
      </c>
    </row>
    <row r="502" spans="3:18" x14ac:dyDescent="0.35">
      <c r="C502" t="s">
        <v>51</v>
      </c>
      <c r="D502" t="s">
        <v>23</v>
      </c>
      <c r="E502" t="s">
        <v>49</v>
      </c>
      <c r="F502" t="s">
        <v>46</v>
      </c>
      <c r="G502" s="58">
        <v>106184</v>
      </c>
      <c r="H502" s="1" t="s">
        <v>56</v>
      </c>
      <c r="I502" s="1" t="s">
        <v>111</v>
      </c>
      <c r="J502" s="58">
        <v>1805128</v>
      </c>
      <c r="K502" s="1" t="s">
        <v>106</v>
      </c>
      <c r="L502" s="1" t="s">
        <v>124</v>
      </c>
      <c r="N502" s="1">
        <v>1</v>
      </c>
      <c r="O502" s="58"/>
      <c r="P502" s="58">
        <v>74328.800000000003</v>
      </c>
      <c r="Q502" t="s">
        <v>118</v>
      </c>
      <c r="R502" s="1" t="s">
        <v>158</v>
      </c>
    </row>
    <row r="503" spans="3:18" x14ac:dyDescent="0.35">
      <c r="C503" t="s">
        <v>53</v>
      </c>
      <c r="D503" t="s">
        <v>22</v>
      </c>
      <c r="E503" t="s">
        <v>45</v>
      </c>
      <c r="F503" t="s">
        <v>46</v>
      </c>
      <c r="G503" s="58">
        <v>153628</v>
      </c>
      <c r="H503" s="1" t="s">
        <v>54</v>
      </c>
      <c r="I503" s="1" t="s">
        <v>108</v>
      </c>
      <c r="J503" s="58">
        <v>3226188</v>
      </c>
      <c r="K503" s="1" t="s">
        <v>106</v>
      </c>
      <c r="L503" s="1" t="s">
        <v>120</v>
      </c>
      <c r="N503" s="1">
        <v>1</v>
      </c>
      <c r="O503" s="58"/>
      <c r="P503" s="58">
        <v>39943.279999999999</v>
      </c>
      <c r="Q503" t="s">
        <v>107</v>
      </c>
      <c r="R503" s="1" t="s">
        <v>158</v>
      </c>
    </row>
    <row r="504" spans="3:18" x14ac:dyDescent="0.35">
      <c r="C504" t="s">
        <v>51</v>
      </c>
      <c r="D504" t="s">
        <v>22</v>
      </c>
      <c r="E504" t="s">
        <v>45</v>
      </c>
      <c r="F504" t="s">
        <v>46</v>
      </c>
      <c r="G504" s="58">
        <v>17533088</v>
      </c>
      <c r="H504" s="1" t="s">
        <v>54</v>
      </c>
      <c r="I504" s="1" t="s">
        <v>105</v>
      </c>
      <c r="J504" s="58">
        <v>52599264</v>
      </c>
      <c r="K504" s="1" t="s">
        <v>106</v>
      </c>
      <c r="L504" s="1" t="s">
        <v>120</v>
      </c>
      <c r="N504" s="1">
        <v>1</v>
      </c>
      <c r="O504" s="58"/>
      <c r="P504" s="58">
        <v>2103970.56</v>
      </c>
      <c r="Q504" t="s">
        <v>107</v>
      </c>
      <c r="R504" s="1" t="s">
        <v>158</v>
      </c>
    </row>
    <row r="505" spans="3:18" x14ac:dyDescent="0.35">
      <c r="C505" t="s">
        <v>51</v>
      </c>
      <c r="D505" t="s">
        <v>21</v>
      </c>
      <c r="E505" t="s">
        <v>49</v>
      </c>
      <c r="F505" t="s">
        <v>46</v>
      </c>
      <c r="G505" s="58">
        <v>234835</v>
      </c>
      <c r="H505" s="1" t="s">
        <v>54</v>
      </c>
      <c r="I505" s="1" t="s">
        <v>128</v>
      </c>
      <c r="J505" s="58"/>
      <c r="K505" s="1" t="s">
        <v>106</v>
      </c>
      <c r="L505" s="1" t="s">
        <v>124</v>
      </c>
      <c r="N505" s="1">
        <v>0</v>
      </c>
      <c r="O505" s="58"/>
      <c r="P505" s="58">
        <v>136204.29999999999</v>
      </c>
      <c r="Q505" t="s">
        <v>113</v>
      </c>
      <c r="R505" s="1" t="s">
        <v>158</v>
      </c>
    </row>
    <row r="506" spans="3:18" x14ac:dyDescent="0.35">
      <c r="C506" t="s">
        <v>53</v>
      </c>
      <c r="D506" t="s">
        <v>25</v>
      </c>
      <c r="E506" t="s">
        <v>45</v>
      </c>
      <c r="F506" t="s">
        <v>46</v>
      </c>
      <c r="G506" s="58">
        <v>83764</v>
      </c>
      <c r="H506" s="1" t="s">
        <v>47</v>
      </c>
      <c r="I506" s="1" t="s">
        <v>111</v>
      </c>
      <c r="J506" s="58">
        <v>921404</v>
      </c>
      <c r="K506" s="1" t="s">
        <v>106</v>
      </c>
      <c r="L506" s="1" t="s">
        <v>124</v>
      </c>
      <c r="N506" s="1">
        <v>1</v>
      </c>
      <c r="O506" s="58"/>
      <c r="P506" s="58">
        <v>1675.28</v>
      </c>
      <c r="Q506" t="s">
        <v>107</v>
      </c>
      <c r="R506" s="1" t="s">
        <v>158</v>
      </c>
    </row>
    <row r="507" spans="3:18" x14ac:dyDescent="0.35">
      <c r="C507" t="s">
        <v>51</v>
      </c>
      <c r="D507" t="s">
        <v>23</v>
      </c>
      <c r="E507" t="s">
        <v>45</v>
      </c>
      <c r="F507" t="s">
        <v>46</v>
      </c>
      <c r="G507" s="58">
        <v>911802</v>
      </c>
      <c r="H507" s="1" t="s">
        <v>56</v>
      </c>
      <c r="I507" s="1" t="s">
        <v>111</v>
      </c>
      <c r="J507" s="58">
        <v>14588832</v>
      </c>
      <c r="K507" s="1" t="s">
        <v>112</v>
      </c>
      <c r="N507" s="1">
        <v>1</v>
      </c>
      <c r="O507" s="58"/>
      <c r="P507" s="58">
        <v>273540.59999999998</v>
      </c>
      <c r="Q507" t="s">
        <v>107</v>
      </c>
      <c r="R507" s="1" t="s">
        <v>158</v>
      </c>
    </row>
    <row r="508" spans="3:18" x14ac:dyDescent="0.35">
      <c r="C508" t="s">
        <v>53</v>
      </c>
      <c r="D508" t="s">
        <v>22</v>
      </c>
      <c r="E508" t="s">
        <v>49</v>
      </c>
      <c r="F508" t="s">
        <v>46</v>
      </c>
      <c r="G508" s="58">
        <v>3170200</v>
      </c>
      <c r="H508" s="1" t="s">
        <v>54</v>
      </c>
      <c r="I508" s="1" t="s">
        <v>111</v>
      </c>
      <c r="J508" s="58">
        <v>34872200</v>
      </c>
      <c r="K508" s="1" t="s">
        <v>106</v>
      </c>
      <c r="L508" s="1" t="s">
        <v>124</v>
      </c>
      <c r="N508" s="1">
        <v>1</v>
      </c>
      <c r="O508" s="58"/>
      <c r="P508" s="58">
        <v>3740836</v>
      </c>
      <c r="Q508" t="s">
        <v>110</v>
      </c>
      <c r="R508" s="1" t="s">
        <v>158</v>
      </c>
    </row>
    <row r="509" spans="3:18" x14ac:dyDescent="0.35">
      <c r="C509" t="s">
        <v>51</v>
      </c>
      <c r="D509" t="s">
        <v>23</v>
      </c>
      <c r="E509" t="s">
        <v>55</v>
      </c>
      <c r="F509" t="s">
        <v>46</v>
      </c>
      <c r="G509" s="58">
        <v>431340</v>
      </c>
      <c r="H509" s="1" t="s">
        <v>59</v>
      </c>
      <c r="I509" s="1" t="s">
        <v>111</v>
      </c>
      <c r="J509" s="58">
        <v>6901440</v>
      </c>
      <c r="K509" s="1" t="s">
        <v>106</v>
      </c>
      <c r="L509" s="1" t="s">
        <v>114</v>
      </c>
      <c r="N509" s="1">
        <v>1</v>
      </c>
      <c r="O509" s="58"/>
      <c r="P509" s="58">
        <v>375265.8</v>
      </c>
      <c r="Q509" t="s">
        <v>127</v>
      </c>
      <c r="R509" s="1" t="s">
        <v>158</v>
      </c>
    </row>
    <row r="510" spans="3:18" x14ac:dyDescent="0.35">
      <c r="C510" t="s">
        <v>51</v>
      </c>
      <c r="D510" t="s">
        <v>91</v>
      </c>
      <c r="E510" t="s">
        <v>49</v>
      </c>
      <c r="F510" t="s">
        <v>64</v>
      </c>
      <c r="G510" s="58">
        <v>4628489</v>
      </c>
      <c r="H510" s="1" t="s">
        <v>48</v>
      </c>
      <c r="I510" s="1" t="s">
        <v>108</v>
      </c>
      <c r="J510" s="58">
        <v>143483159</v>
      </c>
      <c r="K510" s="1" t="s">
        <v>112</v>
      </c>
      <c r="N510" s="1">
        <v>1</v>
      </c>
      <c r="O510" s="58"/>
      <c r="P510" s="58">
        <v>3425081.86</v>
      </c>
      <c r="Q510" t="s">
        <v>118</v>
      </c>
      <c r="R510" s="1" t="s">
        <v>48</v>
      </c>
    </row>
    <row r="511" spans="3:18" x14ac:dyDescent="0.35">
      <c r="C511" t="s">
        <v>51</v>
      </c>
      <c r="D511" t="s">
        <v>24</v>
      </c>
      <c r="E511" t="s">
        <v>55</v>
      </c>
      <c r="F511" t="s">
        <v>46</v>
      </c>
      <c r="G511" s="58">
        <v>90014</v>
      </c>
      <c r="H511" s="1" t="s">
        <v>59</v>
      </c>
      <c r="I511" s="1" t="s">
        <v>108</v>
      </c>
      <c r="J511" s="58">
        <v>3240504</v>
      </c>
      <c r="K511" s="1" t="s">
        <v>106</v>
      </c>
      <c r="L511" s="1" t="s">
        <v>120</v>
      </c>
      <c r="N511" s="1">
        <v>1</v>
      </c>
      <c r="O511" s="58"/>
      <c r="P511" s="58">
        <v>36005.599999999999</v>
      </c>
      <c r="Q511" t="s">
        <v>107</v>
      </c>
      <c r="R511" s="1" t="s">
        <v>158</v>
      </c>
    </row>
    <row r="512" spans="3:18" x14ac:dyDescent="0.35">
      <c r="C512" t="s">
        <v>53</v>
      </c>
      <c r="D512" t="s">
        <v>24</v>
      </c>
      <c r="E512" t="s">
        <v>45</v>
      </c>
      <c r="F512" t="s">
        <v>46</v>
      </c>
      <c r="G512" s="58">
        <v>1833026</v>
      </c>
      <c r="H512" s="1" t="s">
        <v>48</v>
      </c>
      <c r="I512" s="1" t="s">
        <v>119</v>
      </c>
      <c r="J512" s="58">
        <v>16497234</v>
      </c>
      <c r="K512" s="1" t="s">
        <v>106</v>
      </c>
      <c r="L512" s="1" t="s">
        <v>120</v>
      </c>
      <c r="M512" s="1" t="s">
        <v>121</v>
      </c>
      <c r="N512" s="1">
        <v>1</v>
      </c>
      <c r="O512" s="58"/>
      <c r="P512" s="58">
        <v>1264787.94</v>
      </c>
      <c r="Q512" t="s">
        <v>118</v>
      </c>
      <c r="R512" s="1" t="s">
        <v>158</v>
      </c>
    </row>
    <row r="513" spans="3:18" x14ac:dyDescent="0.35">
      <c r="C513" t="s">
        <v>51</v>
      </c>
      <c r="D513" t="s">
        <v>23</v>
      </c>
      <c r="E513" t="s">
        <v>50</v>
      </c>
      <c r="F513" t="s">
        <v>46</v>
      </c>
      <c r="G513" s="58">
        <v>4201885</v>
      </c>
      <c r="H513" s="1" t="s">
        <v>48</v>
      </c>
      <c r="I513" s="1" t="s">
        <v>108</v>
      </c>
      <c r="J513" s="58">
        <v>134460320</v>
      </c>
      <c r="K513" s="1" t="s">
        <v>112</v>
      </c>
      <c r="N513" s="1">
        <v>1</v>
      </c>
      <c r="O513" s="58"/>
      <c r="P513" s="58">
        <v>1302584.3500000001</v>
      </c>
      <c r="Q513" t="s">
        <v>107</v>
      </c>
      <c r="R513" s="1" t="s">
        <v>48</v>
      </c>
    </row>
    <row r="514" spans="3:18" x14ac:dyDescent="0.35">
      <c r="C514" t="s">
        <v>51</v>
      </c>
      <c r="D514" t="s">
        <v>19</v>
      </c>
      <c r="E514" t="s">
        <v>49</v>
      </c>
      <c r="F514" t="s">
        <v>46</v>
      </c>
      <c r="G514" s="58">
        <v>158866</v>
      </c>
      <c r="H514" s="1" t="s">
        <v>48</v>
      </c>
      <c r="I514" s="1" t="s">
        <v>111</v>
      </c>
      <c r="J514" s="58">
        <v>2700722</v>
      </c>
      <c r="K514" s="1" t="s">
        <v>106</v>
      </c>
      <c r="L514" s="1" t="s">
        <v>124</v>
      </c>
      <c r="M514" s="1" t="s">
        <v>123</v>
      </c>
      <c r="N514" s="1">
        <v>1</v>
      </c>
      <c r="O514" s="58"/>
      <c r="P514" s="58">
        <v>30184.54</v>
      </c>
      <c r="Q514" t="s">
        <v>107</v>
      </c>
      <c r="R514" s="1" t="s">
        <v>158</v>
      </c>
    </row>
    <row r="515" spans="3:18" x14ac:dyDescent="0.35">
      <c r="C515" t="s">
        <v>51</v>
      </c>
      <c r="D515" t="s">
        <v>92</v>
      </c>
      <c r="E515" t="s">
        <v>49</v>
      </c>
      <c r="F515" t="s">
        <v>46</v>
      </c>
      <c r="G515" s="58">
        <v>1388223</v>
      </c>
      <c r="H515" s="1" t="s">
        <v>48</v>
      </c>
      <c r="I515" s="1" t="s">
        <v>119</v>
      </c>
      <c r="J515" s="58">
        <v>11105784</v>
      </c>
      <c r="K515" s="1" t="s">
        <v>106</v>
      </c>
      <c r="L515" s="1" t="s">
        <v>124</v>
      </c>
      <c r="M515" s="1" t="s">
        <v>123</v>
      </c>
      <c r="N515" s="1">
        <v>1</v>
      </c>
      <c r="O515" s="58"/>
      <c r="P515" s="58">
        <v>624700.35</v>
      </c>
      <c r="Q515" t="s">
        <v>113</v>
      </c>
      <c r="R515" s="1" t="s">
        <v>48</v>
      </c>
    </row>
    <row r="516" spans="3:18" x14ac:dyDescent="0.35">
      <c r="C516" t="s">
        <v>53</v>
      </c>
      <c r="D516" t="s">
        <v>22</v>
      </c>
      <c r="E516" t="s">
        <v>55</v>
      </c>
      <c r="F516" t="s">
        <v>46</v>
      </c>
      <c r="G516" s="58">
        <v>7607800</v>
      </c>
      <c r="H516" s="1" t="s">
        <v>54</v>
      </c>
      <c r="I516" s="1" t="s">
        <v>119</v>
      </c>
      <c r="J516" s="58">
        <v>76078000</v>
      </c>
      <c r="K516" s="1" t="s">
        <v>112</v>
      </c>
      <c r="N516" s="1">
        <v>1</v>
      </c>
      <c r="O516" s="58"/>
      <c r="P516" s="58">
        <v>8977204</v>
      </c>
      <c r="Q516" t="s">
        <v>110</v>
      </c>
      <c r="R516" s="1" t="s">
        <v>158</v>
      </c>
    </row>
    <row r="517" spans="3:18" x14ac:dyDescent="0.35">
      <c r="C517" t="s">
        <v>51</v>
      </c>
      <c r="D517" t="s">
        <v>24</v>
      </c>
      <c r="E517" t="s">
        <v>55</v>
      </c>
      <c r="F517" t="s">
        <v>64</v>
      </c>
      <c r="G517" s="58">
        <v>33569</v>
      </c>
      <c r="H517" s="1" t="s">
        <v>54</v>
      </c>
      <c r="I517" s="1" t="s">
        <v>119</v>
      </c>
      <c r="J517" s="58">
        <v>167845</v>
      </c>
      <c r="K517" s="1" t="s">
        <v>106</v>
      </c>
      <c r="L517" s="1" t="s">
        <v>114</v>
      </c>
      <c r="N517" s="1">
        <v>1</v>
      </c>
      <c r="O517" s="58"/>
      <c r="P517" s="58">
        <v>4028.28</v>
      </c>
      <c r="Q517" t="s">
        <v>107</v>
      </c>
      <c r="R517" s="1" t="s">
        <v>158</v>
      </c>
    </row>
    <row r="518" spans="3:18" x14ac:dyDescent="0.35">
      <c r="C518" t="s">
        <v>53</v>
      </c>
      <c r="D518" t="s">
        <v>20</v>
      </c>
      <c r="E518" t="s">
        <v>45</v>
      </c>
      <c r="F518" t="s">
        <v>46</v>
      </c>
      <c r="G518" s="58">
        <v>92438</v>
      </c>
      <c r="H518" s="1" t="s">
        <v>47</v>
      </c>
      <c r="I518" s="1" t="s">
        <v>105</v>
      </c>
      <c r="J518" s="58">
        <v>369752</v>
      </c>
      <c r="K518" s="1" t="s">
        <v>106</v>
      </c>
      <c r="L518" s="1" t="s">
        <v>114</v>
      </c>
      <c r="N518" s="1">
        <v>1</v>
      </c>
      <c r="O518" s="58"/>
      <c r="P518" s="58">
        <v>29580.16</v>
      </c>
      <c r="Q518" t="s">
        <v>107</v>
      </c>
      <c r="R518" s="1" t="s">
        <v>158</v>
      </c>
    </row>
    <row r="519" spans="3:18" x14ac:dyDescent="0.35">
      <c r="C519" t="s">
        <v>44</v>
      </c>
      <c r="D519" t="s">
        <v>22</v>
      </c>
      <c r="E519" t="s">
        <v>45</v>
      </c>
      <c r="F519" t="s">
        <v>46</v>
      </c>
      <c r="G519" s="58">
        <v>514301</v>
      </c>
      <c r="H519" s="1" t="s">
        <v>48</v>
      </c>
      <c r="I519" s="1" t="s">
        <v>108</v>
      </c>
      <c r="J519" s="58"/>
      <c r="N519" s="1">
        <v>0</v>
      </c>
      <c r="O519" s="58"/>
      <c r="P519" s="58"/>
      <c r="R519" s="1" t="s">
        <v>158</v>
      </c>
    </row>
    <row r="520" spans="3:18" x14ac:dyDescent="0.35">
      <c r="C520" t="s">
        <v>51</v>
      </c>
      <c r="D520" t="s">
        <v>21</v>
      </c>
      <c r="E520" t="s">
        <v>45</v>
      </c>
      <c r="F520" t="s">
        <v>46</v>
      </c>
      <c r="G520" s="58">
        <v>80894181</v>
      </c>
      <c r="H520" s="1" t="s">
        <v>48</v>
      </c>
      <c r="I520" s="1" t="s">
        <v>108</v>
      </c>
      <c r="J520" s="58">
        <v>2831296335</v>
      </c>
      <c r="K520" s="1" t="s">
        <v>106</v>
      </c>
      <c r="L520" s="1" t="s">
        <v>120</v>
      </c>
      <c r="M520" s="1" t="s">
        <v>126</v>
      </c>
      <c r="N520" s="1">
        <v>1</v>
      </c>
      <c r="O520" s="58"/>
      <c r="P520" s="58">
        <v>67951112.040000007</v>
      </c>
      <c r="Q520" t="s">
        <v>127</v>
      </c>
      <c r="R520" s="1" t="s">
        <v>48</v>
      </c>
    </row>
    <row r="521" spans="3:18" x14ac:dyDescent="0.35">
      <c r="C521" t="s">
        <v>51</v>
      </c>
      <c r="D521" t="s">
        <v>23</v>
      </c>
      <c r="E521" t="s">
        <v>55</v>
      </c>
      <c r="F521" t="s">
        <v>46</v>
      </c>
      <c r="G521" s="58">
        <v>987957</v>
      </c>
      <c r="H521" s="1" t="s">
        <v>48</v>
      </c>
      <c r="I521" s="1" t="s">
        <v>111</v>
      </c>
      <c r="J521" s="58">
        <v>18771183</v>
      </c>
      <c r="K521" s="1" t="s">
        <v>112</v>
      </c>
      <c r="N521" s="1">
        <v>1</v>
      </c>
      <c r="O521" s="58"/>
      <c r="P521" s="58">
        <v>731088.18</v>
      </c>
      <c r="Q521" t="s">
        <v>118</v>
      </c>
      <c r="R521" s="1" t="s">
        <v>48</v>
      </c>
    </row>
    <row r="522" spans="3:18" x14ac:dyDescent="0.35">
      <c r="C522" t="s">
        <v>51</v>
      </c>
      <c r="D522" t="s">
        <v>60</v>
      </c>
      <c r="E522" t="s">
        <v>60</v>
      </c>
      <c r="F522" t="s">
        <v>46</v>
      </c>
      <c r="G522" s="58">
        <v>584201</v>
      </c>
      <c r="H522" s="1" t="s">
        <v>90</v>
      </c>
      <c r="I522" s="1" t="s">
        <v>108</v>
      </c>
      <c r="J522" s="58">
        <v>15773427</v>
      </c>
      <c r="K522" s="1" t="s">
        <v>106</v>
      </c>
      <c r="N522" s="1">
        <v>1</v>
      </c>
      <c r="O522" s="58"/>
      <c r="P522" s="58">
        <v>549148.93999999994</v>
      </c>
      <c r="Q522" t="s">
        <v>127</v>
      </c>
      <c r="R522" s="1" t="s">
        <v>90</v>
      </c>
    </row>
    <row r="523" spans="3:18" x14ac:dyDescent="0.35">
      <c r="C523" t="s">
        <v>51</v>
      </c>
      <c r="D523" t="s">
        <v>91</v>
      </c>
      <c r="E523" t="s">
        <v>49</v>
      </c>
      <c r="F523" t="s">
        <v>46</v>
      </c>
      <c r="G523" s="58">
        <v>561638</v>
      </c>
      <c r="H523" s="1" t="s">
        <v>48</v>
      </c>
      <c r="I523" s="1" t="s">
        <v>108</v>
      </c>
      <c r="J523" s="58">
        <v>16287502</v>
      </c>
      <c r="K523" s="1" t="s">
        <v>106</v>
      </c>
      <c r="L523" s="1" t="s">
        <v>124</v>
      </c>
      <c r="M523" s="1" t="s">
        <v>125</v>
      </c>
      <c r="N523" s="1">
        <v>1</v>
      </c>
      <c r="O523" s="58"/>
      <c r="P523" s="58">
        <v>393146.6</v>
      </c>
      <c r="Q523" t="s">
        <v>118</v>
      </c>
      <c r="R523" s="1" t="s">
        <v>158</v>
      </c>
    </row>
    <row r="524" spans="3:18" x14ac:dyDescent="0.35">
      <c r="C524" t="s">
        <v>51</v>
      </c>
      <c r="D524" t="s">
        <v>24</v>
      </c>
      <c r="E524" t="s">
        <v>49</v>
      </c>
      <c r="F524" t="s">
        <v>46</v>
      </c>
      <c r="G524" s="58">
        <v>2312798</v>
      </c>
      <c r="H524" s="1" t="s">
        <v>48</v>
      </c>
      <c r="I524" s="1" t="s">
        <v>119</v>
      </c>
      <c r="J524" s="58">
        <v>18502384</v>
      </c>
      <c r="K524" s="1" t="s">
        <v>106</v>
      </c>
      <c r="L524" s="1" t="s">
        <v>124</v>
      </c>
      <c r="M524" s="1" t="s">
        <v>121</v>
      </c>
      <c r="N524" s="1">
        <v>1</v>
      </c>
      <c r="O524" s="58"/>
      <c r="P524" s="58">
        <v>531943.54</v>
      </c>
      <c r="Q524" t="s">
        <v>107</v>
      </c>
      <c r="R524" s="1" t="s">
        <v>158</v>
      </c>
    </row>
    <row r="525" spans="3:18" x14ac:dyDescent="0.35">
      <c r="C525" t="s">
        <v>51</v>
      </c>
      <c r="D525" t="s">
        <v>22</v>
      </c>
      <c r="E525" t="s">
        <v>45</v>
      </c>
      <c r="F525" t="s">
        <v>46</v>
      </c>
      <c r="G525" s="58">
        <v>4758890</v>
      </c>
      <c r="H525" s="1" t="s">
        <v>54</v>
      </c>
      <c r="I525" s="1" t="s">
        <v>119</v>
      </c>
      <c r="J525" s="58">
        <v>38071120</v>
      </c>
      <c r="K525" s="1" t="s">
        <v>106</v>
      </c>
      <c r="L525" s="1" t="s">
        <v>120</v>
      </c>
      <c r="N525" s="1">
        <v>1</v>
      </c>
      <c r="O525" s="58"/>
      <c r="P525" s="58">
        <v>2189089.4</v>
      </c>
      <c r="Q525" t="s">
        <v>113</v>
      </c>
      <c r="R525" s="1" t="s">
        <v>158</v>
      </c>
    </row>
    <row r="526" spans="3:18" x14ac:dyDescent="0.35">
      <c r="C526" t="s">
        <v>51</v>
      </c>
      <c r="D526" t="s">
        <v>21</v>
      </c>
      <c r="E526" t="s">
        <v>49</v>
      </c>
      <c r="F526" t="s">
        <v>46</v>
      </c>
      <c r="G526" s="58">
        <v>182858</v>
      </c>
      <c r="H526" s="1" t="s">
        <v>48</v>
      </c>
      <c r="I526" s="1" t="s">
        <v>108</v>
      </c>
      <c r="J526" s="58">
        <v>4754308</v>
      </c>
      <c r="K526" s="1" t="s">
        <v>106</v>
      </c>
      <c r="L526" s="1" t="s">
        <v>120</v>
      </c>
      <c r="M526" s="1" t="s">
        <v>125</v>
      </c>
      <c r="N526" s="1">
        <v>1</v>
      </c>
      <c r="O526" s="58"/>
      <c r="P526" s="58">
        <v>51200.24</v>
      </c>
      <c r="Q526" t="s">
        <v>107</v>
      </c>
      <c r="R526" s="1" t="s">
        <v>48</v>
      </c>
    </row>
    <row r="527" spans="3:18" x14ac:dyDescent="0.35">
      <c r="C527" t="s">
        <v>53</v>
      </c>
      <c r="D527" t="s">
        <v>20</v>
      </c>
      <c r="E527" t="s">
        <v>49</v>
      </c>
      <c r="F527" t="s">
        <v>46</v>
      </c>
      <c r="G527" s="58">
        <v>8009723</v>
      </c>
      <c r="H527" s="1" t="s">
        <v>47</v>
      </c>
      <c r="I527" s="1" t="s">
        <v>105</v>
      </c>
      <c r="J527" s="58">
        <v>32038892</v>
      </c>
      <c r="K527" s="1" t="s">
        <v>106</v>
      </c>
      <c r="L527" s="1" t="s">
        <v>124</v>
      </c>
      <c r="N527" s="1">
        <v>1</v>
      </c>
      <c r="O527" s="58"/>
      <c r="P527" s="58">
        <v>7368945.1600000001</v>
      </c>
      <c r="Q527" t="s">
        <v>127</v>
      </c>
      <c r="R527" s="1" t="s">
        <v>158</v>
      </c>
    </row>
    <row r="528" spans="3:18" x14ac:dyDescent="0.35">
      <c r="C528" t="s">
        <v>53</v>
      </c>
      <c r="D528" t="s">
        <v>92</v>
      </c>
      <c r="E528" t="s">
        <v>45</v>
      </c>
      <c r="F528" t="s">
        <v>46</v>
      </c>
      <c r="G528" s="58">
        <v>280783</v>
      </c>
      <c r="H528" s="1" t="s">
        <v>59</v>
      </c>
      <c r="I528" s="1" t="s">
        <v>108</v>
      </c>
      <c r="J528" s="58">
        <v>5615660</v>
      </c>
      <c r="K528" s="1" t="s">
        <v>106</v>
      </c>
      <c r="L528" s="1" t="s">
        <v>120</v>
      </c>
      <c r="N528" s="1">
        <v>1</v>
      </c>
      <c r="O528" s="58"/>
      <c r="P528" s="58">
        <v>213395.08</v>
      </c>
      <c r="Q528" t="s">
        <v>118</v>
      </c>
      <c r="R528" s="1" t="s">
        <v>158</v>
      </c>
    </row>
    <row r="529" spans="3:18" x14ac:dyDescent="0.35">
      <c r="C529" t="s">
        <v>53</v>
      </c>
      <c r="D529" t="s">
        <v>24</v>
      </c>
      <c r="E529" t="s">
        <v>55</v>
      </c>
      <c r="F529" t="s">
        <v>46</v>
      </c>
      <c r="G529" s="58">
        <v>415874</v>
      </c>
      <c r="H529" s="1" t="s">
        <v>54</v>
      </c>
      <c r="I529" s="1" t="s">
        <v>111</v>
      </c>
      <c r="J529" s="58">
        <v>4990488</v>
      </c>
      <c r="K529" s="1" t="s">
        <v>106</v>
      </c>
      <c r="L529" s="1" t="s">
        <v>114</v>
      </c>
      <c r="N529" s="1">
        <v>1</v>
      </c>
      <c r="O529" s="58"/>
      <c r="P529" s="58">
        <v>83174.8</v>
      </c>
      <c r="Q529" t="s">
        <v>107</v>
      </c>
      <c r="R529" s="1" t="s">
        <v>158</v>
      </c>
    </row>
    <row r="530" spans="3:18" x14ac:dyDescent="0.35">
      <c r="C530" t="s">
        <v>51</v>
      </c>
      <c r="D530" t="s">
        <v>21</v>
      </c>
      <c r="E530" t="s">
        <v>45</v>
      </c>
      <c r="F530" t="s">
        <v>46</v>
      </c>
      <c r="G530" s="58">
        <v>11326613</v>
      </c>
      <c r="H530" s="1" t="s">
        <v>48</v>
      </c>
      <c r="I530" s="1" t="s">
        <v>111</v>
      </c>
      <c r="J530" s="58">
        <v>192552421</v>
      </c>
      <c r="K530" s="1" t="s">
        <v>106</v>
      </c>
      <c r="L530" s="1" t="s">
        <v>120</v>
      </c>
      <c r="M530" s="1" t="s">
        <v>126</v>
      </c>
      <c r="N530" s="1">
        <v>1</v>
      </c>
      <c r="O530" s="58"/>
      <c r="P530" s="58">
        <v>7588830.71</v>
      </c>
      <c r="Q530" t="s">
        <v>118</v>
      </c>
      <c r="R530" s="1" t="s">
        <v>158</v>
      </c>
    </row>
    <row r="531" spans="3:18" x14ac:dyDescent="0.35">
      <c r="C531" t="s">
        <v>53</v>
      </c>
      <c r="D531" t="s">
        <v>19</v>
      </c>
      <c r="E531" t="s">
        <v>49</v>
      </c>
      <c r="F531" t="s">
        <v>46</v>
      </c>
      <c r="G531" s="58">
        <v>97506</v>
      </c>
      <c r="H531" s="1" t="s">
        <v>59</v>
      </c>
      <c r="I531" s="1" t="s">
        <v>119</v>
      </c>
      <c r="J531" s="58">
        <v>780048</v>
      </c>
      <c r="K531" s="1" t="s">
        <v>106</v>
      </c>
      <c r="L531" s="1" t="s">
        <v>124</v>
      </c>
      <c r="N531" s="1">
        <v>1</v>
      </c>
      <c r="O531" s="58"/>
      <c r="P531" s="58">
        <v>56553.48</v>
      </c>
      <c r="Q531" t="s">
        <v>113</v>
      </c>
      <c r="R531" s="1" t="s">
        <v>158</v>
      </c>
    </row>
    <row r="532" spans="3:18" x14ac:dyDescent="0.35">
      <c r="C532" t="s">
        <v>51</v>
      </c>
      <c r="D532" t="s">
        <v>22</v>
      </c>
      <c r="E532" t="s">
        <v>49</v>
      </c>
      <c r="F532" t="s">
        <v>46</v>
      </c>
      <c r="G532" s="58">
        <v>56780569</v>
      </c>
      <c r="H532" s="1" t="s">
        <v>47</v>
      </c>
      <c r="I532" s="1" t="s">
        <v>108</v>
      </c>
      <c r="J532" s="58">
        <v>1646636501</v>
      </c>
      <c r="K532" s="1" t="s">
        <v>106</v>
      </c>
      <c r="L532" s="1" t="s">
        <v>124</v>
      </c>
      <c r="N532" s="1">
        <v>1</v>
      </c>
      <c r="O532" s="58"/>
      <c r="P532" s="58">
        <v>38610786.920000002</v>
      </c>
      <c r="Q532" t="s">
        <v>118</v>
      </c>
      <c r="R532" s="1" t="s">
        <v>158</v>
      </c>
    </row>
    <row r="533" spans="3:18" x14ac:dyDescent="0.35">
      <c r="C533" t="s">
        <v>51</v>
      </c>
      <c r="D533" t="s">
        <v>23</v>
      </c>
      <c r="E533" t="s">
        <v>49</v>
      </c>
      <c r="F533" t="s">
        <v>46</v>
      </c>
      <c r="G533" s="58">
        <v>174024096</v>
      </c>
      <c r="H533" s="1" t="s">
        <v>48</v>
      </c>
      <c r="I533" s="1" t="s">
        <v>108</v>
      </c>
      <c r="J533" s="58">
        <v>5568771072</v>
      </c>
      <c r="K533" s="1" t="s">
        <v>106</v>
      </c>
      <c r="L533" s="1" t="s">
        <v>124</v>
      </c>
      <c r="M533" s="1" t="s">
        <v>125</v>
      </c>
      <c r="N533" s="1">
        <v>1</v>
      </c>
      <c r="O533" s="58"/>
      <c r="P533" s="58">
        <v>125297349.12</v>
      </c>
      <c r="Q533" t="s">
        <v>118</v>
      </c>
      <c r="R533" s="1" t="s">
        <v>158</v>
      </c>
    </row>
    <row r="534" spans="3:18" x14ac:dyDescent="0.35">
      <c r="C534" t="s">
        <v>51</v>
      </c>
      <c r="D534" t="s">
        <v>23</v>
      </c>
      <c r="E534" t="s">
        <v>55</v>
      </c>
      <c r="F534" t="s">
        <v>46</v>
      </c>
      <c r="G534" s="58">
        <v>337546</v>
      </c>
      <c r="H534" s="1" t="s">
        <v>47</v>
      </c>
      <c r="I534" s="1" t="s">
        <v>119</v>
      </c>
      <c r="J534" s="58">
        <v>2362822</v>
      </c>
      <c r="K534" s="1" t="s">
        <v>106</v>
      </c>
      <c r="L534" s="1" t="s">
        <v>124</v>
      </c>
      <c r="N534" s="1">
        <v>1</v>
      </c>
      <c r="O534" s="58"/>
      <c r="P534" s="58">
        <v>74260.12</v>
      </c>
      <c r="Q534" t="s">
        <v>107</v>
      </c>
      <c r="R534" s="1" t="s">
        <v>158</v>
      </c>
    </row>
    <row r="535" spans="3:18" x14ac:dyDescent="0.35">
      <c r="C535" t="s">
        <v>53</v>
      </c>
      <c r="D535" t="s">
        <v>92</v>
      </c>
      <c r="E535" t="s">
        <v>45</v>
      </c>
      <c r="F535" t="s">
        <v>46</v>
      </c>
      <c r="G535" s="58">
        <v>3541319</v>
      </c>
      <c r="H535" s="1" t="s">
        <v>47</v>
      </c>
      <c r="I535" s="1" t="s">
        <v>111</v>
      </c>
      <c r="J535" s="58">
        <v>42495828</v>
      </c>
      <c r="K535" s="1" t="s">
        <v>106</v>
      </c>
      <c r="L535" s="1" t="s">
        <v>120</v>
      </c>
      <c r="N535" s="1">
        <v>1</v>
      </c>
      <c r="O535" s="58"/>
      <c r="P535" s="58">
        <v>2337270.54</v>
      </c>
      <c r="Q535" t="s">
        <v>118</v>
      </c>
      <c r="R535" s="1" t="s">
        <v>158</v>
      </c>
    </row>
    <row r="536" spans="3:18" x14ac:dyDescent="0.35">
      <c r="C536" t="s">
        <v>51</v>
      </c>
      <c r="D536" t="s">
        <v>24</v>
      </c>
      <c r="E536" t="s">
        <v>50</v>
      </c>
      <c r="F536" t="s">
        <v>46</v>
      </c>
      <c r="G536" s="58">
        <v>269146</v>
      </c>
      <c r="H536" s="1" t="s">
        <v>59</v>
      </c>
      <c r="I536" s="1" t="s">
        <v>108</v>
      </c>
      <c r="J536" s="58">
        <v>7266942</v>
      </c>
      <c r="K536" s="1" t="s">
        <v>106</v>
      </c>
      <c r="L536" s="1" t="s">
        <v>109</v>
      </c>
      <c r="N536" s="1">
        <v>1</v>
      </c>
      <c r="O536" s="58"/>
      <c r="P536" s="58">
        <v>236848.48</v>
      </c>
      <c r="Q536" t="s">
        <v>127</v>
      </c>
      <c r="R536" s="1" t="s">
        <v>158</v>
      </c>
    </row>
    <row r="537" spans="3:18" x14ac:dyDescent="0.35">
      <c r="C537" t="s">
        <v>51</v>
      </c>
      <c r="D537" t="s">
        <v>21</v>
      </c>
      <c r="E537" t="s">
        <v>49</v>
      </c>
      <c r="F537" t="s">
        <v>46</v>
      </c>
      <c r="G537" s="58">
        <v>316895</v>
      </c>
      <c r="H537" s="1" t="s">
        <v>48</v>
      </c>
      <c r="I537" s="1" t="s">
        <v>111</v>
      </c>
      <c r="J537" s="58">
        <v>3168950</v>
      </c>
      <c r="K537" s="1" t="s">
        <v>106</v>
      </c>
      <c r="L537" s="1" t="s">
        <v>120</v>
      </c>
      <c r="M537" s="1" t="s">
        <v>126</v>
      </c>
      <c r="N537" s="1">
        <v>1</v>
      </c>
      <c r="O537" s="58"/>
      <c r="P537" s="58">
        <v>190137</v>
      </c>
      <c r="Q537" t="s">
        <v>113</v>
      </c>
      <c r="R537" s="1" t="s">
        <v>158</v>
      </c>
    </row>
    <row r="538" spans="3:18" x14ac:dyDescent="0.35">
      <c r="C538" t="s">
        <v>51</v>
      </c>
      <c r="D538" t="s">
        <v>19</v>
      </c>
      <c r="E538" t="s">
        <v>55</v>
      </c>
      <c r="F538" t="s">
        <v>46</v>
      </c>
      <c r="G538" s="58">
        <v>2396052</v>
      </c>
      <c r="H538" s="1" t="s">
        <v>48</v>
      </c>
      <c r="I538" s="1" t="s">
        <v>111</v>
      </c>
      <c r="J538" s="58">
        <v>38336832</v>
      </c>
      <c r="K538" s="1" t="s">
        <v>106</v>
      </c>
      <c r="L538" s="1" t="s">
        <v>114</v>
      </c>
      <c r="M538" s="1" t="s">
        <v>122</v>
      </c>
      <c r="N538" s="1">
        <v>1</v>
      </c>
      <c r="O538" s="58"/>
      <c r="P538" s="58">
        <v>1174065.48</v>
      </c>
      <c r="Q538" t="s">
        <v>113</v>
      </c>
      <c r="R538" s="1" t="s">
        <v>158</v>
      </c>
    </row>
    <row r="539" spans="3:18" x14ac:dyDescent="0.35">
      <c r="C539" t="s">
        <v>51</v>
      </c>
      <c r="D539" t="s">
        <v>21</v>
      </c>
      <c r="E539" t="s">
        <v>45</v>
      </c>
      <c r="F539" t="s">
        <v>46</v>
      </c>
      <c r="G539" s="58">
        <v>1050788</v>
      </c>
      <c r="H539" s="1" t="s">
        <v>48</v>
      </c>
      <c r="I539" s="1" t="s">
        <v>111</v>
      </c>
      <c r="J539" s="58">
        <v>18914184</v>
      </c>
      <c r="K539" s="1" t="s">
        <v>106</v>
      </c>
      <c r="L539" s="1" t="s">
        <v>124</v>
      </c>
      <c r="M539" s="1" t="s">
        <v>126</v>
      </c>
      <c r="N539" s="1">
        <v>1</v>
      </c>
      <c r="O539" s="58"/>
      <c r="P539" s="58">
        <v>746059.48</v>
      </c>
      <c r="Q539" t="s">
        <v>118</v>
      </c>
      <c r="R539" s="1" t="s">
        <v>48</v>
      </c>
    </row>
    <row r="540" spans="3:18" x14ac:dyDescent="0.35">
      <c r="C540" t="s">
        <v>51</v>
      </c>
      <c r="D540" t="s">
        <v>21</v>
      </c>
      <c r="E540" t="s">
        <v>55</v>
      </c>
      <c r="F540" t="s">
        <v>46</v>
      </c>
      <c r="G540" s="58">
        <v>33319</v>
      </c>
      <c r="H540" s="1" t="s">
        <v>48</v>
      </c>
      <c r="I540" s="1" t="s">
        <v>111</v>
      </c>
      <c r="J540" s="58">
        <v>566423</v>
      </c>
      <c r="K540" s="1" t="s">
        <v>106</v>
      </c>
      <c r="L540" s="1" t="s">
        <v>120</v>
      </c>
      <c r="M540" s="1" t="s">
        <v>115</v>
      </c>
      <c r="N540" s="1">
        <v>1</v>
      </c>
      <c r="O540" s="58"/>
      <c r="P540" s="58">
        <v>5664.23</v>
      </c>
      <c r="Q540" t="s">
        <v>107</v>
      </c>
      <c r="R540" s="1" t="s">
        <v>48</v>
      </c>
    </row>
    <row r="541" spans="3:18" x14ac:dyDescent="0.35">
      <c r="C541" t="s">
        <v>51</v>
      </c>
      <c r="D541" t="s">
        <v>24</v>
      </c>
      <c r="E541" t="s">
        <v>55</v>
      </c>
      <c r="F541" t="s">
        <v>46</v>
      </c>
      <c r="G541" s="58">
        <v>4733616</v>
      </c>
      <c r="H541" s="1" t="s">
        <v>54</v>
      </c>
      <c r="I541" s="1" t="s">
        <v>111</v>
      </c>
      <c r="J541" s="58">
        <v>85205088</v>
      </c>
      <c r="K541" s="1" t="s">
        <v>106</v>
      </c>
      <c r="L541" s="1" t="s">
        <v>114</v>
      </c>
      <c r="N541" s="1">
        <v>1</v>
      </c>
      <c r="O541" s="58"/>
      <c r="P541" s="58">
        <v>3171522.72</v>
      </c>
      <c r="Q541" t="s">
        <v>118</v>
      </c>
      <c r="R541" s="1" t="s">
        <v>158</v>
      </c>
    </row>
    <row r="542" spans="3:18" x14ac:dyDescent="0.35">
      <c r="C542" t="s">
        <v>51</v>
      </c>
      <c r="D542" t="s">
        <v>22</v>
      </c>
      <c r="E542" t="s">
        <v>45</v>
      </c>
      <c r="F542" t="s">
        <v>46</v>
      </c>
      <c r="G542" s="58">
        <v>345622</v>
      </c>
      <c r="H542" s="1" t="s">
        <v>56</v>
      </c>
      <c r="I542" s="1" t="s">
        <v>119</v>
      </c>
      <c r="J542" s="58">
        <v>3110598</v>
      </c>
      <c r="K542" s="1" t="s">
        <v>112</v>
      </c>
      <c r="N542" s="1">
        <v>1</v>
      </c>
      <c r="O542" s="58"/>
      <c r="P542" s="58">
        <v>162442.34</v>
      </c>
      <c r="Q542" t="s">
        <v>113</v>
      </c>
      <c r="R542" s="1" t="s">
        <v>158</v>
      </c>
    </row>
    <row r="543" spans="3:18" x14ac:dyDescent="0.35">
      <c r="C543" t="s">
        <v>51</v>
      </c>
      <c r="D543" t="s">
        <v>23</v>
      </c>
      <c r="E543" t="s">
        <v>45</v>
      </c>
      <c r="F543" t="s">
        <v>46</v>
      </c>
      <c r="G543" s="58">
        <v>4310991</v>
      </c>
      <c r="H543" s="1" t="s">
        <v>59</v>
      </c>
      <c r="I543" s="1" t="s">
        <v>108</v>
      </c>
      <c r="J543" s="58">
        <v>142262703</v>
      </c>
      <c r="K543" s="1" t="s">
        <v>112</v>
      </c>
      <c r="N543" s="1">
        <v>1</v>
      </c>
      <c r="O543" s="58"/>
      <c r="P543" s="58">
        <v>2974583.79</v>
      </c>
      <c r="Q543" t="s">
        <v>118</v>
      </c>
      <c r="R543" s="1" t="s">
        <v>158</v>
      </c>
    </row>
    <row r="544" spans="3:18" x14ac:dyDescent="0.35">
      <c r="C544" t="s">
        <v>51</v>
      </c>
      <c r="D544" t="s">
        <v>24</v>
      </c>
      <c r="E544" t="s">
        <v>62</v>
      </c>
      <c r="F544" t="s">
        <v>46</v>
      </c>
      <c r="G544" s="58">
        <v>185199</v>
      </c>
      <c r="H544" s="1" t="s">
        <v>48</v>
      </c>
      <c r="I544" s="1" t="s">
        <v>108</v>
      </c>
      <c r="J544" s="58">
        <v>5555970</v>
      </c>
      <c r="K544" s="1" t="s">
        <v>106</v>
      </c>
      <c r="L544" s="1" t="s">
        <v>120</v>
      </c>
      <c r="M544" s="1" t="s">
        <v>121</v>
      </c>
      <c r="N544" s="1">
        <v>1</v>
      </c>
      <c r="O544" s="58"/>
      <c r="P544" s="58">
        <v>127787.31</v>
      </c>
      <c r="Q544" t="s">
        <v>118</v>
      </c>
      <c r="R544" s="1" t="s">
        <v>48</v>
      </c>
    </row>
    <row r="545" spans="3:18" x14ac:dyDescent="0.35">
      <c r="C545" t="s">
        <v>51</v>
      </c>
      <c r="D545" t="s">
        <v>24</v>
      </c>
      <c r="E545" t="s">
        <v>50</v>
      </c>
      <c r="F545" t="s">
        <v>46</v>
      </c>
      <c r="G545" s="58">
        <v>56057</v>
      </c>
      <c r="H545" s="1" t="s">
        <v>48</v>
      </c>
      <c r="I545" s="1" t="s">
        <v>111</v>
      </c>
      <c r="J545" s="58">
        <v>1121140</v>
      </c>
      <c r="K545" s="1" t="s">
        <v>106</v>
      </c>
      <c r="L545" s="1" t="s">
        <v>114</v>
      </c>
      <c r="M545" s="1" t="s">
        <v>121</v>
      </c>
      <c r="N545" s="1">
        <v>1</v>
      </c>
      <c r="O545" s="58"/>
      <c r="P545" s="58">
        <v>19619.95</v>
      </c>
      <c r="Q545" t="s">
        <v>107</v>
      </c>
      <c r="R545" s="1" t="s">
        <v>158</v>
      </c>
    </row>
    <row r="546" spans="3:18" x14ac:dyDescent="0.35">
      <c r="C546" t="s">
        <v>53</v>
      </c>
      <c r="D546" t="s">
        <v>21</v>
      </c>
      <c r="E546" t="s">
        <v>49</v>
      </c>
      <c r="F546" t="s">
        <v>46</v>
      </c>
      <c r="G546" s="58">
        <v>28065849</v>
      </c>
      <c r="H546" s="1" t="s">
        <v>47</v>
      </c>
      <c r="I546" s="1" t="s">
        <v>111</v>
      </c>
      <c r="J546" s="58">
        <v>336790188</v>
      </c>
      <c r="K546" s="1" t="s">
        <v>106</v>
      </c>
      <c r="L546" s="1" t="s">
        <v>124</v>
      </c>
      <c r="N546" s="1">
        <v>1</v>
      </c>
      <c r="O546" s="58"/>
      <c r="P546" s="58">
        <v>14032924.5</v>
      </c>
      <c r="Q546" t="s">
        <v>113</v>
      </c>
      <c r="R546" s="1" t="s">
        <v>158</v>
      </c>
    </row>
    <row r="547" spans="3:18" x14ac:dyDescent="0.35">
      <c r="C547" t="s">
        <v>51</v>
      </c>
      <c r="D547" t="s">
        <v>19</v>
      </c>
      <c r="E547" t="s">
        <v>49</v>
      </c>
      <c r="F547" t="s">
        <v>46</v>
      </c>
      <c r="G547" s="58">
        <v>655179</v>
      </c>
      <c r="H547" s="1" t="s">
        <v>54</v>
      </c>
      <c r="I547" s="1" t="s">
        <v>108</v>
      </c>
      <c r="J547" s="58">
        <v>13758759</v>
      </c>
      <c r="K547" s="1" t="s">
        <v>106</v>
      </c>
      <c r="L547" s="1" t="s">
        <v>120</v>
      </c>
      <c r="N547" s="1">
        <v>1</v>
      </c>
      <c r="O547" s="58"/>
      <c r="P547" s="58">
        <v>373452.03</v>
      </c>
      <c r="Q547" t="s">
        <v>113</v>
      </c>
      <c r="R547" s="1" t="s">
        <v>158</v>
      </c>
    </row>
    <row r="548" spans="3:18" x14ac:dyDescent="0.35">
      <c r="C548" t="s">
        <v>53</v>
      </c>
      <c r="D548" t="s">
        <v>22</v>
      </c>
      <c r="E548" t="s">
        <v>45</v>
      </c>
      <c r="F548" t="s">
        <v>46</v>
      </c>
      <c r="G548" s="58">
        <v>4671004</v>
      </c>
      <c r="H548" s="1" t="s">
        <v>58</v>
      </c>
      <c r="I548" s="1" t="s">
        <v>119</v>
      </c>
      <c r="J548" s="58">
        <v>32697028</v>
      </c>
      <c r="K548" s="1" t="s">
        <v>106</v>
      </c>
      <c r="L548" s="1" t="s">
        <v>120</v>
      </c>
      <c r="N548" s="1">
        <v>1</v>
      </c>
      <c r="O548" s="58"/>
      <c r="P548" s="58">
        <v>373680.32</v>
      </c>
      <c r="Q548" t="s">
        <v>107</v>
      </c>
      <c r="R548" s="1" t="s">
        <v>158</v>
      </c>
    </row>
    <row r="549" spans="3:18" x14ac:dyDescent="0.35">
      <c r="C549" t="s">
        <v>51</v>
      </c>
      <c r="D549" t="s">
        <v>21</v>
      </c>
      <c r="E549" t="s">
        <v>49</v>
      </c>
      <c r="F549" t="s">
        <v>46</v>
      </c>
      <c r="G549" s="58">
        <v>309746178</v>
      </c>
      <c r="H549" s="1" t="s">
        <v>47</v>
      </c>
      <c r="I549" s="1" t="s">
        <v>111</v>
      </c>
      <c r="J549" s="58">
        <v>4955938848</v>
      </c>
      <c r="K549" s="1" t="s">
        <v>106</v>
      </c>
      <c r="L549" s="1" t="s">
        <v>124</v>
      </c>
      <c r="N549" s="1">
        <v>1</v>
      </c>
      <c r="O549" s="58"/>
      <c r="P549" s="58">
        <v>151775627.22</v>
      </c>
      <c r="Q549" t="s">
        <v>113</v>
      </c>
      <c r="R549" s="1" t="s">
        <v>158</v>
      </c>
    </row>
    <row r="550" spans="3:18" x14ac:dyDescent="0.35">
      <c r="C550" t="s">
        <v>51</v>
      </c>
      <c r="D550" t="s">
        <v>23</v>
      </c>
      <c r="E550" t="s">
        <v>45</v>
      </c>
      <c r="F550" t="s">
        <v>46</v>
      </c>
      <c r="G550" s="58">
        <v>28636763</v>
      </c>
      <c r="H550" s="1" t="s">
        <v>56</v>
      </c>
      <c r="I550" s="1" t="s">
        <v>119</v>
      </c>
      <c r="J550" s="58">
        <v>200457341</v>
      </c>
      <c r="K550" s="1" t="s">
        <v>106</v>
      </c>
      <c r="L550" s="1" t="s">
        <v>120</v>
      </c>
      <c r="N550" s="1">
        <v>1</v>
      </c>
      <c r="O550" s="58"/>
      <c r="P550" s="58">
        <v>6872823.1200000001</v>
      </c>
      <c r="Q550" t="s">
        <v>107</v>
      </c>
      <c r="R550" s="1" t="s">
        <v>158</v>
      </c>
    </row>
    <row r="551" spans="3:18" x14ac:dyDescent="0.35">
      <c r="C551" t="s">
        <v>53</v>
      </c>
      <c r="D551" t="s">
        <v>19</v>
      </c>
      <c r="E551" t="s">
        <v>49</v>
      </c>
      <c r="F551" t="s">
        <v>46</v>
      </c>
      <c r="G551" s="58">
        <v>1828074</v>
      </c>
      <c r="H551" s="1" t="s">
        <v>47</v>
      </c>
      <c r="I551" s="1" t="s">
        <v>105</v>
      </c>
      <c r="J551" s="58">
        <v>5484222</v>
      </c>
      <c r="K551" s="1" t="s">
        <v>106</v>
      </c>
      <c r="L551" s="1" t="s">
        <v>124</v>
      </c>
      <c r="N551" s="1">
        <v>1</v>
      </c>
      <c r="O551" s="58"/>
      <c r="P551" s="58">
        <v>1206528.8400000001</v>
      </c>
      <c r="Q551" t="s">
        <v>118</v>
      </c>
      <c r="R551" s="1" t="s">
        <v>158</v>
      </c>
    </row>
    <row r="552" spans="3:18" x14ac:dyDescent="0.35">
      <c r="C552" t="s">
        <v>51</v>
      </c>
      <c r="D552" t="s">
        <v>22</v>
      </c>
      <c r="E552" t="s">
        <v>55</v>
      </c>
      <c r="F552" t="s">
        <v>46</v>
      </c>
      <c r="G552" s="58">
        <v>122821329</v>
      </c>
      <c r="H552" s="1" t="s">
        <v>48</v>
      </c>
      <c r="I552" s="1" t="s">
        <v>108</v>
      </c>
      <c r="J552" s="58">
        <v>3930282528</v>
      </c>
      <c r="K552" s="1" t="s">
        <v>106</v>
      </c>
      <c r="L552" s="1" t="s">
        <v>114</v>
      </c>
      <c r="M552" s="1" t="s">
        <v>115</v>
      </c>
      <c r="N552" s="1">
        <v>1</v>
      </c>
      <c r="O552" s="58"/>
      <c r="P552" s="58">
        <v>87203143.590000004</v>
      </c>
      <c r="Q552" t="s">
        <v>118</v>
      </c>
      <c r="R552" s="1" t="s">
        <v>48</v>
      </c>
    </row>
    <row r="553" spans="3:18" x14ac:dyDescent="0.35">
      <c r="C553" t="s">
        <v>51</v>
      </c>
      <c r="D553" t="s">
        <v>23</v>
      </c>
      <c r="E553" t="s">
        <v>49</v>
      </c>
      <c r="F553" t="s">
        <v>46</v>
      </c>
      <c r="G553" s="58">
        <v>375997</v>
      </c>
      <c r="H553" s="1" t="s">
        <v>54</v>
      </c>
      <c r="I553" s="1" t="s">
        <v>105</v>
      </c>
      <c r="J553" s="58">
        <v>751994</v>
      </c>
      <c r="K553" s="1" t="s">
        <v>106</v>
      </c>
      <c r="L553" s="1" t="s">
        <v>124</v>
      </c>
      <c r="N553" s="1">
        <v>1</v>
      </c>
      <c r="O553" s="58"/>
      <c r="P553" s="58">
        <v>26319.79</v>
      </c>
      <c r="Q553" t="s">
        <v>107</v>
      </c>
      <c r="R553" s="1" t="s">
        <v>158</v>
      </c>
    </row>
    <row r="554" spans="3:18" x14ac:dyDescent="0.35">
      <c r="C554" t="s">
        <v>51</v>
      </c>
      <c r="D554" t="s">
        <v>24</v>
      </c>
      <c r="E554" t="s">
        <v>55</v>
      </c>
      <c r="F554" t="s">
        <v>46</v>
      </c>
      <c r="G554" s="58">
        <v>73444</v>
      </c>
      <c r="H554" s="1" t="s">
        <v>48</v>
      </c>
      <c r="I554" s="1" t="s">
        <v>108</v>
      </c>
      <c r="J554" s="58">
        <v>2350208</v>
      </c>
      <c r="K554" s="1" t="s">
        <v>106</v>
      </c>
      <c r="L554" s="1" t="s">
        <v>120</v>
      </c>
      <c r="M554" s="1" t="s">
        <v>121</v>
      </c>
      <c r="N554" s="1">
        <v>1</v>
      </c>
      <c r="O554" s="58"/>
      <c r="P554" s="58">
        <v>69037.36</v>
      </c>
      <c r="Q554" t="s">
        <v>127</v>
      </c>
      <c r="R554" s="1" t="s">
        <v>158</v>
      </c>
    </row>
    <row r="555" spans="3:18" x14ac:dyDescent="0.35">
      <c r="C555" t="s">
        <v>51</v>
      </c>
      <c r="D555" t="s">
        <v>22</v>
      </c>
      <c r="E555" t="s">
        <v>52</v>
      </c>
      <c r="F555" t="s">
        <v>46</v>
      </c>
      <c r="G555" s="58">
        <v>950295</v>
      </c>
      <c r="H555" s="1" t="s">
        <v>48</v>
      </c>
      <c r="I555" s="1" t="s">
        <v>108</v>
      </c>
      <c r="J555" s="58">
        <v>33260325</v>
      </c>
      <c r="K555" s="1" t="s">
        <v>106</v>
      </c>
      <c r="L555" s="1" t="s">
        <v>120</v>
      </c>
      <c r="M555" s="1" t="s">
        <v>115</v>
      </c>
      <c r="N555" s="1">
        <v>1</v>
      </c>
      <c r="O555" s="58"/>
      <c r="P555" s="58">
        <v>703218.3</v>
      </c>
      <c r="Q555" t="s">
        <v>118</v>
      </c>
      <c r="R555" s="1" t="s">
        <v>48</v>
      </c>
    </row>
    <row r="556" spans="3:18" x14ac:dyDescent="0.35">
      <c r="C556" t="s">
        <v>53</v>
      </c>
      <c r="D556" t="s">
        <v>22</v>
      </c>
      <c r="E556" t="s">
        <v>45</v>
      </c>
      <c r="F556" t="s">
        <v>46</v>
      </c>
      <c r="G556" s="58">
        <v>4469084</v>
      </c>
      <c r="H556" s="1" t="s">
        <v>54</v>
      </c>
      <c r="I556" s="1" t="s">
        <v>105</v>
      </c>
      <c r="J556" s="58">
        <v>8938168</v>
      </c>
      <c r="K556" s="1" t="s">
        <v>106</v>
      </c>
      <c r="L556" s="1" t="s">
        <v>120</v>
      </c>
      <c r="N556" s="1">
        <v>1</v>
      </c>
      <c r="O556" s="58"/>
      <c r="P556" s="58">
        <v>2860213.76</v>
      </c>
      <c r="Q556" t="s">
        <v>118</v>
      </c>
      <c r="R556" s="1" t="s">
        <v>158</v>
      </c>
    </row>
    <row r="557" spans="3:18" x14ac:dyDescent="0.35">
      <c r="C557" t="s">
        <v>53</v>
      </c>
      <c r="D557" t="s">
        <v>22</v>
      </c>
      <c r="E557" t="s">
        <v>49</v>
      </c>
      <c r="F557" t="s">
        <v>46</v>
      </c>
      <c r="G557" s="58">
        <v>2848811</v>
      </c>
      <c r="H557" s="1" t="s">
        <v>47</v>
      </c>
      <c r="I557" s="1" t="s">
        <v>128</v>
      </c>
      <c r="J557" s="58"/>
      <c r="K557" s="1" t="s">
        <v>106</v>
      </c>
      <c r="L557" s="1" t="s">
        <v>124</v>
      </c>
      <c r="N557" s="1">
        <v>0</v>
      </c>
      <c r="O557" s="58"/>
      <c r="P557" s="58">
        <v>484297.87</v>
      </c>
      <c r="Q557" t="s">
        <v>107</v>
      </c>
      <c r="R557" s="1" t="s">
        <v>158</v>
      </c>
    </row>
    <row r="558" spans="3:18" x14ac:dyDescent="0.35">
      <c r="C558" t="s">
        <v>51</v>
      </c>
      <c r="D558" t="s">
        <v>23</v>
      </c>
      <c r="E558" t="s">
        <v>55</v>
      </c>
      <c r="F558" t="s">
        <v>46</v>
      </c>
      <c r="G558" s="58">
        <v>99833</v>
      </c>
      <c r="H558" s="1" t="s">
        <v>58</v>
      </c>
      <c r="I558" s="1" t="s">
        <v>111</v>
      </c>
      <c r="J558" s="58">
        <v>1397662</v>
      </c>
      <c r="K558" s="1" t="s">
        <v>106</v>
      </c>
      <c r="L558" s="1" t="s">
        <v>120</v>
      </c>
      <c r="N558" s="1">
        <v>1</v>
      </c>
      <c r="O558" s="58"/>
      <c r="P558" s="58">
        <v>44924.85</v>
      </c>
      <c r="Q558" t="s">
        <v>113</v>
      </c>
      <c r="R558" s="1" t="s">
        <v>158</v>
      </c>
    </row>
    <row r="559" spans="3:18" x14ac:dyDescent="0.35">
      <c r="C559" t="s">
        <v>51</v>
      </c>
      <c r="D559" t="s">
        <v>21</v>
      </c>
      <c r="E559" t="s">
        <v>50</v>
      </c>
      <c r="F559" t="s">
        <v>46</v>
      </c>
      <c r="G559" s="58">
        <v>829113</v>
      </c>
      <c r="H559" s="1" t="s">
        <v>48</v>
      </c>
      <c r="I559" s="1" t="s">
        <v>119</v>
      </c>
      <c r="J559" s="58">
        <v>5803791</v>
      </c>
      <c r="K559" s="1" t="s">
        <v>106</v>
      </c>
      <c r="L559" s="1" t="s">
        <v>109</v>
      </c>
      <c r="M559" s="1" t="s">
        <v>126</v>
      </c>
      <c r="N559" s="1">
        <v>1</v>
      </c>
      <c r="O559" s="58"/>
      <c r="P559" s="58">
        <v>431138.76</v>
      </c>
      <c r="Q559" t="s">
        <v>113</v>
      </c>
      <c r="R559" s="1" t="s">
        <v>48</v>
      </c>
    </row>
    <row r="560" spans="3:18" x14ac:dyDescent="0.35">
      <c r="C560" t="s">
        <v>51</v>
      </c>
      <c r="D560" t="s">
        <v>19</v>
      </c>
      <c r="E560" t="s">
        <v>45</v>
      </c>
      <c r="F560" t="s">
        <v>46</v>
      </c>
      <c r="G560" s="58">
        <v>246498</v>
      </c>
      <c r="H560" s="1" t="s">
        <v>48</v>
      </c>
      <c r="I560" s="1" t="s">
        <v>108</v>
      </c>
      <c r="J560" s="58">
        <v>6655446</v>
      </c>
      <c r="K560" s="1" t="s">
        <v>106</v>
      </c>
      <c r="L560" s="1" t="s">
        <v>120</v>
      </c>
      <c r="M560" s="1" t="s">
        <v>122</v>
      </c>
      <c r="N560" s="1">
        <v>1</v>
      </c>
      <c r="O560" s="58"/>
      <c r="P560" s="58">
        <v>202128.36</v>
      </c>
      <c r="Q560" t="s">
        <v>127</v>
      </c>
      <c r="R560" s="1" t="s">
        <v>48</v>
      </c>
    </row>
    <row r="561" spans="3:18" x14ac:dyDescent="0.35">
      <c r="C561" t="s">
        <v>51</v>
      </c>
      <c r="D561" t="s">
        <v>21</v>
      </c>
      <c r="E561" t="s">
        <v>55</v>
      </c>
      <c r="F561" t="s">
        <v>46</v>
      </c>
      <c r="G561" s="58">
        <v>30381309</v>
      </c>
      <c r="H561" s="1" t="s">
        <v>48</v>
      </c>
      <c r="I561" s="1" t="s">
        <v>108</v>
      </c>
      <c r="J561" s="58">
        <v>972201888</v>
      </c>
      <c r="K561" s="1" t="s">
        <v>106</v>
      </c>
      <c r="L561" s="1" t="s">
        <v>114</v>
      </c>
      <c r="M561" s="1" t="s">
        <v>126</v>
      </c>
      <c r="N561" s="1">
        <v>1</v>
      </c>
      <c r="O561" s="58"/>
      <c r="P561" s="58">
        <v>21874542.48</v>
      </c>
      <c r="Q561" t="s">
        <v>118</v>
      </c>
      <c r="R561" s="1" t="s">
        <v>158</v>
      </c>
    </row>
    <row r="562" spans="3:18" x14ac:dyDescent="0.35">
      <c r="C562" t="s">
        <v>51</v>
      </c>
      <c r="D562" t="s">
        <v>92</v>
      </c>
      <c r="E562" t="s">
        <v>49</v>
      </c>
      <c r="F562" t="s">
        <v>46</v>
      </c>
      <c r="G562" s="58">
        <v>11928906</v>
      </c>
      <c r="H562" s="1" t="s">
        <v>59</v>
      </c>
      <c r="I562" s="1" t="s">
        <v>119</v>
      </c>
      <c r="J562" s="58">
        <v>83502342</v>
      </c>
      <c r="K562" s="1" t="s">
        <v>106</v>
      </c>
      <c r="L562" s="1" t="s">
        <v>124</v>
      </c>
      <c r="N562" s="1">
        <v>1</v>
      </c>
      <c r="O562" s="58"/>
      <c r="P562" s="58">
        <v>2743648.38</v>
      </c>
      <c r="Q562" t="s">
        <v>107</v>
      </c>
      <c r="R562" s="1" t="s">
        <v>158</v>
      </c>
    </row>
    <row r="563" spans="3:18" x14ac:dyDescent="0.35">
      <c r="C563" t="s">
        <v>51</v>
      </c>
      <c r="D563" t="s">
        <v>23</v>
      </c>
      <c r="E563" t="s">
        <v>45</v>
      </c>
      <c r="F563" t="s">
        <v>46</v>
      </c>
      <c r="G563" s="58">
        <v>1139867</v>
      </c>
      <c r="H563" s="1" t="s">
        <v>47</v>
      </c>
      <c r="I563" s="1" t="s">
        <v>119</v>
      </c>
      <c r="J563" s="58">
        <v>9118936</v>
      </c>
      <c r="K563" s="1" t="s">
        <v>106</v>
      </c>
      <c r="L563" s="1" t="s">
        <v>124</v>
      </c>
      <c r="N563" s="1">
        <v>1</v>
      </c>
      <c r="O563" s="58"/>
      <c r="P563" s="58">
        <v>273568.08</v>
      </c>
      <c r="Q563" t="s">
        <v>107</v>
      </c>
      <c r="R563" s="1" t="s">
        <v>158</v>
      </c>
    </row>
    <row r="564" spans="3:18" x14ac:dyDescent="0.35">
      <c r="C564" t="s">
        <v>51</v>
      </c>
      <c r="D564" t="s">
        <v>24</v>
      </c>
      <c r="E564" t="s">
        <v>50</v>
      </c>
      <c r="F564" t="s">
        <v>46</v>
      </c>
      <c r="G564" s="58">
        <v>8647456</v>
      </c>
      <c r="H564" s="1" t="s">
        <v>47</v>
      </c>
      <c r="I564" s="1" t="s">
        <v>108</v>
      </c>
      <c r="J564" s="58">
        <v>276718592</v>
      </c>
      <c r="K564" s="1" t="s">
        <v>106</v>
      </c>
      <c r="L564" s="1" t="s">
        <v>109</v>
      </c>
      <c r="N564" s="1">
        <v>1</v>
      </c>
      <c r="O564" s="58"/>
      <c r="P564" s="58">
        <v>7263863.04</v>
      </c>
      <c r="Q564" t="s">
        <v>127</v>
      </c>
      <c r="R564" s="1" t="s">
        <v>158</v>
      </c>
    </row>
    <row r="565" spans="3:18" x14ac:dyDescent="0.35">
      <c r="C565" t="s">
        <v>51</v>
      </c>
      <c r="D565" t="s">
        <v>21</v>
      </c>
      <c r="E565" t="s">
        <v>45</v>
      </c>
      <c r="F565" t="s">
        <v>46</v>
      </c>
      <c r="G565" s="58">
        <v>12891911</v>
      </c>
      <c r="H565" s="1" t="s">
        <v>48</v>
      </c>
      <c r="I565" s="1" t="s">
        <v>111</v>
      </c>
      <c r="J565" s="58">
        <v>193378665</v>
      </c>
      <c r="K565" s="1" t="s">
        <v>106</v>
      </c>
      <c r="L565" s="1" t="s">
        <v>120</v>
      </c>
      <c r="M565" s="1" t="s">
        <v>126</v>
      </c>
      <c r="N565" s="1">
        <v>1</v>
      </c>
      <c r="O565" s="58"/>
      <c r="P565" s="58">
        <v>3738654.19</v>
      </c>
      <c r="Q565" t="s">
        <v>107</v>
      </c>
      <c r="R565" s="1" t="s">
        <v>158</v>
      </c>
    </row>
    <row r="566" spans="3:18" x14ac:dyDescent="0.35">
      <c r="C566" t="s">
        <v>53</v>
      </c>
      <c r="D566" t="s">
        <v>60</v>
      </c>
      <c r="E566" t="s">
        <v>60</v>
      </c>
      <c r="F566" t="s">
        <v>46</v>
      </c>
      <c r="G566" s="58">
        <v>3351244</v>
      </c>
      <c r="H566" s="1" t="s">
        <v>90</v>
      </c>
      <c r="I566" s="1" t="s">
        <v>105</v>
      </c>
      <c r="J566" s="58"/>
      <c r="K566" s="1" t="s">
        <v>106</v>
      </c>
      <c r="N566" s="1">
        <v>0</v>
      </c>
      <c r="O566" s="58"/>
      <c r="P566" s="58">
        <v>1508059.8</v>
      </c>
      <c r="Q566" t="s">
        <v>113</v>
      </c>
      <c r="R566" s="1" t="s">
        <v>90</v>
      </c>
    </row>
    <row r="567" spans="3:18" x14ac:dyDescent="0.35">
      <c r="C567" t="s">
        <v>51</v>
      </c>
      <c r="D567" t="s">
        <v>21</v>
      </c>
      <c r="E567" t="s">
        <v>45</v>
      </c>
      <c r="F567" t="s">
        <v>46</v>
      </c>
      <c r="G567" s="58">
        <v>193395</v>
      </c>
      <c r="H567" s="1" t="s">
        <v>54</v>
      </c>
      <c r="I567" s="1" t="s">
        <v>105</v>
      </c>
      <c r="J567" s="58">
        <v>580185</v>
      </c>
      <c r="K567" s="1" t="s">
        <v>106</v>
      </c>
      <c r="L567" s="1" t="s">
        <v>124</v>
      </c>
      <c r="N567" s="1">
        <v>1</v>
      </c>
      <c r="O567" s="58"/>
      <c r="P567" s="58">
        <v>21273.45</v>
      </c>
      <c r="Q567" t="s">
        <v>107</v>
      </c>
      <c r="R567" s="1" t="s">
        <v>158</v>
      </c>
    </row>
    <row r="568" spans="3:18" x14ac:dyDescent="0.35">
      <c r="C568" t="s">
        <v>51</v>
      </c>
      <c r="D568" t="s">
        <v>24</v>
      </c>
      <c r="E568" t="s">
        <v>62</v>
      </c>
      <c r="F568" t="s">
        <v>46</v>
      </c>
      <c r="G568" s="58">
        <v>30479697</v>
      </c>
      <c r="H568" s="1" t="s">
        <v>48</v>
      </c>
      <c r="I568" s="1" t="s">
        <v>108</v>
      </c>
      <c r="J568" s="58">
        <v>1097269092</v>
      </c>
      <c r="K568" s="1" t="s">
        <v>112</v>
      </c>
      <c r="N568" s="1">
        <v>1</v>
      </c>
      <c r="O568" s="58"/>
      <c r="P568" s="58">
        <v>26517336.390000001</v>
      </c>
      <c r="Q568" t="s">
        <v>127</v>
      </c>
      <c r="R568" s="1" t="s">
        <v>48</v>
      </c>
    </row>
    <row r="569" spans="3:18" x14ac:dyDescent="0.35">
      <c r="C569" t="s">
        <v>51</v>
      </c>
      <c r="D569" t="s">
        <v>21</v>
      </c>
      <c r="E569" t="s">
        <v>45</v>
      </c>
      <c r="F569" t="s">
        <v>46</v>
      </c>
      <c r="G569" s="58">
        <v>1861383</v>
      </c>
      <c r="H569" s="1" t="s">
        <v>56</v>
      </c>
      <c r="I569" s="1" t="s">
        <v>108</v>
      </c>
      <c r="J569" s="58">
        <v>63287022</v>
      </c>
      <c r="K569" s="1" t="s">
        <v>106</v>
      </c>
      <c r="L569" s="1" t="s">
        <v>120</v>
      </c>
      <c r="N569" s="1">
        <v>1</v>
      </c>
      <c r="O569" s="58"/>
      <c r="P569" s="58">
        <v>1582175.55</v>
      </c>
      <c r="Q569" t="s">
        <v>127</v>
      </c>
      <c r="R569" s="1" t="s">
        <v>158</v>
      </c>
    </row>
    <row r="570" spans="3:18" x14ac:dyDescent="0.35">
      <c r="C570" t="s">
        <v>51</v>
      </c>
      <c r="D570" t="s">
        <v>24</v>
      </c>
      <c r="E570" t="s">
        <v>49</v>
      </c>
      <c r="F570" t="s">
        <v>46</v>
      </c>
      <c r="G570" s="58">
        <v>314159</v>
      </c>
      <c r="H570" s="1" t="s">
        <v>47</v>
      </c>
      <c r="I570" s="1" t="s">
        <v>108</v>
      </c>
      <c r="J570" s="58">
        <v>7853975</v>
      </c>
      <c r="K570" s="1" t="s">
        <v>106</v>
      </c>
      <c r="L570" s="1" t="s">
        <v>124</v>
      </c>
      <c r="N570" s="1">
        <v>1</v>
      </c>
      <c r="O570" s="58"/>
      <c r="P570" s="58">
        <v>213628.12</v>
      </c>
      <c r="Q570" t="s">
        <v>118</v>
      </c>
      <c r="R570" s="1" t="s">
        <v>158</v>
      </c>
    </row>
    <row r="571" spans="3:18" x14ac:dyDescent="0.35">
      <c r="C571" t="s">
        <v>51</v>
      </c>
      <c r="D571" t="s">
        <v>91</v>
      </c>
      <c r="E571" t="s">
        <v>49</v>
      </c>
      <c r="F571" t="s">
        <v>46</v>
      </c>
      <c r="G571" s="58">
        <v>20593</v>
      </c>
      <c r="H571" s="1" t="s">
        <v>59</v>
      </c>
      <c r="I571" s="1" t="s">
        <v>119</v>
      </c>
      <c r="J571" s="58">
        <v>123558</v>
      </c>
      <c r="K571" s="1" t="s">
        <v>106</v>
      </c>
      <c r="L571" s="1" t="s">
        <v>124</v>
      </c>
      <c r="N571" s="1">
        <v>1</v>
      </c>
      <c r="O571" s="58"/>
      <c r="P571" s="58">
        <v>13385.45</v>
      </c>
      <c r="Q571" t="s">
        <v>118</v>
      </c>
      <c r="R571" s="1" t="s">
        <v>158</v>
      </c>
    </row>
    <row r="572" spans="3:18" x14ac:dyDescent="0.35">
      <c r="C572" t="s">
        <v>53</v>
      </c>
      <c r="D572" t="s">
        <v>21</v>
      </c>
      <c r="E572" t="s">
        <v>45</v>
      </c>
      <c r="F572" t="s">
        <v>46</v>
      </c>
      <c r="G572" s="58">
        <v>17736871</v>
      </c>
      <c r="H572" s="1" t="s">
        <v>54</v>
      </c>
      <c r="I572" s="1" t="s">
        <v>105</v>
      </c>
      <c r="J572" s="58">
        <v>53210613</v>
      </c>
      <c r="K572" s="1" t="s">
        <v>106</v>
      </c>
      <c r="L572" s="1" t="s">
        <v>120</v>
      </c>
      <c r="N572" s="1">
        <v>1</v>
      </c>
      <c r="O572" s="58"/>
      <c r="P572" s="58">
        <v>2483161.94</v>
      </c>
      <c r="Q572" t="s">
        <v>107</v>
      </c>
      <c r="R572" s="1" t="s">
        <v>158</v>
      </c>
    </row>
    <row r="573" spans="3:18" x14ac:dyDescent="0.35">
      <c r="C573" t="s">
        <v>51</v>
      </c>
      <c r="D573" t="s">
        <v>24</v>
      </c>
      <c r="E573" t="s">
        <v>50</v>
      </c>
      <c r="F573" t="s">
        <v>46</v>
      </c>
      <c r="G573" s="58">
        <v>377628</v>
      </c>
      <c r="H573" s="1" t="s">
        <v>48</v>
      </c>
      <c r="I573" s="1" t="s">
        <v>108</v>
      </c>
      <c r="J573" s="58">
        <v>13216980</v>
      </c>
      <c r="K573" s="1" t="s">
        <v>106</v>
      </c>
      <c r="L573" s="1" t="s">
        <v>124</v>
      </c>
      <c r="M573" s="1" t="s">
        <v>123</v>
      </c>
      <c r="N573" s="1">
        <v>1</v>
      </c>
      <c r="O573" s="58"/>
      <c r="P573" s="58">
        <v>298326.12</v>
      </c>
      <c r="Q573" t="s">
        <v>118</v>
      </c>
      <c r="R573" s="1" t="s">
        <v>48</v>
      </c>
    </row>
    <row r="574" spans="3:18" x14ac:dyDescent="0.35">
      <c r="C574" t="s">
        <v>51</v>
      </c>
      <c r="D574" t="s">
        <v>25</v>
      </c>
      <c r="E574" t="s">
        <v>55</v>
      </c>
      <c r="F574" t="s">
        <v>46</v>
      </c>
      <c r="G574" s="58">
        <v>946321</v>
      </c>
      <c r="H574" s="1" t="s">
        <v>59</v>
      </c>
      <c r="I574" s="1" t="s">
        <v>108</v>
      </c>
      <c r="J574" s="58">
        <v>28389630</v>
      </c>
      <c r="K574" s="1" t="s">
        <v>106</v>
      </c>
      <c r="L574" s="1" t="s">
        <v>114</v>
      </c>
      <c r="N574" s="1">
        <v>1</v>
      </c>
      <c r="O574" s="58"/>
      <c r="P574" s="58">
        <v>605645.43999999994</v>
      </c>
      <c r="Q574" t="s">
        <v>118</v>
      </c>
      <c r="R574" s="1" t="s">
        <v>158</v>
      </c>
    </row>
    <row r="575" spans="3:18" x14ac:dyDescent="0.35">
      <c r="C575" t="s">
        <v>51</v>
      </c>
      <c r="D575" t="s">
        <v>19</v>
      </c>
      <c r="E575" t="s">
        <v>49</v>
      </c>
      <c r="F575" t="s">
        <v>46</v>
      </c>
      <c r="G575" s="58">
        <v>232928</v>
      </c>
      <c r="H575" s="1" t="s">
        <v>48</v>
      </c>
      <c r="I575" s="1" t="s">
        <v>108</v>
      </c>
      <c r="J575" s="58">
        <v>6289056</v>
      </c>
      <c r="K575" s="1" t="s">
        <v>106</v>
      </c>
      <c r="L575" s="1" t="s">
        <v>114</v>
      </c>
      <c r="M575" s="1" t="s">
        <v>125</v>
      </c>
      <c r="N575" s="1">
        <v>1</v>
      </c>
      <c r="O575" s="58"/>
      <c r="P575" s="58">
        <v>111805.44</v>
      </c>
      <c r="Q575" t="s">
        <v>113</v>
      </c>
      <c r="R575" s="1" t="s">
        <v>158</v>
      </c>
    </row>
    <row r="576" spans="3:18" x14ac:dyDescent="0.35">
      <c r="C576" t="s">
        <v>53</v>
      </c>
      <c r="D576" t="s">
        <v>20</v>
      </c>
      <c r="E576" t="s">
        <v>49</v>
      </c>
      <c r="F576" t="s">
        <v>46</v>
      </c>
      <c r="G576" s="58">
        <v>255074</v>
      </c>
      <c r="H576" s="1" t="s">
        <v>54</v>
      </c>
      <c r="I576" s="1" t="s">
        <v>105</v>
      </c>
      <c r="J576" s="58">
        <v>1275370</v>
      </c>
      <c r="K576" s="1" t="s">
        <v>106</v>
      </c>
      <c r="L576" s="1" t="s">
        <v>124</v>
      </c>
      <c r="N576" s="1">
        <v>1</v>
      </c>
      <c r="O576" s="58"/>
      <c r="P576" s="58">
        <v>153044.4</v>
      </c>
      <c r="Q576" t="s">
        <v>118</v>
      </c>
      <c r="R576" s="1" t="s">
        <v>158</v>
      </c>
    </row>
    <row r="577" spans="3:18" x14ac:dyDescent="0.35">
      <c r="C577" t="s">
        <v>51</v>
      </c>
      <c r="D577" t="s">
        <v>24</v>
      </c>
      <c r="E577" t="s">
        <v>49</v>
      </c>
      <c r="F577" t="s">
        <v>46</v>
      </c>
      <c r="G577" s="58">
        <v>6149113</v>
      </c>
      <c r="H577" s="1" t="s">
        <v>48</v>
      </c>
      <c r="I577" s="1" t="s">
        <v>108</v>
      </c>
      <c r="J577" s="58">
        <v>221368068</v>
      </c>
      <c r="K577" s="1" t="s">
        <v>112</v>
      </c>
      <c r="N577" s="1">
        <v>1</v>
      </c>
      <c r="O577" s="58"/>
      <c r="P577" s="58">
        <v>5472710.5700000003</v>
      </c>
      <c r="Q577" t="s">
        <v>127</v>
      </c>
      <c r="R577" s="1" t="s">
        <v>48</v>
      </c>
    </row>
    <row r="578" spans="3:18" x14ac:dyDescent="0.35">
      <c r="C578" t="s">
        <v>51</v>
      </c>
      <c r="D578" t="s">
        <v>23</v>
      </c>
      <c r="E578" t="s">
        <v>45</v>
      </c>
      <c r="F578" t="s">
        <v>46</v>
      </c>
      <c r="G578" s="58">
        <v>5427983</v>
      </c>
      <c r="H578" s="1" t="s">
        <v>54</v>
      </c>
      <c r="I578" s="1" t="s">
        <v>108</v>
      </c>
      <c r="J578" s="58">
        <v>168267473</v>
      </c>
      <c r="K578" s="1" t="s">
        <v>106</v>
      </c>
      <c r="L578" s="1" t="s">
        <v>120</v>
      </c>
      <c r="N578" s="1">
        <v>1</v>
      </c>
      <c r="O578" s="58"/>
      <c r="P578" s="58">
        <v>4668065.38</v>
      </c>
      <c r="Q578" t="s">
        <v>127</v>
      </c>
      <c r="R578" s="1" t="s">
        <v>158</v>
      </c>
    </row>
    <row r="579" spans="3:18" x14ac:dyDescent="0.35">
      <c r="C579" t="s">
        <v>51</v>
      </c>
      <c r="D579" t="s">
        <v>21</v>
      </c>
      <c r="E579" t="s">
        <v>49</v>
      </c>
      <c r="F579" t="s">
        <v>46</v>
      </c>
      <c r="G579" s="58">
        <v>235313</v>
      </c>
      <c r="H579" s="1" t="s">
        <v>48</v>
      </c>
      <c r="I579" s="1" t="s">
        <v>119</v>
      </c>
      <c r="J579" s="58">
        <v>2353130</v>
      </c>
      <c r="K579" s="1" t="s">
        <v>112</v>
      </c>
      <c r="N579" s="1">
        <v>1</v>
      </c>
      <c r="O579" s="58"/>
      <c r="P579" s="58">
        <v>185897.27</v>
      </c>
      <c r="Q579" t="s">
        <v>118</v>
      </c>
      <c r="R579" s="1" t="s">
        <v>158</v>
      </c>
    </row>
    <row r="580" spans="3:18" x14ac:dyDescent="0.35">
      <c r="C580" t="s">
        <v>51</v>
      </c>
      <c r="D580" t="s">
        <v>20</v>
      </c>
      <c r="E580" t="s">
        <v>49</v>
      </c>
      <c r="F580" t="s">
        <v>46</v>
      </c>
      <c r="G580" s="58">
        <v>2975746</v>
      </c>
      <c r="H580" s="1" t="s">
        <v>48</v>
      </c>
      <c r="I580" s="1" t="s">
        <v>108</v>
      </c>
      <c r="J580" s="58">
        <v>77369396</v>
      </c>
      <c r="K580" s="1" t="s">
        <v>106</v>
      </c>
      <c r="L580" s="1" t="s">
        <v>124</v>
      </c>
      <c r="M580" s="1" t="s">
        <v>123</v>
      </c>
      <c r="N580" s="1">
        <v>1</v>
      </c>
      <c r="O580" s="58"/>
      <c r="P580" s="58">
        <v>3273320.6</v>
      </c>
      <c r="Q580" t="s">
        <v>110</v>
      </c>
      <c r="R580" s="1" t="s">
        <v>48</v>
      </c>
    </row>
    <row r="581" spans="3:18" x14ac:dyDescent="0.35">
      <c r="C581" t="s">
        <v>51</v>
      </c>
      <c r="D581" t="s">
        <v>91</v>
      </c>
      <c r="E581" t="s">
        <v>55</v>
      </c>
      <c r="F581" t="s">
        <v>46</v>
      </c>
      <c r="G581" s="58">
        <v>571112</v>
      </c>
      <c r="H581" s="1" t="s">
        <v>48</v>
      </c>
      <c r="I581" s="1" t="s">
        <v>111</v>
      </c>
      <c r="J581" s="58">
        <v>8566680</v>
      </c>
      <c r="K581" s="1" t="s">
        <v>106</v>
      </c>
      <c r="L581" s="1" t="s">
        <v>114</v>
      </c>
      <c r="M581" s="1" t="s">
        <v>122</v>
      </c>
      <c r="N581" s="1">
        <v>1</v>
      </c>
      <c r="O581" s="58"/>
      <c r="P581" s="58">
        <v>308400.48</v>
      </c>
      <c r="Q581" t="s">
        <v>113</v>
      </c>
      <c r="R581" s="1" t="s">
        <v>158</v>
      </c>
    </row>
    <row r="582" spans="3:18" x14ac:dyDescent="0.35">
      <c r="C582" t="s">
        <v>51</v>
      </c>
      <c r="D582" t="s">
        <v>22</v>
      </c>
      <c r="E582" t="s">
        <v>49</v>
      </c>
      <c r="F582" t="s">
        <v>46</v>
      </c>
      <c r="G582" s="58">
        <v>289830</v>
      </c>
      <c r="H582" s="1" t="s">
        <v>56</v>
      </c>
      <c r="I582" s="1" t="s">
        <v>108</v>
      </c>
      <c r="J582" s="58">
        <v>8115240</v>
      </c>
      <c r="K582" s="1" t="s">
        <v>112</v>
      </c>
      <c r="N582" s="1">
        <v>1</v>
      </c>
      <c r="O582" s="58"/>
      <c r="P582" s="58">
        <v>95643.9</v>
      </c>
      <c r="Q582" t="s">
        <v>107</v>
      </c>
      <c r="R582" s="1" t="s">
        <v>158</v>
      </c>
    </row>
    <row r="583" spans="3:18" x14ac:dyDescent="0.35">
      <c r="C583" t="s">
        <v>51</v>
      </c>
      <c r="D583" t="s">
        <v>22</v>
      </c>
      <c r="E583" t="s">
        <v>49</v>
      </c>
      <c r="F583" t="s">
        <v>46</v>
      </c>
      <c r="G583" s="58">
        <v>5746820</v>
      </c>
      <c r="H583" s="1" t="s">
        <v>48</v>
      </c>
      <c r="I583" s="1" t="s">
        <v>108</v>
      </c>
      <c r="J583" s="58">
        <v>160910960</v>
      </c>
      <c r="K583" s="1" t="s">
        <v>106</v>
      </c>
      <c r="L583" s="1" t="s">
        <v>124</v>
      </c>
      <c r="M583" s="1" t="s">
        <v>115</v>
      </c>
      <c r="N583" s="1">
        <v>1</v>
      </c>
      <c r="O583" s="58"/>
      <c r="P583" s="58">
        <v>2988346.4</v>
      </c>
      <c r="Q583" t="s">
        <v>113</v>
      </c>
      <c r="R583" s="1" t="s">
        <v>48</v>
      </c>
    </row>
    <row r="584" spans="3:18" x14ac:dyDescent="0.35">
      <c r="C584" t="s">
        <v>51</v>
      </c>
      <c r="D584" t="s">
        <v>24</v>
      </c>
      <c r="E584" t="s">
        <v>45</v>
      </c>
      <c r="F584" t="s">
        <v>46</v>
      </c>
      <c r="G584" s="58">
        <v>141094</v>
      </c>
      <c r="H584" s="1" t="s">
        <v>48</v>
      </c>
      <c r="I584" s="1" t="s">
        <v>108</v>
      </c>
      <c r="J584" s="58">
        <v>5361572</v>
      </c>
      <c r="K584" s="1" t="s">
        <v>106</v>
      </c>
      <c r="L584" s="1" t="s">
        <v>124</v>
      </c>
      <c r="M584" s="1" t="s">
        <v>121</v>
      </c>
      <c r="N584" s="1">
        <v>1</v>
      </c>
      <c r="O584" s="58"/>
      <c r="P584" s="58">
        <v>118518.96</v>
      </c>
      <c r="Q584" t="s">
        <v>127</v>
      </c>
      <c r="R584" s="1" t="s">
        <v>158</v>
      </c>
    </row>
    <row r="585" spans="3:18" x14ac:dyDescent="0.35">
      <c r="C585" t="s">
        <v>51</v>
      </c>
      <c r="D585" t="s">
        <v>24</v>
      </c>
      <c r="E585" t="s">
        <v>50</v>
      </c>
      <c r="F585" t="s">
        <v>46</v>
      </c>
      <c r="G585" s="58">
        <v>107177</v>
      </c>
      <c r="H585" s="1" t="s">
        <v>47</v>
      </c>
      <c r="I585" s="1" t="s">
        <v>111</v>
      </c>
      <c r="J585" s="58">
        <v>1607655</v>
      </c>
      <c r="K585" s="1" t="s">
        <v>106</v>
      </c>
      <c r="L585" s="1" t="s">
        <v>109</v>
      </c>
      <c r="N585" s="1">
        <v>1</v>
      </c>
      <c r="O585" s="58"/>
      <c r="P585" s="58">
        <v>125397.09</v>
      </c>
      <c r="Q585" t="s">
        <v>110</v>
      </c>
      <c r="R585" s="1" t="s">
        <v>158</v>
      </c>
    </row>
    <row r="586" spans="3:18" x14ac:dyDescent="0.35">
      <c r="C586" t="s">
        <v>51</v>
      </c>
      <c r="D586" t="s">
        <v>21</v>
      </c>
      <c r="E586" t="s">
        <v>49</v>
      </c>
      <c r="F586" t="s">
        <v>46</v>
      </c>
      <c r="G586" s="58">
        <v>4616444</v>
      </c>
      <c r="H586" s="1" t="s">
        <v>47</v>
      </c>
      <c r="I586" s="1" t="s">
        <v>105</v>
      </c>
      <c r="J586" s="58">
        <v>13849332</v>
      </c>
      <c r="K586" s="1" t="s">
        <v>106</v>
      </c>
      <c r="L586" s="1" t="s">
        <v>124</v>
      </c>
      <c r="N586" s="1">
        <v>1</v>
      </c>
      <c r="O586" s="58"/>
      <c r="P586" s="58">
        <v>3231510.8</v>
      </c>
      <c r="Q586" t="s">
        <v>118</v>
      </c>
      <c r="R586" s="1" t="s">
        <v>158</v>
      </c>
    </row>
    <row r="587" spans="3:18" x14ac:dyDescent="0.35">
      <c r="C587" t="s">
        <v>53</v>
      </c>
      <c r="D587" t="s">
        <v>21</v>
      </c>
      <c r="E587" t="s">
        <v>49</v>
      </c>
      <c r="F587" t="s">
        <v>46</v>
      </c>
      <c r="G587" s="58">
        <v>816073</v>
      </c>
      <c r="H587" s="1" t="s">
        <v>47</v>
      </c>
      <c r="I587" s="1" t="s">
        <v>128</v>
      </c>
      <c r="J587" s="58"/>
      <c r="K587" s="1" t="s">
        <v>106</v>
      </c>
      <c r="L587" s="1" t="s">
        <v>124</v>
      </c>
      <c r="N587" s="1">
        <v>0</v>
      </c>
      <c r="O587" s="58"/>
      <c r="P587" s="58">
        <v>293786.28000000003</v>
      </c>
      <c r="Q587" t="s">
        <v>107</v>
      </c>
      <c r="R587" s="1" t="s">
        <v>158</v>
      </c>
    </row>
    <row r="588" spans="3:18" x14ac:dyDescent="0.35">
      <c r="C588" t="s">
        <v>51</v>
      </c>
      <c r="D588" t="s">
        <v>24</v>
      </c>
      <c r="E588" t="s">
        <v>49</v>
      </c>
      <c r="F588" t="s">
        <v>46</v>
      </c>
      <c r="G588" s="58">
        <v>44965</v>
      </c>
      <c r="H588" s="1" t="s">
        <v>48</v>
      </c>
      <c r="I588" s="1" t="s">
        <v>111</v>
      </c>
      <c r="J588" s="58">
        <v>899300</v>
      </c>
      <c r="K588" s="1" t="s">
        <v>112</v>
      </c>
      <c r="N588" s="1">
        <v>1</v>
      </c>
      <c r="O588" s="58"/>
      <c r="P588" s="58">
        <v>31025.85</v>
      </c>
      <c r="Q588" t="s">
        <v>118</v>
      </c>
      <c r="R588" s="1" t="s">
        <v>48</v>
      </c>
    </row>
    <row r="589" spans="3:18" x14ac:dyDescent="0.35">
      <c r="C589" t="s">
        <v>51</v>
      </c>
      <c r="D589" t="s">
        <v>21</v>
      </c>
      <c r="E589" t="s">
        <v>45</v>
      </c>
      <c r="F589" t="s">
        <v>64</v>
      </c>
      <c r="G589" s="58">
        <v>297588</v>
      </c>
      <c r="H589" s="1" t="s">
        <v>48</v>
      </c>
      <c r="I589" s="1" t="s">
        <v>108</v>
      </c>
      <c r="J589" s="58">
        <v>6844524</v>
      </c>
      <c r="K589" s="1" t="s">
        <v>112</v>
      </c>
      <c r="N589" s="1">
        <v>1</v>
      </c>
      <c r="O589" s="58"/>
      <c r="P589" s="58">
        <v>166649.28</v>
      </c>
      <c r="Q589" t="s">
        <v>113</v>
      </c>
      <c r="R589" s="1" t="s">
        <v>48</v>
      </c>
    </row>
    <row r="590" spans="3:18" x14ac:dyDescent="0.35">
      <c r="C590" t="s">
        <v>51</v>
      </c>
      <c r="D590" t="s">
        <v>20</v>
      </c>
      <c r="E590" t="s">
        <v>50</v>
      </c>
      <c r="F590" t="s">
        <v>46</v>
      </c>
      <c r="G590" s="58">
        <v>702643</v>
      </c>
      <c r="H590" s="1" t="s">
        <v>48</v>
      </c>
      <c r="I590" s="1" t="s">
        <v>108</v>
      </c>
      <c r="J590" s="58">
        <v>16160789</v>
      </c>
      <c r="K590" s="1" t="s">
        <v>106</v>
      </c>
      <c r="L590" s="1" t="s">
        <v>109</v>
      </c>
      <c r="M590" s="1" t="s">
        <v>123</v>
      </c>
      <c r="N590" s="1">
        <v>1</v>
      </c>
      <c r="O590" s="58"/>
      <c r="P590" s="58">
        <v>512929.39</v>
      </c>
      <c r="Q590" t="s">
        <v>118</v>
      </c>
      <c r="R590" s="1" t="s">
        <v>158</v>
      </c>
    </row>
    <row r="591" spans="3:18" x14ac:dyDescent="0.35">
      <c r="C591" t="s">
        <v>53</v>
      </c>
      <c r="D591" t="s">
        <v>19</v>
      </c>
      <c r="E591" t="s">
        <v>49</v>
      </c>
      <c r="F591" t="s">
        <v>46</v>
      </c>
      <c r="G591" s="58">
        <v>9739</v>
      </c>
      <c r="H591" s="1" t="s">
        <v>54</v>
      </c>
      <c r="I591" s="1" t="s">
        <v>119</v>
      </c>
      <c r="J591" s="58">
        <v>48695</v>
      </c>
      <c r="K591" s="1" t="s">
        <v>106</v>
      </c>
      <c r="L591" s="1" t="s">
        <v>124</v>
      </c>
      <c r="N591" s="1">
        <v>1</v>
      </c>
      <c r="O591" s="58"/>
      <c r="P591" s="58">
        <v>0</v>
      </c>
      <c r="Q591" t="s">
        <v>107</v>
      </c>
      <c r="R591" s="1" t="s">
        <v>158</v>
      </c>
    </row>
    <row r="592" spans="3:18" x14ac:dyDescent="0.35">
      <c r="C592" t="s">
        <v>51</v>
      </c>
      <c r="D592" t="s">
        <v>19</v>
      </c>
      <c r="E592" t="s">
        <v>55</v>
      </c>
      <c r="F592" t="s">
        <v>46</v>
      </c>
      <c r="G592" s="58">
        <v>12393431</v>
      </c>
      <c r="H592" s="1" t="s">
        <v>48</v>
      </c>
      <c r="I592" s="1" t="s">
        <v>108</v>
      </c>
      <c r="J592" s="58">
        <v>396589792</v>
      </c>
      <c r="K592" s="1" t="s">
        <v>106</v>
      </c>
      <c r="L592" s="1" t="s">
        <v>114</v>
      </c>
      <c r="M592" s="1" t="s">
        <v>122</v>
      </c>
      <c r="N592" s="1">
        <v>1</v>
      </c>
      <c r="O592" s="58"/>
      <c r="P592" s="58">
        <v>8799336.0099999998</v>
      </c>
      <c r="Q592" t="s">
        <v>118</v>
      </c>
      <c r="R592" s="1" t="s">
        <v>158</v>
      </c>
    </row>
    <row r="593" spans="3:18" x14ac:dyDescent="0.35">
      <c r="C593" t="s">
        <v>51</v>
      </c>
      <c r="D593" t="s">
        <v>24</v>
      </c>
      <c r="E593" t="s">
        <v>55</v>
      </c>
      <c r="F593" t="s">
        <v>46</v>
      </c>
      <c r="G593" s="58">
        <v>12172561</v>
      </c>
      <c r="H593" s="1" t="s">
        <v>54</v>
      </c>
      <c r="I593" s="1" t="s">
        <v>119</v>
      </c>
      <c r="J593" s="58">
        <v>85207927</v>
      </c>
      <c r="K593" s="1" t="s">
        <v>106</v>
      </c>
      <c r="L593" s="1" t="s">
        <v>114</v>
      </c>
      <c r="N593" s="1">
        <v>1</v>
      </c>
      <c r="O593" s="58"/>
      <c r="P593" s="58">
        <v>2799689.03</v>
      </c>
      <c r="Q593" t="s">
        <v>107</v>
      </c>
      <c r="R593" s="1" t="s">
        <v>158</v>
      </c>
    </row>
    <row r="594" spans="3:18" x14ac:dyDescent="0.35">
      <c r="C594" t="s">
        <v>51</v>
      </c>
      <c r="D594" t="s">
        <v>92</v>
      </c>
      <c r="E594" t="s">
        <v>45</v>
      </c>
      <c r="F594" t="s">
        <v>46</v>
      </c>
      <c r="G594" s="58">
        <v>2100762</v>
      </c>
      <c r="H594" s="1" t="s">
        <v>48</v>
      </c>
      <c r="I594" s="1" t="s">
        <v>111</v>
      </c>
      <c r="J594" s="58">
        <v>31511430</v>
      </c>
      <c r="K594" s="1" t="s">
        <v>106</v>
      </c>
      <c r="L594" s="1" t="s">
        <v>120</v>
      </c>
      <c r="M594" s="1" t="s">
        <v>123</v>
      </c>
      <c r="N594" s="1">
        <v>1</v>
      </c>
      <c r="O594" s="58"/>
      <c r="P594" s="58">
        <v>609220.98</v>
      </c>
      <c r="Q594" t="s">
        <v>107</v>
      </c>
      <c r="R594" s="1" t="s">
        <v>158</v>
      </c>
    </row>
    <row r="595" spans="3:18" x14ac:dyDescent="0.35">
      <c r="C595" t="s">
        <v>51</v>
      </c>
      <c r="D595" t="s">
        <v>22</v>
      </c>
      <c r="E595" t="s">
        <v>62</v>
      </c>
      <c r="F595" t="s">
        <v>46</v>
      </c>
      <c r="G595" s="58">
        <v>243840</v>
      </c>
      <c r="H595" s="1" t="s">
        <v>48</v>
      </c>
      <c r="I595" s="1" t="s">
        <v>111</v>
      </c>
      <c r="J595" s="58">
        <v>3413760</v>
      </c>
      <c r="K595" s="1" t="s">
        <v>106</v>
      </c>
      <c r="L595" s="1" t="s">
        <v>131</v>
      </c>
      <c r="M595" s="1" t="s">
        <v>115</v>
      </c>
      <c r="N595" s="1">
        <v>1</v>
      </c>
      <c r="O595" s="58"/>
      <c r="P595" s="58">
        <v>121920</v>
      </c>
      <c r="Q595" t="s">
        <v>113</v>
      </c>
      <c r="R595" s="1" t="s">
        <v>48</v>
      </c>
    </row>
    <row r="596" spans="3:18" x14ac:dyDescent="0.35">
      <c r="C596" t="s">
        <v>51</v>
      </c>
      <c r="D596" t="s">
        <v>22</v>
      </c>
      <c r="E596" t="s">
        <v>49</v>
      </c>
      <c r="F596" t="s">
        <v>46</v>
      </c>
      <c r="G596" s="58">
        <v>523815</v>
      </c>
      <c r="H596" s="1" t="s">
        <v>48</v>
      </c>
      <c r="I596" s="1" t="s">
        <v>111</v>
      </c>
      <c r="J596" s="58">
        <v>9428670</v>
      </c>
      <c r="K596" s="1" t="s">
        <v>106</v>
      </c>
      <c r="L596" s="1" t="s">
        <v>124</v>
      </c>
      <c r="M596" s="1" t="s">
        <v>115</v>
      </c>
      <c r="N596" s="1">
        <v>1</v>
      </c>
      <c r="O596" s="58"/>
      <c r="P596" s="58">
        <v>440004.6</v>
      </c>
      <c r="Q596" t="s">
        <v>127</v>
      </c>
      <c r="R596" s="1" t="s">
        <v>48</v>
      </c>
    </row>
    <row r="597" spans="3:18" x14ac:dyDescent="0.35">
      <c r="C597" t="s">
        <v>51</v>
      </c>
      <c r="D597" t="s">
        <v>25</v>
      </c>
      <c r="E597" t="s">
        <v>45</v>
      </c>
      <c r="F597" t="s">
        <v>46</v>
      </c>
      <c r="G597" s="58">
        <v>201822</v>
      </c>
      <c r="H597" s="1" t="s">
        <v>56</v>
      </c>
      <c r="I597" s="1" t="s">
        <v>111</v>
      </c>
      <c r="J597" s="58">
        <v>2623686</v>
      </c>
      <c r="K597" s="1" t="s">
        <v>106</v>
      </c>
      <c r="L597" s="1" t="s">
        <v>120</v>
      </c>
      <c r="N597" s="1">
        <v>1</v>
      </c>
      <c r="O597" s="58"/>
      <c r="P597" s="58">
        <v>78710.58</v>
      </c>
      <c r="Q597" t="s">
        <v>107</v>
      </c>
      <c r="R597" s="1" t="s">
        <v>158</v>
      </c>
    </row>
    <row r="598" spans="3:18" x14ac:dyDescent="0.35">
      <c r="C598" t="s">
        <v>51</v>
      </c>
      <c r="D598" t="s">
        <v>92</v>
      </c>
      <c r="E598" t="s">
        <v>45</v>
      </c>
      <c r="F598" t="s">
        <v>46</v>
      </c>
      <c r="G598" s="58">
        <v>890771</v>
      </c>
      <c r="H598" s="1" t="s">
        <v>54</v>
      </c>
      <c r="I598" s="1" t="s">
        <v>119</v>
      </c>
      <c r="J598" s="58">
        <v>6235397</v>
      </c>
      <c r="K598" s="1" t="s">
        <v>106</v>
      </c>
      <c r="L598" s="1" t="s">
        <v>120</v>
      </c>
      <c r="N598" s="1">
        <v>1</v>
      </c>
      <c r="O598" s="58"/>
      <c r="P598" s="58">
        <v>169246.49</v>
      </c>
      <c r="Q598" t="s">
        <v>107</v>
      </c>
      <c r="R598" s="1" t="s">
        <v>158</v>
      </c>
    </row>
    <row r="599" spans="3:18" x14ac:dyDescent="0.35">
      <c r="C599" t="s">
        <v>51</v>
      </c>
      <c r="D599" t="s">
        <v>23</v>
      </c>
      <c r="E599" t="s">
        <v>55</v>
      </c>
      <c r="F599" t="s">
        <v>46</v>
      </c>
      <c r="G599" s="58">
        <v>89602</v>
      </c>
      <c r="H599" s="1" t="s">
        <v>47</v>
      </c>
      <c r="I599" s="1" t="s">
        <v>119</v>
      </c>
      <c r="J599" s="58">
        <v>627214</v>
      </c>
      <c r="K599" s="1" t="s">
        <v>106</v>
      </c>
      <c r="L599" s="1" t="s">
        <v>109</v>
      </c>
      <c r="N599" s="1">
        <v>1</v>
      </c>
      <c r="O599" s="58"/>
      <c r="P599" s="58">
        <v>27776.62</v>
      </c>
      <c r="Q599" t="s">
        <v>107</v>
      </c>
      <c r="R599" s="1" t="s">
        <v>158</v>
      </c>
    </row>
    <row r="600" spans="3:18" x14ac:dyDescent="0.35">
      <c r="C600" t="s">
        <v>51</v>
      </c>
      <c r="D600" t="s">
        <v>92</v>
      </c>
      <c r="E600" t="s">
        <v>49</v>
      </c>
      <c r="F600" t="s">
        <v>46</v>
      </c>
      <c r="G600" s="58">
        <v>445740</v>
      </c>
      <c r="H600" s="1" t="s">
        <v>56</v>
      </c>
      <c r="I600" s="1" t="s">
        <v>108</v>
      </c>
      <c r="J600" s="58">
        <v>16046640</v>
      </c>
      <c r="K600" s="1" t="s">
        <v>106</v>
      </c>
      <c r="L600" s="1" t="s">
        <v>116</v>
      </c>
      <c r="N600" s="1">
        <v>1</v>
      </c>
      <c r="O600" s="58"/>
      <c r="P600" s="58">
        <v>294188.40000000002</v>
      </c>
      <c r="Q600" t="s">
        <v>118</v>
      </c>
      <c r="R600" s="1" t="s">
        <v>158</v>
      </c>
    </row>
    <row r="601" spans="3:18" x14ac:dyDescent="0.35">
      <c r="C601" t="s">
        <v>51</v>
      </c>
      <c r="D601" t="s">
        <v>24</v>
      </c>
      <c r="E601" t="s">
        <v>50</v>
      </c>
      <c r="F601" t="s">
        <v>46</v>
      </c>
      <c r="G601" s="58">
        <v>90257</v>
      </c>
      <c r="H601" s="1" t="s">
        <v>56</v>
      </c>
      <c r="I601" s="1" t="s">
        <v>108</v>
      </c>
      <c r="J601" s="58">
        <v>3339509</v>
      </c>
      <c r="K601" s="1" t="s">
        <v>112</v>
      </c>
      <c r="N601" s="1">
        <v>1</v>
      </c>
      <c r="O601" s="58"/>
      <c r="P601" s="58">
        <v>71303.03</v>
      </c>
      <c r="Q601" t="s">
        <v>118</v>
      </c>
      <c r="R601" s="1" t="s">
        <v>158</v>
      </c>
    </row>
    <row r="602" spans="3:18" x14ac:dyDescent="0.35">
      <c r="C602" t="s">
        <v>51</v>
      </c>
      <c r="D602" t="s">
        <v>22</v>
      </c>
      <c r="E602" t="s">
        <v>45</v>
      </c>
      <c r="F602" t="s">
        <v>64</v>
      </c>
      <c r="G602" s="58">
        <v>211921</v>
      </c>
      <c r="H602" s="1" t="s">
        <v>56</v>
      </c>
      <c r="I602" s="1" t="s">
        <v>108</v>
      </c>
      <c r="J602" s="58">
        <v>5509946</v>
      </c>
      <c r="K602" s="1" t="s">
        <v>112</v>
      </c>
      <c r="N602" s="1">
        <v>1</v>
      </c>
      <c r="O602" s="58"/>
      <c r="P602" s="58">
        <v>122914.18</v>
      </c>
      <c r="Q602" t="s">
        <v>113</v>
      </c>
      <c r="R602" s="1" t="s">
        <v>158</v>
      </c>
    </row>
    <row r="603" spans="3:18" x14ac:dyDescent="0.35">
      <c r="C603" t="s">
        <v>51</v>
      </c>
      <c r="D603" t="s">
        <v>22</v>
      </c>
      <c r="E603" t="s">
        <v>50</v>
      </c>
      <c r="F603" t="s">
        <v>46</v>
      </c>
      <c r="G603" s="58">
        <v>203599</v>
      </c>
      <c r="H603" s="1" t="s">
        <v>48</v>
      </c>
      <c r="I603" s="1" t="s">
        <v>111</v>
      </c>
      <c r="J603" s="58">
        <v>3664782</v>
      </c>
      <c r="K603" s="1" t="s">
        <v>106</v>
      </c>
      <c r="L603" s="1" t="s">
        <v>120</v>
      </c>
      <c r="M603" s="1" t="s">
        <v>125</v>
      </c>
      <c r="N603" s="1">
        <v>1</v>
      </c>
      <c r="O603" s="58"/>
      <c r="P603" s="58">
        <v>93655.54</v>
      </c>
      <c r="Q603" t="s">
        <v>113</v>
      </c>
      <c r="R603" s="1" t="s">
        <v>48</v>
      </c>
    </row>
    <row r="604" spans="3:18" x14ac:dyDescent="0.35">
      <c r="C604" t="s">
        <v>53</v>
      </c>
      <c r="D604" t="s">
        <v>92</v>
      </c>
      <c r="E604" t="s">
        <v>45</v>
      </c>
      <c r="F604" t="s">
        <v>46</v>
      </c>
      <c r="G604" s="58">
        <v>3325371</v>
      </c>
      <c r="H604" s="1" t="s">
        <v>47</v>
      </c>
      <c r="I604" s="1" t="s">
        <v>111</v>
      </c>
      <c r="J604" s="58">
        <v>39904452</v>
      </c>
      <c r="K604" s="1" t="s">
        <v>112</v>
      </c>
      <c r="N604" s="1">
        <v>1</v>
      </c>
      <c r="O604" s="58"/>
      <c r="P604" s="58">
        <v>997611.3</v>
      </c>
      <c r="Q604" t="s">
        <v>107</v>
      </c>
      <c r="R604" s="1" t="s">
        <v>158</v>
      </c>
    </row>
    <row r="605" spans="3:18" x14ac:dyDescent="0.35">
      <c r="C605" t="s">
        <v>51</v>
      </c>
      <c r="D605" t="s">
        <v>20</v>
      </c>
      <c r="E605" t="s">
        <v>49</v>
      </c>
      <c r="F605" t="s">
        <v>46</v>
      </c>
      <c r="G605" s="58">
        <v>2185</v>
      </c>
      <c r="H605" s="1" t="s">
        <v>54</v>
      </c>
      <c r="I605" s="1" t="s">
        <v>105</v>
      </c>
      <c r="J605" s="58">
        <v>2185</v>
      </c>
      <c r="K605" s="1" t="s">
        <v>106</v>
      </c>
      <c r="L605" s="1" t="s">
        <v>124</v>
      </c>
      <c r="N605" s="1">
        <v>1</v>
      </c>
      <c r="O605" s="58"/>
      <c r="P605" s="58">
        <v>1332.85</v>
      </c>
      <c r="Q605" t="s">
        <v>118</v>
      </c>
      <c r="R605" s="1" t="s">
        <v>158</v>
      </c>
    </row>
    <row r="606" spans="3:18" x14ac:dyDescent="0.35">
      <c r="C606" t="s">
        <v>51</v>
      </c>
      <c r="D606" t="s">
        <v>23</v>
      </c>
      <c r="E606" t="s">
        <v>55</v>
      </c>
      <c r="F606" t="s">
        <v>46</v>
      </c>
      <c r="G606" s="58">
        <v>2010222</v>
      </c>
      <c r="H606" s="1" t="s">
        <v>47</v>
      </c>
      <c r="I606" s="1" t="s">
        <v>111</v>
      </c>
      <c r="J606" s="58">
        <v>32163552</v>
      </c>
      <c r="K606" s="1" t="s">
        <v>112</v>
      </c>
      <c r="N606" s="1">
        <v>1</v>
      </c>
      <c r="O606" s="58"/>
      <c r="P606" s="58">
        <v>542759.93999999994</v>
      </c>
      <c r="Q606" t="s">
        <v>107</v>
      </c>
      <c r="R606" s="1" t="s">
        <v>158</v>
      </c>
    </row>
    <row r="607" spans="3:18" x14ac:dyDescent="0.35">
      <c r="C607" t="s">
        <v>53</v>
      </c>
      <c r="D607" t="s">
        <v>23</v>
      </c>
      <c r="E607" t="s">
        <v>45</v>
      </c>
      <c r="F607" t="s">
        <v>46</v>
      </c>
      <c r="G607" s="58">
        <v>2726261</v>
      </c>
      <c r="H607" s="1" t="s">
        <v>56</v>
      </c>
      <c r="I607" s="1" t="s">
        <v>119</v>
      </c>
      <c r="J607" s="58">
        <v>24536349</v>
      </c>
      <c r="K607" s="1" t="s">
        <v>106</v>
      </c>
      <c r="L607" s="1" t="s">
        <v>120</v>
      </c>
      <c r="N607" s="1">
        <v>1</v>
      </c>
      <c r="O607" s="58"/>
      <c r="P607" s="58">
        <v>1390393.11</v>
      </c>
      <c r="Q607" t="s">
        <v>113</v>
      </c>
      <c r="R607" s="1" t="s">
        <v>158</v>
      </c>
    </row>
    <row r="608" spans="3:18" x14ac:dyDescent="0.35">
      <c r="C608" t="s">
        <v>53</v>
      </c>
      <c r="D608" t="s">
        <v>25</v>
      </c>
      <c r="E608" t="s">
        <v>55</v>
      </c>
      <c r="F608" t="s">
        <v>46</v>
      </c>
      <c r="G608" s="58">
        <v>688369</v>
      </c>
      <c r="H608" s="1" t="s">
        <v>47</v>
      </c>
      <c r="I608" s="1" t="s">
        <v>111</v>
      </c>
      <c r="J608" s="58">
        <v>6883690</v>
      </c>
      <c r="K608" s="1" t="s">
        <v>106</v>
      </c>
      <c r="L608" s="1" t="s">
        <v>114</v>
      </c>
      <c r="N608" s="1">
        <v>1</v>
      </c>
      <c r="O608" s="58"/>
      <c r="P608" s="58">
        <v>302882.36</v>
      </c>
      <c r="Q608" t="s">
        <v>113</v>
      </c>
      <c r="R608" s="1" t="s">
        <v>158</v>
      </c>
    </row>
    <row r="609" spans="3:18" x14ac:dyDescent="0.35">
      <c r="C609" t="s">
        <v>51</v>
      </c>
      <c r="D609" t="s">
        <v>23</v>
      </c>
      <c r="E609" t="s">
        <v>45</v>
      </c>
      <c r="F609" t="s">
        <v>46</v>
      </c>
      <c r="G609" s="58">
        <v>58521640</v>
      </c>
      <c r="H609" s="1" t="s">
        <v>47</v>
      </c>
      <c r="I609" s="1" t="s">
        <v>119</v>
      </c>
      <c r="J609" s="58">
        <v>409651480</v>
      </c>
      <c r="K609" s="1" t="s">
        <v>106</v>
      </c>
      <c r="L609" s="1" t="s">
        <v>120</v>
      </c>
      <c r="N609" s="1">
        <v>1</v>
      </c>
      <c r="O609" s="58"/>
      <c r="P609" s="58">
        <v>11704328</v>
      </c>
      <c r="Q609" t="s">
        <v>107</v>
      </c>
      <c r="R609" s="1" t="s">
        <v>158</v>
      </c>
    </row>
    <row r="610" spans="3:18" x14ac:dyDescent="0.35">
      <c r="C610" t="s">
        <v>51</v>
      </c>
      <c r="D610" t="s">
        <v>91</v>
      </c>
      <c r="E610" t="s">
        <v>49</v>
      </c>
      <c r="F610" t="s">
        <v>46</v>
      </c>
      <c r="G610" s="58">
        <v>401067</v>
      </c>
      <c r="H610" s="1" t="s">
        <v>48</v>
      </c>
      <c r="I610" s="1" t="s">
        <v>108</v>
      </c>
      <c r="J610" s="58">
        <v>13235211</v>
      </c>
      <c r="K610" s="1" t="s">
        <v>106</v>
      </c>
      <c r="L610" s="1" t="s">
        <v>124</v>
      </c>
      <c r="M610" s="1" t="s">
        <v>126</v>
      </c>
      <c r="N610" s="1">
        <v>1</v>
      </c>
      <c r="O610" s="58"/>
      <c r="P610" s="58">
        <v>108288.09</v>
      </c>
      <c r="Q610" t="s">
        <v>107</v>
      </c>
      <c r="R610" s="1" t="s">
        <v>158</v>
      </c>
    </row>
    <row r="611" spans="3:18" x14ac:dyDescent="0.35">
      <c r="C611" t="s">
        <v>51</v>
      </c>
      <c r="D611" t="s">
        <v>24</v>
      </c>
      <c r="E611" t="s">
        <v>55</v>
      </c>
      <c r="F611" t="s">
        <v>46</v>
      </c>
      <c r="G611" s="58">
        <v>72758</v>
      </c>
      <c r="H611" s="1" t="s">
        <v>59</v>
      </c>
      <c r="I611" s="1" t="s">
        <v>111</v>
      </c>
      <c r="J611" s="58">
        <v>945854</v>
      </c>
      <c r="K611" s="1" t="s">
        <v>106</v>
      </c>
      <c r="L611" s="1" t="s">
        <v>120</v>
      </c>
      <c r="N611" s="1">
        <v>1</v>
      </c>
      <c r="O611" s="58"/>
      <c r="P611" s="58">
        <v>36379</v>
      </c>
      <c r="Q611" t="s">
        <v>113</v>
      </c>
      <c r="R611" s="1" t="s">
        <v>158</v>
      </c>
    </row>
    <row r="612" spans="3:18" x14ac:dyDescent="0.35">
      <c r="C612" t="s">
        <v>53</v>
      </c>
      <c r="D612" t="s">
        <v>20</v>
      </c>
      <c r="E612" t="s">
        <v>49</v>
      </c>
      <c r="F612" t="s">
        <v>46</v>
      </c>
      <c r="G612" s="58">
        <v>57898</v>
      </c>
      <c r="H612" s="1" t="s">
        <v>47</v>
      </c>
      <c r="I612" s="1" t="s">
        <v>105</v>
      </c>
      <c r="J612" s="58">
        <v>115796</v>
      </c>
      <c r="K612" s="1" t="s">
        <v>106</v>
      </c>
      <c r="L612" s="1" t="s">
        <v>124</v>
      </c>
      <c r="N612" s="1">
        <v>1</v>
      </c>
      <c r="O612" s="58"/>
      <c r="P612" s="58">
        <v>37054.720000000001</v>
      </c>
      <c r="Q612" t="s">
        <v>118</v>
      </c>
      <c r="R612" s="1" t="s">
        <v>158</v>
      </c>
    </row>
    <row r="613" spans="3:18" x14ac:dyDescent="0.35">
      <c r="C613" t="s">
        <v>51</v>
      </c>
      <c r="D613" t="s">
        <v>22</v>
      </c>
      <c r="E613" t="s">
        <v>45</v>
      </c>
      <c r="F613" t="s">
        <v>46</v>
      </c>
      <c r="G613" s="58">
        <v>31488775</v>
      </c>
      <c r="H613" s="1" t="s">
        <v>48</v>
      </c>
      <c r="I613" s="1" t="s">
        <v>108</v>
      </c>
      <c r="J613" s="58">
        <v>1007640800</v>
      </c>
      <c r="K613" s="1" t="s">
        <v>112</v>
      </c>
      <c r="N613" s="1">
        <v>1</v>
      </c>
      <c r="O613" s="58"/>
      <c r="P613" s="58">
        <v>22357030.25</v>
      </c>
      <c r="Q613" t="s">
        <v>118</v>
      </c>
      <c r="R613" s="1" t="s">
        <v>158</v>
      </c>
    </row>
    <row r="614" spans="3:18" x14ac:dyDescent="0.35">
      <c r="C614" t="s">
        <v>51</v>
      </c>
      <c r="D614" t="s">
        <v>20</v>
      </c>
      <c r="E614" t="s">
        <v>49</v>
      </c>
      <c r="F614" t="s">
        <v>46</v>
      </c>
      <c r="G614" s="58">
        <v>340619</v>
      </c>
      <c r="H614" s="1" t="s">
        <v>47</v>
      </c>
      <c r="I614" s="1" t="s">
        <v>105</v>
      </c>
      <c r="J614" s="58">
        <v>1362476</v>
      </c>
      <c r="K614" s="1" t="s">
        <v>106</v>
      </c>
      <c r="L614" s="1" t="s">
        <v>124</v>
      </c>
      <c r="N614" s="1">
        <v>1</v>
      </c>
      <c r="O614" s="58"/>
      <c r="P614" s="58">
        <v>245245.68</v>
      </c>
      <c r="Q614" t="s">
        <v>118</v>
      </c>
      <c r="R614" s="1" t="s">
        <v>158</v>
      </c>
    </row>
    <row r="615" spans="3:18" x14ac:dyDescent="0.35">
      <c r="C615" t="s">
        <v>51</v>
      </c>
      <c r="D615" t="s">
        <v>19</v>
      </c>
      <c r="E615" t="s">
        <v>49</v>
      </c>
      <c r="F615" t="s">
        <v>46</v>
      </c>
      <c r="G615" s="58">
        <v>581662</v>
      </c>
      <c r="H615" s="1" t="s">
        <v>56</v>
      </c>
      <c r="I615" s="1" t="s">
        <v>119</v>
      </c>
      <c r="J615" s="58">
        <v>4653296</v>
      </c>
      <c r="K615" s="1" t="s">
        <v>106</v>
      </c>
      <c r="L615" s="1" t="s">
        <v>124</v>
      </c>
      <c r="N615" s="1">
        <v>1</v>
      </c>
      <c r="O615" s="58"/>
      <c r="P615" s="58">
        <v>273381.14</v>
      </c>
      <c r="Q615" t="s">
        <v>113</v>
      </c>
      <c r="R615" s="1" t="s">
        <v>158</v>
      </c>
    </row>
    <row r="616" spans="3:18" x14ac:dyDescent="0.35">
      <c r="C616" t="s">
        <v>51</v>
      </c>
      <c r="D616" t="s">
        <v>21</v>
      </c>
      <c r="E616" t="s">
        <v>49</v>
      </c>
      <c r="F616" t="s">
        <v>46</v>
      </c>
      <c r="G616" s="58">
        <v>1157402</v>
      </c>
      <c r="H616" s="1" t="s">
        <v>59</v>
      </c>
      <c r="I616" s="1" t="s">
        <v>105</v>
      </c>
      <c r="J616" s="58">
        <v>4629608</v>
      </c>
      <c r="K616" s="1" t="s">
        <v>106</v>
      </c>
      <c r="L616" s="1" t="s">
        <v>124</v>
      </c>
      <c r="N616" s="1">
        <v>1</v>
      </c>
      <c r="O616" s="58"/>
      <c r="P616" s="58">
        <v>717589.24</v>
      </c>
      <c r="Q616" t="s">
        <v>118</v>
      </c>
      <c r="R616" s="1" t="s">
        <v>158</v>
      </c>
    </row>
    <row r="617" spans="3:18" x14ac:dyDescent="0.35">
      <c r="C617" t="s">
        <v>53</v>
      </c>
      <c r="D617" t="s">
        <v>60</v>
      </c>
      <c r="E617" t="s">
        <v>60</v>
      </c>
      <c r="F617" t="s">
        <v>46</v>
      </c>
      <c r="G617" s="58">
        <v>0</v>
      </c>
      <c r="H617" s="1" t="s">
        <v>61</v>
      </c>
      <c r="I617" s="1" t="s">
        <v>111</v>
      </c>
      <c r="J617" s="58">
        <v>0</v>
      </c>
      <c r="K617" s="1" t="s">
        <v>106</v>
      </c>
      <c r="N617" s="1">
        <v>1</v>
      </c>
      <c r="O617" s="58"/>
      <c r="P617" s="58">
        <v>0</v>
      </c>
      <c r="Q617" t="s">
        <v>118</v>
      </c>
    </row>
    <row r="618" spans="3:18" x14ac:dyDescent="0.35">
      <c r="C618" t="s">
        <v>51</v>
      </c>
      <c r="D618" t="s">
        <v>23</v>
      </c>
      <c r="E618" t="s">
        <v>49</v>
      </c>
      <c r="F618" t="s">
        <v>46</v>
      </c>
      <c r="G618" s="58">
        <v>16033</v>
      </c>
      <c r="H618" s="1" t="s">
        <v>59</v>
      </c>
      <c r="I618" s="1" t="s">
        <v>105</v>
      </c>
      <c r="J618" s="58">
        <v>48099</v>
      </c>
      <c r="K618" s="1" t="s">
        <v>106</v>
      </c>
      <c r="L618" s="1" t="s">
        <v>124</v>
      </c>
      <c r="N618" s="1">
        <v>1</v>
      </c>
      <c r="O618" s="58"/>
      <c r="P618" s="58">
        <v>6573.53</v>
      </c>
      <c r="Q618" t="s">
        <v>113</v>
      </c>
      <c r="R618" s="1" t="s">
        <v>158</v>
      </c>
    </row>
    <row r="619" spans="3:18" x14ac:dyDescent="0.35">
      <c r="C619" t="s">
        <v>51</v>
      </c>
      <c r="D619" t="s">
        <v>19</v>
      </c>
      <c r="E619" t="s">
        <v>49</v>
      </c>
      <c r="F619" t="s">
        <v>46</v>
      </c>
      <c r="G619" s="58">
        <v>109226881</v>
      </c>
      <c r="H619" s="1" t="s">
        <v>48</v>
      </c>
      <c r="I619" s="1" t="s">
        <v>108</v>
      </c>
      <c r="J619" s="58">
        <v>4041394597</v>
      </c>
      <c r="K619" s="1" t="s">
        <v>112</v>
      </c>
      <c r="N619" s="1">
        <v>1</v>
      </c>
      <c r="O619" s="58"/>
      <c r="P619" s="58">
        <v>96119655.280000001</v>
      </c>
      <c r="Q619" t="s">
        <v>127</v>
      </c>
      <c r="R619" s="1" t="s">
        <v>48</v>
      </c>
    </row>
    <row r="620" spans="3:18" x14ac:dyDescent="0.35">
      <c r="C620" t="s">
        <v>51</v>
      </c>
      <c r="D620" t="s">
        <v>24</v>
      </c>
      <c r="E620" t="s">
        <v>55</v>
      </c>
      <c r="F620" t="s">
        <v>64</v>
      </c>
      <c r="G620" s="58">
        <v>389905</v>
      </c>
      <c r="H620" s="1" t="s">
        <v>48</v>
      </c>
      <c r="I620" s="1" t="s">
        <v>108</v>
      </c>
      <c r="J620" s="58">
        <v>12866865</v>
      </c>
      <c r="K620" s="1" t="s">
        <v>112</v>
      </c>
      <c r="N620" s="1">
        <v>1</v>
      </c>
      <c r="O620" s="58"/>
      <c r="P620" s="58">
        <v>284630.65000000002</v>
      </c>
      <c r="Q620" t="s">
        <v>118</v>
      </c>
      <c r="R620" s="1" t="s">
        <v>158</v>
      </c>
    </row>
    <row r="621" spans="3:18" x14ac:dyDescent="0.35">
      <c r="C621" t="s">
        <v>51</v>
      </c>
      <c r="D621" t="s">
        <v>23</v>
      </c>
      <c r="E621" t="s">
        <v>50</v>
      </c>
      <c r="F621" t="s">
        <v>46</v>
      </c>
      <c r="G621" s="58">
        <v>270329</v>
      </c>
      <c r="H621" s="1" t="s">
        <v>48</v>
      </c>
      <c r="I621" s="1" t="s">
        <v>111</v>
      </c>
      <c r="J621" s="58">
        <v>4865922</v>
      </c>
      <c r="K621" s="1" t="s">
        <v>106</v>
      </c>
      <c r="L621" s="1" t="s">
        <v>120</v>
      </c>
      <c r="M621" s="1" t="s">
        <v>125</v>
      </c>
      <c r="N621" s="1">
        <v>1</v>
      </c>
      <c r="O621" s="58"/>
      <c r="P621" s="58">
        <v>135164.5</v>
      </c>
      <c r="Q621" t="s">
        <v>113</v>
      </c>
      <c r="R621" s="1" t="s">
        <v>48</v>
      </c>
    </row>
    <row r="622" spans="3:18" x14ac:dyDescent="0.35">
      <c r="C622" t="s">
        <v>53</v>
      </c>
      <c r="D622" t="s">
        <v>21</v>
      </c>
      <c r="E622" t="s">
        <v>49</v>
      </c>
      <c r="F622" t="s">
        <v>46</v>
      </c>
      <c r="G622" s="58">
        <v>6075861</v>
      </c>
      <c r="H622" s="1" t="s">
        <v>56</v>
      </c>
      <c r="I622" s="1" t="s">
        <v>111</v>
      </c>
      <c r="J622" s="58">
        <v>78986193</v>
      </c>
      <c r="K622" s="1" t="s">
        <v>106</v>
      </c>
      <c r="L622" s="1" t="s">
        <v>124</v>
      </c>
      <c r="N622" s="1">
        <v>1</v>
      </c>
      <c r="O622" s="58"/>
      <c r="P622" s="58">
        <v>1640482.47</v>
      </c>
      <c r="Q622" t="s">
        <v>107</v>
      </c>
      <c r="R622" s="1" t="s">
        <v>158</v>
      </c>
    </row>
    <row r="623" spans="3:18" x14ac:dyDescent="0.35">
      <c r="C623" t="s">
        <v>53</v>
      </c>
      <c r="D623" t="s">
        <v>22</v>
      </c>
      <c r="E623" t="s">
        <v>55</v>
      </c>
      <c r="F623" t="s">
        <v>46</v>
      </c>
      <c r="G623" s="58">
        <v>11657128</v>
      </c>
      <c r="H623" s="1" t="s">
        <v>48</v>
      </c>
      <c r="I623" s="1" t="s">
        <v>105</v>
      </c>
      <c r="J623" s="58">
        <v>46628512</v>
      </c>
      <c r="K623" s="1" t="s">
        <v>106</v>
      </c>
      <c r="L623" s="1" t="s">
        <v>114</v>
      </c>
      <c r="M623" s="1" t="s">
        <v>115</v>
      </c>
      <c r="N623" s="1">
        <v>1</v>
      </c>
      <c r="O623" s="58"/>
      <c r="P623" s="58">
        <v>4313137.3600000003</v>
      </c>
      <c r="Q623" t="s">
        <v>107</v>
      </c>
      <c r="R623" s="1" t="s">
        <v>158</v>
      </c>
    </row>
    <row r="624" spans="3:18" x14ac:dyDescent="0.35">
      <c r="C624" t="s">
        <v>51</v>
      </c>
      <c r="D624" t="s">
        <v>60</v>
      </c>
      <c r="E624" t="s">
        <v>60</v>
      </c>
      <c r="F624" t="s">
        <v>46</v>
      </c>
      <c r="G624" s="58">
        <v>60239</v>
      </c>
      <c r="H624" s="1" t="s">
        <v>90</v>
      </c>
      <c r="I624" s="1" t="s">
        <v>111</v>
      </c>
      <c r="J624" s="58">
        <v>963824</v>
      </c>
      <c r="K624" s="1" t="s">
        <v>106</v>
      </c>
      <c r="N624" s="1">
        <v>1</v>
      </c>
      <c r="O624" s="58"/>
      <c r="P624" s="58">
        <v>54215.1</v>
      </c>
      <c r="Q624" t="s">
        <v>127</v>
      </c>
      <c r="R624" s="1" t="s">
        <v>90</v>
      </c>
    </row>
    <row r="625" spans="3:18" x14ac:dyDescent="0.35">
      <c r="C625" t="s">
        <v>53</v>
      </c>
      <c r="D625" t="s">
        <v>21</v>
      </c>
      <c r="E625" t="s">
        <v>45</v>
      </c>
      <c r="F625" t="s">
        <v>46</v>
      </c>
      <c r="G625" s="58">
        <v>15114261</v>
      </c>
      <c r="H625" s="1" t="s">
        <v>56</v>
      </c>
      <c r="I625" s="1" t="s">
        <v>119</v>
      </c>
      <c r="J625" s="58">
        <v>105799827</v>
      </c>
      <c r="K625" s="1" t="s">
        <v>106</v>
      </c>
      <c r="L625" s="1" t="s">
        <v>120</v>
      </c>
      <c r="N625" s="1">
        <v>1</v>
      </c>
      <c r="O625" s="58"/>
      <c r="P625" s="58">
        <v>4080850.47</v>
      </c>
      <c r="Q625" t="s">
        <v>107</v>
      </c>
      <c r="R625" s="1" t="s">
        <v>158</v>
      </c>
    </row>
    <row r="626" spans="3:18" x14ac:dyDescent="0.35">
      <c r="C626" t="s">
        <v>51</v>
      </c>
      <c r="D626" t="s">
        <v>23</v>
      </c>
      <c r="E626" t="s">
        <v>62</v>
      </c>
      <c r="F626" t="s">
        <v>46</v>
      </c>
      <c r="G626" s="58">
        <v>321934</v>
      </c>
      <c r="H626" s="1" t="s">
        <v>48</v>
      </c>
      <c r="I626" s="1" t="s">
        <v>108</v>
      </c>
      <c r="J626" s="58">
        <v>12555426</v>
      </c>
      <c r="K626" s="1" t="s">
        <v>106</v>
      </c>
      <c r="L626" s="1" t="s">
        <v>120</v>
      </c>
      <c r="M626" s="1" t="s">
        <v>125</v>
      </c>
      <c r="N626" s="1">
        <v>1</v>
      </c>
      <c r="O626" s="58"/>
      <c r="P626" s="58">
        <v>218915.12</v>
      </c>
      <c r="Q626" t="s">
        <v>118</v>
      </c>
      <c r="R626" s="1" t="s">
        <v>48</v>
      </c>
    </row>
    <row r="627" spans="3:18" x14ac:dyDescent="0.35">
      <c r="C627" t="s">
        <v>51</v>
      </c>
      <c r="D627" t="s">
        <v>19</v>
      </c>
      <c r="E627" t="s">
        <v>49</v>
      </c>
      <c r="F627" t="s">
        <v>46</v>
      </c>
      <c r="G627" s="58">
        <v>156209</v>
      </c>
      <c r="H627" s="1" t="s">
        <v>58</v>
      </c>
      <c r="I627" s="1" t="s">
        <v>105</v>
      </c>
      <c r="J627" s="58">
        <v>624836</v>
      </c>
      <c r="K627" s="1" t="s">
        <v>106</v>
      </c>
      <c r="L627" s="1" t="s">
        <v>124</v>
      </c>
      <c r="N627" s="1">
        <v>1</v>
      </c>
      <c r="O627" s="58"/>
      <c r="P627" s="58">
        <v>67169.87</v>
      </c>
      <c r="Q627" t="s">
        <v>113</v>
      </c>
      <c r="R627" s="1" t="s">
        <v>158</v>
      </c>
    </row>
    <row r="628" spans="3:18" x14ac:dyDescent="0.35">
      <c r="C628" t="s">
        <v>51</v>
      </c>
      <c r="D628" t="s">
        <v>21</v>
      </c>
      <c r="E628" t="s">
        <v>45</v>
      </c>
      <c r="F628" t="s">
        <v>46</v>
      </c>
      <c r="G628" s="58">
        <v>766145</v>
      </c>
      <c r="H628" s="1" t="s">
        <v>47</v>
      </c>
      <c r="I628" s="1" t="s">
        <v>119</v>
      </c>
      <c r="J628" s="58">
        <v>4596870</v>
      </c>
      <c r="K628" s="1" t="s">
        <v>106</v>
      </c>
      <c r="L628" s="1" t="s">
        <v>124</v>
      </c>
      <c r="N628" s="1">
        <v>1</v>
      </c>
      <c r="O628" s="58"/>
      <c r="P628" s="58">
        <v>153229</v>
      </c>
      <c r="Q628" t="s">
        <v>107</v>
      </c>
      <c r="R628" s="1" t="s">
        <v>158</v>
      </c>
    </row>
    <row r="629" spans="3:18" x14ac:dyDescent="0.35">
      <c r="C629" t="s">
        <v>51</v>
      </c>
      <c r="D629" t="s">
        <v>21</v>
      </c>
      <c r="E629" t="s">
        <v>49</v>
      </c>
      <c r="F629" t="s">
        <v>46</v>
      </c>
      <c r="G629" s="58">
        <v>6979196</v>
      </c>
      <c r="H629" s="1" t="s">
        <v>54</v>
      </c>
      <c r="I629" s="1" t="s">
        <v>119</v>
      </c>
      <c r="J629" s="58">
        <v>55833568</v>
      </c>
      <c r="K629" s="1" t="s">
        <v>106</v>
      </c>
      <c r="L629" s="1" t="s">
        <v>124</v>
      </c>
      <c r="N629" s="1">
        <v>1</v>
      </c>
      <c r="O629" s="58"/>
      <c r="P629" s="58">
        <v>3210430.16</v>
      </c>
      <c r="Q629" t="s">
        <v>113</v>
      </c>
      <c r="R629" s="1" t="s">
        <v>158</v>
      </c>
    </row>
    <row r="630" spans="3:18" x14ac:dyDescent="0.35">
      <c r="C630" t="s">
        <v>53</v>
      </c>
      <c r="D630" t="s">
        <v>24</v>
      </c>
      <c r="E630" t="s">
        <v>45</v>
      </c>
      <c r="F630" t="s">
        <v>46</v>
      </c>
      <c r="G630" s="58">
        <v>56438</v>
      </c>
      <c r="H630" s="1" t="s">
        <v>48</v>
      </c>
      <c r="I630" s="1" t="s">
        <v>111</v>
      </c>
      <c r="J630" s="58">
        <v>677256</v>
      </c>
      <c r="K630" s="1" t="s">
        <v>106</v>
      </c>
      <c r="L630" s="1" t="s">
        <v>120</v>
      </c>
      <c r="M630" s="1" t="s">
        <v>121</v>
      </c>
      <c r="N630" s="1">
        <v>1</v>
      </c>
      <c r="O630" s="58"/>
      <c r="P630" s="58">
        <v>6772.56</v>
      </c>
      <c r="Q630" t="s">
        <v>107</v>
      </c>
      <c r="R630" s="1" t="s">
        <v>158</v>
      </c>
    </row>
    <row r="631" spans="3:18" x14ac:dyDescent="0.35">
      <c r="C631" t="s">
        <v>51</v>
      </c>
      <c r="D631" t="s">
        <v>92</v>
      </c>
      <c r="E631" t="s">
        <v>49</v>
      </c>
      <c r="F631" t="s">
        <v>46</v>
      </c>
      <c r="G631" s="58">
        <v>236950</v>
      </c>
      <c r="H631" s="1" t="s">
        <v>54</v>
      </c>
      <c r="I631" s="1" t="s">
        <v>105</v>
      </c>
      <c r="J631" s="58">
        <v>947800</v>
      </c>
      <c r="K631" s="1" t="s">
        <v>106</v>
      </c>
      <c r="L631" s="1" t="s">
        <v>124</v>
      </c>
      <c r="N631" s="1">
        <v>1</v>
      </c>
      <c r="O631" s="58"/>
      <c r="P631" s="58">
        <v>111366.5</v>
      </c>
      <c r="Q631" t="s">
        <v>113</v>
      </c>
      <c r="R631" s="1" t="s">
        <v>158</v>
      </c>
    </row>
    <row r="632" spans="3:18" x14ac:dyDescent="0.35">
      <c r="C632" t="s">
        <v>51</v>
      </c>
      <c r="D632" t="s">
        <v>22</v>
      </c>
      <c r="E632" t="s">
        <v>45</v>
      </c>
      <c r="F632" t="s">
        <v>46</v>
      </c>
      <c r="G632" s="58">
        <v>599942</v>
      </c>
      <c r="H632" s="1" t="s">
        <v>47</v>
      </c>
      <c r="I632" s="1" t="s">
        <v>108</v>
      </c>
      <c r="J632" s="58">
        <v>17998260</v>
      </c>
      <c r="K632" s="1" t="s">
        <v>106</v>
      </c>
      <c r="L632" s="1" t="s">
        <v>109</v>
      </c>
      <c r="N632" s="1">
        <v>1</v>
      </c>
      <c r="O632" s="58"/>
      <c r="P632" s="58">
        <v>287972.15999999997</v>
      </c>
      <c r="Q632" t="s">
        <v>113</v>
      </c>
      <c r="R632" s="1" t="s">
        <v>158</v>
      </c>
    </row>
    <row r="633" spans="3:18" x14ac:dyDescent="0.35">
      <c r="C633" t="s">
        <v>53</v>
      </c>
      <c r="D633" t="s">
        <v>22</v>
      </c>
      <c r="E633" t="s">
        <v>55</v>
      </c>
      <c r="F633" t="s">
        <v>46</v>
      </c>
      <c r="G633" s="58">
        <v>2753807</v>
      </c>
      <c r="H633" s="1" t="s">
        <v>54</v>
      </c>
      <c r="I633" s="1" t="s">
        <v>119</v>
      </c>
      <c r="J633" s="58">
        <v>19276649</v>
      </c>
      <c r="K633" s="1" t="s">
        <v>106</v>
      </c>
      <c r="L633" s="1" t="s">
        <v>114</v>
      </c>
      <c r="N633" s="1">
        <v>1</v>
      </c>
      <c r="O633" s="58"/>
      <c r="P633" s="58">
        <v>1266751.22</v>
      </c>
      <c r="Q633" t="s">
        <v>113</v>
      </c>
      <c r="R633" s="1" t="s">
        <v>158</v>
      </c>
    </row>
    <row r="634" spans="3:18" x14ac:dyDescent="0.35">
      <c r="C634" t="s">
        <v>51</v>
      </c>
      <c r="D634" t="s">
        <v>21</v>
      </c>
      <c r="E634" t="s">
        <v>49</v>
      </c>
      <c r="F634" t="s">
        <v>46</v>
      </c>
      <c r="G634" s="58">
        <v>73693990</v>
      </c>
      <c r="H634" s="1" t="s">
        <v>54</v>
      </c>
      <c r="I634" s="1" t="s">
        <v>108</v>
      </c>
      <c r="J634" s="58">
        <v>1842349750</v>
      </c>
      <c r="K634" s="1" t="s">
        <v>106</v>
      </c>
      <c r="L634" s="1" t="s">
        <v>124</v>
      </c>
      <c r="N634" s="1">
        <v>1</v>
      </c>
      <c r="O634" s="58"/>
      <c r="P634" s="58">
        <v>19897377.300000001</v>
      </c>
      <c r="Q634" t="s">
        <v>107</v>
      </c>
      <c r="R634" s="1" t="s">
        <v>158</v>
      </c>
    </row>
    <row r="635" spans="3:18" x14ac:dyDescent="0.35">
      <c r="C635" t="s">
        <v>51</v>
      </c>
      <c r="D635" t="s">
        <v>23</v>
      </c>
      <c r="E635" t="s">
        <v>55</v>
      </c>
      <c r="F635" t="s">
        <v>46</v>
      </c>
      <c r="G635" s="58">
        <v>95381</v>
      </c>
      <c r="H635" s="1" t="s">
        <v>59</v>
      </c>
      <c r="I635" s="1" t="s">
        <v>108</v>
      </c>
      <c r="J635" s="58">
        <v>2003001</v>
      </c>
      <c r="K635" s="1" t="s">
        <v>106</v>
      </c>
      <c r="L635" s="1" t="s">
        <v>116</v>
      </c>
      <c r="N635" s="1">
        <v>1</v>
      </c>
      <c r="O635" s="58"/>
      <c r="P635" s="58">
        <v>61043.839999999997</v>
      </c>
      <c r="Q635" t="s">
        <v>118</v>
      </c>
      <c r="R635" s="1" t="s">
        <v>158</v>
      </c>
    </row>
    <row r="636" spans="3:18" x14ac:dyDescent="0.35">
      <c r="C636" t="s">
        <v>51</v>
      </c>
      <c r="D636" t="s">
        <v>21</v>
      </c>
      <c r="E636" t="s">
        <v>49</v>
      </c>
      <c r="F636" t="s">
        <v>46</v>
      </c>
      <c r="G636" s="58">
        <v>334527</v>
      </c>
      <c r="H636" s="1" t="s">
        <v>54</v>
      </c>
      <c r="I636" s="1" t="s">
        <v>108</v>
      </c>
      <c r="J636" s="58">
        <v>7025067</v>
      </c>
      <c r="K636" s="1" t="s">
        <v>106</v>
      </c>
      <c r="L636" s="1" t="s">
        <v>116</v>
      </c>
      <c r="N636" s="1">
        <v>1</v>
      </c>
      <c r="O636" s="58"/>
      <c r="P636" s="58">
        <v>86977.02</v>
      </c>
      <c r="Q636" t="s">
        <v>107</v>
      </c>
      <c r="R636" s="1" t="s">
        <v>158</v>
      </c>
    </row>
    <row r="637" spans="3:18" x14ac:dyDescent="0.35">
      <c r="C637" t="s">
        <v>53</v>
      </c>
      <c r="D637" t="s">
        <v>22</v>
      </c>
      <c r="E637" t="s">
        <v>45</v>
      </c>
      <c r="F637" t="s">
        <v>46</v>
      </c>
      <c r="G637" s="58">
        <v>11601364</v>
      </c>
      <c r="H637" s="1" t="s">
        <v>59</v>
      </c>
      <c r="I637" s="1" t="s">
        <v>105</v>
      </c>
      <c r="J637" s="58">
        <v>58006820</v>
      </c>
      <c r="K637" s="1" t="s">
        <v>106</v>
      </c>
      <c r="L637" s="1" t="s">
        <v>120</v>
      </c>
      <c r="N637" s="1">
        <v>1</v>
      </c>
      <c r="O637" s="58"/>
      <c r="P637" s="58">
        <v>5800682</v>
      </c>
      <c r="Q637" t="s">
        <v>113</v>
      </c>
      <c r="R637" s="1" t="s">
        <v>158</v>
      </c>
    </row>
    <row r="638" spans="3:18" x14ac:dyDescent="0.35">
      <c r="C638" t="s">
        <v>51</v>
      </c>
      <c r="D638" t="s">
        <v>22</v>
      </c>
      <c r="E638" t="s">
        <v>52</v>
      </c>
      <c r="F638" t="s">
        <v>46</v>
      </c>
      <c r="G638" s="58">
        <v>408287</v>
      </c>
      <c r="H638" s="1" t="s">
        <v>48</v>
      </c>
      <c r="I638" s="1" t="s">
        <v>108</v>
      </c>
      <c r="J638" s="58">
        <v>11840323</v>
      </c>
      <c r="K638" s="1" t="s">
        <v>106</v>
      </c>
      <c r="L638" s="1" t="s">
        <v>120</v>
      </c>
      <c r="M638" s="1" t="s">
        <v>115</v>
      </c>
      <c r="N638" s="1">
        <v>1</v>
      </c>
      <c r="O638" s="58"/>
      <c r="P638" s="58">
        <v>187812.02</v>
      </c>
      <c r="Q638" t="s">
        <v>113</v>
      </c>
      <c r="R638" s="1" t="s">
        <v>48</v>
      </c>
    </row>
    <row r="639" spans="3:18" x14ac:dyDescent="0.35">
      <c r="C639" t="s">
        <v>51</v>
      </c>
      <c r="D639" t="s">
        <v>19</v>
      </c>
      <c r="E639" t="s">
        <v>55</v>
      </c>
      <c r="F639" t="s">
        <v>46</v>
      </c>
      <c r="G639" s="58">
        <v>38844</v>
      </c>
      <c r="H639" s="1" t="s">
        <v>48</v>
      </c>
      <c r="I639" s="1" t="s">
        <v>111</v>
      </c>
      <c r="J639" s="58">
        <v>776880</v>
      </c>
      <c r="K639" s="1" t="s">
        <v>106</v>
      </c>
      <c r="L639" s="1" t="s">
        <v>114</v>
      </c>
      <c r="M639" s="1" t="s">
        <v>122</v>
      </c>
      <c r="N639" s="1">
        <v>1</v>
      </c>
      <c r="O639" s="58"/>
      <c r="P639" s="58">
        <v>5826.6</v>
      </c>
      <c r="Q639" t="s">
        <v>107</v>
      </c>
      <c r="R639" s="1" t="s">
        <v>48</v>
      </c>
    </row>
    <row r="640" spans="3:18" x14ac:dyDescent="0.35">
      <c r="C640" t="s">
        <v>53</v>
      </c>
      <c r="D640" t="s">
        <v>21</v>
      </c>
      <c r="E640" t="s">
        <v>49</v>
      </c>
      <c r="F640" t="s">
        <v>46</v>
      </c>
      <c r="G640" s="58">
        <v>957340</v>
      </c>
      <c r="H640" s="1" t="s">
        <v>54</v>
      </c>
      <c r="I640" s="1" t="s">
        <v>108</v>
      </c>
      <c r="J640" s="58">
        <v>23933500</v>
      </c>
      <c r="K640" s="1" t="s">
        <v>106</v>
      </c>
      <c r="L640" s="1" t="s">
        <v>124</v>
      </c>
      <c r="N640" s="1">
        <v>1</v>
      </c>
      <c r="O640" s="58"/>
      <c r="P640" s="58">
        <v>201041.4</v>
      </c>
      <c r="Q640" t="s">
        <v>107</v>
      </c>
      <c r="R640" s="1" t="s">
        <v>158</v>
      </c>
    </row>
    <row r="641" spans="3:18" x14ac:dyDescent="0.35">
      <c r="C641" t="s">
        <v>51</v>
      </c>
      <c r="D641" t="s">
        <v>21</v>
      </c>
      <c r="E641" t="s">
        <v>49</v>
      </c>
      <c r="F641" t="s">
        <v>46</v>
      </c>
      <c r="G641" s="58">
        <v>26491782</v>
      </c>
      <c r="H641" s="1" t="s">
        <v>48</v>
      </c>
      <c r="I641" s="1" t="s">
        <v>105</v>
      </c>
      <c r="J641" s="58">
        <v>79475346</v>
      </c>
      <c r="K641" s="1" t="s">
        <v>106</v>
      </c>
      <c r="L641" s="1" t="s">
        <v>124</v>
      </c>
      <c r="M641" s="1" t="s">
        <v>126</v>
      </c>
      <c r="N641" s="1">
        <v>1</v>
      </c>
      <c r="O641" s="58"/>
      <c r="P641" s="58">
        <v>3708849.48</v>
      </c>
      <c r="Q641" t="s">
        <v>107</v>
      </c>
      <c r="R641" s="1" t="s">
        <v>158</v>
      </c>
    </row>
    <row r="642" spans="3:18" x14ac:dyDescent="0.35">
      <c r="C642" t="s">
        <v>51</v>
      </c>
      <c r="D642" t="s">
        <v>21</v>
      </c>
      <c r="E642" t="s">
        <v>49</v>
      </c>
      <c r="F642" t="s">
        <v>46</v>
      </c>
      <c r="G642" s="58">
        <v>2094909</v>
      </c>
      <c r="H642" s="1" t="s">
        <v>59</v>
      </c>
      <c r="I642" s="1" t="s">
        <v>111</v>
      </c>
      <c r="J642" s="58">
        <v>31423635</v>
      </c>
      <c r="K642" s="1" t="s">
        <v>112</v>
      </c>
      <c r="N642" s="1">
        <v>1</v>
      </c>
      <c r="O642" s="58"/>
      <c r="P642" s="58">
        <v>523727.25</v>
      </c>
      <c r="Q642" t="s">
        <v>107</v>
      </c>
      <c r="R642" s="1" t="s">
        <v>158</v>
      </c>
    </row>
    <row r="643" spans="3:18" x14ac:dyDescent="0.35">
      <c r="C643" t="s">
        <v>51</v>
      </c>
      <c r="D643" t="s">
        <v>22</v>
      </c>
      <c r="E643" t="s">
        <v>49</v>
      </c>
      <c r="F643" t="s">
        <v>46</v>
      </c>
      <c r="G643" s="58">
        <v>8338113</v>
      </c>
      <c r="H643" s="1" t="s">
        <v>54</v>
      </c>
      <c r="I643" s="1" t="s">
        <v>108</v>
      </c>
      <c r="J643" s="58">
        <v>250143390</v>
      </c>
      <c r="K643" s="1" t="s">
        <v>112</v>
      </c>
      <c r="N643" s="1">
        <v>1</v>
      </c>
      <c r="O643" s="58"/>
      <c r="P643" s="58">
        <v>6086822.4900000002</v>
      </c>
      <c r="Q643" t="s">
        <v>118</v>
      </c>
      <c r="R643" s="1" t="s">
        <v>158</v>
      </c>
    </row>
    <row r="644" spans="3:18" x14ac:dyDescent="0.35">
      <c r="C644" t="s">
        <v>51</v>
      </c>
      <c r="D644" t="s">
        <v>20</v>
      </c>
      <c r="E644" t="s">
        <v>49</v>
      </c>
      <c r="F644" t="s">
        <v>46</v>
      </c>
      <c r="G644" s="58">
        <v>724917</v>
      </c>
      <c r="H644" s="1" t="s">
        <v>59</v>
      </c>
      <c r="I644" s="1" t="s">
        <v>108</v>
      </c>
      <c r="J644" s="58">
        <v>25372095</v>
      </c>
      <c r="K644" s="1" t="s">
        <v>112</v>
      </c>
      <c r="N644" s="1">
        <v>1</v>
      </c>
      <c r="O644" s="58"/>
      <c r="P644" s="58">
        <v>608930.28</v>
      </c>
      <c r="Q644" t="s">
        <v>127</v>
      </c>
      <c r="R644" s="1" t="s">
        <v>158</v>
      </c>
    </row>
    <row r="645" spans="3:18" x14ac:dyDescent="0.35">
      <c r="C645" t="s">
        <v>51</v>
      </c>
      <c r="D645" t="s">
        <v>23</v>
      </c>
      <c r="E645" t="s">
        <v>52</v>
      </c>
      <c r="F645" t="s">
        <v>46</v>
      </c>
      <c r="G645" s="58">
        <v>60149</v>
      </c>
      <c r="H645" s="1" t="s">
        <v>48</v>
      </c>
      <c r="I645" s="1" t="s">
        <v>108</v>
      </c>
      <c r="J645" s="58">
        <v>2345811</v>
      </c>
      <c r="K645" s="1" t="s">
        <v>106</v>
      </c>
      <c r="L645" s="1" t="s">
        <v>124</v>
      </c>
      <c r="M645" s="1" t="s">
        <v>125</v>
      </c>
      <c r="N645" s="1">
        <v>1</v>
      </c>
      <c r="O645" s="58"/>
      <c r="P645" s="58">
        <v>27668.54</v>
      </c>
      <c r="Q645" t="s">
        <v>113</v>
      </c>
      <c r="R645" s="1" t="s">
        <v>48</v>
      </c>
    </row>
    <row r="646" spans="3:18" x14ac:dyDescent="0.35">
      <c r="C646" t="s">
        <v>51</v>
      </c>
      <c r="D646" t="s">
        <v>21</v>
      </c>
      <c r="E646" t="s">
        <v>45</v>
      </c>
      <c r="F646" t="s">
        <v>46</v>
      </c>
      <c r="G646" s="58">
        <v>149642</v>
      </c>
      <c r="H646" s="1" t="s">
        <v>48</v>
      </c>
      <c r="I646" s="1" t="s">
        <v>111</v>
      </c>
      <c r="J646" s="58">
        <v>2843198</v>
      </c>
      <c r="K646" s="1" t="s">
        <v>106</v>
      </c>
      <c r="L646" s="1" t="s">
        <v>124</v>
      </c>
      <c r="M646" s="1" t="s">
        <v>126</v>
      </c>
      <c r="N646" s="1">
        <v>1</v>
      </c>
      <c r="O646" s="58"/>
      <c r="P646" s="58">
        <v>40403.339999999997</v>
      </c>
      <c r="Q646" t="s">
        <v>107</v>
      </c>
      <c r="R646" s="1" t="s">
        <v>158</v>
      </c>
    </row>
    <row r="647" spans="3:18" x14ac:dyDescent="0.35">
      <c r="C647" t="s">
        <v>53</v>
      </c>
      <c r="D647" t="s">
        <v>19</v>
      </c>
      <c r="E647" t="s">
        <v>45</v>
      </c>
      <c r="F647" t="s">
        <v>46</v>
      </c>
      <c r="G647" s="58">
        <v>501186</v>
      </c>
      <c r="H647" s="1" t="s">
        <v>48</v>
      </c>
      <c r="I647" s="1" t="s">
        <v>119</v>
      </c>
      <c r="J647" s="58">
        <v>5011860</v>
      </c>
      <c r="K647" s="1" t="s">
        <v>112</v>
      </c>
      <c r="N647" s="1">
        <v>1</v>
      </c>
      <c r="O647" s="58"/>
      <c r="P647" s="58">
        <v>290687.88</v>
      </c>
      <c r="Q647" t="s">
        <v>113</v>
      </c>
      <c r="R647" s="1" t="s">
        <v>158</v>
      </c>
    </row>
    <row r="648" spans="3:18" x14ac:dyDescent="0.35">
      <c r="C648" t="s">
        <v>51</v>
      </c>
      <c r="D648" t="s">
        <v>22</v>
      </c>
      <c r="E648" t="s">
        <v>50</v>
      </c>
      <c r="F648" t="s">
        <v>46</v>
      </c>
      <c r="G648" s="58">
        <v>113221</v>
      </c>
      <c r="H648" s="1" t="s">
        <v>48</v>
      </c>
      <c r="I648" s="1" t="s">
        <v>108</v>
      </c>
      <c r="J648" s="58">
        <v>3170188</v>
      </c>
      <c r="K648" s="1" t="s">
        <v>106</v>
      </c>
      <c r="L648" s="1" t="s">
        <v>124</v>
      </c>
      <c r="M648" s="1" t="s">
        <v>126</v>
      </c>
      <c r="N648" s="1">
        <v>1</v>
      </c>
      <c r="O648" s="58"/>
      <c r="P648" s="58">
        <v>80386.91</v>
      </c>
      <c r="Q648" t="s">
        <v>118</v>
      </c>
      <c r="R648" s="1" t="s">
        <v>48</v>
      </c>
    </row>
    <row r="649" spans="3:18" x14ac:dyDescent="0.35">
      <c r="C649" t="s">
        <v>51</v>
      </c>
      <c r="D649" t="s">
        <v>22</v>
      </c>
      <c r="E649" t="s">
        <v>45</v>
      </c>
      <c r="F649" t="s">
        <v>46</v>
      </c>
      <c r="G649" s="58">
        <v>14857906</v>
      </c>
      <c r="H649" s="1" t="s">
        <v>54</v>
      </c>
      <c r="I649" s="1" t="s">
        <v>108</v>
      </c>
      <c r="J649" s="58">
        <v>430879274</v>
      </c>
      <c r="K649" s="1" t="s">
        <v>106</v>
      </c>
      <c r="L649" s="1" t="s">
        <v>120</v>
      </c>
      <c r="N649" s="1">
        <v>1</v>
      </c>
      <c r="O649" s="58"/>
      <c r="P649" s="58">
        <v>12777799.16</v>
      </c>
      <c r="Q649" t="s">
        <v>127</v>
      </c>
      <c r="R649" s="1" t="s">
        <v>158</v>
      </c>
    </row>
    <row r="650" spans="3:18" x14ac:dyDescent="0.35">
      <c r="C650" t="s">
        <v>51</v>
      </c>
      <c r="D650" t="s">
        <v>19</v>
      </c>
      <c r="E650" t="s">
        <v>49</v>
      </c>
      <c r="F650" t="s">
        <v>46</v>
      </c>
      <c r="G650" s="58">
        <v>36935805</v>
      </c>
      <c r="H650" s="1" t="s">
        <v>56</v>
      </c>
      <c r="I650" s="1" t="s">
        <v>108</v>
      </c>
      <c r="J650" s="58">
        <v>1145009955</v>
      </c>
      <c r="K650" s="1" t="s">
        <v>106</v>
      </c>
      <c r="L650" s="1" t="s">
        <v>124</v>
      </c>
      <c r="N650" s="1">
        <v>1</v>
      </c>
      <c r="O650" s="58"/>
      <c r="P650" s="58">
        <v>25485705.449999999</v>
      </c>
      <c r="Q650" t="s">
        <v>118</v>
      </c>
      <c r="R650" s="1" t="s">
        <v>158</v>
      </c>
    </row>
    <row r="651" spans="3:18" x14ac:dyDescent="0.35">
      <c r="C651" t="s">
        <v>51</v>
      </c>
      <c r="D651" t="s">
        <v>20</v>
      </c>
      <c r="E651" t="s">
        <v>49</v>
      </c>
      <c r="F651" t="s">
        <v>46</v>
      </c>
      <c r="G651" s="58">
        <v>202286</v>
      </c>
      <c r="H651" s="1" t="s">
        <v>48</v>
      </c>
      <c r="I651" s="1" t="s">
        <v>108</v>
      </c>
      <c r="J651" s="58">
        <v>5664008</v>
      </c>
      <c r="K651" s="1" t="s">
        <v>106</v>
      </c>
      <c r="L651" s="1" t="s">
        <v>116</v>
      </c>
      <c r="M651" s="1" t="s">
        <v>129</v>
      </c>
      <c r="N651" s="1">
        <v>1</v>
      </c>
      <c r="O651" s="58"/>
      <c r="P651" s="58">
        <v>95074.42</v>
      </c>
      <c r="Q651" t="s">
        <v>113</v>
      </c>
      <c r="R651" s="1" t="s">
        <v>158</v>
      </c>
    </row>
    <row r="652" spans="3:18" x14ac:dyDescent="0.35">
      <c r="C652" t="s">
        <v>51</v>
      </c>
      <c r="D652" t="s">
        <v>24</v>
      </c>
      <c r="E652" t="s">
        <v>55</v>
      </c>
      <c r="F652" t="s">
        <v>64</v>
      </c>
      <c r="G652" s="58">
        <v>198349</v>
      </c>
      <c r="H652" s="1" t="s">
        <v>48</v>
      </c>
      <c r="I652" s="1" t="s">
        <v>108</v>
      </c>
      <c r="J652" s="58">
        <v>7338913</v>
      </c>
      <c r="K652" s="1" t="s">
        <v>112</v>
      </c>
      <c r="N652" s="1">
        <v>1</v>
      </c>
      <c r="O652" s="58"/>
      <c r="P652" s="58">
        <v>37686.31</v>
      </c>
      <c r="Q652" t="s">
        <v>107</v>
      </c>
      <c r="R652" s="1" t="s">
        <v>158</v>
      </c>
    </row>
    <row r="653" spans="3:18" x14ac:dyDescent="0.35">
      <c r="C653" t="s">
        <v>51</v>
      </c>
      <c r="D653" t="s">
        <v>92</v>
      </c>
      <c r="E653" t="s">
        <v>45</v>
      </c>
      <c r="F653" t="s">
        <v>46</v>
      </c>
      <c r="G653" s="58">
        <v>145235</v>
      </c>
      <c r="H653" s="1" t="s">
        <v>59</v>
      </c>
      <c r="I653" s="1" t="s">
        <v>108</v>
      </c>
      <c r="J653" s="58">
        <v>5083225</v>
      </c>
      <c r="K653" s="1" t="s">
        <v>112</v>
      </c>
      <c r="N653" s="1">
        <v>1</v>
      </c>
      <c r="O653" s="58"/>
      <c r="P653" s="58">
        <v>66808.100000000006</v>
      </c>
      <c r="Q653" t="s">
        <v>113</v>
      </c>
      <c r="R653" s="1" t="s">
        <v>158</v>
      </c>
    </row>
    <row r="654" spans="3:18" x14ac:dyDescent="0.35">
      <c r="C654" t="s">
        <v>51</v>
      </c>
      <c r="D654" t="s">
        <v>24</v>
      </c>
      <c r="E654" t="s">
        <v>50</v>
      </c>
      <c r="F654" t="s">
        <v>46</v>
      </c>
      <c r="G654" s="58">
        <v>780276</v>
      </c>
      <c r="H654" s="1" t="s">
        <v>48</v>
      </c>
      <c r="I654" s="1" t="s">
        <v>108</v>
      </c>
      <c r="J654" s="58">
        <v>28089936</v>
      </c>
      <c r="K654" s="1" t="s">
        <v>106</v>
      </c>
      <c r="L654" s="1" t="s">
        <v>114</v>
      </c>
      <c r="M654" s="1" t="s">
        <v>121</v>
      </c>
      <c r="N654" s="1">
        <v>1</v>
      </c>
      <c r="O654" s="58"/>
      <c r="P654" s="58">
        <v>553995.96</v>
      </c>
      <c r="Q654" t="s">
        <v>118</v>
      </c>
      <c r="R654" s="1" t="s">
        <v>48</v>
      </c>
    </row>
    <row r="655" spans="3:18" x14ac:dyDescent="0.35">
      <c r="C655" t="s">
        <v>51</v>
      </c>
      <c r="D655" t="s">
        <v>21</v>
      </c>
      <c r="E655" t="s">
        <v>49</v>
      </c>
      <c r="F655" t="s">
        <v>46</v>
      </c>
      <c r="G655" s="58">
        <v>38381</v>
      </c>
      <c r="H655" s="1" t="s">
        <v>56</v>
      </c>
      <c r="I655" s="1" t="s">
        <v>105</v>
      </c>
      <c r="J655" s="58">
        <v>115143</v>
      </c>
      <c r="K655" s="1" t="s">
        <v>106</v>
      </c>
      <c r="L655" s="1" t="s">
        <v>116</v>
      </c>
      <c r="N655" s="1">
        <v>1</v>
      </c>
      <c r="O655" s="58"/>
      <c r="P655" s="58">
        <v>4989.53</v>
      </c>
      <c r="Q655" t="s">
        <v>107</v>
      </c>
      <c r="R655" s="1" t="s">
        <v>158</v>
      </c>
    </row>
    <row r="656" spans="3:18" x14ac:dyDescent="0.35">
      <c r="C656" t="s">
        <v>53</v>
      </c>
      <c r="D656" t="s">
        <v>22</v>
      </c>
      <c r="E656" t="s">
        <v>49</v>
      </c>
      <c r="F656" t="s">
        <v>46</v>
      </c>
      <c r="G656" s="58">
        <v>212000</v>
      </c>
      <c r="H656" s="1" t="s">
        <v>54</v>
      </c>
      <c r="I656" s="1" t="s">
        <v>105</v>
      </c>
      <c r="J656" s="58"/>
      <c r="K656" s="1" t="s">
        <v>106</v>
      </c>
      <c r="L656" s="1" t="s">
        <v>124</v>
      </c>
      <c r="N656" s="1">
        <v>0</v>
      </c>
      <c r="O656" s="58"/>
      <c r="P656" s="58">
        <v>243800</v>
      </c>
      <c r="Q656" t="s">
        <v>110</v>
      </c>
      <c r="R656" s="1" t="s">
        <v>158</v>
      </c>
    </row>
    <row r="657" spans="3:18" x14ac:dyDescent="0.35">
      <c r="C657" t="s">
        <v>51</v>
      </c>
      <c r="D657" t="s">
        <v>21</v>
      </c>
      <c r="E657" t="s">
        <v>45</v>
      </c>
      <c r="F657" t="s">
        <v>46</v>
      </c>
      <c r="G657" s="58">
        <v>10338718</v>
      </c>
      <c r="H657" s="1" t="s">
        <v>48</v>
      </c>
      <c r="I657" s="1" t="s">
        <v>111</v>
      </c>
      <c r="J657" s="58">
        <v>175758206</v>
      </c>
      <c r="K657" s="1" t="s">
        <v>106</v>
      </c>
      <c r="L657" s="1" t="s">
        <v>120</v>
      </c>
      <c r="M657" s="1" t="s">
        <v>126</v>
      </c>
      <c r="N657" s="1">
        <v>1</v>
      </c>
      <c r="O657" s="58"/>
      <c r="P657" s="58">
        <v>6926941.0599999996</v>
      </c>
      <c r="Q657" t="s">
        <v>118</v>
      </c>
      <c r="R657" s="1" t="s">
        <v>48</v>
      </c>
    </row>
    <row r="658" spans="3:18" x14ac:dyDescent="0.35">
      <c r="C658" t="s">
        <v>51</v>
      </c>
      <c r="D658" t="s">
        <v>24</v>
      </c>
      <c r="E658" t="s">
        <v>52</v>
      </c>
      <c r="F658" t="s">
        <v>46</v>
      </c>
      <c r="G658" s="58">
        <v>77065</v>
      </c>
      <c r="H658" s="1" t="s">
        <v>48</v>
      </c>
      <c r="I658" s="1" t="s">
        <v>108</v>
      </c>
      <c r="J658" s="58">
        <v>1849560</v>
      </c>
      <c r="K658" s="1" t="s">
        <v>106</v>
      </c>
      <c r="L658" s="1" t="s">
        <v>120</v>
      </c>
      <c r="M658" s="1" t="s">
        <v>121</v>
      </c>
      <c r="N658" s="1">
        <v>1</v>
      </c>
      <c r="O658" s="58"/>
      <c r="P658" s="58">
        <v>20807.55</v>
      </c>
      <c r="Q658" t="s">
        <v>107</v>
      </c>
      <c r="R658" s="1" t="s">
        <v>48</v>
      </c>
    </row>
    <row r="659" spans="3:18" x14ac:dyDescent="0.35">
      <c r="C659" t="s">
        <v>51</v>
      </c>
      <c r="D659" t="s">
        <v>22</v>
      </c>
      <c r="E659" t="s">
        <v>55</v>
      </c>
      <c r="F659" t="s">
        <v>46</v>
      </c>
      <c r="G659" s="58">
        <v>10719445</v>
      </c>
      <c r="H659" s="1" t="s">
        <v>48</v>
      </c>
      <c r="I659" s="1" t="s">
        <v>108</v>
      </c>
      <c r="J659" s="58">
        <v>364461130</v>
      </c>
      <c r="K659" s="1" t="s">
        <v>106</v>
      </c>
      <c r="L659" s="1" t="s">
        <v>120</v>
      </c>
      <c r="M659" s="1" t="s">
        <v>115</v>
      </c>
      <c r="N659" s="1">
        <v>1</v>
      </c>
      <c r="O659" s="58"/>
      <c r="P659" s="58">
        <v>8789944.9000000004</v>
      </c>
      <c r="Q659" t="s">
        <v>127</v>
      </c>
      <c r="R659" s="1" t="s">
        <v>48</v>
      </c>
    </row>
    <row r="660" spans="3:18" x14ac:dyDescent="0.35">
      <c r="C660" t="s">
        <v>51</v>
      </c>
      <c r="D660" t="s">
        <v>25</v>
      </c>
      <c r="E660" t="s">
        <v>55</v>
      </c>
      <c r="F660" t="s">
        <v>46</v>
      </c>
      <c r="G660" s="58">
        <v>382690</v>
      </c>
      <c r="H660" s="1" t="s">
        <v>47</v>
      </c>
      <c r="I660" s="1" t="s">
        <v>108</v>
      </c>
      <c r="J660" s="58">
        <v>11098010</v>
      </c>
      <c r="K660" s="1" t="s">
        <v>106</v>
      </c>
      <c r="L660" s="1" t="s">
        <v>114</v>
      </c>
      <c r="N660" s="1">
        <v>1</v>
      </c>
      <c r="O660" s="58"/>
      <c r="P660" s="58">
        <v>329113.40000000002</v>
      </c>
      <c r="Q660" t="s">
        <v>127</v>
      </c>
      <c r="R660" s="1" t="s">
        <v>158</v>
      </c>
    </row>
    <row r="661" spans="3:18" x14ac:dyDescent="0.35">
      <c r="C661" t="s">
        <v>51</v>
      </c>
      <c r="D661" t="s">
        <v>21</v>
      </c>
      <c r="E661" t="s">
        <v>49</v>
      </c>
      <c r="F661" t="s">
        <v>46</v>
      </c>
      <c r="G661" s="58">
        <v>2488835</v>
      </c>
      <c r="H661" s="1" t="s">
        <v>48</v>
      </c>
      <c r="I661" s="1" t="s">
        <v>108</v>
      </c>
      <c r="J661" s="58">
        <v>72176215</v>
      </c>
      <c r="K661" s="1" t="s">
        <v>106</v>
      </c>
      <c r="L661" s="1" t="s">
        <v>120</v>
      </c>
      <c r="M661" s="1" t="s">
        <v>125</v>
      </c>
      <c r="N661" s="1">
        <v>1</v>
      </c>
      <c r="O661" s="58"/>
      <c r="P661" s="58">
        <v>1642631.1</v>
      </c>
      <c r="Q661" t="s">
        <v>118</v>
      </c>
      <c r="R661" s="1" t="s">
        <v>48</v>
      </c>
    </row>
    <row r="662" spans="3:18" x14ac:dyDescent="0.35">
      <c r="C662" t="s">
        <v>51</v>
      </c>
      <c r="D662" t="s">
        <v>21</v>
      </c>
      <c r="E662" t="s">
        <v>49</v>
      </c>
      <c r="F662" t="s">
        <v>46</v>
      </c>
      <c r="G662" s="58">
        <v>6977</v>
      </c>
      <c r="H662" s="1" t="s">
        <v>48</v>
      </c>
      <c r="I662" s="1" t="s">
        <v>119</v>
      </c>
      <c r="J662" s="58">
        <v>48839</v>
      </c>
      <c r="K662" s="1" t="s">
        <v>106</v>
      </c>
      <c r="L662" s="1" t="s">
        <v>120</v>
      </c>
      <c r="M662" s="1" t="s">
        <v>121</v>
      </c>
      <c r="N662" s="1">
        <v>1</v>
      </c>
      <c r="O662" s="58"/>
      <c r="P662" s="58">
        <v>2232.64</v>
      </c>
      <c r="Q662" t="s">
        <v>107</v>
      </c>
      <c r="R662" s="1" t="s">
        <v>48</v>
      </c>
    </row>
    <row r="663" spans="3:18" x14ac:dyDescent="0.35">
      <c r="C663" t="s">
        <v>51</v>
      </c>
      <c r="D663" t="s">
        <v>21</v>
      </c>
      <c r="E663" t="s">
        <v>49</v>
      </c>
      <c r="F663" t="s">
        <v>46</v>
      </c>
      <c r="G663" s="58">
        <v>21707422</v>
      </c>
      <c r="H663" s="1" t="s">
        <v>59</v>
      </c>
      <c r="I663" s="1" t="s">
        <v>119</v>
      </c>
      <c r="J663" s="58">
        <v>173659376</v>
      </c>
      <c r="K663" s="1" t="s">
        <v>106</v>
      </c>
      <c r="L663" s="1" t="s">
        <v>124</v>
      </c>
      <c r="N663" s="1">
        <v>1</v>
      </c>
      <c r="O663" s="58"/>
      <c r="P663" s="58">
        <v>9985414.1199999992</v>
      </c>
      <c r="Q663" t="s">
        <v>113</v>
      </c>
      <c r="R663" s="1" t="s">
        <v>158</v>
      </c>
    </row>
    <row r="664" spans="3:18" x14ac:dyDescent="0.35">
      <c r="C664" t="s">
        <v>51</v>
      </c>
      <c r="D664" t="s">
        <v>21</v>
      </c>
      <c r="E664" t="s">
        <v>49</v>
      </c>
      <c r="F664" t="s">
        <v>46</v>
      </c>
      <c r="G664" s="58">
        <v>2074615</v>
      </c>
      <c r="H664" s="1" t="s">
        <v>59</v>
      </c>
      <c r="I664" s="1" t="s">
        <v>111</v>
      </c>
      <c r="J664" s="58">
        <v>31119225</v>
      </c>
      <c r="K664" s="1" t="s">
        <v>112</v>
      </c>
      <c r="N664" s="1">
        <v>1</v>
      </c>
      <c r="O664" s="58"/>
      <c r="P664" s="58">
        <v>1369245.9</v>
      </c>
      <c r="Q664" t="s">
        <v>118</v>
      </c>
      <c r="R664" s="1" t="s">
        <v>158</v>
      </c>
    </row>
    <row r="665" spans="3:18" x14ac:dyDescent="0.35">
      <c r="C665" t="s">
        <v>51</v>
      </c>
      <c r="D665" t="s">
        <v>21</v>
      </c>
      <c r="E665" t="s">
        <v>49</v>
      </c>
      <c r="F665" t="s">
        <v>46</v>
      </c>
      <c r="G665" s="58">
        <v>32465</v>
      </c>
      <c r="H665" s="1" t="s">
        <v>48</v>
      </c>
      <c r="I665" s="1" t="s">
        <v>105</v>
      </c>
      <c r="J665" s="58">
        <v>97395</v>
      </c>
      <c r="K665" s="1" t="s">
        <v>106</v>
      </c>
      <c r="L665" s="1" t="s">
        <v>124</v>
      </c>
      <c r="M665" s="1" t="s">
        <v>126</v>
      </c>
      <c r="N665" s="1">
        <v>1</v>
      </c>
      <c r="O665" s="58"/>
      <c r="P665" s="58">
        <v>22076.2</v>
      </c>
      <c r="Q665" t="s">
        <v>118</v>
      </c>
      <c r="R665" s="1" t="s">
        <v>158</v>
      </c>
    </row>
    <row r="666" spans="3:18" x14ac:dyDescent="0.35">
      <c r="C666" t="s">
        <v>51</v>
      </c>
      <c r="D666" t="s">
        <v>21</v>
      </c>
      <c r="E666" t="s">
        <v>49</v>
      </c>
      <c r="F666" t="s">
        <v>46</v>
      </c>
      <c r="G666" s="58">
        <v>287688</v>
      </c>
      <c r="H666" s="1" t="s">
        <v>48</v>
      </c>
      <c r="I666" s="1" t="s">
        <v>119</v>
      </c>
      <c r="J666" s="58">
        <v>2013816</v>
      </c>
      <c r="K666" s="1" t="s">
        <v>112</v>
      </c>
      <c r="N666" s="1">
        <v>1</v>
      </c>
      <c r="O666" s="58"/>
      <c r="P666" s="58">
        <v>123705.84</v>
      </c>
      <c r="Q666" t="s">
        <v>113</v>
      </c>
      <c r="R666" s="1" t="s">
        <v>48</v>
      </c>
    </row>
    <row r="667" spans="3:18" x14ac:dyDescent="0.35">
      <c r="C667" t="s">
        <v>53</v>
      </c>
      <c r="D667" t="s">
        <v>21</v>
      </c>
      <c r="E667" t="s">
        <v>49</v>
      </c>
      <c r="F667" t="s">
        <v>46</v>
      </c>
      <c r="G667" s="58">
        <v>131000</v>
      </c>
      <c r="H667" s="1" t="s">
        <v>47</v>
      </c>
      <c r="I667" s="1" t="s">
        <v>111</v>
      </c>
      <c r="J667" s="58">
        <v>2358000</v>
      </c>
      <c r="K667" s="1" t="s">
        <v>106</v>
      </c>
      <c r="L667" s="1" t="s">
        <v>124</v>
      </c>
      <c r="N667" s="1">
        <v>1</v>
      </c>
      <c r="O667" s="58"/>
      <c r="P667" s="58">
        <v>196500</v>
      </c>
      <c r="Q667" t="s">
        <v>110</v>
      </c>
      <c r="R667" s="1" t="s">
        <v>158</v>
      </c>
    </row>
    <row r="668" spans="3:18" x14ac:dyDescent="0.35">
      <c r="C668" t="s">
        <v>51</v>
      </c>
      <c r="D668" t="s">
        <v>23</v>
      </c>
      <c r="E668" t="s">
        <v>55</v>
      </c>
      <c r="F668" t="s">
        <v>46</v>
      </c>
      <c r="G668" s="58">
        <v>42165</v>
      </c>
      <c r="H668" s="1" t="s">
        <v>59</v>
      </c>
      <c r="I668" s="1" t="s">
        <v>105</v>
      </c>
      <c r="J668" s="58">
        <v>126495</v>
      </c>
      <c r="K668" s="1" t="s">
        <v>106</v>
      </c>
      <c r="L668" s="1" t="s">
        <v>124</v>
      </c>
      <c r="N668" s="1">
        <v>1</v>
      </c>
      <c r="O668" s="58"/>
      <c r="P668" s="58">
        <v>5903.1</v>
      </c>
      <c r="Q668" t="s">
        <v>107</v>
      </c>
      <c r="R668" s="1" t="s">
        <v>158</v>
      </c>
    </row>
    <row r="669" spans="3:18" x14ac:dyDescent="0.35">
      <c r="C669" t="s">
        <v>51</v>
      </c>
      <c r="D669" t="s">
        <v>20</v>
      </c>
      <c r="E669" t="s">
        <v>49</v>
      </c>
      <c r="F669" t="s">
        <v>46</v>
      </c>
      <c r="G669" s="58">
        <v>179897</v>
      </c>
      <c r="H669" s="1" t="s">
        <v>59</v>
      </c>
      <c r="I669" s="1" t="s">
        <v>108</v>
      </c>
      <c r="J669" s="58">
        <v>4857219</v>
      </c>
      <c r="K669" s="1" t="s">
        <v>106</v>
      </c>
      <c r="L669" s="1" t="s">
        <v>114</v>
      </c>
      <c r="N669" s="1">
        <v>1</v>
      </c>
      <c r="O669" s="58"/>
      <c r="P669" s="58">
        <v>52170.13</v>
      </c>
      <c r="Q669" t="s">
        <v>107</v>
      </c>
      <c r="R669" s="1" t="s">
        <v>158</v>
      </c>
    </row>
    <row r="670" spans="3:18" x14ac:dyDescent="0.35">
      <c r="C670" t="s">
        <v>51</v>
      </c>
      <c r="D670" t="s">
        <v>23</v>
      </c>
      <c r="E670" t="s">
        <v>50</v>
      </c>
      <c r="F670" t="s">
        <v>46</v>
      </c>
      <c r="G670" s="58">
        <v>184215</v>
      </c>
      <c r="H670" s="1" t="s">
        <v>48</v>
      </c>
      <c r="I670" s="1" t="s">
        <v>108</v>
      </c>
      <c r="J670" s="58">
        <v>6815955</v>
      </c>
      <c r="K670" s="1" t="s">
        <v>106</v>
      </c>
      <c r="L670" s="1" t="s">
        <v>114</v>
      </c>
      <c r="M670" s="1" t="s">
        <v>125</v>
      </c>
      <c r="N670" s="1">
        <v>1</v>
      </c>
      <c r="O670" s="58"/>
      <c r="P670" s="58">
        <v>138161.25</v>
      </c>
      <c r="Q670" t="s">
        <v>118</v>
      </c>
      <c r="R670" s="1" t="s">
        <v>158</v>
      </c>
    </row>
    <row r="671" spans="3:18" x14ac:dyDescent="0.35">
      <c r="C671" t="s">
        <v>51</v>
      </c>
      <c r="D671" t="s">
        <v>23</v>
      </c>
      <c r="E671" t="s">
        <v>45</v>
      </c>
      <c r="F671" t="s">
        <v>46</v>
      </c>
      <c r="G671" s="58">
        <v>361292308</v>
      </c>
      <c r="H671" s="1" t="s">
        <v>48</v>
      </c>
      <c r="I671" s="1" t="s">
        <v>108</v>
      </c>
      <c r="J671" s="58">
        <v>10838769240</v>
      </c>
      <c r="K671" s="1" t="s">
        <v>106</v>
      </c>
      <c r="L671" s="1" t="s">
        <v>120</v>
      </c>
      <c r="M671" s="1" t="s">
        <v>125</v>
      </c>
      <c r="N671" s="1">
        <v>1</v>
      </c>
      <c r="O671" s="58"/>
      <c r="P671" s="58">
        <v>187872000.16</v>
      </c>
      <c r="Q671" t="s">
        <v>113</v>
      </c>
      <c r="R671" s="1" t="s">
        <v>158</v>
      </c>
    </row>
    <row r="672" spans="3:18" x14ac:dyDescent="0.35">
      <c r="C672" t="s">
        <v>53</v>
      </c>
      <c r="D672" t="s">
        <v>22</v>
      </c>
      <c r="E672" t="s">
        <v>45</v>
      </c>
      <c r="F672" t="s">
        <v>46</v>
      </c>
      <c r="G672" s="58">
        <v>635032</v>
      </c>
      <c r="H672" s="1" t="s">
        <v>48</v>
      </c>
      <c r="I672" s="1" t="s">
        <v>108</v>
      </c>
      <c r="J672" s="58">
        <v>19685992</v>
      </c>
      <c r="K672" s="1" t="s">
        <v>106</v>
      </c>
      <c r="L672" s="1" t="s">
        <v>120</v>
      </c>
      <c r="M672" s="1" t="s">
        <v>115</v>
      </c>
      <c r="N672" s="1">
        <v>1</v>
      </c>
      <c r="O672" s="58"/>
      <c r="P672" s="58">
        <v>355617.92</v>
      </c>
      <c r="Q672" t="s">
        <v>113</v>
      </c>
      <c r="R672" s="1" t="s">
        <v>158</v>
      </c>
    </row>
    <row r="673" spans="3:18" x14ac:dyDescent="0.35">
      <c r="C673" t="s">
        <v>51</v>
      </c>
      <c r="D673" t="s">
        <v>24</v>
      </c>
      <c r="E673" t="s">
        <v>50</v>
      </c>
      <c r="F673" t="s">
        <v>46</v>
      </c>
      <c r="G673" s="58">
        <v>32068</v>
      </c>
      <c r="H673" s="1" t="s">
        <v>54</v>
      </c>
      <c r="I673" s="1" t="s">
        <v>108</v>
      </c>
      <c r="J673" s="58">
        <v>737564</v>
      </c>
      <c r="K673" s="1" t="s">
        <v>112</v>
      </c>
      <c r="N673" s="1">
        <v>1</v>
      </c>
      <c r="O673" s="58"/>
      <c r="P673" s="58">
        <v>641.36</v>
      </c>
      <c r="Q673" t="s">
        <v>107</v>
      </c>
      <c r="R673" s="1" t="s">
        <v>158</v>
      </c>
    </row>
    <row r="674" spans="3:18" x14ac:dyDescent="0.35">
      <c r="C674" t="s">
        <v>51</v>
      </c>
      <c r="D674" t="s">
        <v>24</v>
      </c>
      <c r="E674" t="s">
        <v>50</v>
      </c>
      <c r="F674" t="s">
        <v>46</v>
      </c>
      <c r="G674" s="58">
        <v>249485</v>
      </c>
      <c r="H674" s="1" t="s">
        <v>48</v>
      </c>
      <c r="I674" s="1" t="s">
        <v>111</v>
      </c>
      <c r="J674" s="58">
        <v>3991760</v>
      </c>
      <c r="K674" s="1" t="s">
        <v>112</v>
      </c>
      <c r="N674" s="1">
        <v>1</v>
      </c>
      <c r="O674" s="58"/>
      <c r="P674" s="58">
        <v>129732.2</v>
      </c>
      <c r="Q674" t="s">
        <v>113</v>
      </c>
      <c r="R674" s="1" t="s">
        <v>48</v>
      </c>
    </row>
    <row r="675" spans="3:18" x14ac:dyDescent="0.35">
      <c r="C675" t="s">
        <v>53</v>
      </c>
      <c r="D675" t="s">
        <v>24</v>
      </c>
      <c r="E675" t="s">
        <v>55</v>
      </c>
      <c r="F675" t="s">
        <v>46</v>
      </c>
      <c r="G675" s="58">
        <v>89958</v>
      </c>
      <c r="H675" s="1" t="s">
        <v>54</v>
      </c>
      <c r="I675" s="1" t="s">
        <v>105</v>
      </c>
      <c r="J675" s="58"/>
      <c r="K675" s="1" t="s">
        <v>106</v>
      </c>
      <c r="L675" s="1" t="s">
        <v>114</v>
      </c>
      <c r="N675" s="1">
        <v>0</v>
      </c>
      <c r="O675" s="58"/>
      <c r="P675" s="58">
        <v>899.58</v>
      </c>
      <c r="Q675" t="s">
        <v>107</v>
      </c>
      <c r="R675" s="1" t="s">
        <v>158</v>
      </c>
    </row>
    <row r="676" spans="3:18" x14ac:dyDescent="0.35">
      <c r="C676" t="s">
        <v>51</v>
      </c>
      <c r="D676" t="s">
        <v>92</v>
      </c>
      <c r="E676" t="s">
        <v>49</v>
      </c>
      <c r="F676" t="s">
        <v>46</v>
      </c>
      <c r="G676" s="58">
        <v>315256</v>
      </c>
      <c r="H676" s="1" t="s">
        <v>48</v>
      </c>
      <c r="I676" s="1" t="s">
        <v>108</v>
      </c>
      <c r="J676" s="58">
        <v>8196656</v>
      </c>
      <c r="K676" s="1" t="s">
        <v>106</v>
      </c>
      <c r="L676" s="1" t="s">
        <v>124</v>
      </c>
      <c r="M676" s="1" t="s">
        <v>122</v>
      </c>
      <c r="N676" s="1">
        <v>1</v>
      </c>
      <c r="O676" s="58"/>
      <c r="P676" s="58">
        <v>182848.48</v>
      </c>
      <c r="Q676" t="s">
        <v>113</v>
      </c>
      <c r="R676" s="1" t="s">
        <v>48</v>
      </c>
    </row>
    <row r="677" spans="3:18" x14ac:dyDescent="0.35">
      <c r="C677" t="s">
        <v>51</v>
      </c>
      <c r="D677" t="s">
        <v>23</v>
      </c>
      <c r="E677" t="s">
        <v>49</v>
      </c>
      <c r="F677" t="s">
        <v>46</v>
      </c>
      <c r="G677" s="58">
        <v>29704479</v>
      </c>
      <c r="H677" s="1" t="s">
        <v>48</v>
      </c>
      <c r="I677" s="1" t="s">
        <v>108</v>
      </c>
      <c r="J677" s="58">
        <v>1009952286</v>
      </c>
      <c r="K677" s="1" t="s">
        <v>106</v>
      </c>
      <c r="L677" s="1" t="s">
        <v>124</v>
      </c>
      <c r="M677" s="1" t="s">
        <v>125</v>
      </c>
      <c r="N677" s="1">
        <v>1</v>
      </c>
      <c r="O677" s="58"/>
      <c r="P677" s="58">
        <v>24654717.57</v>
      </c>
      <c r="Q677" t="s">
        <v>127</v>
      </c>
      <c r="R677" s="1" t="s">
        <v>158</v>
      </c>
    </row>
    <row r="678" spans="3:18" x14ac:dyDescent="0.35">
      <c r="C678" t="s">
        <v>53</v>
      </c>
      <c r="D678" t="s">
        <v>91</v>
      </c>
      <c r="E678" t="s">
        <v>62</v>
      </c>
      <c r="F678" t="s">
        <v>46</v>
      </c>
      <c r="G678" s="58">
        <v>430532</v>
      </c>
      <c r="H678" s="1" t="s">
        <v>48</v>
      </c>
      <c r="I678" s="1" t="s">
        <v>105</v>
      </c>
      <c r="J678" s="58">
        <v>1722128</v>
      </c>
      <c r="K678" s="1" t="s">
        <v>106</v>
      </c>
      <c r="L678" s="1" t="s">
        <v>131</v>
      </c>
      <c r="M678" s="1" t="s">
        <v>122</v>
      </c>
      <c r="N678" s="1">
        <v>1</v>
      </c>
      <c r="O678" s="58"/>
      <c r="P678" s="58">
        <v>43053.2</v>
      </c>
      <c r="Q678" t="s">
        <v>107</v>
      </c>
      <c r="R678" s="1" t="s">
        <v>158</v>
      </c>
    </row>
    <row r="679" spans="3:18" x14ac:dyDescent="0.35">
      <c r="C679" t="s">
        <v>51</v>
      </c>
      <c r="D679" t="s">
        <v>25</v>
      </c>
      <c r="E679" t="s">
        <v>49</v>
      </c>
      <c r="F679" t="s">
        <v>46</v>
      </c>
      <c r="G679" s="58">
        <v>472704</v>
      </c>
      <c r="H679" s="1" t="s">
        <v>48</v>
      </c>
      <c r="I679" s="1" t="s">
        <v>108</v>
      </c>
      <c r="J679" s="58">
        <v>12290304</v>
      </c>
      <c r="K679" s="1" t="s">
        <v>106</v>
      </c>
      <c r="L679" s="1" t="s">
        <v>120</v>
      </c>
      <c r="M679" s="1" t="s">
        <v>125</v>
      </c>
      <c r="N679" s="1">
        <v>1</v>
      </c>
      <c r="O679" s="58"/>
      <c r="P679" s="58">
        <v>349800.96000000002</v>
      </c>
      <c r="Q679" t="s">
        <v>118</v>
      </c>
      <c r="R679" s="1" t="s">
        <v>48</v>
      </c>
    </row>
    <row r="680" spans="3:18" x14ac:dyDescent="0.35">
      <c r="C680" t="s">
        <v>53</v>
      </c>
      <c r="D680" t="s">
        <v>92</v>
      </c>
      <c r="E680" t="s">
        <v>55</v>
      </c>
      <c r="F680" t="s">
        <v>46</v>
      </c>
      <c r="G680" s="58">
        <v>184802</v>
      </c>
      <c r="H680" s="1" t="s">
        <v>47</v>
      </c>
      <c r="I680" s="1" t="s">
        <v>119</v>
      </c>
      <c r="J680" s="58">
        <v>1293614</v>
      </c>
      <c r="K680" s="1" t="s">
        <v>106</v>
      </c>
      <c r="L680" s="1" t="s">
        <v>114</v>
      </c>
      <c r="N680" s="1">
        <v>1</v>
      </c>
      <c r="O680" s="58"/>
      <c r="P680" s="58">
        <v>90552.98</v>
      </c>
      <c r="Q680" t="s">
        <v>113</v>
      </c>
      <c r="R680" s="1" t="s">
        <v>158</v>
      </c>
    </row>
    <row r="681" spans="3:18" x14ac:dyDescent="0.35">
      <c r="C681" t="s">
        <v>51</v>
      </c>
      <c r="D681" t="s">
        <v>22</v>
      </c>
      <c r="E681" t="s">
        <v>55</v>
      </c>
      <c r="F681" t="s">
        <v>64</v>
      </c>
      <c r="G681" s="58">
        <v>364197</v>
      </c>
      <c r="H681" s="1" t="s">
        <v>48</v>
      </c>
      <c r="I681" s="1" t="s">
        <v>108</v>
      </c>
      <c r="J681" s="58">
        <v>12746895</v>
      </c>
      <c r="K681" s="1" t="s">
        <v>106</v>
      </c>
      <c r="L681" s="1" t="s">
        <v>114</v>
      </c>
      <c r="M681" s="1" t="s">
        <v>115</v>
      </c>
      <c r="N681" s="1">
        <v>1</v>
      </c>
      <c r="O681" s="58"/>
      <c r="P681" s="58">
        <v>298641.53999999998</v>
      </c>
      <c r="Q681" t="s">
        <v>127</v>
      </c>
      <c r="R681" s="1" t="s">
        <v>48</v>
      </c>
    </row>
    <row r="682" spans="3:18" x14ac:dyDescent="0.35">
      <c r="C682" t="s">
        <v>51</v>
      </c>
      <c r="D682" t="s">
        <v>92</v>
      </c>
      <c r="E682" t="s">
        <v>49</v>
      </c>
      <c r="F682" t="s">
        <v>46</v>
      </c>
      <c r="G682" s="58">
        <v>167917</v>
      </c>
      <c r="H682" s="1" t="s">
        <v>48</v>
      </c>
      <c r="I682" s="1" t="s">
        <v>108</v>
      </c>
      <c r="J682" s="58">
        <v>4533759</v>
      </c>
      <c r="K682" s="1" t="s">
        <v>106</v>
      </c>
      <c r="L682" s="1" t="s">
        <v>120</v>
      </c>
      <c r="M682" s="1" t="s">
        <v>123</v>
      </c>
      <c r="N682" s="1">
        <v>1</v>
      </c>
      <c r="O682" s="58"/>
      <c r="P682" s="58">
        <v>104108.54</v>
      </c>
      <c r="Q682" t="s">
        <v>118</v>
      </c>
      <c r="R682" s="1" t="s">
        <v>48</v>
      </c>
    </row>
    <row r="683" spans="3:18" x14ac:dyDescent="0.35">
      <c r="C683" t="s">
        <v>51</v>
      </c>
      <c r="D683" t="s">
        <v>22</v>
      </c>
      <c r="E683" t="s">
        <v>49</v>
      </c>
      <c r="F683" t="s">
        <v>46</v>
      </c>
      <c r="G683" s="58">
        <v>32085481</v>
      </c>
      <c r="H683" s="1" t="s">
        <v>54</v>
      </c>
      <c r="I683" s="1" t="s">
        <v>108</v>
      </c>
      <c r="J683" s="58">
        <v>1026735392</v>
      </c>
      <c r="K683" s="1" t="s">
        <v>106</v>
      </c>
      <c r="L683" s="1" t="s">
        <v>124</v>
      </c>
      <c r="N683" s="1">
        <v>1</v>
      </c>
      <c r="O683" s="58"/>
      <c r="P683" s="58">
        <v>26951804.039999999</v>
      </c>
      <c r="Q683" t="s">
        <v>127</v>
      </c>
      <c r="R683" s="1" t="s">
        <v>158</v>
      </c>
    </row>
    <row r="684" spans="3:18" x14ac:dyDescent="0.35">
      <c r="C684" t="s">
        <v>53</v>
      </c>
      <c r="D684" t="s">
        <v>23</v>
      </c>
      <c r="E684" t="s">
        <v>45</v>
      </c>
      <c r="F684" t="s">
        <v>46</v>
      </c>
      <c r="G684" s="58">
        <v>39513</v>
      </c>
      <c r="H684" s="1" t="s">
        <v>48</v>
      </c>
      <c r="I684" s="1" t="s">
        <v>111</v>
      </c>
      <c r="J684" s="58">
        <v>395130</v>
      </c>
      <c r="K684" s="1" t="s">
        <v>106</v>
      </c>
      <c r="L684" s="1" t="s">
        <v>120</v>
      </c>
      <c r="M684" s="1" t="s">
        <v>125</v>
      </c>
      <c r="N684" s="1">
        <v>1</v>
      </c>
      <c r="O684" s="58"/>
      <c r="P684" s="58">
        <v>17385.72</v>
      </c>
      <c r="Q684" t="s">
        <v>113</v>
      </c>
      <c r="R684" s="1" t="s">
        <v>158</v>
      </c>
    </row>
    <row r="685" spans="3:18" x14ac:dyDescent="0.35">
      <c r="C685" t="s">
        <v>53</v>
      </c>
      <c r="D685" t="s">
        <v>92</v>
      </c>
      <c r="E685" t="s">
        <v>45</v>
      </c>
      <c r="F685" t="s">
        <v>46</v>
      </c>
      <c r="G685" s="58">
        <v>9915316</v>
      </c>
      <c r="H685" s="1" t="s">
        <v>56</v>
      </c>
      <c r="I685" s="1" t="s">
        <v>105</v>
      </c>
      <c r="J685" s="58">
        <v>29745948</v>
      </c>
      <c r="K685" s="1" t="s">
        <v>106</v>
      </c>
      <c r="L685" s="1" t="s">
        <v>120</v>
      </c>
      <c r="N685" s="1">
        <v>1</v>
      </c>
      <c r="O685" s="58"/>
      <c r="P685" s="58">
        <v>6345802.2400000002</v>
      </c>
      <c r="Q685" t="s">
        <v>118</v>
      </c>
      <c r="R685" s="1" t="s">
        <v>158</v>
      </c>
    </row>
    <row r="686" spans="3:18" x14ac:dyDescent="0.35">
      <c r="C686" t="s">
        <v>51</v>
      </c>
      <c r="D686" t="s">
        <v>23</v>
      </c>
      <c r="E686" t="s">
        <v>55</v>
      </c>
      <c r="F686" t="s">
        <v>46</v>
      </c>
      <c r="G686" s="58">
        <v>5259071</v>
      </c>
      <c r="H686" s="1" t="s">
        <v>54</v>
      </c>
      <c r="I686" s="1" t="s">
        <v>105</v>
      </c>
      <c r="J686" s="58">
        <v>15777213</v>
      </c>
      <c r="K686" s="1" t="s">
        <v>106</v>
      </c>
      <c r="L686" s="1" t="s">
        <v>114</v>
      </c>
      <c r="N686" s="1">
        <v>1</v>
      </c>
      <c r="O686" s="58"/>
      <c r="P686" s="58">
        <v>683679.23</v>
      </c>
      <c r="Q686" t="s">
        <v>107</v>
      </c>
      <c r="R686" s="1" t="s">
        <v>158</v>
      </c>
    </row>
    <row r="687" spans="3:18" x14ac:dyDescent="0.35">
      <c r="C687" t="s">
        <v>51</v>
      </c>
      <c r="D687" t="s">
        <v>20</v>
      </c>
      <c r="E687" t="s">
        <v>49</v>
      </c>
      <c r="F687" t="s">
        <v>46</v>
      </c>
      <c r="G687" s="58">
        <v>244334</v>
      </c>
      <c r="H687" s="1" t="s">
        <v>47</v>
      </c>
      <c r="I687" s="1" t="s">
        <v>108</v>
      </c>
      <c r="J687" s="58">
        <v>8063022</v>
      </c>
      <c r="K687" s="1" t="s">
        <v>106</v>
      </c>
      <c r="L687" s="1" t="s">
        <v>114</v>
      </c>
      <c r="N687" s="1">
        <v>1</v>
      </c>
      <c r="O687" s="58"/>
      <c r="P687" s="58">
        <v>288314.12</v>
      </c>
      <c r="Q687" t="s">
        <v>110</v>
      </c>
      <c r="R687" s="1" t="s">
        <v>158</v>
      </c>
    </row>
    <row r="688" spans="3:18" x14ac:dyDescent="0.35">
      <c r="C688" t="s">
        <v>53</v>
      </c>
      <c r="D688" t="s">
        <v>24</v>
      </c>
      <c r="E688" t="s">
        <v>55</v>
      </c>
      <c r="F688" t="s">
        <v>46</v>
      </c>
      <c r="G688" s="58">
        <v>778116</v>
      </c>
      <c r="H688" s="1" t="s">
        <v>59</v>
      </c>
      <c r="I688" s="1" t="s">
        <v>111</v>
      </c>
      <c r="J688" s="58">
        <v>8559276</v>
      </c>
      <c r="K688" s="1" t="s">
        <v>106</v>
      </c>
      <c r="L688" s="1" t="s">
        <v>114</v>
      </c>
      <c r="N688" s="1">
        <v>1</v>
      </c>
      <c r="O688" s="58"/>
      <c r="P688" s="58">
        <v>319027.56</v>
      </c>
      <c r="Q688" t="s">
        <v>113</v>
      </c>
      <c r="R688" s="1" t="s">
        <v>158</v>
      </c>
    </row>
    <row r="689" spans="3:18" x14ac:dyDescent="0.35">
      <c r="C689" t="s">
        <v>51</v>
      </c>
      <c r="D689" t="s">
        <v>22</v>
      </c>
      <c r="E689" t="s">
        <v>49</v>
      </c>
      <c r="F689" t="s">
        <v>46</v>
      </c>
      <c r="G689" s="58">
        <v>2445231</v>
      </c>
      <c r="H689" s="1" t="s">
        <v>48</v>
      </c>
      <c r="I689" s="1" t="s">
        <v>108</v>
      </c>
      <c r="J689" s="58">
        <v>75802161</v>
      </c>
      <c r="K689" s="1" t="s">
        <v>106</v>
      </c>
      <c r="L689" s="1" t="s">
        <v>120</v>
      </c>
      <c r="M689" s="1" t="s">
        <v>115</v>
      </c>
      <c r="N689" s="1">
        <v>1</v>
      </c>
      <c r="O689" s="58"/>
      <c r="P689" s="58">
        <v>1809470.94</v>
      </c>
      <c r="Q689" t="s">
        <v>118</v>
      </c>
      <c r="R689" s="1" t="s">
        <v>48</v>
      </c>
    </row>
    <row r="690" spans="3:18" x14ac:dyDescent="0.35">
      <c r="C690" t="s">
        <v>53</v>
      </c>
      <c r="D690" t="s">
        <v>19</v>
      </c>
      <c r="E690" t="s">
        <v>45</v>
      </c>
      <c r="F690" t="s">
        <v>46</v>
      </c>
      <c r="G690" s="58">
        <v>60</v>
      </c>
      <c r="H690" s="1" t="s">
        <v>54</v>
      </c>
      <c r="I690" s="1" t="s">
        <v>105</v>
      </c>
      <c r="J690" s="58"/>
      <c r="K690" s="1" t="s">
        <v>106</v>
      </c>
      <c r="L690" s="1" t="s">
        <v>120</v>
      </c>
      <c r="N690" s="1">
        <v>0</v>
      </c>
      <c r="O690" s="58"/>
      <c r="P690" s="58">
        <v>0</v>
      </c>
      <c r="Q690" t="s">
        <v>107</v>
      </c>
      <c r="R690" s="1" t="s">
        <v>158</v>
      </c>
    </row>
    <row r="691" spans="3:18" x14ac:dyDescent="0.35">
      <c r="C691" t="s">
        <v>51</v>
      </c>
      <c r="D691" t="s">
        <v>91</v>
      </c>
      <c r="E691" t="s">
        <v>49</v>
      </c>
      <c r="F691" t="s">
        <v>46</v>
      </c>
      <c r="G691" s="58">
        <v>7788427</v>
      </c>
      <c r="H691" s="1" t="s">
        <v>56</v>
      </c>
      <c r="I691" s="1" t="s">
        <v>108</v>
      </c>
      <c r="J691" s="58">
        <v>218075956</v>
      </c>
      <c r="K691" s="1" t="s">
        <v>106</v>
      </c>
      <c r="L691" s="1" t="s">
        <v>124</v>
      </c>
      <c r="N691" s="1">
        <v>1</v>
      </c>
      <c r="O691" s="58"/>
      <c r="P691" s="58">
        <v>3816329.23</v>
      </c>
      <c r="Q691" t="s">
        <v>113</v>
      </c>
      <c r="R691" s="1" t="s">
        <v>158</v>
      </c>
    </row>
    <row r="692" spans="3:18" x14ac:dyDescent="0.35">
      <c r="C692" t="s">
        <v>51</v>
      </c>
      <c r="D692" t="s">
        <v>23</v>
      </c>
      <c r="E692" t="s">
        <v>50</v>
      </c>
      <c r="F692" t="s">
        <v>64</v>
      </c>
      <c r="G692" s="58">
        <v>285869</v>
      </c>
      <c r="H692" s="1" t="s">
        <v>48</v>
      </c>
      <c r="I692" s="1" t="s">
        <v>111</v>
      </c>
      <c r="J692" s="58">
        <v>5717380</v>
      </c>
      <c r="K692" s="1" t="s">
        <v>112</v>
      </c>
      <c r="N692" s="1">
        <v>1</v>
      </c>
      <c r="O692" s="58"/>
      <c r="P692" s="58">
        <v>240129.96</v>
      </c>
      <c r="Q692" t="s">
        <v>127</v>
      </c>
      <c r="R692" s="1" t="s">
        <v>48</v>
      </c>
    </row>
    <row r="693" spans="3:18" x14ac:dyDescent="0.35">
      <c r="C693" t="s">
        <v>51</v>
      </c>
      <c r="D693" t="s">
        <v>23</v>
      </c>
      <c r="E693" t="s">
        <v>52</v>
      </c>
      <c r="F693" t="s">
        <v>46</v>
      </c>
      <c r="G693" s="58">
        <v>2333036</v>
      </c>
      <c r="H693" s="1" t="s">
        <v>48</v>
      </c>
      <c r="I693" s="1" t="s">
        <v>111</v>
      </c>
      <c r="J693" s="58">
        <v>37328576</v>
      </c>
      <c r="K693" s="1" t="s">
        <v>106</v>
      </c>
      <c r="L693" s="1" t="s">
        <v>130</v>
      </c>
      <c r="M693" s="1" t="s">
        <v>125</v>
      </c>
      <c r="N693" s="1">
        <v>1</v>
      </c>
      <c r="O693" s="58"/>
      <c r="P693" s="58">
        <v>1166518</v>
      </c>
      <c r="Q693" t="s">
        <v>113</v>
      </c>
      <c r="R693" s="1" t="s">
        <v>48</v>
      </c>
    </row>
    <row r="694" spans="3:18" x14ac:dyDescent="0.35">
      <c r="C694" t="s">
        <v>51</v>
      </c>
      <c r="D694" t="s">
        <v>91</v>
      </c>
      <c r="E694" t="s">
        <v>49</v>
      </c>
      <c r="F694" t="s">
        <v>46</v>
      </c>
      <c r="G694" s="58">
        <v>4347775</v>
      </c>
      <c r="H694" s="1" t="s">
        <v>54</v>
      </c>
      <c r="I694" s="1" t="s">
        <v>105</v>
      </c>
      <c r="J694" s="58">
        <v>13043325</v>
      </c>
      <c r="K694" s="1" t="s">
        <v>106</v>
      </c>
      <c r="L694" s="1" t="s">
        <v>124</v>
      </c>
      <c r="N694" s="1">
        <v>1</v>
      </c>
      <c r="O694" s="58"/>
      <c r="P694" s="58">
        <v>565210.75</v>
      </c>
      <c r="Q694" t="s">
        <v>107</v>
      </c>
      <c r="R694" s="1" t="s">
        <v>158</v>
      </c>
    </row>
    <row r="695" spans="3:18" x14ac:dyDescent="0.35">
      <c r="C695" t="s">
        <v>51</v>
      </c>
      <c r="D695" t="s">
        <v>20</v>
      </c>
      <c r="E695" t="s">
        <v>50</v>
      </c>
      <c r="F695" t="s">
        <v>46</v>
      </c>
      <c r="G695" s="58">
        <v>186984</v>
      </c>
      <c r="H695" s="1" t="s">
        <v>48</v>
      </c>
      <c r="I695" s="1" t="s">
        <v>108</v>
      </c>
      <c r="J695" s="58">
        <v>5235552</v>
      </c>
      <c r="K695" s="1" t="s">
        <v>106</v>
      </c>
      <c r="L695" s="1" t="s">
        <v>109</v>
      </c>
      <c r="M695" s="1" t="s">
        <v>123</v>
      </c>
      <c r="N695" s="1">
        <v>1</v>
      </c>
      <c r="O695" s="58"/>
      <c r="P695" s="58">
        <v>61704.72</v>
      </c>
      <c r="Q695" t="s">
        <v>107</v>
      </c>
      <c r="R695" s="1" t="s">
        <v>158</v>
      </c>
    </row>
    <row r="696" spans="3:18" x14ac:dyDescent="0.35">
      <c r="C696" t="s">
        <v>53</v>
      </c>
      <c r="D696" t="s">
        <v>21</v>
      </c>
      <c r="E696" t="s">
        <v>49</v>
      </c>
      <c r="F696" t="s">
        <v>46</v>
      </c>
      <c r="G696" s="58">
        <v>1621296</v>
      </c>
      <c r="H696" s="1" t="s">
        <v>47</v>
      </c>
      <c r="I696" s="1" t="s">
        <v>128</v>
      </c>
      <c r="J696" s="58"/>
      <c r="K696" s="1" t="s">
        <v>106</v>
      </c>
      <c r="L696" s="1" t="s">
        <v>124</v>
      </c>
      <c r="N696" s="1">
        <v>0</v>
      </c>
      <c r="O696" s="58"/>
      <c r="P696" s="58">
        <v>1118694.24</v>
      </c>
      <c r="Q696" t="s">
        <v>118</v>
      </c>
      <c r="R696" s="1" t="s">
        <v>158</v>
      </c>
    </row>
    <row r="697" spans="3:18" x14ac:dyDescent="0.35">
      <c r="C697" t="s">
        <v>51</v>
      </c>
      <c r="D697" t="s">
        <v>24</v>
      </c>
      <c r="E697" t="s">
        <v>50</v>
      </c>
      <c r="F697" t="s">
        <v>46</v>
      </c>
      <c r="G697" s="58">
        <v>5640896</v>
      </c>
      <c r="H697" s="1" t="s">
        <v>48</v>
      </c>
      <c r="I697" s="1" t="s">
        <v>108</v>
      </c>
      <c r="J697" s="58">
        <v>180508672</v>
      </c>
      <c r="K697" s="1" t="s">
        <v>106</v>
      </c>
      <c r="L697" s="1" t="s">
        <v>109</v>
      </c>
      <c r="M697" s="1" t="s">
        <v>121</v>
      </c>
      <c r="N697" s="1">
        <v>1</v>
      </c>
      <c r="O697" s="58"/>
      <c r="P697" s="58">
        <v>4681943.68</v>
      </c>
      <c r="Q697" t="s">
        <v>127</v>
      </c>
      <c r="R697" s="1" t="s">
        <v>48</v>
      </c>
    </row>
    <row r="698" spans="3:18" x14ac:dyDescent="0.35">
      <c r="C698" t="s">
        <v>51</v>
      </c>
      <c r="D698" t="s">
        <v>91</v>
      </c>
      <c r="E698" t="s">
        <v>45</v>
      </c>
      <c r="F698" t="s">
        <v>46</v>
      </c>
      <c r="G698" s="58">
        <v>9578629</v>
      </c>
      <c r="H698" s="1" t="s">
        <v>48</v>
      </c>
      <c r="I698" s="1" t="s">
        <v>108</v>
      </c>
      <c r="J698" s="58">
        <v>277780241</v>
      </c>
      <c r="K698" s="1" t="s">
        <v>106</v>
      </c>
      <c r="L698" s="1" t="s">
        <v>120</v>
      </c>
      <c r="M698" s="1" t="s">
        <v>122</v>
      </c>
      <c r="N698" s="1">
        <v>1</v>
      </c>
      <c r="O698" s="58"/>
      <c r="P698" s="58">
        <v>4789314.5</v>
      </c>
      <c r="Q698" t="s">
        <v>113</v>
      </c>
      <c r="R698" s="1" t="s">
        <v>158</v>
      </c>
    </row>
    <row r="699" spans="3:18" x14ac:dyDescent="0.35">
      <c r="C699" t="s">
        <v>51</v>
      </c>
      <c r="D699" t="s">
        <v>22</v>
      </c>
      <c r="E699" t="s">
        <v>55</v>
      </c>
      <c r="F699" t="s">
        <v>46</v>
      </c>
      <c r="G699" s="58">
        <v>2093823</v>
      </c>
      <c r="H699" s="1" t="s">
        <v>48</v>
      </c>
      <c r="I699" s="1" t="s">
        <v>119</v>
      </c>
      <c r="J699" s="58">
        <v>20938230</v>
      </c>
      <c r="K699" s="1" t="s">
        <v>106</v>
      </c>
      <c r="L699" s="1" t="s">
        <v>114</v>
      </c>
      <c r="M699" s="1" t="s">
        <v>115</v>
      </c>
      <c r="N699" s="1">
        <v>1</v>
      </c>
      <c r="O699" s="58"/>
      <c r="P699" s="58">
        <v>1277232.03</v>
      </c>
      <c r="Q699" t="s">
        <v>118</v>
      </c>
      <c r="R699" s="1" t="s">
        <v>48</v>
      </c>
    </row>
    <row r="700" spans="3:18" x14ac:dyDescent="0.35">
      <c r="C700" t="s">
        <v>51</v>
      </c>
      <c r="D700" t="s">
        <v>92</v>
      </c>
      <c r="E700" t="s">
        <v>49</v>
      </c>
      <c r="F700" t="s">
        <v>46</v>
      </c>
      <c r="G700" s="58">
        <v>68350</v>
      </c>
      <c r="H700" s="1" t="s">
        <v>47</v>
      </c>
      <c r="I700" s="1" t="s">
        <v>119</v>
      </c>
      <c r="J700" s="58">
        <v>546800</v>
      </c>
      <c r="K700" s="1" t="s">
        <v>106</v>
      </c>
      <c r="L700" s="1" t="s">
        <v>114</v>
      </c>
      <c r="N700" s="1">
        <v>1</v>
      </c>
      <c r="O700" s="58"/>
      <c r="P700" s="58">
        <v>28707</v>
      </c>
      <c r="Q700" t="s">
        <v>113</v>
      </c>
      <c r="R700" s="1" t="s">
        <v>158</v>
      </c>
    </row>
    <row r="701" spans="3:18" x14ac:dyDescent="0.35">
      <c r="C701" t="s">
        <v>51</v>
      </c>
      <c r="D701" t="s">
        <v>91</v>
      </c>
      <c r="E701" t="s">
        <v>49</v>
      </c>
      <c r="F701" t="s">
        <v>46</v>
      </c>
      <c r="G701" s="58">
        <v>792469</v>
      </c>
      <c r="H701" s="1" t="s">
        <v>48</v>
      </c>
      <c r="I701" s="1" t="s">
        <v>108</v>
      </c>
      <c r="J701" s="58">
        <v>29321353</v>
      </c>
      <c r="K701" s="1" t="s">
        <v>106</v>
      </c>
      <c r="L701" s="1" t="s">
        <v>114</v>
      </c>
      <c r="M701" s="1" t="s">
        <v>121</v>
      </c>
      <c r="N701" s="1">
        <v>1</v>
      </c>
      <c r="O701" s="58"/>
      <c r="P701" s="58">
        <v>641899.89</v>
      </c>
      <c r="Q701" t="s">
        <v>127</v>
      </c>
      <c r="R701" s="1" t="s">
        <v>158</v>
      </c>
    </row>
    <row r="702" spans="3:18" x14ac:dyDescent="0.35">
      <c r="C702" t="s">
        <v>51</v>
      </c>
      <c r="D702" t="s">
        <v>92</v>
      </c>
      <c r="E702" t="s">
        <v>49</v>
      </c>
      <c r="F702" t="s">
        <v>46</v>
      </c>
      <c r="G702" s="58">
        <v>169056</v>
      </c>
      <c r="H702" s="1" t="s">
        <v>47</v>
      </c>
      <c r="I702" s="1" t="s">
        <v>111</v>
      </c>
      <c r="J702" s="58">
        <v>3043008</v>
      </c>
      <c r="K702" s="1" t="s">
        <v>106</v>
      </c>
      <c r="L702" s="1" t="s">
        <v>116</v>
      </c>
      <c r="N702" s="1">
        <v>1</v>
      </c>
      <c r="O702" s="58"/>
      <c r="P702" s="58">
        <v>42264</v>
      </c>
      <c r="Q702" t="s">
        <v>107</v>
      </c>
      <c r="R702" s="1" t="s">
        <v>158</v>
      </c>
    </row>
    <row r="703" spans="3:18" x14ac:dyDescent="0.35">
      <c r="C703" t="s">
        <v>51</v>
      </c>
      <c r="D703" t="s">
        <v>25</v>
      </c>
      <c r="E703" t="s">
        <v>45</v>
      </c>
      <c r="F703" t="s">
        <v>46</v>
      </c>
      <c r="G703" s="58">
        <v>580949</v>
      </c>
      <c r="H703" s="1" t="s">
        <v>59</v>
      </c>
      <c r="I703" s="1" t="s">
        <v>108</v>
      </c>
      <c r="J703" s="58">
        <v>15104674</v>
      </c>
      <c r="K703" s="1" t="s">
        <v>106</v>
      </c>
      <c r="L703" s="1" t="s">
        <v>120</v>
      </c>
      <c r="N703" s="1">
        <v>1</v>
      </c>
      <c r="O703" s="58"/>
      <c r="P703" s="58">
        <v>406664.3</v>
      </c>
      <c r="Q703" t="s">
        <v>118</v>
      </c>
      <c r="R703" s="1" t="s">
        <v>158</v>
      </c>
    </row>
    <row r="704" spans="3:18" x14ac:dyDescent="0.35">
      <c r="C704" t="s">
        <v>51</v>
      </c>
      <c r="D704" t="s">
        <v>23</v>
      </c>
      <c r="E704" t="s">
        <v>55</v>
      </c>
      <c r="F704" t="s">
        <v>46</v>
      </c>
      <c r="G704" s="58">
        <v>7389991</v>
      </c>
      <c r="H704" s="1" t="s">
        <v>54</v>
      </c>
      <c r="I704" s="1" t="s">
        <v>108</v>
      </c>
      <c r="J704" s="58">
        <v>184749775</v>
      </c>
      <c r="K704" s="1" t="s">
        <v>106</v>
      </c>
      <c r="L704" s="1" t="s">
        <v>114</v>
      </c>
      <c r="N704" s="1">
        <v>1</v>
      </c>
      <c r="O704" s="58"/>
      <c r="P704" s="58">
        <v>1995297.57</v>
      </c>
      <c r="Q704" t="s">
        <v>107</v>
      </c>
      <c r="R704" s="1" t="s">
        <v>158</v>
      </c>
    </row>
    <row r="705" spans="3:18" x14ac:dyDescent="0.35">
      <c r="C705" t="s">
        <v>51</v>
      </c>
      <c r="D705" t="s">
        <v>22</v>
      </c>
      <c r="E705" t="s">
        <v>49</v>
      </c>
      <c r="F705" t="s">
        <v>46</v>
      </c>
      <c r="G705" s="58">
        <v>223804</v>
      </c>
      <c r="H705" s="1" t="s">
        <v>47</v>
      </c>
      <c r="I705" s="1" t="s">
        <v>105</v>
      </c>
      <c r="J705" s="58">
        <v>671412</v>
      </c>
      <c r="K705" s="1" t="s">
        <v>106</v>
      </c>
      <c r="L705" s="1" t="s">
        <v>120</v>
      </c>
      <c r="N705" s="1">
        <v>1</v>
      </c>
      <c r="O705" s="58"/>
      <c r="P705" s="58">
        <v>20142.36</v>
      </c>
      <c r="Q705" t="s">
        <v>107</v>
      </c>
      <c r="R705" s="1" t="s">
        <v>158</v>
      </c>
    </row>
    <row r="706" spans="3:18" x14ac:dyDescent="0.35">
      <c r="C706" t="s">
        <v>53</v>
      </c>
      <c r="D706" t="s">
        <v>92</v>
      </c>
      <c r="E706" t="s">
        <v>45</v>
      </c>
      <c r="F706" t="s">
        <v>46</v>
      </c>
      <c r="G706" s="58">
        <v>12026774</v>
      </c>
      <c r="H706" s="1" t="s">
        <v>47</v>
      </c>
      <c r="I706" s="1" t="s">
        <v>119</v>
      </c>
      <c r="J706" s="58">
        <v>96214192</v>
      </c>
      <c r="K706" s="1" t="s">
        <v>106</v>
      </c>
      <c r="L706" s="1" t="s">
        <v>120</v>
      </c>
      <c r="N706" s="1">
        <v>1</v>
      </c>
      <c r="O706" s="58"/>
      <c r="P706" s="58">
        <v>8298474.0599999996</v>
      </c>
      <c r="Q706" t="s">
        <v>118</v>
      </c>
      <c r="R706" s="1" t="s">
        <v>158</v>
      </c>
    </row>
    <row r="707" spans="3:18" x14ac:dyDescent="0.35">
      <c r="C707" t="s">
        <v>51</v>
      </c>
      <c r="D707" t="s">
        <v>92</v>
      </c>
      <c r="E707" t="s">
        <v>49</v>
      </c>
      <c r="F707" t="s">
        <v>46</v>
      </c>
      <c r="G707" s="58">
        <v>430623</v>
      </c>
      <c r="H707" s="1" t="s">
        <v>47</v>
      </c>
      <c r="I707" s="1" t="s">
        <v>108</v>
      </c>
      <c r="J707" s="58">
        <v>12057444</v>
      </c>
      <c r="K707" s="1" t="s">
        <v>106</v>
      </c>
      <c r="L707" s="1" t="s">
        <v>114</v>
      </c>
      <c r="N707" s="1">
        <v>1</v>
      </c>
      <c r="O707" s="58"/>
      <c r="P707" s="58">
        <v>107655.75</v>
      </c>
      <c r="Q707" t="s">
        <v>107</v>
      </c>
      <c r="R707" s="1" t="s">
        <v>158</v>
      </c>
    </row>
    <row r="708" spans="3:18" x14ac:dyDescent="0.35">
      <c r="C708" t="s">
        <v>53</v>
      </c>
      <c r="D708" t="s">
        <v>19</v>
      </c>
      <c r="E708" t="s">
        <v>45</v>
      </c>
      <c r="F708" t="s">
        <v>46</v>
      </c>
      <c r="G708" s="58">
        <v>36124</v>
      </c>
      <c r="H708" s="1" t="s">
        <v>48</v>
      </c>
      <c r="I708" s="1" t="s">
        <v>119</v>
      </c>
      <c r="J708" s="58">
        <v>288992</v>
      </c>
      <c r="K708" s="1" t="s">
        <v>106</v>
      </c>
      <c r="L708" s="1" t="s">
        <v>120</v>
      </c>
      <c r="M708" s="1" t="s">
        <v>122</v>
      </c>
      <c r="N708" s="1">
        <v>1</v>
      </c>
      <c r="O708" s="58"/>
      <c r="P708" s="58">
        <v>16978.28</v>
      </c>
      <c r="Q708" t="s">
        <v>113</v>
      </c>
      <c r="R708" s="1" t="s">
        <v>158</v>
      </c>
    </row>
    <row r="709" spans="3:18" x14ac:dyDescent="0.35">
      <c r="C709" t="s">
        <v>51</v>
      </c>
      <c r="D709" t="s">
        <v>19</v>
      </c>
      <c r="E709" t="s">
        <v>55</v>
      </c>
      <c r="F709" t="s">
        <v>46</v>
      </c>
      <c r="G709" s="58">
        <v>948272</v>
      </c>
      <c r="H709" s="1" t="s">
        <v>48</v>
      </c>
      <c r="I709" s="1" t="s">
        <v>108</v>
      </c>
      <c r="J709" s="58">
        <v>27499888</v>
      </c>
      <c r="K709" s="1" t="s">
        <v>106</v>
      </c>
      <c r="L709" s="1" t="s">
        <v>114</v>
      </c>
      <c r="M709" s="1" t="s">
        <v>122</v>
      </c>
      <c r="N709" s="1">
        <v>1</v>
      </c>
      <c r="O709" s="58"/>
      <c r="P709" s="58">
        <v>246550.72</v>
      </c>
      <c r="Q709" t="s">
        <v>107</v>
      </c>
      <c r="R709" s="1" t="s">
        <v>158</v>
      </c>
    </row>
    <row r="710" spans="3:18" x14ac:dyDescent="0.35">
      <c r="C710" t="s">
        <v>51</v>
      </c>
      <c r="D710" t="s">
        <v>23</v>
      </c>
      <c r="E710" t="s">
        <v>45</v>
      </c>
      <c r="F710" t="s">
        <v>46</v>
      </c>
      <c r="G710" s="58">
        <v>890172</v>
      </c>
      <c r="H710" s="1" t="s">
        <v>47</v>
      </c>
      <c r="I710" s="1" t="s">
        <v>108</v>
      </c>
      <c r="J710" s="58">
        <v>20473956</v>
      </c>
      <c r="K710" s="1" t="s">
        <v>106</v>
      </c>
      <c r="L710" s="1" t="s">
        <v>114</v>
      </c>
      <c r="N710" s="1">
        <v>1</v>
      </c>
      <c r="O710" s="58"/>
      <c r="P710" s="58">
        <v>213641.28</v>
      </c>
      <c r="Q710" t="s">
        <v>107</v>
      </c>
      <c r="R710" s="1" t="s">
        <v>158</v>
      </c>
    </row>
    <row r="711" spans="3:18" x14ac:dyDescent="0.35">
      <c r="C711" t="s">
        <v>51</v>
      </c>
      <c r="D711" t="s">
        <v>20</v>
      </c>
      <c r="E711" t="s">
        <v>49</v>
      </c>
      <c r="F711" t="s">
        <v>64</v>
      </c>
      <c r="G711" s="58">
        <v>728232</v>
      </c>
      <c r="H711" s="1" t="s">
        <v>48</v>
      </c>
      <c r="I711" s="1" t="s">
        <v>108</v>
      </c>
      <c r="J711" s="58">
        <v>26944584</v>
      </c>
      <c r="K711" s="1" t="s">
        <v>106</v>
      </c>
      <c r="L711" s="1" t="s">
        <v>124</v>
      </c>
      <c r="M711" s="1" t="s">
        <v>123</v>
      </c>
      <c r="N711" s="1">
        <v>1</v>
      </c>
      <c r="O711" s="58"/>
      <c r="P711" s="58">
        <v>320422.08</v>
      </c>
      <c r="Q711" t="s">
        <v>113</v>
      </c>
      <c r="R711" s="1" t="s">
        <v>48</v>
      </c>
    </row>
    <row r="712" spans="3:18" x14ac:dyDescent="0.35">
      <c r="C712" t="s">
        <v>51</v>
      </c>
      <c r="D712" t="s">
        <v>24</v>
      </c>
      <c r="E712" t="s">
        <v>45</v>
      </c>
      <c r="F712" t="s">
        <v>46</v>
      </c>
      <c r="G712" s="58">
        <v>130534336</v>
      </c>
      <c r="H712" s="1" t="s">
        <v>48</v>
      </c>
      <c r="I712" s="1" t="s">
        <v>108</v>
      </c>
      <c r="J712" s="58">
        <v>4177098752</v>
      </c>
      <c r="K712" s="1" t="s">
        <v>106</v>
      </c>
      <c r="L712" s="1" t="s">
        <v>120</v>
      </c>
      <c r="M712" s="1" t="s">
        <v>121</v>
      </c>
      <c r="N712" s="1">
        <v>1</v>
      </c>
      <c r="O712" s="58"/>
      <c r="P712" s="58">
        <v>91374035.200000003</v>
      </c>
      <c r="Q712" t="s">
        <v>118</v>
      </c>
      <c r="R712" s="1" t="s">
        <v>158</v>
      </c>
    </row>
    <row r="713" spans="3:18" x14ac:dyDescent="0.35">
      <c r="C713" t="s">
        <v>51</v>
      </c>
      <c r="D713" t="s">
        <v>23</v>
      </c>
      <c r="E713" t="s">
        <v>55</v>
      </c>
      <c r="F713" t="s">
        <v>46</v>
      </c>
      <c r="G713" s="58">
        <v>16633404</v>
      </c>
      <c r="H713" s="1" t="s">
        <v>47</v>
      </c>
      <c r="I713" s="1" t="s">
        <v>105</v>
      </c>
      <c r="J713" s="58">
        <v>49900212</v>
      </c>
      <c r="K713" s="1" t="s">
        <v>106</v>
      </c>
      <c r="L713" s="1" t="s">
        <v>114</v>
      </c>
      <c r="N713" s="1">
        <v>1</v>
      </c>
      <c r="O713" s="58"/>
      <c r="P713" s="58">
        <v>2162342.52</v>
      </c>
      <c r="Q713" t="s">
        <v>107</v>
      </c>
      <c r="R713" s="1" t="s">
        <v>158</v>
      </c>
    </row>
    <row r="714" spans="3:18" x14ac:dyDescent="0.35">
      <c r="C714" t="s">
        <v>53</v>
      </c>
      <c r="D714" t="s">
        <v>21</v>
      </c>
      <c r="E714" t="s">
        <v>49</v>
      </c>
      <c r="F714" t="s">
        <v>46</v>
      </c>
      <c r="G714" s="58">
        <v>14782631</v>
      </c>
      <c r="H714" s="1" t="s">
        <v>47</v>
      </c>
      <c r="I714" s="1" t="s">
        <v>108</v>
      </c>
      <c r="J714" s="58">
        <v>399131037</v>
      </c>
      <c r="K714" s="1" t="s">
        <v>106</v>
      </c>
      <c r="L714" s="1" t="s">
        <v>124</v>
      </c>
      <c r="N714" s="1">
        <v>1</v>
      </c>
      <c r="O714" s="58"/>
      <c r="P714" s="58">
        <v>1478263.1</v>
      </c>
      <c r="Q714" t="s">
        <v>107</v>
      </c>
      <c r="R714" s="1" t="s">
        <v>158</v>
      </c>
    </row>
    <row r="715" spans="3:18" x14ac:dyDescent="0.35">
      <c r="C715" t="s">
        <v>51</v>
      </c>
      <c r="D715" t="s">
        <v>21</v>
      </c>
      <c r="E715" t="s">
        <v>45</v>
      </c>
      <c r="F715" t="s">
        <v>46</v>
      </c>
      <c r="G715" s="58">
        <v>244418</v>
      </c>
      <c r="H715" s="1" t="s">
        <v>59</v>
      </c>
      <c r="I715" s="1" t="s">
        <v>108</v>
      </c>
      <c r="J715" s="58">
        <v>6110450</v>
      </c>
      <c r="K715" s="1" t="s">
        <v>112</v>
      </c>
      <c r="N715" s="1">
        <v>1</v>
      </c>
      <c r="O715" s="58"/>
      <c r="P715" s="58">
        <v>70881.22</v>
      </c>
      <c r="Q715" t="s">
        <v>107</v>
      </c>
      <c r="R715" s="1" t="s">
        <v>158</v>
      </c>
    </row>
    <row r="716" spans="3:18" x14ac:dyDescent="0.35">
      <c r="C716" t="s">
        <v>51</v>
      </c>
      <c r="D716" t="s">
        <v>23</v>
      </c>
      <c r="E716" t="s">
        <v>45</v>
      </c>
      <c r="F716" t="s">
        <v>46</v>
      </c>
      <c r="G716" s="58">
        <v>1654636</v>
      </c>
      <c r="H716" s="1" t="s">
        <v>47</v>
      </c>
      <c r="I716" s="1" t="s">
        <v>111</v>
      </c>
      <c r="J716" s="58">
        <v>28128812</v>
      </c>
      <c r="K716" s="1" t="s">
        <v>112</v>
      </c>
      <c r="N716" s="1">
        <v>1</v>
      </c>
      <c r="O716" s="58"/>
      <c r="P716" s="58">
        <v>794225.28</v>
      </c>
      <c r="Q716" t="s">
        <v>113</v>
      </c>
      <c r="R716" s="1" t="s">
        <v>158</v>
      </c>
    </row>
    <row r="717" spans="3:18" x14ac:dyDescent="0.35">
      <c r="C717" t="s">
        <v>53</v>
      </c>
      <c r="D717" t="s">
        <v>25</v>
      </c>
      <c r="E717" t="s">
        <v>55</v>
      </c>
      <c r="F717" t="s">
        <v>46</v>
      </c>
      <c r="G717" s="58">
        <v>1938</v>
      </c>
      <c r="H717" s="1" t="s">
        <v>47</v>
      </c>
      <c r="I717" s="1" t="s">
        <v>105</v>
      </c>
      <c r="J717" s="58"/>
      <c r="K717" s="1" t="s">
        <v>106</v>
      </c>
      <c r="L717" s="1" t="s">
        <v>114</v>
      </c>
      <c r="N717" s="1">
        <v>0</v>
      </c>
      <c r="O717" s="58"/>
      <c r="P717" s="58">
        <v>0</v>
      </c>
      <c r="Q717" t="s">
        <v>107</v>
      </c>
      <c r="R717" s="1" t="s">
        <v>158</v>
      </c>
    </row>
    <row r="718" spans="3:18" x14ac:dyDescent="0.35">
      <c r="C718" t="s">
        <v>51</v>
      </c>
      <c r="D718" t="s">
        <v>23</v>
      </c>
      <c r="E718" t="s">
        <v>55</v>
      </c>
      <c r="F718" t="s">
        <v>46</v>
      </c>
      <c r="G718" s="58">
        <v>639059</v>
      </c>
      <c r="H718" s="1" t="s">
        <v>48</v>
      </c>
      <c r="I718" s="1" t="s">
        <v>108</v>
      </c>
      <c r="J718" s="58">
        <v>18532711</v>
      </c>
      <c r="K718" s="1" t="s">
        <v>106</v>
      </c>
      <c r="L718" s="1" t="s">
        <v>120</v>
      </c>
      <c r="M718" s="1" t="s">
        <v>125</v>
      </c>
      <c r="N718" s="1">
        <v>1</v>
      </c>
      <c r="O718" s="58"/>
      <c r="P718" s="58">
        <v>332310.68</v>
      </c>
      <c r="Q718" t="s">
        <v>113</v>
      </c>
      <c r="R718" s="1" t="s">
        <v>158</v>
      </c>
    </row>
    <row r="719" spans="3:18" x14ac:dyDescent="0.35">
      <c r="C719" t="s">
        <v>51</v>
      </c>
      <c r="D719" t="s">
        <v>91</v>
      </c>
      <c r="E719" t="s">
        <v>49</v>
      </c>
      <c r="F719" t="s">
        <v>46</v>
      </c>
      <c r="G719" s="58">
        <v>3845142</v>
      </c>
      <c r="H719" s="1" t="s">
        <v>54</v>
      </c>
      <c r="I719" s="1" t="s">
        <v>108</v>
      </c>
      <c r="J719" s="58">
        <v>99973692</v>
      </c>
      <c r="K719" s="1" t="s">
        <v>106</v>
      </c>
      <c r="L719" s="1" t="s">
        <v>124</v>
      </c>
      <c r="N719" s="1">
        <v>1</v>
      </c>
      <c r="O719" s="58"/>
      <c r="P719" s="58">
        <v>1115091.18</v>
      </c>
      <c r="Q719" t="s">
        <v>107</v>
      </c>
      <c r="R719" s="1" t="s">
        <v>158</v>
      </c>
    </row>
    <row r="720" spans="3:18" x14ac:dyDescent="0.35">
      <c r="C720" t="s">
        <v>53</v>
      </c>
      <c r="D720" t="s">
        <v>92</v>
      </c>
      <c r="E720" t="s">
        <v>45</v>
      </c>
      <c r="F720" t="s">
        <v>46</v>
      </c>
      <c r="G720" s="58">
        <v>5512147</v>
      </c>
      <c r="H720" s="1" t="s">
        <v>47</v>
      </c>
      <c r="I720" s="1" t="s">
        <v>111</v>
      </c>
      <c r="J720" s="58">
        <v>82682205</v>
      </c>
      <c r="K720" s="1" t="s">
        <v>112</v>
      </c>
      <c r="N720" s="1">
        <v>1</v>
      </c>
      <c r="O720" s="58"/>
      <c r="P720" s="58">
        <v>3472652.61</v>
      </c>
      <c r="Q720" t="s">
        <v>118</v>
      </c>
      <c r="R720" s="1" t="s">
        <v>158</v>
      </c>
    </row>
    <row r="721" spans="3:18" x14ac:dyDescent="0.35">
      <c r="C721" t="s">
        <v>51</v>
      </c>
      <c r="D721" t="s">
        <v>24</v>
      </c>
      <c r="E721" t="s">
        <v>55</v>
      </c>
      <c r="F721" t="s">
        <v>46</v>
      </c>
      <c r="G721" s="58">
        <v>250628910</v>
      </c>
      <c r="H721" s="1" t="s">
        <v>47</v>
      </c>
      <c r="I721" s="1" t="s">
        <v>108</v>
      </c>
      <c r="J721" s="58">
        <v>7268238390</v>
      </c>
      <c r="K721" s="1" t="s">
        <v>106</v>
      </c>
      <c r="L721" s="1" t="s">
        <v>114</v>
      </c>
      <c r="N721" s="1">
        <v>1</v>
      </c>
      <c r="O721" s="58"/>
      <c r="P721" s="58">
        <v>172933947.90000001</v>
      </c>
      <c r="Q721" t="s">
        <v>118</v>
      </c>
      <c r="R721" s="1" t="s">
        <v>158</v>
      </c>
    </row>
    <row r="722" spans="3:18" x14ac:dyDescent="0.35">
      <c r="C722" t="s">
        <v>51</v>
      </c>
      <c r="D722" t="s">
        <v>24</v>
      </c>
      <c r="E722" t="s">
        <v>49</v>
      </c>
      <c r="F722" t="s">
        <v>46</v>
      </c>
      <c r="G722" s="58">
        <v>268600</v>
      </c>
      <c r="H722" s="1" t="s">
        <v>48</v>
      </c>
      <c r="I722" s="1" t="s">
        <v>108</v>
      </c>
      <c r="J722" s="58">
        <v>9938200</v>
      </c>
      <c r="K722" s="1" t="s">
        <v>112</v>
      </c>
      <c r="N722" s="1">
        <v>1</v>
      </c>
      <c r="O722" s="58"/>
      <c r="P722" s="58">
        <v>268600</v>
      </c>
      <c r="Q722" t="s">
        <v>110</v>
      </c>
      <c r="R722" s="1" t="s">
        <v>48</v>
      </c>
    </row>
    <row r="723" spans="3:18" x14ac:dyDescent="0.35">
      <c r="C723" t="s">
        <v>51</v>
      </c>
      <c r="D723" t="s">
        <v>25</v>
      </c>
      <c r="E723" t="s">
        <v>55</v>
      </c>
      <c r="F723" t="s">
        <v>46</v>
      </c>
      <c r="G723" s="58">
        <v>98288</v>
      </c>
      <c r="H723" s="1" t="s">
        <v>48</v>
      </c>
      <c r="I723" s="1" t="s">
        <v>105</v>
      </c>
      <c r="J723" s="58">
        <v>294864</v>
      </c>
      <c r="K723" s="1" t="s">
        <v>106</v>
      </c>
      <c r="L723" s="1" t="s">
        <v>114</v>
      </c>
      <c r="M723" s="1" t="s">
        <v>117</v>
      </c>
      <c r="N723" s="1">
        <v>1</v>
      </c>
      <c r="O723" s="58"/>
      <c r="P723" s="58">
        <v>10811.68</v>
      </c>
      <c r="Q723" t="s">
        <v>107</v>
      </c>
      <c r="R723" s="1" t="s">
        <v>158</v>
      </c>
    </row>
    <row r="724" spans="3:18" x14ac:dyDescent="0.35">
      <c r="C724" t="s">
        <v>51</v>
      </c>
      <c r="D724" t="s">
        <v>23</v>
      </c>
      <c r="E724" t="s">
        <v>49</v>
      </c>
      <c r="F724" t="s">
        <v>46</v>
      </c>
      <c r="G724" s="58">
        <v>8900</v>
      </c>
      <c r="H724" s="1" t="s">
        <v>59</v>
      </c>
      <c r="I724" s="1" t="s">
        <v>111</v>
      </c>
      <c r="J724" s="58">
        <v>169100</v>
      </c>
      <c r="K724" s="1" t="s">
        <v>106</v>
      </c>
      <c r="L724" s="1" t="s">
        <v>124</v>
      </c>
      <c r="N724" s="1">
        <v>1</v>
      </c>
      <c r="O724" s="58"/>
      <c r="P724" s="58">
        <v>5518</v>
      </c>
      <c r="Q724" t="s">
        <v>118</v>
      </c>
      <c r="R724" s="1" t="s">
        <v>158</v>
      </c>
    </row>
    <row r="725" spans="3:18" x14ac:dyDescent="0.35">
      <c r="C725" t="s">
        <v>51</v>
      </c>
      <c r="D725" t="s">
        <v>22</v>
      </c>
      <c r="E725" t="s">
        <v>45</v>
      </c>
      <c r="F725" t="s">
        <v>46</v>
      </c>
      <c r="G725" s="58">
        <v>64671936</v>
      </c>
      <c r="H725" s="1" t="s">
        <v>47</v>
      </c>
      <c r="I725" s="1" t="s">
        <v>111</v>
      </c>
      <c r="J725" s="58">
        <v>1099422912</v>
      </c>
      <c r="K725" s="1" t="s">
        <v>106</v>
      </c>
      <c r="L725" s="1" t="s">
        <v>120</v>
      </c>
      <c r="N725" s="1">
        <v>1</v>
      </c>
      <c r="O725" s="58"/>
      <c r="P725" s="58">
        <v>43330197.119999997</v>
      </c>
      <c r="Q725" t="s">
        <v>118</v>
      </c>
      <c r="R725" s="1" t="s">
        <v>158</v>
      </c>
    </row>
    <row r="726" spans="3:18" x14ac:dyDescent="0.35">
      <c r="C726" t="s">
        <v>53</v>
      </c>
      <c r="D726" t="s">
        <v>21</v>
      </c>
      <c r="E726" t="s">
        <v>45</v>
      </c>
      <c r="F726" t="s">
        <v>46</v>
      </c>
      <c r="G726" s="58">
        <v>9370877</v>
      </c>
      <c r="H726" s="1" t="s">
        <v>59</v>
      </c>
      <c r="I726" s="1" t="s">
        <v>119</v>
      </c>
      <c r="J726" s="58">
        <v>65596139</v>
      </c>
      <c r="K726" s="1" t="s">
        <v>106</v>
      </c>
      <c r="L726" s="1" t="s">
        <v>120</v>
      </c>
      <c r="N726" s="1">
        <v>1</v>
      </c>
      <c r="O726" s="58"/>
      <c r="P726" s="58">
        <v>2717554.33</v>
      </c>
      <c r="Q726" t="s">
        <v>107</v>
      </c>
      <c r="R726" s="1" t="s">
        <v>158</v>
      </c>
    </row>
    <row r="727" spans="3:18" x14ac:dyDescent="0.35">
      <c r="C727" t="s">
        <v>53</v>
      </c>
      <c r="D727" t="s">
        <v>20</v>
      </c>
      <c r="E727" t="s">
        <v>45</v>
      </c>
      <c r="F727" t="s">
        <v>46</v>
      </c>
      <c r="G727" s="58">
        <v>1370823</v>
      </c>
      <c r="H727" s="1" t="s">
        <v>59</v>
      </c>
      <c r="I727" s="1" t="s">
        <v>111</v>
      </c>
      <c r="J727" s="58">
        <v>16449876</v>
      </c>
      <c r="K727" s="1" t="s">
        <v>112</v>
      </c>
      <c r="N727" s="1">
        <v>1</v>
      </c>
      <c r="O727" s="58"/>
      <c r="P727" s="58">
        <v>507204.51</v>
      </c>
      <c r="Q727" t="s">
        <v>107</v>
      </c>
      <c r="R727" s="1" t="s">
        <v>158</v>
      </c>
    </row>
    <row r="728" spans="3:18" x14ac:dyDescent="0.35">
      <c r="C728" t="s">
        <v>51</v>
      </c>
      <c r="D728" t="s">
        <v>24</v>
      </c>
      <c r="E728" t="s">
        <v>45</v>
      </c>
      <c r="F728" t="s">
        <v>46</v>
      </c>
      <c r="G728" s="58">
        <v>31678936</v>
      </c>
      <c r="H728" s="1" t="s">
        <v>48</v>
      </c>
      <c r="I728" s="1" t="s">
        <v>108</v>
      </c>
      <c r="J728" s="58">
        <v>1108762760</v>
      </c>
      <c r="K728" s="1" t="s">
        <v>106</v>
      </c>
      <c r="L728" s="1" t="s">
        <v>120</v>
      </c>
      <c r="M728" s="1" t="s">
        <v>121</v>
      </c>
      <c r="N728" s="1">
        <v>1</v>
      </c>
      <c r="O728" s="58"/>
      <c r="P728" s="58">
        <v>26610306.239999998</v>
      </c>
      <c r="Q728" t="s">
        <v>127</v>
      </c>
      <c r="R728" s="1" t="s">
        <v>158</v>
      </c>
    </row>
    <row r="729" spans="3:18" x14ac:dyDescent="0.35">
      <c r="C729" t="s">
        <v>51</v>
      </c>
      <c r="D729" t="s">
        <v>92</v>
      </c>
      <c r="E729" t="s">
        <v>49</v>
      </c>
      <c r="F729" t="s">
        <v>46</v>
      </c>
      <c r="G729" s="58">
        <v>1308400</v>
      </c>
      <c r="H729" s="1" t="s">
        <v>48</v>
      </c>
      <c r="I729" s="1" t="s">
        <v>108</v>
      </c>
      <c r="J729" s="58">
        <v>45794000</v>
      </c>
      <c r="K729" s="1" t="s">
        <v>112</v>
      </c>
      <c r="N729" s="1">
        <v>1</v>
      </c>
      <c r="O729" s="58"/>
      <c r="P729" s="58">
        <v>1308400</v>
      </c>
      <c r="Q729" t="s">
        <v>110</v>
      </c>
      <c r="R729" s="1" t="s">
        <v>48</v>
      </c>
    </row>
    <row r="730" spans="3:18" x14ac:dyDescent="0.35">
      <c r="C730" t="s">
        <v>51</v>
      </c>
      <c r="D730" t="s">
        <v>19</v>
      </c>
      <c r="E730" t="s">
        <v>49</v>
      </c>
      <c r="F730" t="s">
        <v>64</v>
      </c>
      <c r="G730" s="58">
        <v>2530550</v>
      </c>
      <c r="H730" s="1" t="s">
        <v>48</v>
      </c>
      <c r="I730" s="1" t="s">
        <v>108</v>
      </c>
      <c r="J730" s="58">
        <v>73385950</v>
      </c>
      <c r="K730" s="1" t="s">
        <v>112</v>
      </c>
      <c r="N730" s="1">
        <v>1</v>
      </c>
      <c r="O730" s="58"/>
      <c r="P730" s="58">
        <v>1341191.5</v>
      </c>
      <c r="Q730" t="s">
        <v>113</v>
      </c>
      <c r="R730" s="1" t="s">
        <v>48</v>
      </c>
    </row>
    <row r="731" spans="3:18" x14ac:dyDescent="0.35">
      <c r="C731" t="s">
        <v>51</v>
      </c>
      <c r="D731" t="s">
        <v>21</v>
      </c>
      <c r="E731" t="s">
        <v>49</v>
      </c>
      <c r="F731" t="s">
        <v>46</v>
      </c>
      <c r="G731" s="58">
        <v>270220</v>
      </c>
      <c r="H731" s="1" t="s">
        <v>48</v>
      </c>
      <c r="I731" s="1" t="s">
        <v>108</v>
      </c>
      <c r="J731" s="58">
        <v>10538580</v>
      </c>
      <c r="K731" s="1" t="s">
        <v>106</v>
      </c>
      <c r="L731" s="1" t="s">
        <v>120</v>
      </c>
      <c r="M731" s="1" t="s">
        <v>126</v>
      </c>
      <c r="N731" s="1">
        <v>1</v>
      </c>
      <c r="O731" s="58"/>
      <c r="P731" s="58">
        <v>226984.8</v>
      </c>
      <c r="Q731" t="s">
        <v>127</v>
      </c>
      <c r="R731" s="1" t="s">
        <v>48</v>
      </c>
    </row>
    <row r="732" spans="3:18" x14ac:dyDescent="0.35">
      <c r="C732" t="s">
        <v>51</v>
      </c>
      <c r="D732" t="s">
        <v>92</v>
      </c>
      <c r="E732" t="s">
        <v>49</v>
      </c>
      <c r="F732" t="s">
        <v>46</v>
      </c>
      <c r="G732" s="58">
        <v>53822555</v>
      </c>
      <c r="H732" s="1" t="s">
        <v>48</v>
      </c>
      <c r="I732" s="1" t="s">
        <v>111</v>
      </c>
      <c r="J732" s="58">
        <v>861160880</v>
      </c>
      <c r="K732" s="1" t="s">
        <v>106</v>
      </c>
      <c r="L732" s="1" t="s">
        <v>124</v>
      </c>
      <c r="M732" s="1" t="s">
        <v>123</v>
      </c>
      <c r="N732" s="1">
        <v>1</v>
      </c>
      <c r="O732" s="58"/>
      <c r="P732" s="58">
        <v>26911277.5</v>
      </c>
      <c r="Q732" t="s">
        <v>113</v>
      </c>
      <c r="R732" s="1" t="s">
        <v>158</v>
      </c>
    </row>
    <row r="733" spans="3:18" x14ac:dyDescent="0.35">
      <c r="C733" t="s">
        <v>51</v>
      </c>
      <c r="D733" t="s">
        <v>24</v>
      </c>
      <c r="E733" t="s">
        <v>55</v>
      </c>
      <c r="F733" t="s">
        <v>46</v>
      </c>
      <c r="G733" s="58">
        <v>10465882</v>
      </c>
      <c r="H733" s="1" t="s">
        <v>56</v>
      </c>
      <c r="I733" s="1" t="s">
        <v>111</v>
      </c>
      <c r="J733" s="58">
        <v>156988230</v>
      </c>
      <c r="K733" s="1" t="s">
        <v>106</v>
      </c>
      <c r="L733" s="1" t="s">
        <v>114</v>
      </c>
      <c r="N733" s="1">
        <v>1</v>
      </c>
      <c r="O733" s="58"/>
      <c r="P733" s="58">
        <v>2721129.32</v>
      </c>
      <c r="Q733" t="s">
        <v>107</v>
      </c>
      <c r="R733" s="1" t="s">
        <v>158</v>
      </c>
    </row>
    <row r="734" spans="3:18" x14ac:dyDescent="0.35">
      <c r="C734" t="s">
        <v>53</v>
      </c>
      <c r="D734" t="s">
        <v>21</v>
      </c>
      <c r="E734" t="s">
        <v>55</v>
      </c>
      <c r="F734" t="s">
        <v>46</v>
      </c>
      <c r="G734" s="58">
        <v>331588</v>
      </c>
      <c r="H734" s="1" t="s">
        <v>47</v>
      </c>
      <c r="I734" s="1" t="s">
        <v>119</v>
      </c>
      <c r="J734" s="58">
        <v>1989528</v>
      </c>
      <c r="K734" s="1" t="s">
        <v>106</v>
      </c>
      <c r="L734" s="1" t="s">
        <v>120</v>
      </c>
      <c r="N734" s="1">
        <v>1</v>
      </c>
      <c r="O734" s="58"/>
      <c r="P734" s="58">
        <v>72949.36</v>
      </c>
      <c r="Q734" t="s">
        <v>107</v>
      </c>
      <c r="R734" s="1" t="s">
        <v>158</v>
      </c>
    </row>
    <row r="735" spans="3:18" x14ac:dyDescent="0.35">
      <c r="C735" t="s">
        <v>51</v>
      </c>
      <c r="D735" t="s">
        <v>22</v>
      </c>
      <c r="E735" t="s">
        <v>45</v>
      </c>
      <c r="F735" t="s">
        <v>46</v>
      </c>
      <c r="G735" s="58">
        <v>515091</v>
      </c>
      <c r="H735" s="1" t="s">
        <v>59</v>
      </c>
      <c r="I735" s="1" t="s">
        <v>105</v>
      </c>
      <c r="J735" s="58">
        <v>1030182</v>
      </c>
      <c r="K735" s="1" t="s">
        <v>112</v>
      </c>
      <c r="N735" s="1">
        <v>1</v>
      </c>
      <c r="O735" s="58"/>
      <c r="P735" s="58">
        <v>103018.2</v>
      </c>
      <c r="Q735" t="s">
        <v>107</v>
      </c>
      <c r="R735" s="1" t="s">
        <v>158</v>
      </c>
    </row>
    <row r="736" spans="3:18" x14ac:dyDescent="0.35">
      <c r="C736" t="s">
        <v>51</v>
      </c>
      <c r="D736" t="s">
        <v>22</v>
      </c>
      <c r="E736" t="s">
        <v>45</v>
      </c>
      <c r="F736" t="s">
        <v>46</v>
      </c>
      <c r="G736" s="58">
        <v>2988166</v>
      </c>
      <c r="H736" s="1" t="s">
        <v>47</v>
      </c>
      <c r="I736" s="1" t="s">
        <v>119</v>
      </c>
      <c r="J736" s="58">
        <v>20917162</v>
      </c>
      <c r="K736" s="1" t="s">
        <v>106</v>
      </c>
      <c r="L736" s="1" t="s">
        <v>124</v>
      </c>
      <c r="N736" s="1">
        <v>1</v>
      </c>
      <c r="O736" s="58"/>
      <c r="P736" s="58">
        <v>567751.54</v>
      </c>
      <c r="Q736" t="s">
        <v>107</v>
      </c>
      <c r="R736" s="1" t="s">
        <v>158</v>
      </c>
    </row>
    <row r="737" spans="3:18" x14ac:dyDescent="0.35">
      <c r="C737" t="s">
        <v>51</v>
      </c>
      <c r="D737" t="s">
        <v>19</v>
      </c>
      <c r="E737" t="s">
        <v>49</v>
      </c>
      <c r="F737" t="s">
        <v>46</v>
      </c>
      <c r="G737" s="58">
        <v>315990</v>
      </c>
      <c r="H737" s="1" t="s">
        <v>48</v>
      </c>
      <c r="I737" s="1" t="s">
        <v>111</v>
      </c>
      <c r="J737" s="58">
        <v>5687820</v>
      </c>
      <c r="K737" s="1" t="s">
        <v>106</v>
      </c>
      <c r="L737" s="1" t="s">
        <v>124</v>
      </c>
      <c r="M737" s="1" t="s">
        <v>126</v>
      </c>
      <c r="N737" s="1">
        <v>1</v>
      </c>
      <c r="O737" s="58"/>
      <c r="P737" s="58">
        <v>142195.5</v>
      </c>
      <c r="Q737" t="s">
        <v>113</v>
      </c>
      <c r="R737" s="1" t="s">
        <v>48</v>
      </c>
    </row>
    <row r="738" spans="3:18" x14ac:dyDescent="0.35">
      <c r="C738" t="s">
        <v>51</v>
      </c>
      <c r="D738" t="s">
        <v>23</v>
      </c>
      <c r="E738" t="s">
        <v>50</v>
      </c>
      <c r="F738" t="s">
        <v>46</v>
      </c>
      <c r="G738" s="58">
        <v>121388</v>
      </c>
      <c r="H738" s="1" t="s">
        <v>48</v>
      </c>
      <c r="I738" s="1" t="s">
        <v>119</v>
      </c>
      <c r="J738" s="58">
        <v>1092492</v>
      </c>
      <c r="K738" s="1" t="s">
        <v>106</v>
      </c>
      <c r="L738" s="1" t="s">
        <v>114</v>
      </c>
      <c r="M738" s="1" t="s">
        <v>125</v>
      </c>
      <c r="N738" s="1">
        <v>1</v>
      </c>
      <c r="O738" s="58"/>
      <c r="P738" s="58">
        <v>27919.24</v>
      </c>
      <c r="Q738" t="s">
        <v>107</v>
      </c>
      <c r="R738" s="1" t="s">
        <v>48</v>
      </c>
    </row>
    <row r="739" spans="3:18" x14ac:dyDescent="0.35">
      <c r="C739" t="s">
        <v>53</v>
      </c>
      <c r="D739" t="s">
        <v>25</v>
      </c>
      <c r="E739" t="s">
        <v>55</v>
      </c>
      <c r="F739" t="s">
        <v>46</v>
      </c>
      <c r="G739" s="58">
        <v>1715664</v>
      </c>
      <c r="H739" s="1" t="s">
        <v>54</v>
      </c>
      <c r="I739" s="1" t="s">
        <v>111</v>
      </c>
      <c r="J739" s="58">
        <v>24019296</v>
      </c>
      <c r="K739" s="1" t="s">
        <v>106</v>
      </c>
      <c r="L739" s="1" t="s">
        <v>114</v>
      </c>
      <c r="N739" s="1">
        <v>1</v>
      </c>
      <c r="O739" s="58"/>
      <c r="P739" s="58">
        <v>617639.04</v>
      </c>
      <c r="Q739" t="s">
        <v>107</v>
      </c>
      <c r="R739" s="1" t="s">
        <v>158</v>
      </c>
    </row>
    <row r="740" spans="3:18" x14ac:dyDescent="0.35">
      <c r="C740" t="s">
        <v>51</v>
      </c>
      <c r="D740" t="s">
        <v>23</v>
      </c>
      <c r="E740" t="s">
        <v>62</v>
      </c>
      <c r="F740" t="s">
        <v>46</v>
      </c>
      <c r="G740" s="58">
        <v>475737</v>
      </c>
      <c r="H740" s="1" t="s">
        <v>48</v>
      </c>
      <c r="I740" s="1" t="s">
        <v>111</v>
      </c>
      <c r="J740" s="58">
        <v>9514740</v>
      </c>
      <c r="K740" s="1" t="s">
        <v>112</v>
      </c>
      <c r="N740" s="1">
        <v>1</v>
      </c>
      <c r="O740" s="58"/>
      <c r="P740" s="58">
        <v>404376.45</v>
      </c>
      <c r="Q740" t="s">
        <v>127</v>
      </c>
      <c r="R740" s="1" t="s">
        <v>48</v>
      </c>
    </row>
    <row r="741" spans="3:18" x14ac:dyDescent="0.35">
      <c r="C741" t="s">
        <v>51</v>
      </c>
      <c r="D741" t="s">
        <v>23</v>
      </c>
      <c r="E741" t="s">
        <v>49</v>
      </c>
      <c r="F741" t="s">
        <v>46</v>
      </c>
      <c r="G741" s="58">
        <v>34879</v>
      </c>
      <c r="H741" s="1" t="s">
        <v>47</v>
      </c>
      <c r="I741" s="1" t="s">
        <v>105</v>
      </c>
      <c r="J741" s="58">
        <v>104637</v>
      </c>
      <c r="K741" s="1" t="s">
        <v>106</v>
      </c>
      <c r="L741" s="1" t="s">
        <v>124</v>
      </c>
      <c r="N741" s="1">
        <v>1</v>
      </c>
      <c r="O741" s="58"/>
      <c r="P741" s="58">
        <v>24066.51</v>
      </c>
      <c r="Q741" t="s">
        <v>118</v>
      </c>
      <c r="R741" s="1" t="s">
        <v>158</v>
      </c>
    </row>
    <row r="742" spans="3:18" x14ac:dyDescent="0.35">
      <c r="C742" t="s">
        <v>51</v>
      </c>
      <c r="D742" t="s">
        <v>21</v>
      </c>
      <c r="E742" t="s">
        <v>45</v>
      </c>
      <c r="F742" t="s">
        <v>46</v>
      </c>
      <c r="G742" s="58">
        <v>1627714</v>
      </c>
      <c r="H742" s="1" t="s">
        <v>48</v>
      </c>
      <c r="I742" s="1" t="s">
        <v>108</v>
      </c>
      <c r="J742" s="58">
        <v>47203706</v>
      </c>
      <c r="K742" s="1" t="s">
        <v>112</v>
      </c>
      <c r="N742" s="1">
        <v>1</v>
      </c>
      <c r="O742" s="58"/>
      <c r="P742" s="58">
        <v>830134.14</v>
      </c>
      <c r="Q742" t="s">
        <v>113</v>
      </c>
      <c r="R742" s="1" t="s">
        <v>158</v>
      </c>
    </row>
    <row r="743" spans="3:18" x14ac:dyDescent="0.35">
      <c r="C743" t="s">
        <v>51</v>
      </c>
      <c r="D743" t="s">
        <v>91</v>
      </c>
      <c r="E743" t="s">
        <v>49</v>
      </c>
      <c r="F743" t="s">
        <v>46</v>
      </c>
      <c r="G743" s="58">
        <v>2259294</v>
      </c>
      <c r="H743" s="1" t="s">
        <v>48</v>
      </c>
      <c r="I743" s="1" t="s">
        <v>108</v>
      </c>
      <c r="J743" s="58">
        <v>70038114</v>
      </c>
      <c r="K743" s="1" t="s">
        <v>106</v>
      </c>
      <c r="L743" s="1" t="s">
        <v>120</v>
      </c>
      <c r="M743" s="1" t="s">
        <v>115</v>
      </c>
      <c r="N743" s="1">
        <v>1</v>
      </c>
      <c r="O743" s="58"/>
      <c r="P743" s="58">
        <v>1310390.52</v>
      </c>
      <c r="Q743" t="s">
        <v>113</v>
      </c>
      <c r="R743" s="1" t="s">
        <v>158</v>
      </c>
    </row>
    <row r="744" spans="3:18" x14ac:dyDescent="0.35">
      <c r="C744" t="s">
        <v>51</v>
      </c>
      <c r="D744" t="s">
        <v>21</v>
      </c>
      <c r="E744" t="s">
        <v>45</v>
      </c>
      <c r="F744" t="s">
        <v>46</v>
      </c>
      <c r="G744" s="58">
        <v>204281</v>
      </c>
      <c r="H744" s="1" t="s">
        <v>47</v>
      </c>
      <c r="I744" s="1" t="s">
        <v>111</v>
      </c>
      <c r="J744" s="58">
        <v>3677058</v>
      </c>
      <c r="K744" s="1" t="s">
        <v>106</v>
      </c>
      <c r="L744" s="1" t="s">
        <v>124</v>
      </c>
      <c r="N744" s="1">
        <v>1</v>
      </c>
      <c r="O744" s="58"/>
      <c r="P744" s="58">
        <v>134825.46</v>
      </c>
      <c r="Q744" t="s">
        <v>118</v>
      </c>
      <c r="R744" s="1" t="s">
        <v>158</v>
      </c>
    </row>
    <row r="745" spans="3:18" x14ac:dyDescent="0.35">
      <c r="C745" t="s">
        <v>51</v>
      </c>
      <c r="D745" t="s">
        <v>23</v>
      </c>
      <c r="E745" t="s">
        <v>50</v>
      </c>
      <c r="F745" t="s">
        <v>46</v>
      </c>
      <c r="G745" s="58">
        <v>116970</v>
      </c>
      <c r="H745" s="1" t="s">
        <v>48</v>
      </c>
      <c r="I745" s="1" t="s">
        <v>108</v>
      </c>
      <c r="J745" s="58">
        <v>4327890</v>
      </c>
      <c r="K745" s="1" t="s">
        <v>112</v>
      </c>
      <c r="N745" s="1">
        <v>1</v>
      </c>
      <c r="O745" s="58"/>
      <c r="P745" s="58">
        <v>97085.1</v>
      </c>
      <c r="Q745" t="s">
        <v>127</v>
      </c>
      <c r="R745" s="1" t="s">
        <v>158</v>
      </c>
    </row>
    <row r="746" spans="3:18" x14ac:dyDescent="0.35">
      <c r="C746" t="s">
        <v>53</v>
      </c>
      <c r="D746" t="s">
        <v>23</v>
      </c>
      <c r="E746" t="s">
        <v>45</v>
      </c>
      <c r="F746" t="s">
        <v>46</v>
      </c>
      <c r="G746" s="58">
        <v>678886</v>
      </c>
      <c r="H746" s="1" t="s">
        <v>59</v>
      </c>
      <c r="I746" s="1" t="s">
        <v>119</v>
      </c>
      <c r="J746" s="58">
        <v>4752202</v>
      </c>
      <c r="K746" s="1" t="s">
        <v>106</v>
      </c>
      <c r="L746" s="1" t="s">
        <v>120</v>
      </c>
      <c r="N746" s="1">
        <v>1</v>
      </c>
      <c r="O746" s="58"/>
      <c r="P746" s="58">
        <v>325865.28000000003</v>
      </c>
      <c r="Q746" t="s">
        <v>113</v>
      </c>
      <c r="R746" s="1" t="s">
        <v>158</v>
      </c>
    </row>
    <row r="747" spans="3:18" x14ac:dyDescent="0.35">
      <c r="C747" t="s">
        <v>53</v>
      </c>
      <c r="D747" t="s">
        <v>92</v>
      </c>
      <c r="E747" t="s">
        <v>49</v>
      </c>
      <c r="F747" t="s">
        <v>46</v>
      </c>
      <c r="G747" s="58">
        <v>205571</v>
      </c>
      <c r="H747" s="1" t="s">
        <v>47</v>
      </c>
      <c r="I747" s="1" t="s">
        <v>119</v>
      </c>
      <c r="J747" s="58">
        <v>1850139</v>
      </c>
      <c r="K747" s="1" t="s">
        <v>106</v>
      </c>
      <c r="L747" s="1" t="s">
        <v>124</v>
      </c>
      <c r="N747" s="1">
        <v>1</v>
      </c>
      <c r="O747" s="58"/>
      <c r="P747" s="58">
        <v>121286.89</v>
      </c>
      <c r="Q747" t="s">
        <v>113</v>
      </c>
      <c r="R747" s="1" t="s">
        <v>158</v>
      </c>
    </row>
    <row r="748" spans="3:18" x14ac:dyDescent="0.35">
      <c r="C748" t="s">
        <v>51</v>
      </c>
      <c r="D748" t="s">
        <v>22</v>
      </c>
      <c r="E748" t="s">
        <v>49</v>
      </c>
      <c r="F748" t="s">
        <v>46</v>
      </c>
      <c r="G748" s="58">
        <v>1735813</v>
      </c>
      <c r="H748" s="1" t="s">
        <v>48</v>
      </c>
      <c r="I748" s="1" t="s">
        <v>108</v>
      </c>
      <c r="J748" s="58">
        <v>53810203</v>
      </c>
      <c r="K748" s="1" t="s">
        <v>106</v>
      </c>
      <c r="L748" s="1" t="s">
        <v>120</v>
      </c>
      <c r="M748" s="1" t="s">
        <v>115</v>
      </c>
      <c r="N748" s="1">
        <v>1</v>
      </c>
      <c r="O748" s="58"/>
      <c r="P748" s="58">
        <v>867906.5</v>
      </c>
      <c r="Q748" t="s">
        <v>113</v>
      </c>
      <c r="R748" s="1" t="s">
        <v>48</v>
      </c>
    </row>
    <row r="749" spans="3:18" x14ac:dyDescent="0.35">
      <c r="C749" t="s">
        <v>51</v>
      </c>
      <c r="D749" t="s">
        <v>19</v>
      </c>
      <c r="E749" t="s">
        <v>49</v>
      </c>
      <c r="F749" t="s">
        <v>46</v>
      </c>
      <c r="G749" s="58">
        <v>329920</v>
      </c>
      <c r="H749" s="1" t="s">
        <v>59</v>
      </c>
      <c r="I749" s="1" t="s">
        <v>108</v>
      </c>
      <c r="J749" s="58">
        <v>11877120</v>
      </c>
      <c r="K749" s="1" t="s">
        <v>106</v>
      </c>
      <c r="L749" s="1" t="s">
        <v>114</v>
      </c>
      <c r="N749" s="1">
        <v>1</v>
      </c>
      <c r="O749" s="58"/>
      <c r="P749" s="58">
        <v>326620.79999999999</v>
      </c>
      <c r="Q749" t="s">
        <v>127</v>
      </c>
      <c r="R749" s="1" t="s">
        <v>158</v>
      </c>
    </row>
    <row r="750" spans="3:18" x14ac:dyDescent="0.35">
      <c r="C750" t="s">
        <v>51</v>
      </c>
      <c r="D750" t="s">
        <v>24</v>
      </c>
      <c r="E750" t="s">
        <v>62</v>
      </c>
      <c r="F750" t="s">
        <v>46</v>
      </c>
      <c r="G750" s="58">
        <v>442331</v>
      </c>
      <c r="H750" s="1" t="s">
        <v>48</v>
      </c>
      <c r="I750" s="1" t="s">
        <v>108</v>
      </c>
      <c r="J750" s="58">
        <v>15039254</v>
      </c>
      <c r="K750" s="1" t="s">
        <v>106</v>
      </c>
      <c r="L750" s="1" t="s">
        <v>131</v>
      </c>
      <c r="M750" s="1" t="s">
        <v>121</v>
      </c>
      <c r="N750" s="1">
        <v>1</v>
      </c>
      <c r="O750" s="58"/>
      <c r="P750" s="58">
        <v>588300.23</v>
      </c>
      <c r="Q750" t="s">
        <v>110</v>
      </c>
      <c r="R750" s="1" t="s">
        <v>48</v>
      </c>
    </row>
    <row r="751" spans="3:18" x14ac:dyDescent="0.35">
      <c r="C751" t="s">
        <v>51</v>
      </c>
      <c r="D751" t="s">
        <v>23</v>
      </c>
      <c r="E751" t="s">
        <v>49</v>
      </c>
      <c r="F751" t="s">
        <v>46</v>
      </c>
      <c r="G751" s="58">
        <v>179108</v>
      </c>
      <c r="H751" s="1" t="s">
        <v>48</v>
      </c>
      <c r="I751" s="1" t="s">
        <v>108</v>
      </c>
      <c r="J751" s="58">
        <v>4298592</v>
      </c>
      <c r="K751" s="1" t="s">
        <v>106</v>
      </c>
      <c r="L751" s="1" t="s">
        <v>124</v>
      </c>
      <c r="M751" s="1" t="s">
        <v>125</v>
      </c>
      <c r="N751" s="1">
        <v>1</v>
      </c>
      <c r="O751" s="58"/>
      <c r="P751" s="58">
        <v>41194.839999999997</v>
      </c>
      <c r="Q751" t="s">
        <v>107</v>
      </c>
      <c r="R751" s="1" t="s">
        <v>48</v>
      </c>
    </row>
    <row r="752" spans="3:18" x14ac:dyDescent="0.35">
      <c r="C752" t="s">
        <v>51</v>
      </c>
      <c r="D752" t="s">
        <v>19</v>
      </c>
      <c r="E752" t="s">
        <v>49</v>
      </c>
      <c r="F752" t="s">
        <v>46</v>
      </c>
      <c r="G752" s="58">
        <v>597266</v>
      </c>
      <c r="H752" s="1" t="s">
        <v>48</v>
      </c>
      <c r="I752" s="1" t="s">
        <v>108</v>
      </c>
      <c r="J752" s="58">
        <v>21501576</v>
      </c>
      <c r="K752" s="1" t="s">
        <v>106</v>
      </c>
      <c r="L752" s="1" t="s">
        <v>120</v>
      </c>
      <c r="M752" s="1" t="s">
        <v>122</v>
      </c>
      <c r="N752" s="1">
        <v>1</v>
      </c>
      <c r="O752" s="58"/>
      <c r="P752" s="58">
        <v>483785.46</v>
      </c>
      <c r="Q752" t="s">
        <v>127</v>
      </c>
      <c r="R752" s="1" t="s">
        <v>48</v>
      </c>
    </row>
    <row r="753" spans="3:18" x14ac:dyDescent="0.35">
      <c r="C753" t="s">
        <v>51</v>
      </c>
      <c r="D753" t="s">
        <v>24</v>
      </c>
      <c r="E753" t="s">
        <v>52</v>
      </c>
      <c r="F753" t="s">
        <v>46</v>
      </c>
      <c r="G753" s="58">
        <v>842707</v>
      </c>
      <c r="H753" s="1" t="s">
        <v>48</v>
      </c>
      <c r="I753" s="1" t="s">
        <v>111</v>
      </c>
      <c r="J753" s="58">
        <v>13483312</v>
      </c>
      <c r="K753" s="1" t="s">
        <v>106</v>
      </c>
      <c r="L753" s="1" t="s">
        <v>130</v>
      </c>
      <c r="M753" s="1" t="s">
        <v>121</v>
      </c>
      <c r="N753" s="1">
        <v>1</v>
      </c>
      <c r="O753" s="58"/>
      <c r="P753" s="58">
        <v>404499.36</v>
      </c>
      <c r="Q753" t="s">
        <v>113</v>
      </c>
      <c r="R753" s="1" t="s">
        <v>48</v>
      </c>
    </row>
    <row r="754" spans="3:18" x14ac:dyDescent="0.35">
      <c r="C754" t="s">
        <v>51</v>
      </c>
      <c r="D754" t="s">
        <v>20</v>
      </c>
      <c r="E754" t="s">
        <v>49</v>
      </c>
      <c r="F754" t="s">
        <v>46</v>
      </c>
      <c r="G754" s="58">
        <v>451005</v>
      </c>
      <c r="H754" s="1" t="s">
        <v>48</v>
      </c>
      <c r="I754" s="1" t="s">
        <v>108</v>
      </c>
      <c r="J754" s="58">
        <v>14432160</v>
      </c>
      <c r="K754" s="1" t="s">
        <v>106</v>
      </c>
      <c r="L754" s="1" t="s">
        <v>120</v>
      </c>
      <c r="M754" s="1" t="s">
        <v>125</v>
      </c>
      <c r="N754" s="1">
        <v>1</v>
      </c>
      <c r="O754" s="58"/>
      <c r="P754" s="58">
        <v>139811.54999999999</v>
      </c>
      <c r="Q754" t="s">
        <v>107</v>
      </c>
      <c r="R754" s="1" t="s">
        <v>48</v>
      </c>
    </row>
    <row r="755" spans="3:18" x14ac:dyDescent="0.35">
      <c r="C755" t="s">
        <v>51</v>
      </c>
      <c r="D755" t="s">
        <v>22</v>
      </c>
      <c r="E755" t="s">
        <v>55</v>
      </c>
      <c r="F755" t="s">
        <v>46</v>
      </c>
      <c r="G755" s="58">
        <v>164256</v>
      </c>
      <c r="H755" s="1" t="s">
        <v>48</v>
      </c>
      <c r="I755" s="1" t="s">
        <v>108</v>
      </c>
      <c r="J755" s="58">
        <v>5584704</v>
      </c>
      <c r="K755" s="1" t="s">
        <v>106</v>
      </c>
      <c r="L755" s="1" t="s">
        <v>114</v>
      </c>
      <c r="M755" s="1" t="s">
        <v>121</v>
      </c>
      <c r="N755" s="1">
        <v>1</v>
      </c>
      <c r="O755" s="58"/>
      <c r="P755" s="58">
        <v>96911.039999999994</v>
      </c>
      <c r="Q755" t="s">
        <v>113</v>
      </c>
      <c r="R755" s="1" t="s">
        <v>158</v>
      </c>
    </row>
    <row r="756" spans="3:18" x14ac:dyDescent="0.35">
      <c r="C756" t="s">
        <v>51</v>
      </c>
      <c r="D756" t="s">
        <v>92</v>
      </c>
      <c r="E756" t="s">
        <v>45</v>
      </c>
      <c r="F756" t="s">
        <v>46</v>
      </c>
      <c r="G756" s="58">
        <v>347587</v>
      </c>
      <c r="H756" s="1" t="s">
        <v>54</v>
      </c>
      <c r="I756" s="1" t="s">
        <v>108</v>
      </c>
      <c r="J756" s="58">
        <v>12513132</v>
      </c>
      <c r="K756" s="1" t="s">
        <v>106</v>
      </c>
      <c r="L756" s="1" t="s">
        <v>120</v>
      </c>
      <c r="N756" s="1">
        <v>1</v>
      </c>
      <c r="O756" s="58"/>
      <c r="P756" s="58">
        <v>368442.22</v>
      </c>
      <c r="Q756" t="s">
        <v>110</v>
      </c>
      <c r="R756" s="1" t="s">
        <v>158</v>
      </c>
    </row>
    <row r="757" spans="3:18" x14ac:dyDescent="0.35">
      <c r="C757" t="s">
        <v>51</v>
      </c>
      <c r="D757" t="s">
        <v>24</v>
      </c>
      <c r="E757" t="s">
        <v>45</v>
      </c>
      <c r="F757" t="s">
        <v>46</v>
      </c>
      <c r="G757" s="58">
        <v>287273</v>
      </c>
      <c r="H757" s="1" t="s">
        <v>47</v>
      </c>
      <c r="I757" s="1" t="s">
        <v>111</v>
      </c>
      <c r="J757" s="58">
        <v>4883641</v>
      </c>
      <c r="K757" s="1" t="s">
        <v>106</v>
      </c>
      <c r="L757" s="1" t="s">
        <v>124</v>
      </c>
      <c r="N757" s="1">
        <v>1</v>
      </c>
      <c r="O757" s="58"/>
      <c r="P757" s="58">
        <v>54581.87</v>
      </c>
      <c r="Q757" t="s">
        <v>107</v>
      </c>
      <c r="R757" s="1" t="s">
        <v>158</v>
      </c>
    </row>
    <row r="758" spans="3:18" x14ac:dyDescent="0.35">
      <c r="C758" t="s">
        <v>51</v>
      </c>
      <c r="D758" t="s">
        <v>22</v>
      </c>
      <c r="E758" t="s">
        <v>45</v>
      </c>
      <c r="F758" t="s">
        <v>46</v>
      </c>
      <c r="G758" s="58">
        <v>100975050</v>
      </c>
      <c r="H758" s="1" t="s">
        <v>59</v>
      </c>
      <c r="I758" s="1" t="s">
        <v>111</v>
      </c>
      <c r="J758" s="58">
        <v>1615600800</v>
      </c>
      <c r="K758" s="1" t="s">
        <v>106</v>
      </c>
      <c r="L758" s="1" t="s">
        <v>120</v>
      </c>
      <c r="N758" s="1">
        <v>1</v>
      </c>
      <c r="O758" s="58"/>
      <c r="P758" s="58">
        <v>50487525</v>
      </c>
      <c r="Q758" t="s">
        <v>113</v>
      </c>
      <c r="R758" s="1" t="s">
        <v>158</v>
      </c>
    </row>
    <row r="759" spans="3:18" x14ac:dyDescent="0.35">
      <c r="C759" t="s">
        <v>51</v>
      </c>
      <c r="D759" t="s">
        <v>21</v>
      </c>
      <c r="E759" t="s">
        <v>45</v>
      </c>
      <c r="F759" t="s">
        <v>46</v>
      </c>
      <c r="G759" s="58">
        <v>204616</v>
      </c>
      <c r="H759" s="1" t="s">
        <v>59</v>
      </c>
      <c r="I759" s="1" t="s">
        <v>108</v>
      </c>
      <c r="J759" s="58">
        <v>6547712</v>
      </c>
      <c r="K759" s="1" t="s">
        <v>112</v>
      </c>
      <c r="N759" s="1">
        <v>1</v>
      </c>
      <c r="O759" s="58"/>
      <c r="P759" s="58">
        <v>173923.6</v>
      </c>
      <c r="Q759" t="s">
        <v>127</v>
      </c>
      <c r="R759" s="1" t="s">
        <v>158</v>
      </c>
    </row>
    <row r="760" spans="3:18" x14ac:dyDescent="0.35">
      <c r="C760" t="s">
        <v>53</v>
      </c>
      <c r="D760" t="s">
        <v>21</v>
      </c>
      <c r="E760" t="s">
        <v>55</v>
      </c>
      <c r="F760" t="s">
        <v>46</v>
      </c>
      <c r="G760" s="58">
        <v>437922</v>
      </c>
      <c r="H760" s="1" t="s">
        <v>59</v>
      </c>
      <c r="I760" s="1" t="s">
        <v>105</v>
      </c>
      <c r="J760" s="58">
        <v>1313766</v>
      </c>
      <c r="K760" s="1" t="s">
        <v>106</v>
      </c>
      <c r="L760" s="1" t="s">
        <v>114</v>
      </c>
      <c r="N760" s="1">
        <v>1</v>
      </c>
      <c r="O760" s="58"/>
      <c r="P760" s="58">
        <v>192685.68</v>
      </c>
      <c r="Q760" t="s">
        <v>113</v>
      </c>
      <c r="R760" s="1" t="s">
        <v>158</v>
      </c>
    </row>
    <row r="761" spans="3:18" x14ac:dyDescent="0.35">
      <c r="C761" t="s">
        <v>53</v>
      </c>
      <c r="D761" t="s">
        <v>24</v>
      </c>
      <c r="E761" t="s">
        <v>55</v>
      </c>
      <c r="F761" t="s">
        <v>46</v>
      </c>
      <c r="G761" s="58">
        <v>224660</v>
      </c>
      <c r="H761" s="1" t="s">
        <v>48</v>
      </c>
      <c r="I761" s="1" t="s">
        <v>119</v>
      </c>
      <c r="J761" s="58">
        <v>2246600</v>
      </c>
      <c r="K761" s="1" t="s">
        <v>112</v>
      </c>
      <c r="N761" s="1">
        <v>1</v>
      </c>
      <c r="O761" s="58"/>
      <c r="P761" s="58">
        <v>179728</v>
      </c>
      <c r="Q761" t="s">
        <v>127</v>
      </c>
      <c r="R761" s="1" t="s">
        <v>158</v>
      </c>
    </row>
    <row r="762" spans="3:18" x14ac:dyDescent="0.35">
      <c r="C762" t="s">
        <v>51</v>
      </c>
      <c r="D762" t="s">
        <v>23</v>
      </c>
      <c r="E762" t="s">
        <v>55</v>
      </c>
      <c r="F762" t="s">
        <v>46</v>
      </c>
      <c r="G762" s="58">
        <v>198077</v>
      </c>
      <c r="H762" s="1" t="s">
        <v>59</v>
      </c>
      <c r="I762" s="1" t="s">
        <v>108</v>
      </c>
      <c r="J762" s="58">
        <v>4753848</v>
      </c>
      <c r="K762" s="1" t="s">
        <v>106</v>
      </c>
      <c r="L762" s="1" t="s">
        <v>120</v>
      </c>
      <c r="N762" s="1">
        <v>1</v>
      </c>
      <c r="O762" s="58"/>
      <c r="P762" s="58">
        <v>57442.33</v>
      </c>
      <c r="Q762" t="s">
        <v>107</v>
      </c>
      <c r="R762" s="1" t="s">
        <v>158</v>
      </c>
    </row>
    <row r="763" spans="3:18" x14ac:dyDescent="0.35">
      <c r="C763" t="s">
        <v>51</v>
      </c>
      <c r="D763" t="s">
        <v>21</v>
      </c>
      <c r="E763" t="s">
        <v>45</v>
      </c>
      <c r="F763" t="s">
        <v>64</v>
      </c>
      <c r="G763" s="58">
        <v>1903853</v>
      </c>
      <c r="H763" s="1" t="s">
        <v>48</v>
      </c>
      <c r="I763" s="1" t="s">
        <v>108</v>
      </c>
      <c r="J763" s="58">
        <v>70442561</v>
      </c>
      <c r="K763" s="1" t="s">
        <v>106</v>
      </c>
      <c r="L763" s="1" t="s">
        <v>120</v>
      </c>
      <c r="M763" s="1" t="s">
        <v>126</v>
      </c>
      <c r="N763" s="1">
        <v>1</v>
      </c>
      <c r="O763" s="58"/>
      <c r="P763" s="58">
        <v>1599236.52</v>
      </c>
      <c r="Q763" t="s">
        <v>127</v>
      </c>
      <c r="R763" s="1" t="s">
        <v>48</v>
      </c>
    </row>
    <row r="764" spans="3:18" x14ac:dyDescent="0.35">
      <c r="C764" t="s">
        <v>51</v>
      </c>
      <c r="D764" t="s">
        <v>23</v>
      </c>
      <c r="E764" t="s">
        <v>49</v>
      </c>
      <c r="F764" t="s">
        <v>46</v>
      </c>
      <c r="G764" s="58">
        <v>417842</v>
      </c>
      <c r="H764" s="1" t="s">
        <v>54</v>
      </c>
      <c r="I764" s="1" t="s">
        <v>108</v>
      </c>
      <c r="J764" s="58">
        <v>12535260</v>
      </c>
      <c r="K764" s="1" t="s">
        <v>112</v>
      </c>
      <c r="N764" s="1">
        <v>1</v>
      </c>
      <c r="O764" s="58"/>
      <c r="P764" s="58">
        <v>162958.38</v>
      </c>
      <c r="Q764" t="s">
        <v>107</v>
      </c>
      <c r="R764" s="1" t="s">
        <v>158</v>
      </c>
    </row>
    <row r="765" spans="3:18" x14ac:dyDescent="0.35">
      <c r="C765" t="s">
        <v>53</v>
      </c>
      <c r="D765" t="s">
        <v>21</v>
      </c>
      <c r="E765" t="s">
        <v>55</v>
      </c>
      <c r="F765" t="s">
        <v>46</v>
      </c>
      <c r="G765" s="58">
        <v>118607</v>
      </c>
      <c r="H765" s="1" t="s">
        <v>47</v>
      </c>
      <c r="I765" s="1" t="s">
        <v>105</v>
      </c>
      <c r="J765" s="58">
        <v>118607</v>
      </c>
      <c r="K765" s="1" t="s">
        <v>106</v>
      </c>
      <c r="L765" s="1" t="s">
        <v>114</v>
      </c>
      <c r="N765" s="1">
        <v>1</v>
      </c>
      <c r="O765" s="58"/>
      <c r="P765" s="58">
        <v>8302.49</v>
      </c>
      <c r="Q765" t="s">
        <v>107</v>
      </c>
      <c r="R765" s="1" t="s">
        <v>158</v>
      </c>
    </row>
    <row r="766" spans="3:18" x14ac:dyDescent="0.35">
      <c r="C766" t="s">
        <v>51</v>
      </c>
      <c r="D766" t="s">
        <v>22</v>
      </c>
      <c r="E766" t="s">
        <v>45</v>
      </c>
      <c r="F766" t="s">
        <v>46</v>
      </c>
      <c r="G766" s="58">
        <v>127184</v>
      </c>
      <c r="H766" s="1" t="s">
        <v>47</v>
      </c>
      <c r="I766" s="1" t="s">
        <v>128</v>
      </c>
      <c r="J766" s="58"/>
      <c r="K766" s="1" t="s">
        <v>106</v>
      </c>
      <c r="L766" s="1" t="s">
        <v>120</v>
      </c>
      <c r="N766" s="1">
        <v>0</v>
      </c>
      <c r="O766" s="58"/>
      <c r="P766" s="58">
        <v>68679.360000000001</v>
      </c>
      <c r="Q766" t="s">
        <v>113</v>
      </c>
      <c r="R766" s="1" t="s">
        <v>158</v>
      </c>
    </row>
    <row r="767" spans="3:18" x14ac:dyDescent="0.35">
      <c r="C767" t="s">
        <v>51</v>
      </c>
      <c r="D767" t="s">
        <v>25</v>
      </c>
      <c r="E767" t="s">
        <v>50</v>
      </c>
      <c r="F767" t="s">
        <v>46</v>
      </c>
      <c r="G767" s="58">
        <v>35076</v>
      </c>
      <c r="H767" s="1" t="s">
        <v>54</v>
      </c>
      <c r="I767" s="1" t="s">
        <v>108</v>
      </c>
      <c r="J767" s="58">
        <v>1192584</v>
      </c>
      <c r="K767" s="1" t="s">
        <v>112</v>
      </c>
      <c r="N767" s="1">
        <v>1</v>
      </c>
      <c r="O767" s="58"/>
      <c r="P767" s="58">
        <v>2455.3200000000002</v>
      </c>
      <c r="Q767" t="s">
        <v>107</v>
      </c>
      <c r="R767" s="1" t="s">
        <v>158</v>
      </c>
    </row>
    <row r="768" spans="3:18" x14ac:dyDescent="0.35">
      <c r="C768" t="s">
        <v>51</v>
      </c>
      <c r="D768" t="s">
        <v>91</v>
      </c>
      <c r="E768" t="s">
        <v>45</v>
      </c>
      <c r="F768" t="s">
        <v>46</v>
      </c>
      <c r="G768" s="58">
        <v>197509</v>
      </c>
      <c r="H768" s="1" t="s">
        <v>48</v>
      </c>
      <c r="I768" s="1" t="s">
        <v>108</v>
      </c>
      <c r="J768" s="58">
        <v>5135234</v>
      </c>
      <c r="K768" s="1" t="s">
        <v>106</v>
      </c>
      <c r="L768" s="1" t="s">
        <v>124</v>
      </c>
      <c r="M768" s="1" t="s">
        <v>122</v>
      </c>
      <c r="N768" s="1">
        <v>1</v>
      </c>
      <c r="O768" s="58"/>
      <c r="P768" s="58">
        <v>94804.32</v>
      </c>
      <c r="Q768" t="s">
        <v>113</v>
      </c>
      <c r="R768" s="1" t="s">
        <v>158</v>
      </c>
    </row>
    <row r="769" spans="3:18" x14ac:dyDescent="0.35">
      <c r="C769" t="s">
        <v>51</v>
      </c>
      <c r="D769" t="s">
        <v>22</v>
      </c>
      <c r="E769" t="s">
        <v>49</v>
      </c>
      <c r="F769" t="s">
        <v>46</v>
      </c>
      <c r="G769" s="58">
        <v>239106</v>
      </c>
      <c r="H769" s="1" t="s">
        <v>48</v>
      </c>
      <c r="I769" s="1" t="s">
        <v>105</v>
      </c>
      <c r="J769" s="58">
        <v>717318</v>
      </c>
      <c r="K769" s="1" t="s">
        <v>106</v>
      </c>
      <c r="L769" s="1" t="s">
        <v>124</v>
      </c>
      <c r="M769" s="1" t="s">
        <v>115</v>
      </c>
      <c r="N769" s="1">
        <v>1</v>
      </c>
      <c r="O769" s="58"/>
      <c r="P769" s="58">
        <v>105206.64</v>
      </c>
      <c r="Q769" t="s">
        <v>113</v>
      </c>
      <c r="R769" s="1" t="s">
        <v>158</v>
      </c>
    </row>
    <row r="770" spans="3:18" x14ac:dyDescent="0.35">
      <c r="C770" t="s">
        <v>51</v>
      </c>
      <c r="D770" t="s">
        <v>19</v>
      </c>
      <c r="E770" t="s">
        <v>49</v>
      </c>
      <c r="F770" t="s">
        <v>46</v>
      </c>
      <c r="G770" s="58">
        <v>159732</v>
      </c>
      <c r="H770" s="1" t="s">
        <v>58</v>
      </c>
      <c r="I770" s="1" t="s">
        <v>111</v>
      </c>
      <c r="J770" s="58">
        <v>2395980</v>
      </c>
      <c r="K770" s="1" t="s">
        <v>106</v>
      </c>
      <c r="L770" s="1" t="s">
        <v>124</v>
      </c>
      <c r="N770" s="1">
        <v>1</v>
      </c>
      <c r="O770" s="58"/>
      <c r="P770" s="58">
        <v>57503.519999999997</v>
      </c>
      <c r="Q770" t="s">
        <v>107</v>
      </c>
      <c r="R770" s="1" t="s">
        <v>158</v>
      </c>
    </row>
    <row r="771" spans="3:18" x14ac:dyDescent="0.35">
      <c r="C771" t="s">
        <v>53</v>
      </c>
      <c r="D771" t="s">
        <v>23</v>
      </c>
      <c r="E771" t="s">
        <v>55</v>
      </c>
      <c r="F771" t="s">
        <v>46</v>
      </c>
      <c r="G771" s="58">
        <v>14078</v>
      </c>
      <c r="H771" s="1" t="s">
        <v>48</v>
      </c>
      <c r="I771" s="1" t="s">
        <v>105</v>
      </c>
      <c r="J771" s="58">
        <v>0</v>
      </c>
      <c r="K771" s="1" t="s">
        <v>106</v>
      </c>
      <c r="L771" s="1" t="s">
        <v>120</v>
      </c>
      <c r="M771" s="1" t="s">
        <v>126</v>
      </c>
      <c r="N771" s="1">
        <v>1</v>
      </c>
      <c r="O771" s="58"/>
      <c r="P771" s="58">
        <v>563.12</v>
      </c>
      <c r="Q771" t="s">
        <v>107</v>
      </c>
      <c r="R771" s="1" t="s">
        <v>158</v>
      </c>
    </row>
    <row r="772" spans="3:18" x14ac:dyDescent="0.35">
      <c r="C772" t="s">
        <v>51</v>
      </c>
      <c r="D772" t="s">
        <v>19</v>
      </c>
      <c r="E772" t="s">
        <v>49</v>
      </c>
      <c r="F772" t="s">
        <v>46</v>
      </c>
      <c r="G772" s="58">
        <v>1403810</v>
      </c>
      <c r="H772" s="1" t="s">
        <v>54</v>
      </c>
      <c r="I772" s="1" t="s">
        <v>108</v>
      </c>
      <c r="J772" s="58">
        <v>43518110</v>
      </c>
      <c r="K772" s="1" t="s">
        <v>106</v>
      </c>
      <c r="L772" s="1" t="s">
        <v>124</v>
      </c>
      <c r="N772" s="1">
        <v>1</v>
      </c>
      <c r="O772" s="58"/>
      <c r="P772" s="58">
        <v>1516114.8</v>
      </c>
      <c r="Q772" t="s">
        <v>110</v>
      </c>
      <c r="R772" s="1" t="s">
        <v>158</v>
      </c>
    </row>
    <row r="773" spans="3:18" x14ac:dyDescent="0.35">
      <c r="C773" t="s">
        <v>51</v>
      </c>
      <c r="D773" t="s">
        <v>23</v>
      </c>
      <c r="E773" t="s">
        <v>55</v>
      </c>
      <c r="F773" t="s">
        <v>46</v>
      </c>
      <c r="G773" s="58">
        <v>6285</v>
      </c>
      <c r="H773" s="1" t="s">
        <v>56</v>
      </c>
      <c r="I773" s="1" t="s">
        <v>105</v>
      </c>
      <c r="J773" s="58"/>
      <c r="K773" s="1" t="s">
        <v>106</v>
      </c>
      <c r="L773" s="1" t="s">
        <v>114</v>
      </c>
      <c r="N773" s="1">
        <v>0</v>
      </c>
      <c r="O773" s="58"/>
      <c r="P773" s="58">
        <v>251.4</v>
      </c>
      <c r="Q773" t="s">
        <v>107</v>
      </c>
      <c r="R773" s="1" t="s">
        <v>158</v>
      </c>
    </row>
    <row r="774" spans="3:18" x14ac:dyDescent="0.35">
      <c r="C774" t="s">
        <v>51</v>
      </c>
      <c r="D774" t="s">
        <v>24</v>
      </c>
      <c r="E774" t="s">
        <v>49</v>
      </c>
      <c r="F774" t="s">
        <v>46</v>
      </c>
      <c r="G774" s="58">
        <v>782015</v>
      </c>
      <c r="H774" s="1" t="s">
        <v>48</v>
      </c>
      <c r="I774" s="1" t="s">
        <v>108</v>
      </c>
      <c r="J774" s="58">
        <v>23460450</v>
      </c>
      <c r="K774" s="1" t="s">
        <v>106</v>
      </c>
      <c r="L774" s="1" t="s">
        <v>114</v>
      </c>
      <c r="M774" s="1" t="s">
        <v>121</v>
      </c>
      <c r="N774" s="1">
        <v>1</v>
      </c>
      <c r="O774" s="58"/>
      <c r="P774" s="58">
        <v>570870.94999999995</v>
      </c>
      <c r="Q774" t="s">
        <v>118</v>
      </c>
      <c r="R774" s="1" t="s">
        <v>158</v>
      </c>
    </row>
    <row r="775" spans="3:18" x14ac:dyDescent="0.35">
      <c r="C775" t="s">
        <v>51</v>
      </c>
      <c r="D775" t="s">
        <v>21</v>
      </c>
      <c r="E775" t="s">
        <v>52</v>
      </c>
      <c r="F775" t="s">
        <v>46</v>
      </c>
      <c r="G775" s="58">
        <v>455469</v>
      </c>
      <c r="H775" s="1" t="s">
        <v>48</v>
      </c>
      <c r="I775" s="1" t="s">
        <v>108</v>
      </c>
      <c r="J775" s="58">
        <v>16396884</v>
      </c>
      <c r="K775" s="1" t="s">
        <v>106</v>
      </c>
      <c r="L775" s="1" t="s">
        <v>130</v>
      </c>
      <c r="M775" s="1" t="s">
        <v>126</v>
      </c>
      <c r="N775" s="1">
        <v>1</v>
      </c>
      <c r="O775" s="58"/>
      <c r="P775" s="58">
        <v>250507.95</v>
      </c>
      <c r="Q775" t="s">
        <v>113</v>
      </c>
      <c r="R775" s="1" t="s">
        <v>48</v>
      </c>
    </row>
    <row r="776" spans="3:18" x14ac:dyDescent="0.35">
      <c r="C776" t="s">
        <v>51</v>
      </c>
      <c r="D776" t="s">
        <v>23</v>
      </c>
      <c r="E776" t="s">
        <v>62</v>
      </c>
      <c r="F776" t="s">
        <v>46</v>
      </c>
      <c r="G776" s="58">
        <v>1442799</v>
      </c>
      <c r="H776" s="1" t="s">
        <v>48</v>
      </c>
      <c r="I776" s="1" t="s">
        <v>111</v>
      </c>
      <c r="J776" s="58">
        <v>20199186</v>
      </c>
      <c r="K776" s="1" t="s">
        <v>106</v>
      </c>
      <c r="L776" s="1" t="s">
        <v>131</v>
      </c>
      <c r="M776" s="1" t="s">
        <v>125</v>
      </c>
      <c r="N776" s="1">
        <v>1</v>
      </c>
      <c r="O776" s="58"/>
      <c r="P776" s="58">
        <v>389555.73</v>
      </c>
      <c r="Q776" t="s">
        <v>107</v>
      </c>
      <c r="R776" s="1" t="s">
        <v>48</v>
      </c>
    </row>
    <row r="777" spans="3:18" x14ac:dyDescent="0.35">
      <c r="C777" t="s">
        <v>51</v>
      </c>
      <c r="D777" t="s">
        <v>19</v>
      </c>
      <c r="E777" t="s">
        <v>49</v>
      </c>
      <c r="F777" t="s">
        <v>46</v>
      </c>
      <c r="G777" s="58">
        <v>299072</v>
      </c>
      <c r="H777" s="1" t="s">
        <v>47</v>
      </c>
      <c r="I777" s="1" t="s">
        <v>111</v>
      </c>
      <c r="J777" s="58">
        <v>5084224</v>
      </c>
      <c r="K777" s="1" t="s">
        <v>106</v>
      </c>
      <c r="L777" s="1" t="s">
        <v>124</v>
      </c>
      <c r="N777" s="1">
        <v>1</v>
      </c>
      <c r="O777" s="58"/>
      <c r="P777" s="58">
        <v>358886.40000000002</v>
      </c>
      <c r="Q777" t="s">
        <v>110</v>
      </c>
      <c r="R777" s="1" t="s">
        <v>158</v>
      </c>
    </row>
    <row r="778" spans="3:18" x14ac:dyDescent="0.35">
      <c r="C778" t="s">
        <v>51</v>
      </c>
      <c r="D778" t="s">
        <v>91</v>
      </c>
      <c r="E778" t="s">
        <v>49</v>
      </c>
      <c r="F778" t="s">
        <v>46</v>
      </c>
      <c r="G778" s="58">
        <v>720897</v>
      </c>
      <c r="H778" s="1" t="s">
        <v>47</v>
      </c>
      <c r="I778" s="1" t="s">
        <v>111</v>
      </c>
      <c r="J778" s="58">
        <v>10813455</v>
      </c>
      <c r="K778" s="1" t="s">
        <v>106</v>
      </c>
      <c r="L778" s="1" t="s">
        <v>114</v>
      </c>
      <c r="N778" s="1">
        <v>1</v>
      </c>
      <c r="O778" s="58"/>
      <c r="P778" s="58">
        <v>382075.41</v>
      </c>
      <c r="Q778" t="s">
        <v>113</v>
      </c>
      <c r="R778" s="1" t="s">
        <v>158</v>
      </c>
    </row>
    <row r="779" spans="3:18" x14ac:dyDescent="0.35">
      <c r="C779" t="s">
        <v>53</v>
      </c>
      <c r="D779" t="s">
        <v>22</v>
      </c>
      <c r="E779" t="s">
        <v>45</v>
      </c>
      <c r="F779" t="s">
        <v>46</v>
      </c>
      <c r="G779" s="58">
        <v>505934</v>
      </c>
      <c r="H779" s="1" t="s">
        <v>56</v>
      </c>
      <c r="I779" s="1" t="s">
        <v>111</v>
      </c>
      <c r="J779" s="58">
        <v>7589010</v>
      </c>
      <c r="K779" s="1" t="s">
        <v>106</v>
      </c>
      <c r="L779" s="1" t="s">
        <v>120</v>
      </c>
      <c r="N779" s="1">
        <v>1</v>
      </c>
      <c r="O779" s="58"/>
      <c r="P779" s="58">
        <v>268145.02</v>
      </c>
      <c r="Q779" t="s">
        <v>113</v>
      </c>
      <c r="R779" s="1" t="s">
        <v>158</v>
      </c>
    </row>
    <row r="780" spans="3:18" x14ac:dyDescent="0.35">
      <c r="C780" t="s">
        <v>51</v>
      </c>
      <c r="D780" t="s">
        <v>91</v>
      </c>
      <c r="E780" t="s">
        <v>49</v>
      </c>
      <c r="F780" t="s">
        <v>46</v>
      </c>
      <c r="G780" s="58">
        <v>76566553</v>
      </c>
      <c r="H780" s="1" t="s">
        <v>48</v>
      </c>
      <c r="I780" s="1" t="s">
        <v>108</v>
      </c>
      <c r="J780" s="58">
        <v>2220430037</v>
      </c>
      <c r="K780" s="1" t="s">
        <v>106</v>
      </c>
      <c r="L780" s="1" t="s">
        <v>124</v>
      </c>
      <c r="M780" s="1" t="s">
        <v>122</v>
      </c>
      <c r="N780" s="1">
        <v>1</v>
      </c>
      <c r="O780" s="58"/>
      <c r="P780" s="58">
        <v>22204300.370000001</v>
      </c>
      <c r="Q780" t="s">
        <v>107</v>
      </c>
      <c r="R780" s="1" t="s">
        <v>158</v>
      </c>
    </row>
    <row r="781" spans="3:18" x14ac:dyDescent="0.35">
      <c r="C781" t="s">
        <v>53</v>
      </c>
      <c r="D781" t="s">
        <v>21</v>
      </c>
      <c r="E781" t="s">
        <v>49</v>
      </c>
      <c r="F781" t="s">
        <v>46</v>
      </c>
      <c r="G781" s="58">
        <v>12771649</v>
      </c>
      <c r="H781" s="1" t="s">
        <v>56</v>
      </c>
      <c r="I781" s="1" t="s">
        <v>119</v>
      </c>
      <c r="J781" s="58">
        <v>114944841</v>
      </c>
      <c r="K781" s="1" t="s">
        <v>106</v>
      </c>
      <c r="L781" s="1" t="s">
        <v>124</v>
      </c>
      <c r="N781" s="1">
        <v>1</v>
      </c>
      <c r="O781" s="58"/>
      <c r="P781" s="58">
        <v>3065195.76</v>
      </c>
      <c r="Q781" t="s">
        <v>107</v>
      </c>
      <c r="R781" s="1" t="s">
        <v>158</v>
      </c>
    </row>
    <row r="782" spans="3:18" x14ac:dyDescent="0.35">
      <c r="C782" t="s">
        <v>44</v>
      </c>
      <c r="D782" t="s">
        <v>21</v>
      </c>
      <c r="E782" t="s">
        <v>45</v>
      </c>
      <c r="F782" t="s">
        <v>46</v>
      </c>
      <c r="G782" s="58">
        <v>323414</v>
      </c>
      <c r="H782" s="1" t="s">
        <v>48</v>
      </c>
      <c r="I782" s="1" t="s">
        <v>108</v>
      </c>
      <c r="J782" s="58"/>
      <c r="N782" s="1">
        <v>0</v>
      </c>
      <c r="O782" s="58"/>
      <c r="P782" s="58"/>
      <c r="R782" s="1" t="s">
        <v>158</v>
      </c>
    </row>
    <row r="783" spans="3:18" x14ac:dyDescent="0.35">
      <c r="C783" t="s">
        <v>53</v>
      </c>
      <c r="D783" t="s">
        <v>23</v>
      </c>
      <c r="E783" t="s">
        <v>49</v>
      </c>
      <c r="F783" t="s">
        <v>46</v>
      </c>
      <c r="G783" s="58">
        <v>68882</v>
      </c>
      <c r="H783" s="1" t="s">
        <v>47</v>
      </c>
      <c r="I783" s="1" t="s">
        <v>105</v>
      </c>
      <c r="J783" s="58">
        <v>206646</v>
      </c>
      <c r="K783" s="1" t="s">
        <v>106</v>
      </c>
      <c r="L783" s="1" t="s">
        <v>124</v>
      </c>
      <c r="N783" s="1">
        <v>1</v>
      </c>
      <c r="O783" s="58"/>
      <c r="P783" s="58">
        <v>5510.56</v>
      </c>
      <c r="Q783" t="s">
        <v>107</v>
      </c>
      <c r="R783" s="1" t="s">
        <v>158</v>
      </c>
    </row>
    <row r="784" spans="3:18" x14ac:dyDescent="0.35">
      <c r="C784" t="s">
        <v>51</v>
      </c>
      <c r="D784" t="s">
        <v>25</v>
      </c>
      <c r="E784" t="s">
        <v>45</v>
      </c>
      <c r="F784" t="s">
        <v>46</v>
      </c>
      <c r="G784" s="58">
        <v>134788</v>
      </c>
      <c r="H784" s="1" t="s">
        <v>48</v>
      </c>
      <c r="I784" s="1" t="s">
        <v>108</v>
      </c>
      <c r="J784" s="58">
        <v>4178428</v>
      </c>
      <c r="K784" s="1" t="s">
        <v>106</v>
      </c>
      <c r="L784" s="1" t="s">
        <v>120</v>
      </c>
      <c r="M784" s="1" t="s">
        <v>117</v>
      </c>
      <c r="N784" s="1">
        <v>1</v>
      </c>
      <c r="O784" s="58"/>
      <c r="P784" s="58">
        <v>67394</v>
      </c>
      <c r="Q784" t="s">
        <v>113</v>
      </c>
      <c r="R784" s="1" t="s">
        <v>158</v>
      </c>
    </row>
    <row r="785" spans="3:18" x14ac:dyDescent="0.35">
      <c r="C785" t="s">
        <v>51</v>
      </c>
      <c r="D785" t="s">
        <v>23</v>
      </c>
      <c r="E785" t="s">
        <v>45</v>
      </c>
      <c r="F785" t="s">
        <v>46</v>
      </c>
      <c r="G785" s="58">
        <v>598266</v>
      </c>
      <c r="H785" s="1" t="s">
        <v>48</v>
      </c>
      <c r="I785" s="1" t="s">
        <v>111</v>
      </c>
      <c r="J785" s="58">
        <v>11367054</v>
      </c>
      <c r="K785" s="1" t="s">
        <v>112</v>
      </c>
      <c r="N785" s="1">
        <v>1</v>
      </c>
      <c r="O785" s="58"/>
      <c r="P785" s="58">
        <v>179479.8</v>
      </c>
      <c r="Q785" t="s">
        <v>107</v>
      </c>
      <c r="R785" s="1" t="s">
        <v>48</v>
      </c>
    </row>
    <row r="786" spans="3:18" x14ac:dyDescent="0.35">
      <c r="C786" t="s">
        <v>51</v>
      </c>
      <c r="D786" t="s">
        <v>21</v>
      </c>
      <c r="E786" t="s">
        <v>49</v>
      </c>
      <c r="F786" t="s">
        <v>46</v>
      </c>
      <c r="G786" s="58">
        <v>21936</v>
      </c>
      <c r="H786" s="1" t="s">
        <v>48</v>
      </c>
      <c r="I786" s="1" t="s">
        <v>105</v>
      </c>
      <c r="J786" s="58">
        <v>87744</v>
      </c>
      <c r="K786" s="1" t="s">
        <v>106</v>
      </c>
      <c r="L786" s="1" t="s">
        <v>120</v>
      </c>
      <c r="M786" s="1" t="s">
        <v>125</v>
      </c>
      <c r="N786" s="1">
        <v>1</v>
      </c>
      <c r="O786" s="58"/>
      <c r="P786" s="58">
        <v>3290.4</v>
      </c>
      <c r="Q786" t="s">
        <v>107</v>
      </c>
      <c r="R786" s="1" t="s">
        <v>48</v>
      </c>
    </row>
    <row r="787" spans="3:18" x14ac:dyDescent="0.35">
      <c r="C787" t="s">
        <v>51</v>
      </c>
      <c r="D787" t="s">
        <v>24</v>
      </c>
      <c r="E787" t="s">
        <v>52</v>
      </c>
      <c r="F787" t="s">
        <v>46</v>
      </c>
      <c r="G787" s="58">
        <v>387790</v>
      </c>
      <c r="H787" s="1" t="s">
        <v>48</v>
      </c>
      <c r="I787" s="1" t="s">
        <v>111</v>
      </c>
      <c r="J787" s="58">
        <v>6980220</v>
      </c>
      <c r="K787" s="1" t="s">
        <v>112</v>
      </c>
      <c r="N787" s="1">
        <v>1</v>
      </c>
      <c r="O787" s="58"/>
      <c r="P787" s="58">
        <v>147360.20000000001</v>
      </c>
      <c r="Q787" t="s">
        <v>107</v>
      </c>
      <c r="R787" s="1" t="s">
        <v>48</v>
      </c>
    </row>
    <row r="788" spans="3:18" x14ac:dyDescent="0.35">
      <c r="C788" t="s">
        <v>51</v>
      </c>
      <c r="D788" t="s">
        <v>19</v>
      </c>
      <c r="E788" t="s">
        <v>45</v>
      </c>
      <c r="F788" t="s">
        <v>46</v>
      </c>
      <c r="G788" s="58">
        <v>108216</v>
      </c>
      <c r="H788" s="1" t="s">
        <v>48</v>
      </c>
      <c r="I788" s="1" t="s">
        <v>119</v>
      </c>
      <c r="J788" s="58">
        <v>757512</v>
      </c>
      <c r="K788" s="1" t="s">
        <v>106</v>
      </c>
      <c r="L788" s="1" t="s">
        <v>120</v>
      </c>
      <c r="M788" s="1" t="s">
        <v>122</v>
      </c>
      <c r="N788" s="1">
        <v>1</v>
      </c>
      <c r="O788" s="58"/>
      <c r="P788" s="58">
        <v>77915.520000000004</v>
      </c>
      <c r="Q788" t="s">
        <v>118</v>
      </c>
      <c r="R788" s="1" t="s">
        <v>158</v>
      </c>
    </row>
    <row r="789" spans="3:18" x14ac:dyDescent="0.35">
      <c r="C789" t="s">
        <v>51</v>
      </c>
      <c r="D789" t="s">
        <v>20</v>
      </c>
      <c r="E789" t="s">
        <v>49</v>
      </c>
      <c r="F789" t="s">
        <v>46</v>
      </c>
      <c r="G789" s="58">
        <v>45492332</v>
      </c>
      <c r="H789" s="1" t="s">
        <v>48</v>
      </c>
      <c r="I789" s="1" t="s">
        <v>108</v>
      </c>
      <c r="J789" s="58">
        <v>1637723952</v>
      </c>
      <c r="K789" s="1" t="s">
        <v>112</v>
      </c>
      <c r="N789" s="1">
        <v>1</v>
      </c>
      <c r="O789" s="58"/>
      <c r="P789" s="58">
        <v>40033252.159999996</v>
      </c>
      <c r="Q789" t="s">
        <v>127</v>
      </c>
      <c r="R789" s="1" t="s">
        <v>48</v>
      </c>
    </row>
    <row r="790" spans="3:18" x14ac:dyDescent="0.35">
      <c r="C790" t="s">
        <v>51</v>
      </c>
      <c r="D790" t="s">
        <v>91</v>
      </c>
      <c r="E790" t="s">
        <v>49</v>
      </c>
      <c r="F790" t="s">
        <v>46</v>
      </c>
      <c r="G790" s="58">
        <v>7298497</v>
      </c>
      <c r="H790" s="1" t="s">
        <v>56</v>
      </c>
      <c r="I790" s="1" t="s">
        <v>108</v>
      </c>
      <c r="J790" s="58">
        <v>218954910</v>
      </c>
      <c r="K790" s="1" t="s">
        <v>106</v>
      </c>
      <c r="L790" s="1" t="s">
        <v>124</v>
      </c>
      <c r="N790" s="1">
        <v>1</v>
      </c>
      <c r="O790" s="58"/>
      <c r="P790" s="58">
        <v>4962977.96</v>
      </c>
      <c r="Q790" t="s">
        <v>118</v>
      </c>
      <c r="R790" s="1" t="s">
        <v>158</v>
      </c>
    </row>
    <row r="791" spans="3:18" x14ac:dyDescent="0.35">
      <c r="C791" t="s">
        <v>51</v>
      </c>
      <c r="D791" t="s">
        <v>92</v>
      </c>
      <c r="E791" t="s">
        <v>45</v>
      </c>
      <c r="F791" t="s">
        <v>46</v>
      </c>
      <c r="G791" s="58">
        <v>81831</v>
      </c>
      <c r="H791" s="1" t="s">
        <v>54</v>
      </c>
      <c r="I791" s="1" t="s">
        <v>105</v>
      </c>
      <c r="J791" s="58">
        <v>163662</v>
      </c>
      <c r="K791" s="1" t="s">
        <v>106</v>
      </c>
      <c r="L791" s="1" t="s">
        <v>120</v>
      </c>
      <c r="N791" s="1">
        <v>1</v>
      </c>
      <c r="O791" s="58"/>
      <c r="P791" s="58">
        <v>6546.48</v>
      </c>
      <c r="Q791" t="s">
        <v>107</v>
      </c>
      <c r="R791" s="1" t="s">
        <v>158</v>
      </c>
    </row>
    <row r="792" spans="3:18" x14ac:dyDescent="0.35">
      <c r="C792" t="s">
        <v>51</v>
      </c>
      <c r="D792" t="s">
        <v>21</v>
      </c>
      <c r="E792" t="s">
        <v>49</v>
      </c>
      <c r="F792" t="s">
        <v>46</v>
      </c>
      <c r="G792" s="58">
        <v>90460</v>
      </c>
      <c r="H792" s="1" t="s">
        <v>54</v>
      </c>
      <c r="I792" s="1" t="s">
        <v>105</v>
      </c>
      <c r="J792" s="58"/>
      <c r="K792" s="1" t="s">
        <v>106</v>
      </c>
      <c r="L792" s="1" t="s">
        <v>124</v>
      </c>
      <c r="N792" s="1">
        <v>0</v>
      </c>
      <c r="O792" s="58"/>
      <c r="P792" s="58">
        <v>904.6</v>
      </c>
      <c r="Q792" t="s">
        <v>107</v>
      </c>
      <c r="R792" s="1" t="s">
        <v>158</v>
      </c>
    </row>
    <row r="793" spans="3:18" x14ac:dyDescent="0.35">
      <c r="C793" t="s">
        <v>51</v>
      </c>
      <c r="D793" t="s">
        <v>21</v>
      </c>
      <c r="E793" t="s">
        <v>55</v>
      </c>
      <c r="F793" t="s">
        <v>46</v>
      </c>
      <c r="G793" s="58">
        <v>998232</v>
      </c>
      <c r="H793" s="1" t="s">
        <v>48</v>
      </c>
      <c r="I793" s="1" t="s">
        <v>108</v>
      </c>
      <c r="J793" s="58">
        <v>34938120</v>
      </c>
      <c r="K793" s="1" t="s">
        <v>106</v>
      </c>
      <c r="L793" s="1" t="s">
        <v>120</v>
      </c>
      <c r="M793" s="1" t="s">
        <v>126</v>
      </c>
      <c r="N793" s="1">
        <v>1</v>
      </c>
      <c r="O793" s="58"/>
      <c r="P793" s="58">
        <v>838514.88</v>
      </c>
      <c r="Q793" t="s">
        <v>127</v>
      </c>
      <c r="R793" s="1" t="s">
        <v>48</v>
      </c>
    </row>
    <row r="794" spans="3:18" x14ac:dyDescent="0.35">
      <c r="C794" t="s">
        <v>53</v>
      </c>
      <c r="D794" t="s">
        <v>21</v>
      </c>
      <c r="E794" t="s">
        <v>45</v>
      </c>
      <c r="F794" t="s">
        <v>46</v>
      </c>
      <c r="G794" s="58">
        <v>3511230</v>
      </c>
      <c r="H794" s="1" t="s">
        <v>47</v>
      </c>
      <c r="I794" s="1" t="s">
        <v>105</v>
      </c>
      <c r="J794" s="58">
        <v>14044920</v>
      </c>
      <c r="K794" s="1" t="s">
        <v>106</v>
      </c>
      <c r="L794" s="1" t="s">
        <v>120</v>
      </c>
      <c r="N794" s="1">
        <v>1</v>
      </c>
      <c r="O794" s="58"/>
      <c r="P794" s="58">
        <v>2949433.2</v>
      </c>
      <c r="Q794" t="s">
        <v>127</v>
      </c>
      <c r="R794" s="1" t="s">
        <v>158</v>
      </c>
    </row>
    <row r="795" spans="3:18" x14ac:dyDescent="0.35">
      <c r="C795" t="s">
        <v>51</v>
      </c>
      <c r="D795" t="s">
        <v>20</v>
      </c>
      <c r="E795" t="s">
        <v>45</v>
      </c>
      <c r="F795" t="s">
        <v>46</v>
      </c>
      <c r="G795" s="58">
        <v>3033698</v>
      </c>
      <c r="H795" s="1" t="s">
        <v>48</v>
      </c>
      <c r="I795" s="1" t="s">
        <v>108</v>
      </c>
      <c r="J795" s="58">
        <v>91010940</v>
      </c>
      <c r="K795" s="1" t="s">
        <v>106</v>
      </c>
      <c r="L795" s="1" t="s">
        <v>120</v>
      </c>
      <c r="M795" s="1" t="s">
        <v>123</v>
      </c>
      <c r="N795" s="1">
        <v>1</v>
      </c>
      <c r="O795" s="58"/>
      <c r="P795" s="58">
        <v>1516849</v>
      </c>
      <c r="Q795" t="s">
        <v>113</v>
      </c>
      <c r="R795" s="1" t="s">
        <v>48</v>
      </c>
    </row>
    <row r="796" spans="3:18" x14ac:dyDescent="0.35">
      <c r="C796" t="s">
        <v>51</v>
      </c>
      <c r="D796" t="s">
        <v>23</v>
      </c>
      <c r="E796" t="s">
        <v>45</v>
      </c>
      <c r="F796" t="s">
        <v>46</v>
      </c>
      <c r="G796" s="58">
        <v>4764</v>
      </c>
      <c r="H796" s="1" t="s">
        <v>48</v>
      </c>
      <c r="I796" s="1" t="s">
        <v>105</v>
      </c>
      <c r="J796" s="58">
        <v>14292</v>
      </c>
      <c r="K796" s="1" t="s">
        <v>106</v>
      </c>
      <c r="L796" s="1" t="s">
        <v>120</v>
      </c>
      <c r="M796" s="1" t="s">
        <v>125</v>
      </c>
      <c r="N796" s="1">
        <v>1</v>
      </c>
      <c r="O796" s="58"/>
      <c r="P796" s="58">
        <v>4239.96</v>
      </c>
      <c r="Q796" t="s">
        <v>127</v>
      </c>
      <c r="R796" s="1" t="s">
        <v>158</v>
      </c>
    </row>
    <row r="797" spans="3:18" x14ac:dyDescent="0.35">
      <c r="C797" t="s">
        <v>51</v>
      </c>
      <c r="D797" t="s">
        <v>24</v>
      </c>
      <c r="E797" t="s">
        <v>45</v>
      </c>
      <c r="F797" t="s">
        <v>46</v>
      </c>
      <c r="G797" s="58">
        <v>4538604</v>
      </c>
      <c r="H797" s="1" t="s">
        <v>59</v>
      </c>
      <c r="I797" s="1" t="s">
        <v>111</v>
      </c>
      <c r="J797" s="58">
        <v>72617664</v>
      </c>
      <c r="K797" s="1" t="s">
        <v>106</v>
      </c>
      <c r="L797" s="1" t="s">
        <v>120</v>
      </c>
      <c r="N797" s="1">
        <v>1</v>
      </c>
      <c r="O797" s="58"/>
      <c r="P797" s="58">
        <v>2269302</v>
      </c>
      <c r="Q797" t="s">
        <v>113</v>
      </c>
      <c r="R797" s="1" t="s">
        <v>158</v>
      </c>
    </row>
    <row r="798" spans="3:18" x14ac:dyDescent="0.35">
      <c r="C798" t="s">
        <v>51</v>
      </c>
      <c r="D798" t="s">
        <v>24</v>
      </c>
      <c r="E798" t="s">
        <v>50</v>
      </c>
      <c r="F798" t="s">
        <v>46</v>
      </c>
      <c r="G798" s="58">
        <v>1010426</v>
      </c>
      <c r="H798" s="1" t="s">
        <v>48</v>
      </c>
      <c r="I798" s="1" t="s">
        <v>108</v>
      </c>
      <c r="J798" s="58">
        <v>32333632</v>
      </c>
      <c r="K798" s="1" t="s">
        <v>106</v>
      </c>
      <c r="L798" s="1" t="s">
        <v>109</v>
      </c>
      <c r="M798" s="1" t="s">
        <v>121</v>
      </c>
      <c r="N798" s="1">
        <v>1</v>
      </c>
      <c r="O798" s="58"/>
      <c r="P798" s="58">
        <v>1242823.98</v>
      </c>
      <c r="Q798" t="s">
        <v>110</v>
      </c>
      <c r="R798" s="1" t="s">
        <v>158</v>
      </c>
    </row>
    <row r="799" spans="3:18" x14ac:dyDescent="0.35">
      <c r="C799" t="s">
        <v>51</v>
      </c>
      <c r="D799" t="s">
        <v>21</v>
      </c>
      <c r="E799" t="s">
        <v>45</v>
      </c>
      <c r="F799" t="s">
        <v>46</v>
      </c>
      <c r="G799" s="58">
        <v>992191</v>
      </c>
      <c r="H799" s="1" t="s">
        <v>48</v>
      </c>
      <c r="I799" s="1" t="s">
        <v>108</v>
      </c>
      <c r="J799" s="58">
        <v>33734494</v>
      </c>
      <c r="K799" s="1" t="s">
        <v>106</v>
      </c>
      <c r="L799" s="1" t="s">
        <v>124</v>
      </c>
      <c r="M799" s="1" t="s">
        <v>121</v>
      </c>
      <c r="N799" s="1">
        <v>1</v>
      </c>
      <c r="O799" s="58"/>
      <c r="P799" s="58">
        <v>813596.62</v>
      </c>
      <c r="Q799" t="s">
        <v>127</v>
      </c>
      <c r="R799" s="1" t="s">
        <v>48</v>
      </c>
    </row>
    <row r="800" spans="3:18" x14ac:dyDescent="0.35">
      <c r="C800" t="s">
        <v>51</v>
      </c>
      <c r="D800" t="s">
        <v>23</v>
      </c>
      <c r="E800" t="s">
        <v>50</v>
      </c>
      <c r="F800" t="s">
        <v>46</v>
      </c>
      <c r="G800" s="58">
        <v>345885</v>
      </c>
      <c r="H800" s="1" t="s">
        <v>48</v>
      </c>
      <c r="I800" s="1" t="s">
        <v>119</v>
      </c>
      <c r="J800" s="58">
        <v>2767080</v>
      </c>
      <c r="K800" s="1" t="s">
        <v>106</v>
      </c>
      <c r="L800" s="1" t="s">
        <v>109</v>
      </c>
      <c r="M800" s="1" t="s">
        <v>125</v>
      </c>
      <c r="N800" s="1">
        <v>1</v>
      </c>
      <c r="O800" s="58"/>
      <c r="P800" s="58">
        <v>162565.95000000001</v>
      </c>
      <c r="Q800" t="s">
        <v>113</v>
      </c>
      <c r="R800" s="1" t="s">
        <v>48</v>
      </c>
    </row>
    <row r="801" spans="3:18" x14ac:dyDescent="0.35">
      <c r="C801" t="s">
        <v>44</v>
      </c>
      <c r="D801" t="s">
        <v>20</v>
      </c>
      <c r="E801" t="s">
        <v>49</v>
      </c>
      <c r="F801" t="s">
        <v>46</v>
      </c>
      <c r="G801" s="58">
        <v>720949</v>
      </c>
      <c r="H801" s="1" t="s">
        <v>47</v>
      </c>
      <c r="I801" s="1" t="s">
        <v>108</v>
      </c>
      <c r="J801" s="58"/>
      <c r="N801" s="1">
        <v>0</v>
      </c>
      <c r="O801" s="58"/>
      <c r="P801" s="58"/>
      <c r="R801" s="1" t="s">
        <v>158</v>
      </c>
    </row>
    <row r="802" spans="3:18" x14ac:dyDescent="0.35">
      <c r="C802" t="s">
        <v>51</v>
      </c>
      <c r="D802" t="s">
        <v>23</v>
      </c>
      <c r="E802" t="s">
        <v>55</v>
      </c>
      <c r="F802" t="s">
        <v>46</v>
      </c>
      <c r="G802" s="58">
        <v>3426625</v>
      </c>
      <c r="H802" s="1" t="s">
        <v>47</v>
      </c>
      <c r="I802" s="1" t="s">
        <v>108</v>
      </c>
      <c r="J802" s="58">
        <v>92518875</v>
      </c>
      <c r="K802" s="1" t="s">
        <v>106</v>
      </c>
      <c r="L802" s="1" t="s">
        <v>120</v>
      </c>
      <c r="N802" s="1">
        <v>1</v>
      </c>
      <c r="O802" s="58"/>
      <c r="P802" s="58">
        <v>890922.5</v>
      </c>
      <c r="Q802" t="s">
        <v>107</v>
      </c>
      <c r="R802" s="1" t="s">
        <v>158</v>
      </c>
    </row>
    <row r="803" spans="3:18" x14ac:dyDescent="0.35">
      <c r="C803" t="s">
        <v>53</v>
      </c>
      <c r="D803" t="s">
        <v>91</v>
      </c>
      <c r="E803" t="s">
        <v>45</v>
      </c>
      <c r="F803" t="s">
        <v>46</v>
      </c>
      <c r="G803" s="58">
        <v>24498</v>
      </c>
      <c r="H803" s="1" t="s">
        <v>54</v>
      </c>
      <c r="I803" s="1" t="s">
        <v>128</v>
      </c>
      <c r="J803" s="58"/>
      <c r="K803" s="1" t="s">
        <v>106</v>
      </c>
      <c r="L803" s="1" t="s">
        <v>120</v>
      </c>
      <c r="N803" s="1">
        <v>0</v>
      </c>
      <c r="O803" s="58"/>
      <c r="P803" s="58">
        <v>3184.74</v>
      </c>
      <c r="Q803" t="s">
        <v>107</v>
      </c>
      <c r="R803" s="1" t="s">
        <v>158</v>
      </c>
    </row>
    <row r="804" spans="3:18" x14ac:dyDescent="0.35">
      <c r="C804" t="s">
        <v>53</v>
      </c>
      <c r="D804" t="s">
        <v>91</v>
      </c>
      <c r="E804" t="s">
        <v>49</v>
      </c>
      <c r="F804" t="s">
        <v>46</v>
      </c>
      <c r="G804" s="58">
        <v>3241</v>
      </c>
      <c r="H804" s="1" t="s">
        <v>47</v>
      </c>
      <c r="I804" s="1" t="s">
        <v>111</v>
      </c>
      <c r="J804" s="58">
        <v>58338</v>
      </c>
      <c r="K804" s="1" t="s">
        <v>106</v>
      </c>
      <c r="L804" s="1" t="s">
        <v>124</v>
      </c>
      <c r="N804" s="1">
        <v>1</v>
      </c>
      <c r="O804" s="58"/>
      <c r="P804" s="58">
        <v>2074.2399999999998</v>
      </c>
      <c r="Q804" t="s">
        <v>118</v>
      </c>
      <c r="R804" s="1" t="s">
        <v>158</v>
      </c>
    </row>
    <row r="805" spans="3:18" x14ac:dyDescent="0.35">
      <c r="C805" t="s">
        <v>51</v>
      </c>
      <c r="D805" t="s">
        <v>23</v>
      </c>
      <c r="E805" t="s">
        <v>52</v>
      </c>
      <c r="F805" t="s">
        <v>46</v>
      </c>
      <c r="G805" s="58">
        <v>782900</v>
      </c>
      <c r="H805" s="1" t="s">
        <v>48</v>
      </c>
      <c r="I805" s="1" t="s">
        <v>108</v>
      </c>
      <c r="J805" s="58">
        <v>27401500</v>
      </c>
      <c r="K805" s="1" t="s">
        <v>106</v>
      </c>
      <c r="L805" s="1" t="s">
        <v>124</v>
      </c>
      <c r="M805" s="1" t="s">
        <v>125</v>
      </c>
      <c r="N805" s="1">
        <v>1</v>
      </c>
      <c r="O805" s="58"/>
      <c r="P805" s="58">
        <v>681123</v>
      </c>
      <c r="Q805" t="s">
        <v>127</v>
      </c>
      <c r="R805" s="1" t="s">
        <v>48</v>
      </c>
    </row>
    <row r="806" spans="3:18" x14ac:dyDescent="0.35">
      <c r="C806" t="s">
        <v>51</v>
      </c>
      <c r="D806" t="s">
        <v>23</v>
      </c>
      <c r="E806" t="s">
        <v>55</v>
      </c>
      <c r="F806" t="s">
        <v>46</v>
      </c>
      <c r="G806" s="58">
        <v>2749177</v>
      </c>
      <c r="H806" s="1" t="s">
        <v>56</v>
      </c>
      <c r="I806" s="1" t="s">
        <v>108</v>
      </c>
      <c r="J806" s="58">
        <v>71478602</v>
      </c>
      <c r="K806" s="1" t="s">
        <v>106</v>
      </c>
      <c r="L806" s="1" t="s">
        <v>114</v>
      </c>
      <c r="N806" s="1">
        <v>1</v>
      </c>
      <c r="O806" s="58"/>
      <c r="P806" s="58">
        <v>879736.64</v>
      </c>
      <c r="Q806" t="s">
        <v>107</v>
      </c>
      <c r="R806" s="1" t="s">
        <v>158</v>
      </c>
    </row>
    <row r="807" spans="3:18" x14ac:dyDescent="0.35">
      <c r="C807" t="s">
        <v>51</v>
      </c>
      <c r="D807" t="s">
        <v>19</v>
      </c>
      <c r="E807" t="s">
        <v>49</v>
      </c>
      <c r="F807" t="s">
        <v>46</v>
      </c>
      <c r="G807" s="58">
        <v>4390029</v>
      </c>
      <c r="H807" s="1" t="s">
        <v>48</v>
      </c>
      <c r="I807" s="1" t="s">
        <v>111</v>
      </c>
      <c r="J807" s="58">
        <v>79020522</v>
      </c>
      <c r="K807" s="1" t="s">
        <v>106</v>
      </c>
      <c r="L807" s="1" t="s">
        <v>124</v>
      </c>
      <c r="M807" s="1" t="s">
        <v>122</v>
      </c>
      <c r="N807" s="1">
        <v>1</v>
      </c>
      <c r="O807" s="58"/>
      <c r="P807" s="58">
        <v>3687624.36</v>
      </c>
      <c r="Q807" t="s">
        <v>127</v>
      </c>
      <c r="R807" s="1" t="s">
        <v>158</v>
      </c>
    </row>
    <row r="808" spans="3:18" x14ac:dyDescent="0.35">
      <c r="C808" t="s">
        <v>51</v>
      </c>
      <c r="D808" t="s">
        <v>22</v>
      </c>
      <c r="E808" t="s">
        <v>45</v>
      </c>
      <c r="F808" t="s">
        <v>64</v>
      </c>
      <c r="G808" s="58">
        <v>283819</v>
      </c>
      <c r="H808" s="1" t="s">
        <v>48</v>
      </c>
      <c r="I808" s="1" t="s">
        <v>108</v>
      </c>
      <c r="J808" s="58">
        <v>8514570</v>
      </c>
      <c r="K808" s="1" t="s">
        <v>112</v>
      </c>
      <c r="N808" s="1">
        <v>1</v>
      </c>
      <c r="O808" s="58"/>
      <c r="P808" s="58">
        <v>235569.77</v>
      </c>
      <c r="Q808" t="s">
        <v>127</v>
      </c>
      <c r="R808" s="1" t="s">
        <v>158</v>
      </c>
    </row>
    <row r="809" spans="3:18" x14ac:dyDescent="0.35">
      <c r="C809" t="s">
        <v>51</v>
      </c>
      <c r="D809" t="s">
        <v>91</v>
      </c>
      <c r="E809" t="s">
        <v>49</v>
      </c>
      <c r="F809" t="s">
        <v>46</v>
      </c>
      <c r="G809" s="58">
        <v>2091612</v>
      </c>
      <c r="H809" s="1" t="s">
        <v>48</v>
      </c>
      <c r="I809" s="1" t="s">
        <v>111</v>
      </c>
      <c r="J809" s="58">
        <v>37649016</v>
      </c>
      <c r="K809" s="1" t="s">
        <v>112</v>
      </c>
      <c r="N809" s="1">
        <v>1</v>
      </c>
      <c r="O809" s="58"/>
      <c r="P809" s="58">
        <v>983057.64</v>
      </c>
      <c r="Q809" t="s">
        <v>113</v>
      </c>
      <c r="R809" s="1" t="s">
        <v>48</v>
      </c>
    </row>
    <row r="810" spans="3:18" x14ac:dyDescent="0.35">
      <c r="C810" t="s">
        <v>51</v>
      </c>
      <c r="D810" t="s">
        <v>23</v>
      </c>
      <c r="E810" t="s">
        <v>52</v>
      </c>
      <c r="F810" t="s">
        <v>46</v>
      </c>
      <c r="G810" s="58">
        <v>252942</v>
      </c>
      <c r="H810" s="1" t="s">
        <v>48</v>
      </c>
      <c r="I810" s="1" t="s">
        <v>119</v>
      </c>
      <c r="J810" s="58">
        <v>2276478</v>
      </c>
      <c r="K810" s="1" t="s">
        <v>106</v>
      </c>
      <c r="L810" s="1" t="s">
        <v>130</v>
      </c>
      <c r="M810" s="1" t="s">
        <v>125</v>
      </c>
      <c r="N810" s="1">
        <v>1</v>
      </c>
      <c r="O810" s="58"/>
      <c r="P810" s="58">
        <v>151765.20000000001</v>
      </c>
      <c r="Q810" t="s">
        <v>118</v>
      </c>
      <c r="R810" s="1" t="s">
        <v>48</v>
      </c>
    </row>
    <row r="811" spans="3:18" x14ac:dyDescent="0.35">
      <c r="C811" t="s">
        <v>51</v>
      </c>
      <c r="D811" t="s">
        <v>20</v>
      </c>
      <c r="E811" t="s">
        <v>49</v>
      </c>
      <c r="F811" t="s">
        <v>46</v>
      </c>
      <c r="G811" s="58">
        <v>111517749</v>
      </c>
      <c r="H811" s="1" t="s">
        <v>48</v>
      </c>
      <c r="I811" s="1" t="s">
        <v>108</v>
      </c>
      <c r="J811" s="58">
        <v>3122496972</v>
      </c>
      <c r="K811" s="1" t="s">
        <v>106</v>
      </c>
      <c r="L811" s="1" t="s">
        <v>124</v>
      </c>
      <c r="M811" s="1" t="s">
        <v>123</v>
      </c>
      <c r="N811" s="1">
        <v>1</v>
      </c>
      <c r="O811" s="58"/>
      <c r="P811" s="58">
        <v>32340147.210000001</v>
      </c>
      <c r="Q811" t="s">
        <v>107</v>
      </c>
      <c r="R811" s="1" t="s">
        <v>158</v>
      </c>
    </row>
    <row r="812" spans="3:18" x14ac:dyDescent="0.35">
      <c r="C812" t="s">
        <v>51</v>
      </c>
      <c r="D812" t="s">
        <v>19</v>
      </c>
      <c r="E812" t="s">
        <v>49</v>
      </c>
      <c r="F812" t="s">
        <v>46</v>
      </c>
      <c r="G812" s="58">
        <v>893672</v>
      </c>
      <c r="H812" s="1" t="s">
        <v>48</v>
      </c>
      <c r="I812" s="1" t="s">
        <v>108</v>
      </c>
      <c r="J812" s="58">
        <v>26810160</v>
      </c>
      <c r="K812" s="1" t="s">
        <v>106</v>
      </c>
      <c r="L812" s="1" t="s">
        <v>116</v>
      </c>
      <c r="M812" s="1" t="s">
        <v>129</v>
      </c>
      <c r="N812" s="1">
        <v>1</v>
      </c>
      <c r="O812" s="58"/>
      <c r="P812" s="58">
        <v>518329.76</v>
      </c>
      <c r="Q812" t="s">
        <v>113</v>
      </c>
      <c r="R812" s="1" t="s">
        <v>48</v>
      </c>
    </row>
    <row r="813" spans="3:18" x14ac:dyDescent="0.35">
      <c r="C813" t="s">
        <v>51</v>
      </c>
      <c r="D813" t="s">
        <v>24</v>
      </c>
      <c r="E813" t="s">
        <v>55</v>
      </c>
      <c r="F813" t="s">
        <v>46</v>
      </c>
      <c r="G813" s="58">
        <v>19884669</v>
      </c>
      <c r="H813" s="1" t="s">
        <v>47</v>
      </c>
      <c r="I813" s="1" t="s">
        <v>108</v>
      </c>
      <c r="J813" s="58">
        <v>616424739</v>
      </c>
      <c r="K813" s="1" t="s">
        <v>106</v>
      </c>
      <c r="L813" s="1" t="s">
        <v>114</v>
      </c>
      <c r="N813" s="1">
        <v>1</v>
      </c>
      <c r="O813" s="58"/>
      <c r="P813" s="58">
        <v>24060449.489999998</v>
      </c>
      <c r="Q813" t="s">
        <v>110</v>
      </c>
      <c r="R813" s="1" t="s">
        <v>158</v>
      </c>
    </row>
    <row r="814" spans="3:18" x14ac:dyDescent="0.35">
      <c r="C814" t="s">
        <v>51</v>
      </c>
      <c r="D814" t="s">
        <v>25</v>
      </c>
      <c r="E814" t="s">
        <v>55</v>
      </c>
      <c r="F814" t="s">
        <v>46</v>
      </c>
      <c r="G814" s="58">
        <v>1219418</v>
      </c>
      <c r="H814" s="1" t="s">
        <v>47</v>
      </c>
      <c r="I814" s="1" t="s">
        <v>111</v>
      </c>
      <c r="J814" s="58">
        <v>18291270</v>
      </c>
      <c r="K814" s="1" t="s">
        <v>106</v>
      </c>
      <c r="L814" s="1" t="s">
        <v>114</v>
      </c>
      <c r="N814" s="1">
        <v>1</v>
      </c>
      <c r="O814" s="58"/>
      <c r="P814" s="58">
        <v>341437.04</v>
      </c>
      <c r="Q814" t="s">
        <v>107</v>
      </c>
      <c r="R814" s="1" t="s">
        <v>158</v>
      </c>
    </row>
    <row r="815" spans="3:18" x14ac:dyDescent="0.35">
      <c r="C815" t="s">
        <v>51</v>
      </c>
      <c r="D815" t="s">
        <v>19</v>
      </c>
      <c r="E815" t="s">
        <v>49</v>
      </c>
      <c r="F815" t="s">
        <v>46</v>
      </c>
      <c r="G815" s="58">
        <v>6375857</v>
      </c>
      <c r="H815" s="1" t="s">
        <v>48</v>
      </c>
      <c r="I815" s="1" t="s">
        <v>105</v>
      </c>
      <c r="J815" s="58">
        <v>19127571</v>
      </c>
      <c r="K815" s="1" t="s">
        <v>106</v>
      </c>
      <c r="L815" s="1" t="s">
        <v>124</v>
      </c>
      <c r="M815" s="1" t="s">
        <v>122</v>
      </c>
      <c r="N815" s="1">
        <v>1</v>
      </c>
      <c r="O815" s="58"/>
      <c r="P815" s="58">
        <v>1147654.26</v>
      </c>
      <c r="Q815" t="s">
        <v>107</v>
      </c>
      <c r="R815" s="1" t="s">
        <v>48</v>
      </c>
    </row>
    <row r="816" spans="3:18" x14ac:dyDescent="0.35">
      <c r="C816" t="s">
        <v>51</v>
      </c>
      <c r="D816" t="s">
        <v>23</v>
      </c>
      <c r="E816" t="s">
        <v>45</v>
      </c>
      <c r="F816" t="s">
        <v>46</v>
      </c>
      <c r="G816" s="58">
        <v>479926</v>
      </c>
      <c r="H816" s="1" t="s">
        <v>48</v>
      </c>
      <c r="I816" s="1" t="s">
        <v>108</v>
      </c>
      <c r="J816" s="58">
        <v>16317484</v>
      </c>
      <c r="K816" s="1" t="s">
        <v>106</v>
      </c>
      <c r="L816" s="1" t="s">
        <v>124</v>
      </c>
      <c r="M816" s="1" t="s">
        <v>126</v>
      </c>
      <c r="N816" s="1">
        <v>1</v>
      </c>
      <c r="O816" s="58"/>
      <c r="P816" s="58">
        <v>331148.94</v>
      </c>
      <c r="Q816" t="s">
        <v>118</v>
      </c>
      <c r="R816" s="1" t="s">
        <v>158</v>
      </c>
    </row>
    <row r="817" spans="3:18" x14ac:dyDescent="0.35">
      <c r="C817" t="s">
        <v>51</v>
      </c>
      <c r="D817" t="s">
        <v>22</v>
      </c>
      <c r="E817" t="s">
        <v>49</v>
      </c>
      <c r="F817" t="s">
        <v>46</v>
      </c>
      <c r="G817" s="58">
        <v>127968</v>
      </c>
      <c r="H817" s="1" t="s">
        <v>48</v>
      </c>
      <c r="I817" s="1" t="s">
        <v>111</v>
      </c>
      <c r="J817" s="58">
        <v>2431392</v>
      </c>
      <c r="K817" s="1" t="s">
        <v>106</v>
      </c>
      <c r="L817" s="1" t="s">
        <v>120</v>
      </c>
      <c r="M817" s="1" t="s">
        <v>125</v>
      </c>
      <c r="N817" s="1">
        <v>1</v>
      </c>
      <c r="O817" s="58"/>
      <c r="P817" s="58">
        <v>72941.759999999995</v>
      </c>
      <c r="Q817" t="s">
        <v>113</v>
      </c>
      <c r="R817" s="1" t="s">
        <v>48</v>
      </c>
    </row>
    <row r="818" spans="3:18" x14ac:dyDescent="0.35">
      <c r="C818" t="s">
        <v>51</v>
      </c>
      <c r="D818" t="s">
        <v>22</v>
      </c>
      <c r="E818" t="s">
        <v>50</v>
      </c>
      <c r="F818" t="s">
        <v>46</v>
      </c>
      <c r="G818" s="58">
        <v>159974</v>
      </c>
      <c r="H818" s="1" t="s">
        <v>48</v>
      </c>
      <c r="I818" s="1" t="s">
        <v>105</v>
      </c>
      <c r="J818" s="58">
        <v>479922</v>
      </c>
      <c r="K818" s="1" t="s">
        <v>106</v>
      </c>
      <c r="L818" s="1" t="s">
        <v>109</v>
      </c>
      <c r="M818" s="1" t="s">
        <v>115</v>
      </c>
      <c r="N818" s="1">
        <v>1</v>
      </c>
      <c r="O818" s="58"/>
      <c r="P818" s="58">
        <v>23996.1</v>
      </c>
      <c r="Q818" t="s">
        <v>107</v>
      </c>
      <c r="R818" s="1" t="s">
        <v>48</v>
      </c>
    </row>
    <row r="819" spans="3:18" x14ac:dyDescent="0.35">
      <c r="C819" t="s">
        <v>53</v>
      </c>
      <c r="D819" t="s">
        <v>92</v>
      </c>
      <c r="E819" t="s">
        <v>45</v>
      </c>
      <c r="F819" t="s">
        <v>46</v>
      </c>
      <c r="G819" s="58">
        <v>14351261</v>
      </c>
      <c r="H819" s="1" t="s">
        <v>47</v>
      </c>
      <c r="I819" s="1" t="s">
        <v>119</v>
      </c>
      <c r="J819" s="58">
        <v>100458827</v>
      </c>
      <c r="K819" s="1" t="s">
        <v>106</v>
      </c>
      <c r="L819" s="1" t="s">
        <v>120</v>
      </c>
      <c r="N819" s="1">
        <v>1</v>
      </c>
      <c r="O819" s="58"/>
      <c r="P819" s="58">
        <v>7032117.8899999997</v>
      </c>
      <c r="Q819" t="s">
        <v>113</v>
      </c>
      <c r="R819" s="1" t="s">
        <v>158</v>
      </c>
    </row>
    <row r="820" spans="3:18" x14ac:dyDescent="0.35">
      <c r="C820" t="s">
        <v>51</v>
      </c>
      <c r="D820" t="s">
        <v>23</v>
      </c>
      <c r="E820" t="s">
        <v>45</v>
      </c>
      <c r="F820" t="s">
        <v>46</v>
      </c>
      <c r="G820" s="58">
        <v>181608</v>
      </c>
      <c r="H820" s="1" t="s">
        <v>54</v>
      </c>
      <c r="I820" s="1" t="s">
        <v>108</v>
      </c>
      <c r="J820" s="58">
        <v>5085024</v>
      </c>
      <c r="K820" s="1" t="s">
        <v>112</v>
      </c>
      <c r="N820" s="1">
        <v>1</v>
      </c>
      <c r="O820" s="58"/>
      <c r="P820" s="58">
        <v>92620.08</v>
      </c>
      <c r="Q820" t="s">
        <v>113</v>
      </c>
      <c r="R820" s="1" t="s">
        <v>158</v>
      </c>
    </row>
    <row r="821" spans="3:18" x14ac:dyDescent="0.35">
      <c r="C821" t="s">
        <v>51</v>
      </c>
      <c r="D821" t="s">
        <v>19</v>
      </c>
      <c r="E821" t="s">
        <v>49</v>
      </c>
      <c r="F821" t="s">
        <v>46</v>
      </c>
      <c r="G821" s="58">
        <v>22323372</v>
      </c>
      <c r="H821" s="1" t="s">
        <v>48</v>
      </c>
      <c r="I821" s="1" t="s">
        <v>108</v>
      </c>
      <c r="J821" s="58">
        <v>692024532</v>
      </c>
      <c r="K821" s="1" t="s">
        <v>112</v>
      </c>
      <c r="N821" s="1">
        <v>1</v>
      </c>
      <c r="O821" s="58"/>
      <c r="P821" s="58">
        <v>6697011.5999999996</v>
      </c>
      <c r="Q821" t="s">
        <v>107</v>
      </c>
      <c r="R821" s="1" t="s">
        <v>48</v>
      </c>
    </row>
    <row r="822" spans="3:18" x14ac:dyDescent="0.35">
      <c r="C822" t="s">
        <v>53</v>
      </c>
      <c r="D822" t="s">
        <v>23</v>
      </c>
      <c r="E822" t="s">
        <v>45</v>
      </c>
      <c r="F822" t="s">
        <v>46</v>
      </c>
      <c r="G822" s="58">
        <v>8600</v>
      </c>
      <c r="H822" s="1" t="s">
        <v>59</v>
      </c>
      <c r="I822" s="1" t="s">
        <v>105</v>
      </c>
      <c r="J822" s="58"/>
      <c r="K822" s="1" t="s">
        <v>106</v>
      </c>
      <c r="L822" s="1" t="s">
        <v>120</v>
      </c>
      <c r="N822" s="1">
        <v>0</v>
      </c>
      <c r="O822" s="58"/>
      <c r="P822" s="58">
        <v>1118</v>
      </c>
      <c r="Q822" t="s">
        <v>107</v>
      </c>
      <c r="R822" s="1" t="s">
        <v>158</v>
      </c>
    </row>
    <row r="823" spans="3:18" x14ac:dyDescent="0.35">
      <c r="C823" t="s">
        <v>51</v>
      </c>
      <c r="D823" t="s">
        <v>22</v>
      </c>
      <c r="E823" t="s">
        <v>49</v>
      </c>
      <c r="F823" t="s">
        <v>46</v>
      </c>
      <c r="G823" s="58">
        <v>28373</v>
      </c>
      <c r="H823" s="1" t="s">
        <v>54</v>
      </c>
      <c r="I823" s="1" t="s">
        <v>105</v>
      </c>
      <c r="J823" s="58">
        <v>141865</v>
      </c>
      <c r="K823" s="1" t="s">
        <v>106</v>
      </c>
      <c r="L823" s="1" t="s">
        <v>124</v>
      </c>
      <c r="N823" s="1">
        <v>1</v>
      </c>
      <c r="O823" s="58"/>
      <c r="P823" s="58">
        <v>40857.120000000003</v>
      </c>
      <c r="Q823" t="s">
        <v>110</v>
      </c>
      <c r="R823" s="1" t="s">
        <v>158</v>
      </c>
    </row>
    <row r="824" spans="3:18" x14ac:dyDescent="0.35">
      <c r="C824" t="s">
        <v>51</v>
      </c>
      <c r="D824" t="s">
        <v>21</v>
      </c>
      <c r="E824" t="s">
        <v>62</v>
      </c>
      <c r="F824" t="s">
        <v>46</v>
      </c>
      <c r="G824" s="58">
        <v>157911</v>
      </c>
      <c r="H824" s="1" t="s">
        <v>48</v>
      </c>
      <c r="I824" s="1" t="s">
        <v>111</v>
      </c>
      <c r="J824" s="58">
        <v>2684487</v>
      </c>
      <c r="K824" s="1" t="s">
        <v>112</v>
      </c>
      <c r="N824" s="1">
        <v>1</v>
      </c>
      <c r="O824" s="58"/>
      <c r="P824" s="58">
        <v>74218.17</v>
      </c>
      <c r="Q824" t="s">
        <v>113</v>
      </c>
      <c r="R824" s="1" t="s">
        <v>48</v>
      </c>
    </row>
    <row r="825" spans="3:18" x14ac:dyDescent="0.35">
      <c r="C825" t="s">
        <v>51</v>
      </c>
      <c r="D825" t="s">
        <v>22</v>
      </c>
      <c r="E825" t="s">
        <v>49</v>
      </c>
      <c r="F825" t="s">
        <v>46</v>
      </c>
      <c r="G825" s="58">
        <v>356385</v>
      </c>
      <c r="H825" s="1" t="s">
        <v>56</v>
      </c>
      <c r="I825" s="1" t="s">
        <v>111</v>
      </c>
      <c r="J825" s="58">
        <v>6771315</v>
      </c>
      <c r="K825" s="1" t="s">
        <v>106</v>
      </c>
      <c r="L825" s="1" t="s">
        <v>124</v>
      </c>
      <c r="N825" s="1">
        <v>1</v>
      </c>
      <c r="O825" s="58"/>
      <c r="P825" s="58">
        <v>288671.84999999998</v>
      </c>
      <c r="Q825" t="s">
        <v>127</v>
      </c>
      <c r="R825" s="1" t="s">
        <v>158</v>
      </c>
    </row>
    <row r="826" spans="3:18" x14ac:dyDescent="0.35">
      <c r="C826" t="s">
        <v>51</v>
      </c>
      <c r="D826" t="s">
        <v>22</v>
      </c>
      <c r="E826" t="s">
        <v>45</v>
      </c>
      <c r="F826" t="s">
        <v>46</v>
      </c>
      <c r="G826" s="58">
        <v>2077</v>
      </c>
      <c r="H826" s="1" t="s">
        <v>59</v>
      </c>
      <c r="I826" s="1" t="s">
        <v>105</v>
      </c>
      <c r="J826" s="58">
        <v>0</v>
      </c>
      <c r="K826" s="1" t="s">
        <v>106</v>
      </c>
      <c r="L826" s="1" t="s">
        <v>116</v>
      </c>
      <c r="N826" s="1">
        <v>1</v>
      </c>
      <c r="O826" s="58"/>
      <c r="P826" s="58">
        <v>1744.68</v>
      </c>
      <c r="Q826" t="s">
        <v>127</v>
      </c>
      <c r="R826" s="1" t="s">
        <v>158</v>
      </c>
    </row>
    <row r="827" spans="3:18" x14ac:dyDescent="0.35">
      <c r="C827" t="s">
        <v>51</v>
      </c>
      <c r="D827" t="s">
        <v>92</v>
      </c>
      <c r="E827" t="s">
        <v>49</v>
      </c>
      <c r="F827" t="s">
        <v>46</v>
      </c>
      <c r="G827" s="58">
        <v>7095310</v>
      </c>
      <c r="H827" s="1" t="s">
        <v>59</v>
      </c>
      <c r="I827" s="1" t="s">
        <v>111</v>
      </c>
      <c r="J827" s="58">
        <v>120620270</v>
      </c>
      <c r="K827" s="1" t="s">
        <v>106</v>
      </c>
      <c r="L827" s="1" t="s">
        <v>124</v>
      </c>
      <c r="N827" s="1">
        <v>1</v>
      </c>
      <c r="O827" s="58"/>
      <c r="P827" s="58">
        <v>4682904.5999999996</v>
      </c>
      <c r="Q827" t="s">
        <v>118</v>
      </c>
      <c r="R827" s="1" t="s">
        <v>158</v>
      </c>
    </row>
    <row r="828" spans="3:18" x14ac:dyDescent="0.35">
      <c r="C828" t="s">
        <v>53</v>
      </c>
      <c r="D828" t="s">
        <v>91</v>
      </c>
      <c r="E828" t="s">
        <v>45</v>
      </c>
      <c r="F828" t="s">
        <v>46</v>
      </c>
      <c r="G828" s="58">
        <v>183940</v>
      </c>
      <c r="H828" s="1" t="s">
        <v>54</v>
      </c>
      <c r="I828" s="1" t="s">
        <v>111</v>
      </c>
      <c r="J828" s="58">
        <v>1839400</v>
      </c>
      <c r="K828" s="1" t="s">
        <v>106</v>
      </c>
      <c r="L828" s="1" t="s">
        <v>120</v>
      </c>
      <c r="N828" s="1">
        <v>1</v>
      </c>
      <c r="O828" s="58"/>
      <c r="P828" s="58">
        <v>136115.6</v>
      </c>
      <c r="Q828" t="s">
        <v>118</v>
      </c>
      <c r="R828" s="1" t="s">
        <v>158</v>
      </c>
    </row>
    <row r="829" spans="3:18" x14ac:dyDescent="0.35">
      <c r="C829" t="s">
        <v>51</v>
      </c>
      <c r="D829" t="s">
        <v>92</v>
      </c>
      <c r="E829" t="s">
        <v>49</v>
      </c>
      <c r="F829" t="s">
        <v>46</v>
      </c>
      <c r="G829" s="58">
        <v>37144</v>
      </c>
      <c r="H829" s="1" t="s">
        <v>47</v>
      </c>
      <c r="I829" s="1" t="s">
        <v>119</v>
      </c>
      <c r="J829" s="58">
        <v>260008</v>
      </c>
      <c r="K829" s="1" t="s">
        <v>106</v>
      </c>
      <c r="L829" s="1" t="s">
        <v>109</v>
      </c>
      <c r="N829" s="1">
        <v>1</v>
      </c>
      <c r="O829" s="58"/>
      <c r="P829" s="58">
        <v>8914.56</v>
      </c>
      <c r="Q829" t="s">
        <v>107</v>
      </c>
      <c r="R829" s="1" t="s">
        <v>158</v>
      </c>
    </row>
    <row r="830" spans="3:18" x14ac:dyDescent="0.35">
      <c r="C830" t="s">
        <v>53</v>
      </c>
      <c r="D830" t="s">
        <v>22</v>
      </c>
      <c r="E830" t="s">
        <v>49</v>
      </c>
      <c r="F830" t="s">
        <v>46</v>
      </c>
      <c r="G830" s="58">
        <v>51725</v>
      </c>
      <c r="H830" s="1" t="s">
        <v>48</v>
      </c>
      <c r="I830" s="1" t="s">
        <v>105</v>
      </c>
      <c r="J830" s="58">
        <v>103450</v>
      </c>
      <c r="K830" s="1" t="s">
        <v>106</v>
      </c>
      <c r="L830" s="1" t="s">
        <v>124</v>
      </c>
      <c r="M830" s="1" t="s">
        <v>115</v>
      </c>
      <c r="N830" s="1">
        <v>1</v>
      </c>
      <c r="O830" s="58"/>
      <c r="P830" s="58">
        <v>9310.5</v>
      </c>
      <c r="Q830" t="s">
        <v>107</v>
      </c>
      <c r="R830" s="1" t="s">
        <v>158</v>
      </c>
    </row>
    <row r="831" spans="3:18" x14ac:dyDescent="0.35">
      <c r="C831" t="s">
        <v>51</v>
      </c>
      <c r="D831" t="s">
        <v>19</v>
      </c>
      <c r="E831" t="s">
        <v>49</v>
      </c>
      <c r="F831" t="s">
        <v>46</v>
      </c>
      <c r="G831" s="58">
        <v>59925224</v>
      </c>
      <c r="H831" s="1" t="s">
        <v>47</v>
      </c>
      <c r="I831" s="1" t="s">
        <v>111</v>
      </c>
      <c r="J831" s="58">
        <v>958803584</v>
      </c>
      <c r="K831" s="1" t="s">
        <v>106</v>
      </c>
      <c r="L831" s="1" t="s">
        <v>124</v>
      </c>
      <c r="N831" s="1">
        <v>1</v>
      </c>
      <c r="O831" s="58"/>
      <c r="P831" s="58">
        <v>29363359.760000002</v>
      </c>
      <c r="Q831" t="s">
        <v>113</v>
      </c>
      <c r="R831" s="1" t="s">
        <v>158</v>
      </c>
    </row>
    <row r="832" spans="3:18" x14ac:dyDescent="0.35">
      <c r="C832" t="s">
        <v>51</v>
      </c>
      <c r="D832" t="s">
        <v>22</v>
      </c>
      <c r="E832" t="s">
        <v>55</v>
      </c>
      <c r="F832" t="s">
        <v>46</v>
      </c>
      <c r="G832" s="58">
        <v>10785548</v>
      </c>
      <c r="H832" s="1" t="s">
        <v>48</v>
      </c>
      <c r="I832" s="1" t="s">
        <v>108</v>
      </c>
      <c r="J832" s="58">
        <v>323566440</v>
      </c>
      <c r="K832" s="1" t="s">
        <v>106</v>
      </c>
      <c r="L832" s="1" t="s">
        <v>114</v>
      </c>
      <c r="M832" s="1" t="s">
        <v>115</v>
      </c>
      <c r="N832" s="1">
        <v>1</v>
      </c>
      <c r="O832" s="58"/>
      <c r="P832" s="58">
        <v>5716340.4400000004</v>
      </c>
      <c r="Q832" t="s">
        <v>113</v>
      </c>
      <c r="R832" s="1" t="s">
        <v>158</v>
      </c>
    </row>
    <row r="833" spans="3:18" x14ac:dyDescent="0.35">
      <c r="C833" t="s">
        <v>51</v>
      </c>
      <c r="D833" t="s">
        <v>23</v>
      </c>
      <c r="E833" t="s">
        <v>55</v>
      </c>
      <c r="F833" t="s">
        <v>46</v>
      </c>
      <c r="G833" s="58">
        <v>175417</v>
      </c>
      <c r="H833" s="1" t="s">
        <v>48</v>
      </c>
      <c r="I833" s="1" t="s">
        <v>108</v>
      </c>
      <c r="J833" s="58">
        <v>4911676</v>
      </c>
      <c r="K833" s="1" t="s">
        <v>106</v>
      </c>
      <c r="L833" s="1" t="s">
        <v>124</v>
      </c>
      <c r="M833" s="1" t="s">
        <v>126</v>
      </c>
      <c r="N833" s="1">
        <v>1</v>
      </c>
      <c r="O833" s="58"/>
      <c r="P833" s="58">
        <v>68412.63</v>
      </c>
      <c r="Q833" t="s">
        <v>107</v>
      </c>
      <c r="R833" s="1" t="s">
        <v>48</v>
      </c>
    </row>
    <row r="834" spans="3:18" x14ac:dyDescent="0.35">
      <c r="C834" t="s">
        <v>53</v>
      </c>
      <c r="D834" t="s">
        <v>22</v>
      </c>
      <c r="E834" t="s">
        <v>45</v>
      </c>
      <c r="F834" t="s">
        <v>46</v>
      </c>
      <c r="G834" s="58">
        <v>1009</v>
      </c>
      <c r="H834" s="1" t="s">
        <v>56</v>
      </c>
      <c r="I834" s="1" t="s">
        <v>128</v>
      </c>
      <c r="J834" s="58"/>
      <c r="K834" s="1" t="s">
        <v>106</v>
      </c>
      <c r="L834" s="1" t="s">
        <v>120</v>
      </c>
      <c r="N834" s="1">
        <v>0</v>
      </c>
      <c r="O834" s="58"/>
      <c r="P834" s="58">
        <v>20.18</v>
      </c>
      <c r="Q834" t="s">
        <v>107</v>
      </c>
      <c r="R834" s="1" t="s">
        <v>158</v>
      </c>
    </row>
    <row r="835" spans="3:18" x14ac:dyDescent="0.35">
      <c r="C835" t="s">
        <v>51</v>
      </c>
      <c r="D835" t="s">
        <v>21</v>
      </c>
      <c r="E835" t="s">
        <v>45</v>
      </c>
      <c r="F835" t="s">
        <v>46</v>
      </c>
      <c r="G835" s="58">
        <v>1383021</v>
      </c>
      <c r="H835" s="1" t="s">
        <v>59</v>
      </c>
      <c r="I835" s="1" t="s">
        <v>108</v>
      </c>
      <c r="J835" s="58">
        <v>44256672</v>
      </c>
      <c r="K835" s="1" t="s">
        <v>106</v>
      </c>
      <c r="L835" s="1" t="s">
        <v>120</v>
      </c>
      <c r="N835" s="1">
        <v>1</v>
      </c>
      <c r="O835" s="58"/>
      <c r="P835" s="58">
        <v>1161737.6399999999</v>
      </c>
      <c r="Q835" t="s">
        <v>127</v>
      </c>
      <c r="R835" s="1" t="s">
        <v>158</v>
      </c>
    </row>
    <row r="836" spans="3:18" x14ac:dyDescent="0.35">
      <c r="C836" t="s">
        <v>51</v>
      </c>
      <c r="D836" t="s">
        <v>24</v>
      </c>
      <c r="E836" t="s">
        <v>55</v>
      </c>
      <c r="F836" t="s">
        <v>46</v>
      </c>
      <c r="G836" s="58">
        <v>115259</v>
      </c>
      <c r="H836" s="1" t="s">
        <v>56</v>
      </c>
      <c r="I836" s="1" t="s">
        <v>111</v>
      </c>
      <c r="J836" s="58">
        <v>1844144</v>
      </c>
      <c r="K836" s="1" t="s">
        <v>106</v>
      </c>
      <c r="L836" s="1" t="s">
        <v>114</v>
      </c>
      <c r="N836" s="1">
        <v>1</v>
      </c>
      <c r="O836" s="58"/>
      <c r="P836" s="58">
        <v>95664.97</v>
      </c>
      <c r="Q836" t="s">
        <v>127</v>
      </c>
      <c r="R836" s="1" t="s">
        <v>158</v>
      </c>
    </row>
    <row r="837" spans="3:18" x14ac:dyDescent="0.35">
      <c r="C837" t="s">
        <v>51</v>
      </c>
      <c r="D837" t="s">
        <v>21</v>
      </c>
      <c r="E837" t="s">
        <v>49</v>
      </c>
      <c r="F837" t="s">
        <v>46</v>
      </c>
      <c r="G837" s="58">
        <v>2822653</v>
      </c>
      <c r="H837" s="1" t="s">
        <v>48</v>
      </c>
      <c r="I837" s="1" t="s">
        <v>108</v>
      </c>
      <c r="J837" s="58">
        <v>73388978</v>
      </c>
      <c r="K837" s="1" t="s">
        <v>106</v>
      </c>
      <c r="L837" s="1" t="s">
        <v>120</v>
      </c>
      <c r="M837" s="1" t="s">
        <v>115</v>
      </c>
      <c r="N837" s="1">
        <v>1</v>
      </c>
      <c r="O837" s="58"/>
      <c r="P837" s="58">
        <v>1496006.09</v>
      </c>
      <c r="Q837" t="s">
        <v>113</v>
      </c>
      <c r="R837" s="1" t="s">
        <v>48</v>
      </c>
    </row>
    <row r="838" spans="3:18" x14ac:dyDescent="0.35">
      <c r="C838" t="s">
        <v>51</v>
      </c>
      <c r="D838" t="s">
        <v>92</v>
      </c>
      <c r="E838" t="s">
        <v>62</v>
      </c>
      <c r="F838" t="s">
        <v>46</v>
      </c>
      <c r="G838" s="58">
        <v>445400</v>
      </c>
      <c r="H838" s="1" t="s">
        <v>48</v>
      </c>
      <c r="I838" s="1" t="s">
        <v>108</v>
      </c>
      <c r="J838" s="58">
        <v>16479800</v>
      </c>
      <c r="K838" s="1" t="s">
        <v>106</v>
      </c>
      <c r="L838" s="1" t="s">
        <v>131</v>
      </c>
      <c r="M838" s="1" t="s">
        <v>123</v>
      </c>
      <c r="N838" s="1">
        <v>1</v>
      </c>
      <c r="O838" s="58"/>
      <c r="P838" s="58">
        <v>360774</v>
      </c>
      <c r="Q838" t="s">
        <v>127</v>
      </c>
      <c r="R838" s="1" t="s">
        <v>48</v>
      </c>
    </row>
    <row r="839" spans="3:18" x14ac:dyDescent="0.35">
      <c r="C839" t="s">
        <v>53</v>
      </c>
      <c r="D839" t="s">
        <v>60</v>
      </c>
      <c r="E839" t="s">
        <v>60</v>
      </c>
      <c r="F839" t="s">
        <v>46</v>
      </c>
      <c r="G839" s="58">
        <v>106664</v>
      </c>
      <c r="H839" s="1" t="s">
        <v>90</v>
      </c>
      <c r="I839" s="1" t="s">
        <v>119</v>
      </c>
      <c r="J839" s="58">
        <v>746648</v>
      </c>
      <c r="K839" s="1" t="s">
        <v>106</v>
      </c>
      <c r="N839" s="1">
        <v>1</v>
      </c>
      <c r="O839" s="58"/>
      <c r="P839" s="58">
        <v>100264.16</v>
      </c>
      <c r="Q839" t="s">
        <v>127</v>
      </c>
      <c r="R839" s="1" t="s">
        <v>90</v>
      </c>
    </row>
    <row r="840" spans="3:18" x14ac:dyDescent="0.35">
      <c r="C840" t="s">
        <v>53</v>
      </c>
      <c r="D840" t="s">
        <v>22</v>
      </c>
      <c r="E840" t="s">
        <v>49</v>
      </c>
      <c r="F840" t="s">
        <v>46</v>
      </c>
      <c r="G840" s="58">
        <v>704</v>
      </c>
      <c r="H840" s="1" t="s">
        <v>47</v>
      </c>
      <c r="I840" s="1" t="s">
        <v>105</v>
      </c>
      <c r="J840" s="58"/>
      <c r="K840" s="1" t="s">
        <v>106</v>
      </c>
      <c r="L840" s="1" t="s">
        <v>124</v>
      </c>
      <c r="N840" s="1">
        <v>0</v>
      </c>
      <c r="O840" s="58"/>
      <c r="P840" s="58">
        <v>471.68</v>
      </c>
      <c r="Q840" t="s">
        <v>118</v>
      </c>
      <c r="R840" s="1" t="s">
        <v>158</v>
      </c>
    </row>
    <row r="841" spans="3:18" x14ac:dyDescent="0.35">
      <c r="C841" t="s">
        <v>51</v>
      </c>
      <c r="D841" t="s">
        <v>24</v>
      </c>
      <c r="E841" t="s">
        <v>49</v>
      </c>
      <c r="F841" t="s">
        <v>64</v>
      </c>
      <c r="G841" s="58">
        <v>291931</v>
      </c>
      <c r="H841" s="1" t="s">
        <v>48</v>
      </c>
      <c r="I841" s="1" t="s">
        <v>111</v>
      </c>
      <c r="J841" s="58">
        <v>5838620</v>
      </c>
      <c r="K841" s="1" t="s">
        <v>112</v>
      </c>
      <c r="N841" s="1">
        <v>1</v>
      </c>
      <c r="O841" s="58"/>
      <c r="P841" s="58">
        <v>201432.39</v>
      </c>
      <c r="Q841" t="s">
        <v>118</v>
      </c>
      <c r="R841" s="1" t="s">
        <v>48</v>
      </c>
    </row>
    <row r="842" spans="3:18" x14ac:dyDescent="0.35">
      <c r="C842" t="s">
        <v>53</v>
      </c>
      <c r="D842" t="s">
        <v>23</v>
      </c>
      <c r="E842" t="s">
        <v>49</v>
      </c>
      <c r="F842" t="s">
        <v>46</v>
      </c>
      <c r="G842" s="58">
        <v>121219</v>
      </c>
      <c r="H842" s="1" t="s">
        <v>54</v>
      </c>
      <c r="I842" s="1" t="s">
        <v>105</v>
      </c>
      <c r="J842" s="58">
        <v>363657</v>
      </c>
      <c r="K842" s="1" t="s">
        <v>106</v>
      </c>
      <c r="L842" s="1" t="s">
        <v>120</v>
      </c>
      <c r="N842" s="1">
        <v>1</v>
      </c>
      <c r="O842" s="58"/>
      <c r="P842" s="58">
        <v>30304.75</v>
      </c>
      <c r="Q842" t="s">
        <v>107</v>
      </c>
      <c r="R842" s="1" t="s">
        <v>158</v>
      </c>
    </row>
    <row r="843" spans="3:18" x14ac:dyDescent="0.35">
      <c r="C843" t="s">
        <v>51</v>
      </c>
      <c r="D843" t="s">
        <v>22</v>
      </c>
      <c r="E843" t="s">
        <v>62</v>
      </c>
      <c r="F843" t="s">
        <v>46</v>
      </c>
      <c r="G843" s="58">
        <v>44555</v>
      </c>
      <c r="H843" s="1" t="s">
        <v>48</v>
      </c>
      <c r="I843" s="1" t="s">
        <v>111</v>
      </c>
      <c r="J843" s="58">
        <v>712880</v>
      </c>
      <c r="K843" s="1" t="s">
        <v>106</v>
      </c>
      <c r="L843" s="1" t="s">
        <v>131</v>
      </c>
      <c r="M843" s="1" t="s">
        <v>115</v>
      </c>
      <c r="N843" s="1">
        <v>1</v>
      </c>
      <c r="O843" s="58"/>
      <c r="P843" s="58">
        <v>17376.45</v>
      </c>
      <c r="Q843" t="s">
        <v>107</v>
      </c>
      <c r="R843" s="1" t="s">
        <v>48</v>
      </c>
    </row>
    <row r="844" spans="3:18" x14ac:dyDescent="0.35">
      <c r="C844" t="s">
        <v>51</v>
      </c>
      <c r="D844" t="s">
        <v>24</v>
      </c>
      <c r="E844" t="s">
        <v>55</v>
      </c>
      <c r="F844" t="s">
        <v>46</v>
      </c>
      <c r="G844" s="58">
        <v>39513333</v>
      </c>
      <c r="H844" s="1" t="s">
        <v>54</v>
      </c>
      <c r="I844" s="1" t="s">
        <v>108</v>
      </c>
      <c r="J844" s="58">
        <v>1027346658</v>
      </c>
      <c r="K844" s="1" t="s">
        <v>106</v>
      </c>
      <c r="L844" s="1" t="s">
        <v>114</v>
      </c>
      <c r="N844" s="1">
        <v>1</v>
      </c>
      <c r="O844" s="58"/>
      <c r="P844" s="58">
        <v>20546933.16</v>
      </c>
      <c r="Q844" t="s">
        <v>113</v>
      </c>
      <c r="R844" s="1" t="s">
        <v>158</v>
      </c>
    </row>
    <row r="845" spans="3:18" x14ac:dyDescent="0.35">
      <c r="C845" t="s">
        <v>51</v>
      </c>
      <c r="D845" t="s">
        <v>22</v>
      </c>
      <c r="E845" t="s">
        <v>55</v>
      </c>
      <c r="F845" t="s">
        <v>46</v>
      </c>
      <c r="G845" s="58">
        <v>53981</v>
      </c>
      <c r="H845" s="1" t="s">
        <v>48</v>
      </c>
      <c r="I845" s="1" t="s">
        <v>105</v>
      </c>
      <c r="J845" s="58">
        <v>161943</v>
      </c>
      <c r="K845" s="1" t="s">
        <v>106</v>
      </c>
      <c r="L845" s="1" t="s">
        <v>124</v>
      </c>
      <c r="M845" s="1" t="s">
        <v>126</v>
      </c>
      <c r="N845" s="1">
        <v>1</v>
      </c>
      <c r="O845" s="58"/>
      <c r="P845" s="58">
        <v>5937.91</v>
      </c>
      <c r="Q845" t="s">
        <v>107</v>
      </c>
      <c r="R845" s="1" t="s">
        <v>48</v>
      </c>
    </row>
    <row r="846" spans="3:18" x14ac:dyDescent="0.35">
      <c r="C846" t="s">
        <v>53</v>
      </c>
      <c r="D846" t="s">
        <v>25</v>
      </c>
      <c r="E846" t="s">
        <v>55</v>
      </c>
      <c r="F846" t="s">
        <v>46</v>
      </c>
      <c r="G846" s="58">
        <v>469740</v>
      </c>
      <c r="H846" s="1" t="s">
        <v>47</v>
      </c>
      <c r="I846" s="1" t="s">
        <v>111</v>
      </c>
      <c r="J846" s="58">
        <v>6106620</v>
      </c>
      <c r="K846" s="1" t="s">
        <v>106</v>
      </c>
      <c r="L846" s="1" t="s">
        <v>120</v>
      </c>
      <c r="N846" s="1">
        <v>1</v>
      </c>
      <c r="O846" s="58"/>
      <c r="P846" s="58">
        <v>291238.8</v>
      </c>
      <c r="Q846" t="s">
        <v>118</v>
      </c>
      <c r="R846" s="1" t="s">
        <v>158</v>
      </c>
    </row>
    <row r="847" spans="3:18" x14ac:dyDescent="0.35">
      <c r="C847" t="s">
        <v>51</v>
      </c>
      <c r="D847" t="s">
        <v>19</v>
      </c>
      <c r="E847" t="s">
        <v>45</v>
      </c>
      <c r="F847" t="s">
        <v>46</v>
      </c>
      <c r="G847" s="58">
        <v>154011</v>
      </c>
      <c r="H847" s="1" t="s">
        <v>48</v>
      </c>
      <c r="I847" s="1" t="s">
        <v>108</v>
      </c>
      <c r="J847" s="58">
        <v>4004286</v>
      </c>
      <c r="K847" s="1" t="s">
        <v>112</v>
      </c>
      <c r="N847" s="1">
        <v>1</v>
      </c>
      <c r="O847" s="58"/>
      <c r="P847" s="58">
        <v>90866.49</v>
      </c>
      <c r="Q847" t="s">
        <v>113</v>
      </c>
      <c r="R847" s="1" t="s">
        <v>158</v>
      </c>
    </row>
    <row r="848" spans="3:18" x14ac:dyDescent="0.35">
      <c r="C848" t="s">
        <v>51</v>
      </c>
      <c r="D848" t="s">
        <v>19</v>
      </c>
      <c r="E848" t="s">
        <v>49</v>
      </c>
      <c r="F848" t="s">
        <v>46</v>
      </c>
      <c r="G848" s="58">
        <v>10071880</v>
      </c>
      <c r="H848" s="1" t="s">
        <v>48</v>
      </c>
      <c r="I848" s="1" t="s">
        <v>111</v>
      </c>
      <c r="J848" s="58">
        <v>161150080</v>
      </c>
      <c r="K848" s="1" t="s">
        <v>106</v>
      </c>
      <c r="L848" s="1" t="s">
        <v>124</v>
      </c>
      <c r="M848" s="1" t="s">
        <v>122</v>
      </c>
      <c r="N848" s="1">
        <v>1</v>
      </c>
      <c r="O848" s="58"/>
      <c r="P848" s="58">
        <v>2618688.7999999998</v>
      </c>
      <c r="Q848" t="s">
        <v>107</v>
      </c>
      <c r="R848" s="1" t="s">
        <v>48</v>
      </c>
    </row>
    <row r="849" spans="3:18" x14ac:dyDescent="0.35">
      <c r="C849" t="s">
        <v>51</v>
      </c>
      <c r="D849" t="s">
        <v>91</v>
      </c>
      <c r="E849" t="s">
        <v>49</v>
      </c>
      <c r="F849" t="s">
        <v>46</v>
      </c>
      <c r="G849" s="58">
        <v>109286</v>
      </c>
      <c r="H849" s="1" t="s">
        <v>48</v>
      </c>
      <c r="I849" s="1" t="s">
        <v>111</v>
      </c>
      <c r="J849" s="58">
        <v>1639290</v>
      </c>
      <c r="K849" s="1" t="s">
        <v>112</v>
      </c>
      <c r="N849" s="1">
        <v>1</v>
      </c>
      <c r="O849" s="58"/>
      <c r="P849" s="58">
        <v>15300.04</v>
      </c>
      <c r="Q849" t="s">
        <v>107</v>
      </c>
      <c r="R849" s="1" t="s">
        <v>158</v>
      </c>
    </row>
    <row r="850" spans="3:18" x14ac:dyDescent="0.35">
      <c r="C850" t="s">
        <v>51</v>
      </c>
      <c r="D850" t="s">
        <v>22</v>
      </c>
      <c r="E850" t="s">
        <v>45</v>
      </c>
      <c r="F850" t="s">
        <v>46</v>
      </c>
      <c r="G850" s="58">
        <v>283128</v>
      </c>
      <c r="H850" s="1" t="s">
        <v>59</v>
      </c>
      <c r="I850" s="1" t="s">
        <v>111</v>
      </c>
      <c r="J850" s="58">
        <v>4530048</v>
      </c>
      <c r="K850" s="1" t="s">
        <v>106</v>
      </c>
      <c r="L850" s="1" t="s">
        <v>120</v>
      </c>
      <c r="N850" s="1">
        <v>1</v>
      </c>
      <c r="O850" s="58"/>
      <c r="P850" s="58">
        <v>328428.48</v>
      </c>
      <c r="Q850" t="s">
        <v>110</v>
      </c>
      <c r="R850" s="1" t="s">
        <v>158</v>
      </c>
    </row>
    <row r="851" spans="3:18" x14ac:dyDescent="0.35">
      <c r="C851" t="s">
        <v>51</v>
      </c>
      <c r="D851" t="s">
        <v>92</v>
      </c>
      <c r="E851" t="s">
        <v>49</v>
      </c>
      <c r="F851" t="s">
        <v>46</v>
      </c>
      <c r="G851" s="58">
        <v>1629872</v>
      </c>
      <c r="H851" s="1" t="s">
        <v>47</v>
      </c>
      <c r="I851" s="1" t="s">
        <v>108</v>
      </c>
      <c r="J851" s="58">
        <v>44006544</v>
      </c>
      <c r="K851" s="1" t="s">
        <v>106</v>
      </c>
      <c r="L851" s="1" t="s">
        <v>120</v>
      </c>
      <c r="N851" s="1">
        <v>1</v>
      </c>
      <c r="O851" s="58"/>
      <c r="P851" s="58">
        <v>766039.84</v>
      </c>
      <c r="Q851" t="s">
        <v>113</v>
      </c>
      <c r="R851" s="1" t="s">
        <v>158</v>
      </c>
    </row>
    <row r="852" spans="3:18" x14ac:dyDescent="0.35">
      <c r="C852" t="s">
        <v>51</v>
      </c>
      <c r="D852" t="s">
        <v>23</v>
      </c>
      <c r="E852" t="s">
        <v>55</v>
      </c>
      <c r="F852" t="s">
        <v>46</v>
      </c>
      <c r="G852" s="58">
        <v>10122852</v>
      </c>
      <c r="H852" s="1" t="s">
        <v>56</v>
      </c>
      <c r="I852" s="1" t="s">
        <v>108</v>
      </c>
      <c r="J852" s="58">
        <v>263194152</v>
      </c>
      <c r="K852" s="1" t="s">
        <v>106</v>
      </c>
      <c r="L852" s="1" t="s">
        <v>114</v>
      </c>
      <c r="N852" s="1">
        <v>1</v>
      </c>
      <c r="O852" s="58"/>
      <c r="P852" s="58">
        <v>5263883.04</v>
      </c>
      <c r="Q852" t="s">
        <v>113</v>
      </c>
      <c r="R852" s="1" t="s">
        <v>158</v>
      </c>
    </row>
    <row r="853" spans="3:18" x14ac:dyDescent="0.35">
      <c r="C853" t="s">
        <v>51</v>
      </c>
      <c r="D853" t="s">
        <v>23</v>
      </c>
      <c r="E853" t="s">
        <v>55</v>
      </c>
      <c r="F853" t="s">
        <v>46</v>
      </c>
      <c r="G853" s="58">
        <v>603647</v>
      </c>
      <c r="H853" s="1" t="s">
        <v>47</v>
      </c>
      <c r="I853" s="1" t="s">
        <v>108</v>
      </c>
      <c r="J853" s="58">
        <v>22334939</v>
      </c>
      <c r="K853" s="1" t="s">
        <v>106</v>
      </c>
      <c r="L853" s="1" t="s">
        <v>109</v>
      </c>
      <c r="N853" s="1">
        <v>1</v>
      </c>
      <c r="O853" s="58"/>
      <c r="P853" s="58">
        <v>313896.44</v>
      </c>
      <c r="Q853" t="s">
        <v>113</v>
      </c>
      <c r="R853" s="1" t="s">
        <v>158</v>
      </c>
    </row>
    <row r="854" spans="3:18" x14ac:dyDescent="0.35">
      <c r="C854" t="s">
        <v>51</v>
      </c>
      <c r="D854" t="s">
        <v>23</v>
      </c>
      <c r="E854" t="s">
        <v>55</v>
      </c>
      <c r="F854" t="s">
        <v>46</v>
      </c>
      <c r="G854" s="58">
        <v>3046201</v>
      </c>
      <c r="H854" s="1" t="s">
        <v>56</v>
      </c>
      <c r="I854" s="1" t="s">
        <v>119</v>
      </c>
      <c r="J854" s="58">
        <v>21323407</v>
      </c>
      <c r="K854" s="1" t="s">
        <v>106</v>
      </c>
      <c r="L854" s="1" t="s">
        <v>114</v>
      </c>
      <c r="N854" s="1">
        <v>1</v>
      </c>
      <c r="O854" s="58"/>
      <c r="P854" s="58">
        <v>822474.27</v>
      </c>
      <c r="Q854" t="s">
        <v>107</v>
      </c>
      <c r="R854" s="1" t="s">
        <v>158</v>
      </c>
    </row>
    <row r="855" spans="3:18" x14ac:dyDescent="0.35">
      <c r="C855" t="s">
        <v>53</v>
      </c>
      <c r="D855" t="s">
        <v>21</v>
      </c>
      <c r="E855" t="s">
        <v>45</v>
      </c>
      <c r="F855" t="s">
        <v>46</v>
      </c>
      <c r="G855" s="58">
        <v>942400</v>
      </c>
      <c r="H855" s="1" t="s">
        <v>59</v>
      </c>
      <c r="I855" s="1" t="s">
        <v>111</v>
      </c>
      <c r="J855" s="58">
        <v>11308800</v>
      </c>
      <c r="K855" s="1" t="s">
        <v>112</v>
      </c>
      <c r="N855" s="1">
        <v>1</v>
      </c>
      <c r="O855" s="58"/>
      <c r="P855" s="58">
        <v>1083760</v>
      </c>
      <c r="Q855" t="s">
        <v>110</v>
      </c>
      <c r="R855" s="1" t="s">
        <v>158</v>
      </c>
    </row>
    <row r="856" spans="3:18" x14ac:dyDescent="0.35">
      <c r="C856" t="s">
        <v>51</v>
      </c>
      <c r="D856" t="s">
        <v>92</v>
      </c>
      <c r="E856" t="s">
        <v>55</v>
      </c>
      <c r="F856" t="s">
        <v>46</v>
      </c>
      <c r="G856" s="58">
        <v>8279563</v>
      </c>
      <c r="H856" s="1" t="s">
        <v>48</v>
      </c>
      <c r="I856" s="1" t="s">
        <v>108</v>
      </c>
      <c r="J856" s="58">
        <v>264946016</v>
      </c>
      <c r="K856" s="1" t="s">
        <v>106</v>
      </c>
      <c r="L856" s="1" t="s">
        <v>114</v>
      </c>
      <c r="M856" s="1" t="s">
        <v>123</v>
      </c>
      <c r="N856" s="1">
        <v>1</v>
      </c>
      <c r="O856" s="58"/>
      <c r="P856" s="58">
        <v>5795694.0999999996</v>
      </c>
      <c r="Q856" t="s">
        <v>118</v>
      </c>
      <c r="R856" s="1" t="s">
        <v>158</v>
      </c>
    </row>
    <row r="857" spans="3:18" x14ac:dyDescent="0.35">
      <c r="C857" t="s">
        <v>51</v>
      </c>
      <c r="D857" t="s">
        <v>20</v>
      </c>
      <c r="E857" t="s">
        <v>49</v>
      </c>
      <c r="F857" t="s">
        <v>46</v>
      </c>
      <c r="G857" s="58">
        <v>1651440</v>
      </c>
      <c r="H857" s="1" t="s">
        <v>56</v>
      </c>
      <c r="I857" s="1" t="s">
        <v>108</v>
      </c>
      <c r="J857" s="58">
        <v>57800400</v>
      </c>
      <c r="K857" s="1" t="s">
        <v>112</v>
      </c>
      <c r="N857" s="1">
        <v>1</v>
      </c>
      <c r="O857" s="58"/>
      <c r="P857" s="58">
        <v>875263.2</v>
      </c>
      <c r="Q857" t="s">
        <v>113</v>
      </c>
      <c r="R857" s="1" t="s">
        <v>158</v>
      </c>
    </row>
    <row r="858" spans="3:18" x14ac:dyDescent="0.35">
      <c r="C858" t="s">
        <v>51</v>
      </c>
      <c r="D858" t="s">
        <v>60</v>
      </c>
      <c r="E858" t="s">
        <v>60</v>
      </c>
      <c r="F858" t="s">
        <v>46</v>
      </c>
      <c r="G858" s="58">
        <v>30</v>
      </c>
      <c r="H858" s="1" t="s">
        <v>61</v>
      </c>
      <c r="I858" s="1" t="s">
        <v>105</v>
      </c>
      <c r="J858" s="58"/>
      <c r="K858" s="1" t="s">
        <v>106</v>
      </c>
      <c r="N858" s="1">
        <v>0</v>
      </c>
      <c r="O858" s="58"/>
      <c r="P858" s="58">
        <v>0</v>
      </c>
      <c r="Q858" t="s">
        <v>107</v>
      </c>
    </row>
    <row r="859" spans="3:18" x14ac:dyDescent="0.35">
      <c r="C859" t="s">
        <v>51</v>
      </c>
      <c r="D859" t="s">
        <v>23</v>
      </c>
      <c r="E859" t="s">
        <v>55</v>
      </c>
      <c r="F859" t="s">
        <v>46</v>
      </c>
      <c r="G859" s="58">
        <v>98799</v>
      </c>
      <c r="H859" s="1" t="s">
        <v>59</v>
      </c>
      <c r="I859" s="1" t="s">
        <v>119</v>
      </c>
      <c r="J859" s="58">
        <v>987990</v>
      </c>
      <c r="K859" s="1" t="s">
        <v>112</v>
      </c>
      <c r="N859" s="1">
        <v>1</v>
      </c>
      <c r="O859" s="58"/>
      <c r="P859" s="58">
        <v>31615.68</v>
      </c>
      <c r="Q859" t="s">
        <v>107</v>
      </c>
      <c r="R859" s="1" t="s">
        <v>158</v>
      </c>
    </row>
    <row r="860" spans="3:18" x14ac:dyDescent="0.35">
      <c r="C860" t="s">
        <v>51</v>
      </c>
      <c r="D860" t="s">
        <v>25</v>
      </c>
      <c r="E860" t="s">
        <v>55</v>
      </c>
      <c r="F860" t="s">
        <v>46</v>
      </c>
      <c r="G860" s="58">
        <v>3485486</v>
      </c>
      <c r="H860" s="1" t="s">
        <v>47</v>
      </c>
      <c r="I860" s="1" t="s">
        <v>111</v>
      </c>
      <c r="J860" s="58">
        <v>59253262</v>
      </c>
      <c r="K860" s="1" t="s">
        <v>106</v>
      </c>
      <c r="L860" s="1" t="s">
        <v>114</v>
      </c>
      <c r="N860" s="1">
        <v>1</v>
      </c>
      <c r="O860" s="58"/>
      <c r="P860" s="58">
        <v>1742743</v>
      </c>
      <c r="Q860" t="s">
        <v>113</v>
      </c>
      <c r="R860" s="1" t="s">
        <v>158</v>
      </c>
    </row>
    <row r="861" spans="3:18" x14ac:dyDescent="0.35">
      <c r="C861" t="s">
        <v>51</v>
      </c>
      <c r="D861" t="s">
        <v>24</v>
      </c>
      <c r="E861" t="s">
        <v>55</v>
      </c>
      <c r="F861" t="s">
        <v>46</v>
      </c>
      <c r="G861" s="58">
        <v>3415617</v>
      </c>
      <c r="H861" s="1" t="s">
        <v>47</v>
      </c>
      <c r="I861" s="1" t="s">
        <v>108</v>
      </c>
      <c r="J861" s="58">
        <v>95637276</v>
      </c>
      <c r="K861" s="1" t="s">
        <v>106</v>
      </c>
      <c r="L861" s="1" t="s">
        <v>120</v>
      </c>
      <c r="N861" s="1">
        <v>1</v>
      </c>
      <c r="O861" s="58"/>
      <c r="P861" s="58">
        <v>922216.59</v>
      </c>
      <c r="Q861" t="s">
        <v>107</v>
      </c>
      <c r="R861" s="1" t="s">
        <v>158</v>
      </c>
    </row>
    <row r="862" spans="3:18" x14ac:dyDescent="0.35">
      <c r="C862" t="s">
        <v>51</v>
      </c>
      <c r="D862" t="s">
        <v>23</v>
      </c>
      <c r="E862" t="s">
        <v>45</v>
      </c>
      <c r="F862" t="s">
        <v>46</v>
      </c>
      <c r="G862" s="58">
        <v>70897893</v>
      </c>
      <c r="H862" s="1" t="s">
        <v>48</v>
      </c>
      <c r="I862" s="1" t="s">
        <v>111</v>
      </c>
      <c r="J862" s="58">
        <v>1134366288</v>
      </c>
      <c r="K862" s="1" t="s">
        <v>106</v>
      </c>
      <c r="L862" s="1" t="s">
        <v>120</v>
      </c>
      <c r="M862" s="1" t="s">
        <v>125</v>
      </c>
      <c r="N862" s="1">
        <v>1</v>
      </c>
      <c r="O862" s="58"/>
      <c r="P862" s="58">
        <v>35448946.5</v>
      </c>
      <c r="Q862" t="s">
        <v>113</v>
      </c>
      <c r="R862" s="1" t="s">
        <v>158</v>
      </c>
    </row>
    <row r="863" spans="3:18" x14ac:dyDescent="0.35">
      <c r="C863" t="s">
        <v>51</v>
      </c>
      <c r="D863" t="s">
        <v>21</v>
      </c>
      <c r="E863" t="s">
        <v>45</v>
      </c>
      <c r="F863" t="s">
        <v>46</v>
      </c>
      <c r="G863" s="58">
        <v>472026</v>
      </c>
      <c r="H863" s="1" t="s">
        <v>48</v>
      </c>
      <c r="I863" s="1" t="s">
        <v>108</v>
      </c>
      <c r="J863" s="58">
        <v>12744702</v>
      </c>
      <c r="K863" s="1" t="s">
        <v>106</v>
      </c>
      <c r="L863" s="1" t="s">
        <v>124</v>
      </c>
      <c r="M863" s="1" t="s">
        <v>122</v>
      </c>
      <c r="N863" s="1">
        <v>1</v>
      </c>
      <c r="O863" s="58"/>
      <c r="P863" s="58">
        <v>174649.62</v>
      </c>
      <c r="Q863" t="s">
        <v>107</v>
      </c>
      <c r="R863" s="1" t="s">
        <v>48</v>
      </c>
    </row>
    <row r="864" spans="3:18" x14ac:dyDescent="0.35">
      <c r="C864" t="s">
        <v>51</v>
      </c>
      <c r="D864" t="s">
        <v>20</v>
      </c>
      <c r="E864" t="s">
        <v>49</v>
      </c>
      <c r="F864" t="s">
        <v>46</v>
      </c>
      <c r="G864" s="58">
        <v>60945</v>
      </c>
      <c r="H864" s="1" t="s">
        <v>47</v>
      </c>
      <c r="I864" s="1" t="s">
        <v>105</v>
      </c>
      <c r="J864" s="58">
        <v>243780</v>
      </c>
      <c r="K864" s="1" t="s">
        <v>106</v>
      </c>
      <c r="L864" s="1" t="s">
        <v>114</v>
      </c>
      <c r="N864" s="1">
        <v>1</v>
      </c>
      <c r="O864" s="58"/>
      <c r="P864" s="58">
        <v>7313.4</v>
      </c>
      <c r="Q864" t="s">
        <v>107</v>
      </c>
      <c r="R864" s="1" t="s">
        <v>158</v>
      </c>
    </row>
    <row r="865" spans="3:18" x14ac:dyDescent="0.35">
      <c r="C865" t="s">
        <v>53</v>
      </c>
      <c r="D865" t="s">
        <v>21</v>
      </c>
      <c r="E865" t="s">
        <v>55</v>
      </c>
      <c r="F865" t="s">
        <v>46</v>
      </c>
      <c r="G865" s="58">
        <v>229597</v>
      </c>
      <c r="H865" s="1" t="s">
        <v>47</v>
      </c>
      <c r="I865" s="1" t="s">
        <v>128</v>
      </c>
      <c r="J865" s="58"/>
      <c r="K865" s="1" t="s">
        <v>106</v>
      </c>
      <c r="L865" s="1" t="s">
        <v>114</v>
      </c>
      <c r="N865" s="1">
        <v>0</v>
      </c>
      <c r="O865" s="58"/>
      <c r="P865" s="58">
        <v>128574.32</v>
      </c>
      <c r="Q865" t="s">
        <v>113</v>
      </c>
      <c r="R865" s="1" t="s">
        <v>158</v>
      </c>
    </row>
    <row r="866" spans="3:18" x14ac:dyDescent="0.35">
      <c r="C866" t="s">
        <v>51</v>
      </c>
      <c r="D866" t="s">
        <v>20</v>
      </c>
      <c r="E866" t="s">
        <v>49</v>
      </c>
      <c r="F866" t="s">
        <v>46</v>
      </c>
      <c r="G866" s="58">
        <v>12000</v>
      </c>
      <c r="H866" s="1" t="s">
        <v>54</v>
      </c>
      <c r="I866" s="1" t="s">
        <v>105</v>
      </c>
      <c r="J866" s="58">
        <v>36000</v>
      </c>
      <c r="K866" s="1" t="s">
        <v>106</v>
      </c>
      <c r="L866" s="1" t="s">
        <v>124</v>
      </c>
      <c r="N866" s="1">
        <v>1</v>
      </c>
      <c r="O866" s="58"/>
      <c r="P866" s="58">
        <v>15120</v>
      </c>
      <c r="Q866" t="s">
        <v>110</v>
      </c>
      <c r="R866" s="1" t="s">
        <v>158</v>
      </c>
    </row>
    <row r="867" spans="3:18" x14ac:dyDescent="0.35">
      <c r="C867" t="s">
        <v>51</v>
      </c>
      <c r="D867" t="s">
        <v>19</v>
      </c>
      <c r="E867" t="s">
        <v>49</v>
      </c>
      <c r="F867" t="s">
        <v>46</v>
      </c>
      <c r="G867" s="58">
        <v>425062</v>
      </c>
      <c r="H867" s="1" t="s">
        <v>47</v>
      </c>
      <c r="I867" s="1" t="s">
        <v>108</v>
      </c>
      <c r="J867" s="58">
        <v>15302232</v>
      </c>
      <c r="K867" s="1" t="s">
        <v>106</v>
      </c>
      <c r="L867" s="1" t="s">
        <v>120</v>
      </c>
      <c r="N867" s="1">
        <v>1</v>
      </c>
      <c r="O867" s="58"/>
      <c r="P867" s="58">
        <v>433563.24</v>
      </c>
      <c r="Q867" t="s">
        <v>110</v>
      </c>
      <c r="R867" s="1" t="s">
        <v>158</v>
      </c>
    </row>
    <row r="868" spans="3:18" x14ac:dyDescent="0.35">
      <c r="C868" t="s">
        <v>53</v>
      </c>
      <c r="D868" t="s">
        <v>19</v>
      </c>
      <c r="E868" t="s">
        <v>49</v>
      </c>
      <c r="F868" t="s">
        <v>46</v>
      </c>
      <c r="G868" s="58">
        <v>120352</v>
      </c>
      <c r="H868" s="1" t="s">
        <v>54</v>
      </c>
      <c r="I868" s="1" t="s">
        <v>111</v>
      </c>
      <c r="J868" s="58">
        <v>1444224</v>
      </c>
      <c r="K868" s="1" t="s">
        <v>112</v>
      </c>
      <c r="N868" s="1">
        <v>1</v>
      </c>
      <c r="O868" s="58"/>
      <c r="P868" s="58">
        <v>4814.08</v>
      </c>
      <c r="Q868" t="s">
        <v>107</v>
      </c>
      <c r="R868" s="1" t="s">
        <v>158</v>
      </c>
    </row>
    <row r="869" spans="3:18" x14ac:dyDescent="0.35">
      <c r="C869" t="s">
        <v>51</v>
      </c>
      <c r="D869" t="s">
        <v>24</v>
      </c>
      <c r="E869" t="s">
        <v>62</v>
      </c>
      <c r="F869" t="s">
        <v>46</v>
      </c>
      <c r="G869" s="58">
        <v>1274579</v>
      </c>
      <c r="H869" s="1" t="s">
        <v>48</v>
      </c>
      <c r="I869" s="1" t="s">
        <v>119</v>
      </c>
      <c r="J869" s="58">
        <v>10196632</v>
      </c>
      <c r="K869" s="1" t="s">
        <v>106</v>
      </c>
      <c r="L869" s="1" t="s">
        <v>131</v>
      </c>
      <c r="M869" s="1" t="s">
        <v>121</v>
      </c>
      <c r="N869" s="1">
        <v>1</v>
      </c>
      <c r="O869" s="58"/>
      <c r="P869" s="58">
        <v>611797.92000000004</v>
      </c>
      <c r="Q869" t="s">
        <v>113</v>
      </c>
      <c r="R869" s="1" t="s">
        <v>48</v>
      </c>
    </row>
    <row r="870" spans="3:18" x14ac:dyDescent="0.35">
      <c r="C870" t="s">
        <v>51</v>
      </c>
      <c r="D870" t="s">
        <v>23</v>
      </c>
      <c r="E870" t="s">
        <v>45</v>
      </c>
      <c r="F870" t="s">
        <v>46</v>
      </c>
      <c r="G870" s="58">
        <v>496707</v>
      </c>
      <c r="H870" s="1" t="s">
        <v>56</v>
      </c>
      <c r="I870" s="1" t="s">
        <v>111</v>
      </c>
      <c r="J870" s="58">
        <v>8940726</v>
      </c>
      <c r="K870" s="1" t="s">
        <v>106</v>
      </c>
      <c r="L870" s="1" t="s">
        <v>120</v>
      </c>
      <c r="N870" s="1">
        <v>1</v>
      </c>
      <c r="O870" s="58"/>
      <c r="P870" s="58">
        <v>546377.69999999995</v>
      </c>
      <c r="Q870" t="s">
        <v>110</v>
      </c>
      <c r="R870" s="1" t="s">
        <v>158</v>
      </c>
    </row>
    <row r="871" spans="3:18" x14ac:dyDescent="0.35">
      <c r="C871" t="s">
        <v>51</v>
      </c>
      <c r="D871" t="s">
        <v>22</v>
      </c>
      <c r="E871" t="s">
        <v>55</v>
      </c>
      <c r="F871" t="s">
        <v>46</v>
      </c>
      <c r="G871" s="58">
        <v>4896063</v>
      </c>
      <c r="H871" s="1" t="s">
        <v>48</v>
      </c>
      <c r="I871" s="1" t="s">
        <v>111</v>
      </c>
      <c r="J871" s="58">
        <v>83233071</v>
      </c>
      <c r="K871" s="1" t="s">
        <v>106</v>
      </c>
      <c r="L871" s="1" t="s">
        <v>114</v>
      </c>
      <c r="M871" s="1" t="s">
        <v>115</v>
      </c>
      <c r="N871" s="1">
        <v>1</v>
      </c>
      <c r="O871" s="58"/>
      <c r="P871" s="58">
        <v>3231401.58</v>
      </c>
      <c r="Q871" t="s">
        <v>118</v>
      </c>
      <c r="R871" s="1" t="s">
        <v>48</v>
      </c>
    </row>
    <row r="872" spans="3:18" x14ac:dyDescent="0.35">
      <c r="C872" t="s">
        <v>53</v>
      </c>
      <c r="D872" t="s">
        <v>24</v>
      </c>
      <c r="E872" t="s">
        <v>45</v>
      </c>
      <c r="F872" t="s">
        <v>46</v>
      </c>
      <c r="G872" s="58">
        <v>205473</v>
      </c>
      <c r="H872" s="1" t="s">
        <v>47</v>
      </c>
      <c r="I872" s="1" t="s">
        <v>105</v>
      </c>
      <c r="J872" s="58">
        <v>205473</v>
      </c>
      <c r="K872" s="1" t="s">
        <v>106</v>
      </c>
      <c r="L872" s="1" t="s">
        <v>120</v>
      </c>
      <c r="N872" s="1">
        <v>1</v>
      </c>
      <c r="O872" s="58"/>
      <c r="P872" s="58">
        <v>16437.84</v>
      </c>
      <c r="Q872" t="s">
        <v>107</v>
      </c>
      <c r="R872" s="1" t="s">
        <v>158</v>
      </c>
    </row>
    <row r="873" spans="3:18" x14ac:dyDescent="0.35">
      <c r="C873" t="s">
        <v>53</v>
      </c>
      <c r="D873" t="s">
        <v>20</v>
      </c>
      <c r="E873" t="s">
        <v>49</v>
      </c>
      <c r="F873" t="s">
        <v>46</v>
      </c>
      <c r="G873" s="58">
        <v>10506617</v>
      </c>
      <c r="H873" s="1" t="s">
        <v>47</v>
      </c>
      <c r="I873" s="1" t="s">
        <v>111</v>
      </c>
      <c r="J873" s="58">
        <v>136586021</v>
      </c>
      <c r="K873" s="1" t="s">
        <v>106</v>
      </c>
      <c r="L873" s="1" t="s">
        <v>124</v>
      </c>
      <c r="N873" s="1">
        <v>1</v>
      </c>
      <c r="O873" s="58"/>
      <c r="P873" s="58">
        <v>1891191.06</v>
      </c>
      <c r="Q873" t="s">
        <v>107</v>
      </c>
      <c r="R873" s="1" t="s">
        <v>158</v>
      </c>
    </row>
    <row r="874" spans="3:18" x14ac:dyDescent="0.35">
      <c r="C874" t="s">
        <v>53</v>
      </c>
      <c r="D874" t="s">
        <v>19</v>
      </c>
      <c r="E874" t="s">
        <v>45</v>
      </c>
      <c r="F874" t="s">
        <v>46</v>
      </c>
      <c r="G874" s="58">
        <v>63</v>
      </c>
      <c r="H874" s="1" t="s">
        <v>47</v>
      </c>
      <c r="I874" s="1" t="s">
        <v>105</v>
      </c>
      <c r="J874" s="58"/>
      <c r="K874" s="1" t="s">
        <v>106</v>
      </c>
      <c r="L874" s="1" t="s">
        <v>120</v>
      </c>
      <c r="N874" s="1">
        <v>0</v>
      </c>
      <c r="O874" s="58"/>
      <c r="P874" s="58">
        <v>0</v>
      </c>
      <c r="Q874" t="s">
        <v>107</v>
      </c>
      <c r="R874" s="1" t="s">
        <v>158</v>
      </c>
    </row>
    <row r="875" spans="3:18" x14ac:dyDescent="0.35">
      <c r="C875" t="s">
        <v>51</v>
      </c>
      <c r="D875" t="s">
        <v>19</v>
      </c>
      <c r="E875" t="s">
        <v>49</v>
      </c>
      <c r="F875" t="s">
        <v>64</v>
      </c>
      <c r="G875" s="58">
        <v>416531</v>
      </c>
      <c r="H875" s="1" t="s">
        <v>48</v>
      </c>
      <c r="I875" s="1" t="s">
        <v>108</v>
      </c>
      <c r="J875" s="58">
        <v>14578585</v>
      </c>
      <c r="K875" s="1" t="s">
        <v>106</v>
      </c>
      <c r="L875" s="1" t="s">
        <v>124</v>
      </c>
      <c r="M875" s="1" t="s">
        <v>122</v>
      </c>
      <c r="N875" s="1">
        <v>1</v>
      </c>
      <c r="O875" s="58"/>
      <c r="P875" s="58">
        <v>349886.04</v>
      </c>
      <c r="Q875" t="s">
        <v>127</v>
      </c>
      <c r="R875" s="1" t="s">
        <v>48</v>
      </c>
    </row>
    <row r="876" spans="3:18" x14ac:dyDescent="0.35">
      <c r="C876" t="s">
        <v>53</v>
      </c>
      <c r="D876" t="s">
        <v>19</v>
      </c>
      <c r="E876" t="s">
        <v>45</v>
      </c>
      <c r="F876" t="s">
        <v>46</v>
      </c>
      <c r="G876" s="58">
        <v>223391</v>
      </c>
      <c r="H876" s="1" t="s">
        <v>56</v>
      </c>
      <c r="I876" s="1" t="s">
        <v>111</v>
      </c>
      <c r="J876" s="58">
        <v>2457301</v>
      </c>
      <c r="K876" s="1" t="s">
        <v>106</v>
      </c>
      <c r="L876" s="1" t="s">
        <v>120</v>
      </c>
      <c r="N876" s="1">
        <v>1</v>
      </c>
      <c r="O876" s="58"/>
      <c r="P876" s="58">
        <v>127332.87</v>
      </c>
      <c r="Q876" t="s">
        <v>113</v>
      </c>
      <c r="R876" s="1" t="s">
        <v>158</v>
      </c>
    </row>
    <row r="877" spans="3:18" x14ac:dyDescent="0.35">
      <c r="C877" t="s">
        <v>51</v>
      </c>
      <c r="D877" t="s">
        <v>19</v>
      </c>
      <c r="E877" t="s">
        <v>49</v>
      </c>
      <c r="F877" t="s">
        <v>46</v>
      </c>
      <c r="G877" s="58">
        <v>227397</v>
      </c>
      <c r="H877" s="1" t="s">
        <v>48</v>
      </c>
      <c r="I877" s="1" t="s">
        <v>111</v>
      </c>
      <c r="J877" s="58">
        <v>3410955</v>
      </c>
      <c r="K877" s="1" t="s">
        <v>106</v>
      </c>
      <c r="L877" s="1" t="s">
        <v>114</v>
      </c>
      <c r="M877" s="1" t="s">
        <v>122</v>
      </c>
      <c r="N877" s="1">
        <v>1</v>
      </c>
      <c r="O877" s="58"/>
      <c r="P877" s="58">
        <v>102328.65</v>
      </c>
      <c r="Q877" t="s">
        <v>113</v>
      </c>
      <c r="R877" s="1" t="s">
        <v>158</v>
      </c>
    </row>
    <row r="878" spans="3:18" x14ac:dyDescent="0.35">
      <c r="C878" t="s">
        <v>51</v>
      </c>
      <c r="D878" t="s">
        <v>20</v>
      </c>
      <c r="E878" t="s">
        <v>49</v>
      </c>
      <c r="F878" t="s">
        <v>46</v>
      </c>
      <c r="G878" s="58">
        <v>1004098</v>
      </c>
      <c r="H878" s="1" t="s">
        <v>48</v>
      </c>
      <c r="I878" s="1" t="s">
        <v>105</v>
      </c>
      <c r="J878" s="58">
        <v>4016392</v>
      </c>
      <c r="K878" s="1" t="s">
        <v>106</v>
      </c>
      <c r="L878" s="1" t="s">
        <v>124</v>
      </c>
      <c r="M878" s="1" t="s">
        <v>123</v>
      </c>
      <c r="N878" s="1">
        <v>1</v>
      </c>
      <c r="O878" s="58"/>
      <c r="P878" s="58">
        <v>461885.08</v>
      </c>
      <c r="Q878" t="s">
        <v>113</v>
      </c>
      <c r="R878" s="1" t="s">
        <v>48</v>
      </c>
    </row>
    <row r="879" spans="3:18" x14ac:dyDescent="0.35">
      <c r="C879" t="s">
        <v>51</v>
      </c>
      <c r="D879" t="s">
        <v>24</v>
      </c>
      <c r="E879" t="s">
        <v>50</v>
      </c>
      <c r="F879" t="s">
        <v>46</v>
      </c>
      <c r="G879" s="58">
        <v>1235895</v>
      </c>
      <c r="H879" s="1" t="s">
        <v>47</v>
      </c>
      <c r="I879" s="1" t="s">
        <v>108</v>
      </c>
      <c r="J879" s="58">
        <v>34605060</v>
      </c>
      <c r="K879" s="1" t="s">
        <v>106</v>
      </c>
      <c r="L879" s="1" t="s">
        <v>124</v>
      </c>
      <c r="N879" s="1">
        <v>1</v>
      </c>
      <c r="O879" s="58"/>
      <c r="P879" s="58">
        <v>679742.25</v>
      </c>
      <c r="Q879" t="s">
        <v>113</v>
      </c>
      <c r="R879" s="1" t="s">
        <v>158</v>
      </c>
    </row>
    <row r="880" spans="3:18" x14ac:dyDescent="0.35">
      <c r="C880" t="s">
        <v>53</v>
      </c>
      <c r="D880" t="s">
        <v>21</v>
      </c>
      <c r="E880" t="s">
        <v>45</v>
      </c>
      <c r="F880" t="s">
        <v>46</v>
      </c>
      <c r="G880" s="58">
        <v>407261</v>
      </c>
      <c r="H880" s="1" t="s">
        <v>48</v>
      </c>
      <c r="I880" s="1" t="s">
        <v>105</v>
      </c>
      <c r="J880" s="58"/>
      <c r="K880" s="1" t="s">
        <v>106</v>
      </c>
      <c r="L880" s="1" t="s">
        <v>120</v>
      </c>
      <c r="M880" s="1" t="s">
        <v>126</v>
      </c>
      <c r="N880" s="1">
        <v>0</v>
      </c>
      <c r="O880" s="58"/>
      <c r="P880" s="58">
        <v>40726.1</v>
      </c>
      <c r="Q880" t="s">
        <v>107</v>
      </c>
      <c r="R880" s="1" t="s">
        <v>158</v>
      </c>
    </row>
    <row r="881" spans="3:18" x14ac:dyDescent="0.35">
      <c r="C881" t="s">
        <v>51</v>
      </c>
      <c r="D881" t="s">
        <v>22</v>
      </c>
      <c r="E881" t="s">
        <v>62</v>
      </c>
      <c r="F881" t="s">
        <v>46</v>
      </c>
      <c r="G881" s="58">
        <v>232772</v>
      </c>
      <c r="H881" s="1" t="s">
        <v>48</v>
      </c>
      <c r="I881" s="1" t="s">
        <v>108</v>
      </c>
      <c r="J881" s="58">
        <v>8612564</v>
      </c>
      <c r="K881" s="1" t="s">
        <v>112</v>
      </c>
      <c r="N881" s="1">
        <v>1</v>
      </c>
      <c r="O881" s="58"/>
      <c r="P881" s="58">
        <v>69831.600000000006</v>
      </c>
      <c r="Q881" t="s">
        <v>107</v>
      </c>
      <c r="R881" s="1" t="s">
        <v>48</v>
      </c>
    </row>
    <row r="882" spans="3:18" x14ac:dyDescent="0.35">
      <c r="C882" t="s">
        <v>51</v>
      </c>
      <c r="D882" t="s">
        <v>24</v>
      </c>
      <c r="E882" t="s">
        <v>52</v>
      </c>
      <c r="F882" t="s">
        <v>46</v>
      </c>
      <c r="G882" s="58">
        <v>715133</v>
      </c>
      <c r="H882" s="1" t="s">
        <v>48</v>
      </c>
      <c r="I882" s="1" t="s">
        <v>108</v>
      </c>
      <c r="J882" s="58">
        <v>24314522</v>
      </c>
      <c r="K882" s="1" t="s">
        <v>106</v>
      </c>
      <c r="L882" s="1" t="s">
        <v>114</v>
      </c>
      <c r="M882" s="1" t="s">
        <v>121</v>
      </c>
      <c r="N882" s="1">
        <v>1</v>
      </c>
      <c r="O882" s="58"/>
      <c r="P882" s="58">
        <v>493441.77</v>
      </c>
      <c r="Q882" t="s">
        <v>118</v>
      </c>
      <c r="R882" s="1" t="s">
        <v>48</v>
      </c>
    </row>
    <row r="883" spans="3:18" x14ac:dyDescent="0.35">
      <c r="C883" t="s">
        <v>51</v>
      </c>
      <c r="D883" t="s">
        <v>23</v>
      </c>
      <c r="E883" t="s">
        <v>45</v>
      </c>
      <c r="F883" t="s">
        <v>64</v>
      </c>
      <c r="G883" s="58">
        <v>150097</v>
      </c>
      <c r="H883" s="1" t="s">
        <v>48</v>
      </c>
      <c r="I883" s="1" t="s">
        <v>108</v>
      </c>
      <c r="J883" s="58">
        <v>5253395</v>
      </c>
      <c r="K883" s="1" t="s">
        <v>112</v>
      </c>
      <c r="N883" s="1">
        <v>1</v>
      </c>
      <c r="O883" s="58"/>
      <c r="P883" s="58">
        <v>48031.040000000001</v>
      </c>
      <c r="Q883" t="s">
        <v>107</v>
      </c>
      <c r="R883" s="1" t="s">
        <v>48</v>
      </c>
    </row>
    <row r="884" spans="3:18" x14ac:dyDescent="0.35">
      <c r="C884" t="s">
        <v>51</v>
      </c>
      <c r="D884" t="s">
        <v>22</v>
      </c>
      <c r="E884" t="s">
        <v>55</v>
      </c>
      <c r="F884" t="s">
        <v>46</v>
      </c>
      <c r="G884" s="58">
        <v>188668</v>
      </c>
      <c r="H884" s="1" t="s">
        <v>47</v>
      </c>
      <c r="I884" s="1" t="s">
        <v>111</v>
      </c>
      <c r="J884" s="58">
        <v>2830020</v>
      </c>
      <c r="K884" s="1" t="s">
        <v>106</v>
      </c>
      <c r="L884" s="1" t="s">
        <v>114</v>
      </c>
      <c r="N884" s="1">
        <v>1</v>
      </c>
      <c r="O884" s="58"/>
      <c r="P884" s="58">
        <v>69807.16</v>
      </c>
      <c r="Q884" t="s">
        <v>107</v>
      </c>
      <c r="R884" s="1" t="s">
        <v>158</v>
      </c>
    </row>
    <row r="885" spans="3:18" x14ac:dyDescent="0.35">
      <c r="C885" t="s">
        <v>51</v>
      </c>
      <c r="D885" t="s">
        <v>23</v>
      </c>
      <c r="E885" t="s">
        <v>55</v>
      </c>
      <c r="F885" t="s">
        <v>46</v>
      </c>
      <c r="G885" s="58">
        <v>11042819</v>
      </c>
      <c r="H885" s="1" t="s">
        <v>47</v>
      </c>
      <c r="I885" s="1" t="s">
        <v>108</v>
      </c>
      <c r="J885" s="58">
        <v>342327389</v>
      </c>
      <c r="K885" s="1" t="s">
        <v>106</v>
      </c>
      <c r="L885" s="1" t="s">
        <v>114</v>
      </c>
      <c r="N885" s="1">
        <v>1</v>
      </c>
      <c r="O885" s="58"/>
      <c r="P885" s="58">
        <v>13803523.75</v>
      </c>
      <c r="Q885" t="s">
        <v>110</v>
      </c>
      <c r="R885" s="1" t="s">
        <v>158</v>
      </c>
    </row>
    <row r="886" spans="3:18" x14ac:dyDescent="0.35">
      <c r="C886" t="s">
        <v>51</v>
      </c>
      <c r="D886" t="s">
        <v>25</v>
      </c>
      <c r="E886" t="s">
        <v>55</v>
      </c>
      <c r="F886" t="s">
        <v>46</v>
      </c>
      <c r="G886" s="58">
        <v>127353</v>
      </c>
      <c r="H886" s="1" t="s">
        <v>48</v>
      </c>
      <c r="I886" s="1" t="s">
        <v>111</v>
      </c>
      <c r="J886" s="58">
        <v>1400883</v>
      </c>
      <c r="K886" s="1" t="s">
        <v>106</v>
      </c>
      <c r="L886" s="1" t="s">
        <v>114</v>
      </c>
      <c r="M886" s="1" t="s">
        <v>117</v>
      </c>
      <c r="N886" s="1">
        <v>1</v>
      </c>
      <c r="O886" s="58"/>
      <c r="P886" s="58">
        <v>45847.08</v>
      </c>
      <c r="Q886" t="s">
        <v>107</v>
      </c>
      <c r="R886" s="1" t="s">
        <v>158</v>
      </c>
    </row>
    <row r="887" spans="3:18" x14ac:dyDescent="0.35">
      <c r="C887" t="s">
        <v>53</v>
      </c>
      <c r="D887" t="s">
        <v>19</v>
      </c>
      <c r="E887" t="s">
        <v>49</v>
      </c>
      <c r="F887" t="s">
        <v>46</v>
      </c>
      <c r="G887" s="58">
        <v>101378</v>
      </c>
      <c r="H887" s="1" t="s">
        <v>56</v>
      </c>
      <c r="I887" s="1" t="s">
        <v>119</v>
      </c>
      <c r="J887" s="58">
        <v>506890</v>
      </c>
      <c r="K887" s="1" t="s">
        <v>106</v>
      </c>
      <c r="L887" s="1" t="s">
        <v>124</v>
      </c>
      <c r="N887" s="1">
        <v>1</v>
      </c>
      <c r="O887" s="58"/>
      <c r="P887" s="58">
        <v>42578.76</v>
      </c>
      <c r="Q887" t="s">
        <v>113</v>
      </c>
      <c r="R887" s="1" t="s">
        <v>158</v>
      </c>
    </row>
    <row r="888" spans="3:18" x14ac:dyDescent="0.35">
      <c r="C888" t="s">
        <v>51</v>
      </c>
      <c r="D888" t="s">
        <v>22</v>
      </c>
      <c r="E888" t="s">
        <v>45</v>
      </c>
      <c r="F888" t="s">
        <v>46</v>
      </c>
      <c r="G888" s="58">
        <v>11955240</v>
      </c>
      <c r="H888" s="1" t="s">
        <v>47</v>
      </c>
      <c r="I888" s="1" t="s">
        <v>108</v>
      </c>
      <c r="J888" s="58">
        <v>334746720</v>
      </c>
      <c r="K888" s="1" t="s">
        <v>106</v>
      </c>
      <c r="L888" s="1" t="s">
        <v>124</v>
      </c>
      <c r="N888" s="1">
        <v>1</v>
      </c>
      <c r="O888" s="58"/>
      <c r="P888" s="58">
        <v>3227914.8</v>
      </c>
      <c r="Q888" t="s">
        <v>107</v>
      </c>
      <c r="R888" s="1" t="s">
        <v>158</v>
      </c>
    </row>
    <row r="889" spans="3:18" x14ac:dyDescent="0.35">
      <c r="C889" t="s">
        <v>51</v>
      </c>
      <c r="D889" t="s">
        <v>20</v>
      </c>
      <c r="E889" t="s">
        <v>49</v>
      </c>
      <c r="F889" t="s">
        <v>46</v>
      </c>
      <c r="G889" s="58">
        <v>2280101</v>
      </c>
      <c r="H889" s="1" t="s">
        <v>59</v>
      </c>
      <c r="I889" s="1" t="s">
        <v>119</v>
      </c>
      <c r="J889" s="58">
        <v>15960707</v>
      </c>
      <c r="K889" s="1" t="s">
        <v>106</v>
      </c>
      <c r="L889" s="1" t="s">
        <v>124</v>
      </c>
      <c r="N889" s="1">
        <v>1</v>
      </c>
      <c r="O889" s="58"/>
      <c r="P889" s="58">
        <v>1003244.44</v>
      </c>
      <c r="Q889" t="s">
        <v>113</v>
      </c>
      <c r="R889" s="1" t="s">
        <v>158</v>
      </c>
    </row>
    <row r="890" spans="3:18" x14ac:dyDescent="0.35">
      <c r="C890" t="s">
        <v>51</v>
      </c>
      <c r="D890" t="s">
        <v>23</v>
      </c>
      <c r="E890" t="s">
        <v>55</v>
      </c>
      <c r="F890" t="s">
        <v>46</v>
      </c>
      <c r="G890" s="58">
        <v>1328013</v>
      </c>
      <c r="H890" s="1" t="s">
        <v>59</v>
      </c>
      <c r="I890" s="1" t="s">
        <v>105</v>
      </c>
      <c r="J890" s="58">
        <v>3984039</v>
      </c>
      <c r="K890" s="1" t="s">
        <v>106</v>
      </c>
      <c r="L890" s="1" t="s">
        <v>114</v>
      </c>
      <c r="N890" s="1">
        <v>1</v>
      </c>
      <c r="O890" s="58"/>
      <c r="P890" s="58">
        <v>185921.82</v>
      </c>
      <c r="Q890" t="s">
        <v>107</v>
      </c>
      <c r="R890" s="1" t="s">
        <v>158</v>
      </c>
    </row>
    <row r="891" spans="3:18" x14ac:dyDescent="0.35">
      <c r="C891" t="s">
        <v>51</v>
      </c>
      <c r="D891" t="s">
        <v>92</v>
      </c>
      <c r="E891" t="s">
        <v>45</v>
      </c>
      <c r="F891" t="s">
        <v>46</v>
      </c>
      <c r="G891" s="58">
        <v>1175753</v>
      </c>
      <c r="H891" s="1" t="s">
        <v>48</v>
      </c>
      <c r="I891" s="1" t="s">
        <v>111</v>
      </c>
      <c r="J891" s="58">
        <v>18812048</v>
      </c>
      <c r="K891" s="1" t="s">
        <v>106</v>
      </c>
      <c r="L891" s="1" t="s">
        <v>120</v>
      </c>
      <c r="M891" s="1" t="s">
        <v>123</v>
      </c>
      <c r="N891" s="1">
        <v>1</v>
      </c>
      <c r="O891" s="58"/>
      <c r="P891" s="58">
        <v>340968.37</v>
      </c>
      <c r="Q891" t="s">
        <v>107</v>
      </c>
      <c r="R891" s="1" t="s">
        <v>48</v>
      </c>
    </row>
    <row r="892" spans="3:18" x14ac:dyDescent="0.35">
      <c r="C892" t="s">
        <v>53</v>
      </c>
      <c r="D892" t="s">
        <v>22</v>
      </c>
      <c r="E892" t="s">
        <v>45</v>
      </c>
      <c r="F892" t="s">
        <v>46</v>
      </c>
      <c r="G892" s="58">
        <v>1675194</v>
      </c>
      <c r="H892" s="1" t="s">
        <v>54</v>
      </c>
      <c r="I892" s="1" t="s">
        <v>105</v>
      </c>
      <c r="J892" s="58"/>
      <c r="K892" s="1" t="s">
        <v>106</v>
      </c>
      <c r="L892" s="1" t="s">
        <v>120</v>
      </c>
      <c r="N892" s="1">
        <v>0</v>
      </c>
      <c r="O892" s="58"/>
      <c r="P892" s="58">
        <v>16751.939999999999</v>
      </c>
      <c r="Q892" t="s">
        <v>107</v>
      </c>
      <c r="R892" s="1" t="s">
        <v>158</v>
      </c>
    </row>
    <row r="893" spans="3:18" x14ac:dyDescent="0.35">
      <c r="C893" t="s">
        <v>51</v>
      </c>
      <c r="D893" t="s">
        <v>22</v>
      </c>
      <c r="E893" t="s">
        <v>45</v>
      </c>
      <c r="F893" t="s">
        <v>46</v>
      </c>
      <c r="G893" s="58">
        <v>53536</v>
      </c>
      <c r="H893" s="1" t="s">
        <v>54</v>
      </c>
      <c r="I893" s="1" t="s">
        <v>105</v>
      </c>
      <c r="J893" s="58">
        <v>267680</v>
      </c>
      <c r="K893" s="1" t="s">
        <v>112</v>
      </c>
      <c r="N893" s="1">
        <v>1</v>
      </c>
      <c r="O893" s="58"/>
      <c r="P893" s="58">
        <v>9101.1200000000008</v>
      </c>
      <c r="Q893" t="s">
        <v>107</v>
      </c>
      <c r="R893" s="1" t="s">
        <v>158</v>
      </c>
    </row>
    <row r="894" spans="3:18" x14ac:dyDescent="0.35">
      <c r="C894" t="s">
        <v>51</v>
      </c>
      <c r="D894" t="s">
        <v>24</v>
      </c>
      <c r="E894" t="s">
        <v>50</v>
      </c>
      <c r="F894" t="s">
        <v>46</v>
      </c>
      <c r="G894" s="58">
        <v>4658721</v>
      </c>
      <c r="H894" s="1" t="s">
        <v>47</v>
      </c>
      <c r="I894" s="1" t="s">
        <v>111</v>
      </c>
      <c r="J894" s="58">
        <v>79198257</v>
      </c>
      <c r="K894" s="1" t="s">
        <v>106</v>
      </c>
      <c r="L894" s="1" t="s">
        <v>109</v>
      </c>
      <c r="N894" s="1">
        <v>1</v>
      </c>
      <c r="O894" s="58"/>
      <c r="P894" s="58">
        <v>3121343.07</v>
      </c>
      <c r="Q894" t="s">
        <v>118</v>
      </c>
      <c r="R894" s="1" t="s">
        <v>158</v>
      </c>
    </row>
    <row r="895" spans="3:18" x14ac:dyDescent="0.35">
      <c r="C895" t="s">
        <v>53</v>
      </c>
      <c r="D895" t="s">
        <v>21</v>
      </c>
      <c r="E895" t="s">
        <v>45</v>
      </c>
      <c r="F895" t="s">
        <v>46</v>
      </c>
      <c r="G895" s="58">
        <v>294737</v>
      </c>
      <c r="H895" s="1" t="s">
        <v>54</v>
      </c>
      <c r="I895" s="1" t="s">
        <v>128</v>
      </c>
      <c r="J895" s="58"/>
      <c r="K895" s="1" t="s">
        <v>106</v>
      </c>
      <c r="L895" s="1" t="s">
        <v>120</v>
      </c>
      <c r="N895" s="1">
        <v>0</v>
      </c>
      <c r="O895" s="58"/>
      <c r="P895" s="58">
        <v>156210.60999999999</v>
      </c>
      <c r="Q895" t="s">
        <v>113</v>
      </c>
      <c r="R895" s="1" t="s">
        <v>158</v>
      </c>
    </row>
    <row r="896" spans="3:18" x14ac:dyDescent="0.35">
      <c r="C896" t="s">
        <v>51</v>
      </c>
      <c r="D896" t="s">
        <v>23</v>
      </c>
      <c r="E896" t="s">
        <v>45</v>
      </c>
      <c r="F896" t="s">
        <v>46</v>
      </c>
      <c r="G896" s="58">
        <v>44443</v>
      </c>
      <c r="H896" s="1" t="s">
        <v>59</v>
      </c>
      <c r="I896" s="1" t="s">
        <v>119</v>
      </c>
      <c r="J896" s="58">
        <v>355544</v>
      </c>
      <c r="K896" s="1" t="s">
        <v>112</v>
      </c>
      <c r="N896" s="1">
        <v>1</v>
      </c>
      <c r="O896" s="58"/>
      <c r="P896" s="58">
        <v>5333.16</v>
      </c>
      <c r="Q896" t="s">
        <v>107</v>
      </c>
      <c r="R896" s="1" t="s">
        <v>158</v>
      </c>
    </row>
    <row r="897" spans="3:18" x14ac:dyDescent="0.35">
      <c r="C897" t="s">
        <v>51</v>
      </c>
      <c r="D897" t="s">
        <v>21</v>
      </c>
      <c r="E897" t="s">
        <v>49</v>
      </c>
      <c r="F897" t="s">
        <v>46</v>
      </c>
      <c r="G897" s="58">
        <v>183642536</v>
      </c>
      <c r="H897" s="1" t="s">
        <v>59</v>
      </c>
      <c r="I897" s="1" t="s">
        <v>111</v>
      </c>
      <c r="J897" s="58">
        <v>2938280576</v>
      </c>
      <c r="K897" s="1" t="s">
        <v>106</v>
      </c>
      <c r="L897" s="1" t="s">
        <v>124</v>
      </c>
      <c r="N897" s="1">
        <v>1</v>
      </c>
      <c r="O897" s="58"/>
      <c r="P897" s="58">
        <v>89984842.640000001</v>
      </c>
      <c r="Q897" t="s">
        <v>113</v>
      </c>
      <c r="R897" s="1" t="s">
        <v>158</v>
      </c>
    </row>
    <row r="898" spans="3:18" x14ac:dyDescent="0.35">
      <c r="C898" t="s">
        <v>51</v>
      </c>
      <c r="D898" t="s">
        <v>22</v>
      </c>
      <c r="E898" t="s">
        <v>45</v>
      </c>
      <c r="F898" t="s">
        <v>46</v>
      </c>
      <c r="G898" s="58">
        <v>4425883</v>
      </c>
      <c r="H898" s="1" t="s">
        <v>47</v>
      </c>
      <c r="I898" s="1" t="s">
        <v>105</v>
      </c>
      <c r="J898" s="58">
        <v>8851766</v>
      </c>
      <c r="K898" s="1" t="s">
        <v>106</v>
      </c>
      <c r="L898" s="1" t="s">
        <v>124</v>
      </c>
      <c r="N898" s="1">
        <v>1</v>
      </c>
      <c r="O898" s="58"/>
      <c r="P898" s="58">
        <v>1858870.86</v>
      </c>
      <c r="Q898" t="s">
        <v>113</v>
      </c>
      <c r="R898" s="1" t="s">
        <v>158</v>
      </c>
    </row>
    <row r="899" spans="3:18" x14ac:dyDescent="0.35">
      <c r="C899" t="s">
        <v>51</v>
      </c>
      <c r="D899" t="s">
        <v>21</v>
      </c>
      <c r="E899" t="s">
        <v>45</v>
      </c>
      <c r="F899" t="s">
        <v>64</v>
      </c>
      <c r="G899" s="58">
        <v>48110</v>
      </c>
      <c r="H899" s="1" t="s">
        <v>47</v>
      </c>
      <c r="I899" s="1" t="s">
        <v>108</v>
      </c>
      <c r="J899" s="58">
        <v>1202750</v>
      </c>
      <c r="K899" s="1" t="s">
        <v>112</v>
      </c>
      <c r="N899" s="1">
        <v>1</v>
      </c>
      <c r="O899" s="58"/>
      <c r="P899" s="58">
        <v>3848.8</v>
      </c>
      <c r="Q899" t="s">
        <v>107</v>
      </c>
      <c r="R899" s="1" t="s">
        <v>158</v>
      </c>
    </row>
    <row r="900" spans="3:18" x14ac:dyDescent="0.35">
      <c r="C900" t="s">
        <v>51</v>
      </c>
      <c r="D900" t="s">
        <v>21</v>
      </c>
      <c r="E900" t="s">
        <v>49</v>
      </c>
      <c r="F900" t="s">
        <v>46</v>
      </c>
      <c r="G900" s="58">
        <v>128601</v>
      </c>
      <c r="H900" s="1" t="s">
        <v>47</v>
      </c>
      <c r="I900" s="1" t="s">
        <v>119</v>
      </c>
      <c r="J900" s="58">
        <v>771606</v>
      </c>
      <c r="K900" s="1" t="s">
        <v>106</v>
      </c>
      <c r="L900" s="1" t="s">
        <v>124</v>
      </c>
      <c r="N900" s="1">
        <v>1</v>
      </c>
      <c r="O900" s="58"/>
      <c r="P900" s="58">
        <v>172325.34</v>
      </c>
      <c r="Q900" t="s">
        <v>110</v>
      </c>
      <c r="R900" s="1" t="s">
        <v>158</v>
      </c>
    </row>
    <row r="901" spans="3:18" x14ac:dyDescent="0.35">
      <c r="C901" t="s">
        <v>51</v>
      </c>
      <c r="D901" t="s">
        <v>22</v>
      </c>
      <c r="E901" t="s">
        <v>45</v>
      </c>
      <c r="F901" t="s">
        <v>46</v>
      </c>
      <c r="G901" s="58">
        <v>12483</v>
      </c>
      <c r="H901" s="1" t="s">
        <v>59</v>
      </c>
      <c r="I901" s="1" t="s">
        <v>105</v>
      </c>
      <c r="J901" s="58">
        <v>12483</v>
      </c>
      <c r="K901" s="1" t="s">
        <v>106</v>
      </c>
      <c r="L901" s="1" t="s">
        <v>124</v>
      </c>
      <c r="N901" s="1">
        <v>1</v>
      </c>
      <c r="O901" s="58"/>
      <c r="P901" s="58">
        <v>748.98</v>
      </c>
      <c r="Q901" t="s">
        <v>107</v>
      </c>
      <c r="R901" s="1" t="s">
        <v>158</v>
      </c>
    </row>
    <row r="902" spans="3:18" x14ac:dyDescent="0.35">
      <c r="C902" t="s">
        <v>53</v>
      </c>
      <c r="D902" t="s">
        <v>21</v>
      </c>
      <c r="E902" t="s">
        <v>49</v>
      </c>
      <c r="F902" t="s">
        <v>46</v>
      </c>
      <c r="G902" s="58">
        <v>291346</v>
      </c>
      <c r="H902" s="1" t="s">
        <v>47</v>
      </c>
      <c r="I902" s="1" t="s">
        <v>119</v>
      </c>
      <c r="J902" s="58">
        <v>1748076</v>
      </c>
      <c r="K902" s="1" t="s">
        <v>106</v>
      </c>
      <c r="L902" s="1" t="s">
        <v>124</v>
      </c>
      <c r="N902" s="1">
        <v>1</v>
      </c>
      <c r="O902" s="58"/>
      <c r="P902" s="58">
        <v>437019</v>
      </c>
      <c r="Q902" t="s">
        <v>110</v>
      </c>
      <c r="R902" s="1" t="s">
        <v>158</v>
      </c>
    </row>
    <row r="903" spans="3:18" x14ac:dyDescent="0.35">
      <c r="C903" t="s">
        <v>53</v>
      </c>
      <c r="D903" t="s">
        <v>24</v>
      </c>
      <c r="E903" t="s">
        <v>45</v>
      </c>
      <c r="F903" t="s">
        <v>46</v>
      </c>
      <c r="G903" s="58">
        <v>95117</v>
      </c>
      <c r="H903" s="1" t="s">
        <v>54</v>
      </c>
      <c r="I903" s="1" t="s">
        <v>119</v>
      </c>
      <c r="J903" s="58">
        <v>570702</v>
      </c>
      <c r="K903" s="1" t="s">
        <v>106</v>
      </c>
      <c r="L903" s="1" t="s">
        <v>120</v>
      </c>
      <c r="N903" s="1">
        <v>1</v>
      </c>
      <c r="O903" s="58"/>
      <c r="P903" s="58">
        <v>60874.879999999997</v>
      </c>
      <c r="Q903" t="s">
        <v>118</v>
      </c>
      <c r="R903" s="1" t="s">
        <v>158</v>
      </c>
    </row>
    <row r="904" spans="3:18" x14ac:dyDescent="0.35">
      <c r="C904" t="s">
        <v>51</v>
      </c>
      <c r="D904" t="s">
        <v>21</v>
      </c>
      <c r="E904" t="s">
        <v>49</v>
      </c>
      <c r="F904" t="s">
        <v>46</v>
      </c>
      <c r="G904" s="58">
        <v>199500</v>
      </c>
      <c r="H904" s="1" t="s">
        <v>56</v>
      </c>
      <c r="I904" s="1" t="s">
        <v>108</v>
      </c>
      <c r="J904" s="58">
        <v>5785500</v>
      </c>
      <c r="K904" s="1" t="s">
        <v>106</v>
      </c>
      <c r="L904" s="1" t="s">
        <v>120</v>
      </c>
      <c r="N904" s="1">
        <v>1</v>
      </c>
      <c r="O904" s="58"/>
      <c r="P904" s="58">
        <v>131670</v>
      </c>
      <c r="Q904" t="s">
        <v>118</v>
      </c>
      <c r="R904" s="1" t="s">
        <v>158</v>
      </c>
    </row>
    <row r="905" spans="3:18" x14ac:dyDescent="0.35">
      <c r="C905" t="s">
        <v>51</v>
      </c>
      <c r="D905" t="s">
        <v>22</v>
      </c>
      <c r="E905" t="s">
        <v>45</v>
      </c>
      <c r="F905" t="s">
        <v>64</v>
      </c>
      <c r="G905" s="58">
        <v>241225</v>
      </c>
      <c r="H905" s="1" t="s">
        <v>48</v>
      </c>
      <c r="I905" s="1" t="s">
        <v>108</v>
      </c>
      <c r="J905" s="58">
        <v>9649000</v>
      </c>
      <c r="K905" s="1" t="s">
        <v>112</v>
      </c>
      <c r="N905" s="1">
        <v>1</v>
      </c>
      <c r="O905" s="58"/>
      <c r="P905" s="58">
        <v>137498.25</v>
      </c>
      <c r="Q905" t="s">
        <v>113</v>
      </c>
      <c r="R905" s="1" t="s">
        <v>158</v>
      </c>
    </row>
    <row r="906" spans="3:18" x14ac:dyDescent="0.35">
      <c r="C906" t="s">
        <v>51</v>
      </c>
      <c r="D906" t="s">
        <v>92</v>
      </c>
      <c r="E906" t="s">
        <v>49</v>
      </c>
      <c r="F906" t="s">
        <v>46</v>
      </c>
      <c r="G906" s="58">
        <v>326479</v>
      </c>
      <c r="H906" s="1" t="s">
        <v>48</v>
      </c>
      <c r="I906" s="1" t="s">
        <v>111</v>
      </c>
      <c r="J906" s="58">
        <v>6529580</v>
      </c>
      <c r="K906" s="1" t="s">
        <v>112</v>
      </c>
      <c r="N906" s="1">
        <v>1</v>
      </c>
      <c r="O906" s="58"/>
      <c r="P906" s="58">
        <v>225270.51</v>
      </c>
      <c r="Q906" t="s">
        <v>118</v>
      </c>
      <c r="R906" s="1" t="s">
        <v>158</v>
      </c>
    </row>
    <row r="907" spans="3:18" x14ac:dyDescent="0.35">
      <c r="C907" t="s">
        <v>51</v>
      </c>
      <c r="D907" t="s">
        <v>21</v>
      </c>
      <c r="E907" t="s">
        <v>45</v>
      </c>
      <c r="F907" t="s">
        <v>46</v>
      </c>
      <c r="G907" s="58">
        <v>29767372</v>
      </c>
      <c r="H907" s="1" t="s">
        <v>47</v>
      </c>
      <c r="I907" s="1" t="s">
        <v>108</v>
      </c>
      <c r="J907" s="58">
        <v>803719044</v>
      </c>
      <c r="K907" s="1" t="s">
        <v>106</v>
      </c>
      <c r="L907" s="1" t="s">
        <v>120</v>
      </c>
      <c r="N907" s="1">
        <v>1</v>
      </c>
      <c r="O907" s="58"/>
      <c r="P907" s="58">
        <v>15479033.439999999</v>
      </c>
      <c r="Q907" t="s">
        <v>113</v>
      </c>
      <c r="R907" s="1" t="s">
        <v>158</v>
      </c>
    </row>
    <row r="908" spans="3:18" x14ac:dyDescent="0.35">
      <c r="C908" t="s">
        <v>51</v>
      </c>
      <c r="D908" t="s">
        <v>22</v>
      </c>
      <c r="E908" t="s">
        <v>45</v>
      </c>
      <c r="F908" t="s">
        <v>46</v>
      </c>
      <c r="G908" s="58">
        <v>255405</v>
      </c>
      <c r="H908" s="1" t="s">
        <v>56</v>
      </c>
      <c r="I908" s="1" t="s">
        <v>111</v>
      </c>
      <c r="J908" s="58">
        <v>4852695</v>
      </c>
      <c r="K908" s="1" t="s">
        <v>112</v>
      </c>
      <c r="N908" s="1">
        <v>1</v>
      </c>
      <c r="O908" s="58"/>
      <c r="P908" s="58">
        <v>211986.15</v>
      </c>
      <c r="Q908" t="s">
        <v>127</v>
      </c>
      <c r="R908" s="1" t="s">
        <v>158</v>
      </c>
    </row>
    <row r="909" spans="3:18" x14ac:dyDescent="0.35">
      <c r="C909" t="s">
        <v>51</v>
      </c>
      <c r="D909" t="s">
        <v>92</v>
      </c>
      <c r="E909" t="s">
        <v>49</v>
      </c>
      <c r="F909" t="s">
        <v>46</v>
      </c>
      <c r="G909" s="58">
        <v>7357062</v>
      </c>
      <c r="H909" s="1" t="s">
        <v>54</v>
      </c>
      <c r="I909" s="1" t="s">
        <v>111</v>
      </c>
      <c r="J909" s="58">
        <v>125070054</v>
      </c>
      <c r="K909" s="1" t="s">
        <v>106</v>
      </c>
      <c r="L909" s="1" t="s">
        <v>124</v>
      </c>
      <c r="N909" s="1">
        <v>1</v>
      </c>
      <c r="O909" s="58"/>
      <c r="P909" s="58">
        <v>5076372.78</v>
      </c>
      <c r="Q909" t="s">
        <v>118</v>
      </c>
      <c r="R909" s="1" t="s">
        <v>158</v>
      </c>
    </row>
    <row r="910" spans="3:18" x14ac:dyDescent="0.35">
      <c r="C910" t="s">
        <v>51</v>
      </c>
      <c r="D910" t="s">
        <v>23</v>
      </c>
      <c r="E910" t="s">
        <v>55</v>
      </c>
      <c r="F910" t="s">
        <v>46</v>
      </c>
      <c r="G910" s="58">
        <v>145651</v>
      </c>
      <c r="H910" s="1" t="s">
        <v>59</v>
      </c>
      <c r="I910" s="1" t="s">
        <v>108</v>
      </c>
      <c r="J910" s="58">
        <v>3786926</v>
      </c>
      <c r="K910" s="1" t="s">
        <v>106</v>
      </c>
      <c r="L910" s="1" t="s">
        <v>120</v>
      </c>
      <c r="N910" s="1">
        <v>1</v>
      </c>
      <c r="O910" s="58"/>
      <c r="P910" s="58">
        <v>113607.78</v>
      </c>
      <c r="Q910" t="s">
        <v>118</v>
      </c>
      <c r="R910" s="1" t="s">
        <v>158</v>
      </c>
    </row>
    <row r="911" spans="3:18" x14ac:dyDescent="0.35">
      <c r="C911" t="s">
        <v>51</v>
      </c>
      <c r="D911" t="s">
        <v>23</v>
      </c>
      <c r="E911" t="s">
        <v>45</v>
      </c>
      <c r="F911" t="s">
        <v>64</v>
      </c>
      <c r="G911" s="58">
        <v>412309</v>
      </c>
      <c r="H911" s="1" t="s">
        <v>48</v>
      </c>
      <c r="I911" s="1" t="s">
        <v>108</v>
      </c>
      <c r="J911" s="58">
        <v>11132343</v>
      </c>
      <c r="K911" s="1" t="s">
        <v>106</v>
      </c>
      <c r="L911" s="1" t="s">
        <v>120</v>
      </c>
      <c r="M911" s="1" t="s">
        <v>125</v>
      </c>
      <c r="N911" s="1">
        <v>1</v>
      </c>
      <c r="O911" s="58"/>
      <c r="P911" s="58">
        <v>333970.28999999998</v>
      </c>
      <c r="Q911" t="s">
        <v>127</v>
      </c>
      <c r="R911" s="1" t="s">
        <v>48</v>
      </c>
    </row>
    <row r="912" spans="3:18" x14ac:dyDescent="0.35">
      <c r="C912" t="s">
        <v>51</v>
      </c>
      <c r="D912" t="s">
        <v>21</v>
      </c>
      <c r="E912" t="s">
        <v>49</v>
      </c>
      <c r="F912" t="s">
        <v>46</v>
      </c>
      <c r="G912" s="58">
        <v>163754</v>
      </c>
      <c r="H912" s="1" t="s">
        <v>48</v>
      </c>
      <c r="I912" s="1" t="s">
        <v>111</v>
      </c>
      <c r="J912" s="58">
        <v>2620064</v>
      </c>
      <c r="K912" s="1" t="s">
        <v>106</v>
      </c>
      <c r="L912" s="1" t="s">
        <v>120</v>
      </c>
      <c r="M912" s="1" t="s">
        <v>126</v>
      </c>
      <c r="N912" s="1">
        <v>1</v>
      </c>
      <c r="O912" s="58"/>
      <c r="P912" s="58">
        <v>36025.879999999997</v>
      </c>
      <c r="Q912" t="s">
        <v>107</v>
      </c>
      <c r="R912" s="1" t="s">
        <v>48</v>
      </c>
    </row>
    <row r="913" spans="3:18" x14ac:dyDescent="0.35">
      <c r="C913" t="s">
        <v>51</v>
      </c>
      <c r="D913" t="s">
        <v>22</v>
      </c>
      <c r="E913" t="s">
        <v>45</v>
      </c>
      <c r="F913" t="s">
        <v>46</v>
      </c>
      <c r="G913" s="58">
        <v>260712376</v>
      </c>
      <c r="H913" s="1" t="s">
        <v>56</v>
      </c>
      <c r="I913" s="1" t="s">
        <v>108</v>
      </c>
      <c r="J913" s="58">
        <v>6517809400</v>
      </c>
      <c r="K913" s="1" t="s">
        <v>106</v>
      </c>
      <c r="L913" s="1" t="s">
        <v>120</v>
      </c>
      <c r="N913" s="1">
        <v>1</v>
      </c>
      <c r="O913" s="58"/>
      <c r="P913" s="58">
        <v>135570435.52000001</v>
      </c>
      <c r="Q913" t="s">
        <v>113</v>
      </c>
      <c r="R913" s="1" t="s">
        <v>158</v>
      </c>
    </row>
    <row r="914" spans="3:18" x14ac:dyDescent="0.35">
      <c r="C914" t="s">
        <v>51</v>
      </c>
      <c r="D914" t="s">
        <v>92</v>
      </c>
      <c r="E914" t="s">
        <v>49</v>
      </c>
      <c r="F914" t="s">
        <v>64</v>
      </c>
      <c r="G914" s="58">
        <v>726939</v>
      </c>
      <c r="H914" s="1" t="s">
        <v>48</v>
      </c>
      <c r="I914" s="1" t="s">
        <v>108</v>
      </c>
      <c r="J914" s="58">
        <v>17446536</v>
      </c>
      <c r="K914" s="1" t="s">
        <v>106</v>
      </c>
      <c r="L914" s="1" t="s">
        <v>124</v>
      </c>
      <c r="M914" s="1" t="s">
        <v>123</v>
      </c>
      <c r="N914" s="1">
        <v>1</v>
      </c>
      <c r="O914" s="58"/>
      <c r="P914" s="58">
        <v>501587.91</v>
      </c>
      <c r="Q914" t="s">
        <v>118</v>
      </c>
      <c r="R914" s="1" t="s">
        <v>48</v>
      </c>
    </row>
    <row r="915" spans="3:18" x14ac:dyDescent="0.35">
      <c r="C915" t="s">
        <v>51</v>
      </c>
      <c r="D915" t="s">
        <v>25</v>
      </c>
      <c r="E915" t="s">
        <v>55</v>
      </c>
      <c r="F915" t="s">
        <v>46</v>
      </c>
      <c r="G915" s="58">
        <v>537066</v>
      </c>
      <c r="H915" s="1" t="s">
        <v>48</v>
      </c>
      <c r="I915" s="1" t="s">
        <v>111</v>
      </c>
      <c r="J915" s="58">
        <v>8593056</v>
      </c>
      <c r="K915" s="1" t="s">
        <v>106</v>
      </c>
      <c r="L915" s="1" t="s">
        <v>114</v>
      </c>
      <c r="M915" s="1" t="s">
        <v>117</v>
      </c>
      <c r="N915" s="1">
        <v>1</v>
      </c>
      <c r="O915" s="58"/>
      <c r="P915" s="58">
        <v>257791.68</v>
      </c>
      <c r="Q915" t="s">
        <v>113</v>
      </c>
      <c r="R915" s="1" t="s">
        <v>158</v>
      </c>
    </row>
    <row r="916" spans="3:18" x14ac:dyDescent="0.35">
      <c r="C916" t="s">
        <v>51</v>
      </c>
      <c r="D916" t="s">
        <v>23</v>
      </c>
      <c r="E916" t="s">
        <v>45</v>
      </c>
      <c r="F916" t="s">
        <v>46</v>
      </c>
      <c r="G916" s="58">
        <v>2348568</v>
      </c>
      <c r="H916" s="1" t="s">
        <v>59</v>
      </c>
      <c r="I916" s="1" t="s">
        <v>119</v>
      </c>
      <c r="J916" s="58">
        <v>21137112</v>
      </c>
      <c r="K916" s="1" t="s">
        <v>106</v>
      </c>
      <c r="L916" s="1" t="s">
        <v>120</v>
      </c>
      <c r="N916" s="1">
        <v>1</v>
      </c>
      <c r="O916" s="58"/>
      <c r="P916" s="58">
        <v>1526569.2</v>
      </c>
      <c r="Q916" t="s">
        <v>118</v>
      </c>
      <c r="R916" s="1" t="s">
        <v>158</v>
      </c>
    </row>
    <row r="917" spans="3:18" x14ac:dyDescent="0.35">
      <c r="C917" t="s">
        <v>51</v>
      </c>
      <c r="D917" t="s">
        <v>20</v>
      </c>
      <c r="E917" t="s">
        <v>49</v>
      </c>
      <c r="F917" t="s">
        <v>46</v>
      </c>
      <c r="G917" s="58">
        <v>2818685</v>
      </c>
      <c r="H917" s="1" t="s">
        <v>47</v>
      </c>
      <c r="I917" s="1" t="s">
        <v>108</v>
      </c>
      <c r="J917" s="58">
        <v>81741865</v>
      </c>
      <c r="K917" s="1" t="s">
        <v>106</v>
      </c>
      <c r="L917" s="1" t="s">
        <v>120</v>
      </c>
      <c r="N917" s="1">
        <v>1</v>
      </c>
      <c r="O917" s="58"/>
      <c r="P917" s="58">
        <v>1944892.65</v>
      </c>
      <c r="Q917" t="s">
        <v>118</v>
      </c>
      <c r="R917" s="1" t="s">
        <v>158</v>
      </c>
    </row>
    <row r="918" spans="3:18" x14ac:dyDescent="0.35">
      <c r="C918" t="s">
        <v>51</v>
      </c>
      <c r="D918" t="s">
        <v>24</v>
      </c>
      <c r="E918" t="s">
        <v>50</v>
      </c>
      <c r="F918" t="s">
        <v>46</v>
      </c>
      <c r="G918" s="58">
        <v>220217</v>
      </c>
      <c r="H918" s="1" t="s">
        <v>59</v>
      </c>
      <c r="I918" s="1" t="s">
        <v>108</v>
      </c>
      <c r="J918" s="58">
        <v>6606510</v>
      </c>
      <c r="K918" s="1" t="s">
        <v>112</v>
      </c>
      <c r="N918" s="1">
        <v>1</v>
      </c>
      <c r="O918" s="58"/>
      <c r="P918" s="58">
        <v>187184.45</v>
      </c>
      <c r="Q918" t="s">
        <v>127</v>
      </c>
      <c r="R918" s="1" t="s">
        <v>158</v>
      </c>
    </row>
    <row r="919" spans="3:18" x14ac:dyDescent="0.35">
      <c r="C919" t="s">
        <v>51</v>
      </c>
      <c r="D919" t="s">
        <v>22</v>
      </c>
      <c r="E919" t="s">
        <v>49</v>
      </c>
      <c r="F919" t="s">
        <v>46</v>
      </c>
      <c r="G919" s="58">
        <v>119839</v>
      </c>
      <c r="H919" s="1" t="s">
        <v>48</v>
      </c>
      <c r="I919" s="1" t="s">
        <v>111</v>
      </c>
      <c r="J919" s="58">
        <v>1797585</v>
      </c>
      <c r="K919" s="1" t="s">
        <v>106</v>
      </c>
      <c r="L919" s="1" t="s">
        <v>124</v>
      </c>
      <c r="M919" s="1" t="s">
        <v>126</v>
      </c>
      <c r="N919" s="1">
        <v>1</v>
      </c>
      <c r="O919" s="58"/>
      <c r="P919" s="58">
        <v>33554.92</v>
      </c>
      <c r="Q919" t="s">
        <v>107</v>
      </c>
      <c r="R919" s="1" t="s">
        <v>48</v>
      </c>
    </row>
    <row r="920" spans="3:18" x14ac:dyDescent="0.35">
      <c r="C920" t="s">
        <v>53</v>
      </c>
      <c r="D920" t="s">
        <v>23</v>
      </c>
      <c r="E920" t="s">
        <v>45</v>
      </c>
      <c r="F920" t="s">
        <v>46</v>
      </c>
      <c r="G920" s="58">
        <v>2116942</v>
      </c>
      <c r="H920" s="1" t="s">
        <v>54</v>
      </c>
      <c r="I920" s="1" t="s">
        <v>105</v>
      </c>
      <c r="J920" s="58">
        <v>4233884</v>
      </c>
      <c r="K920" s="1" t="s">
        <v>106</v>
      </c>
      <c r="L920" s="1" t="s">
        <v>120</v>
      </c>
      <c r="N920" s="1">
        <v>1</v>
      </c>
      <c r="O920" s="58"/>
      <c r="P920" s="58">
        <v>359880.14</v>
      </c>
      <c r="Q920" t="s">
        <v>107</v>
      </c>
      <c r="R920" s="1" t="s">
        <v>158</v>
      </c>
    </row>
    <row r="921" spans="3:18" x14ac:dyDescent="0.35">
      <c r="C921" t="s">
        <v>51</v>
      </c>
      <c r="D921" t="s">
        <v>24</v>
      </c>
      <c r="E921" t="s">
        <v>55</v>
      </c>
      <c r="F921" t="s">
        <v>46</v>
      </c>
      <c r="G921" s="58">
        <v>11146</v>
      </c>
      <c r="H921" s="1" t="s">
        <v>47</v>
      </c>
      <c r="I921" s="1" t="s">
        <v>105</v>
      </c>
      <c r="J921" s="58">
        <v>22292</v>
      </c>
      <c r="K921" s="1" t="s">
        <v>106</v>
      </c>
      <c r="L921" s="1" t="s">
        <v>114</v>
      </c>
      <c r="N921" s="1">
        <v>1</v>
      </c>
      <c r="O921" s="58"/>
      <c r="P921" s="58">
        <v>7356.36</v>
      </c>
      <c r="Q921" t="s">
        <v>118</v>
      </c>
      <c r="R921" s="1" t="s">
        <v>158</v>
      </c>
    </row>
    <row r="922" spans="3:18" x14ac:dyDescent="0.35">
      <c r="C922" t="s">
        <v>51</v>
      </c>
      <c r="D922" t="s">
        <v>20</v>
      </c>
      <c r="E922" t="s">
        <v>49</v>
      </c>
      <c r="F922" t="s">
        <v>46</v>
      </c>
      <c r="G922" s="58">
        <v>5711936</v>
      </c>
      <c r="H922" s="1" t="s">
        <v>48</v>
      </c>
      <c r="I922" s="1" t="s">
        <v>111</v>
      </c>
      <c r="J922" s="58">
        <v>85679040</v>
      </c>
      <c r="K922" s="1" t="s">
        <v>106</v>
      </c>
      <c r="L922" s="1" t="s">
        <v>124</v>
      </c>
      <c r="M922" s="1" t="s">
        <v>123</v>
      </c>
      <c r="N922" s="1">
        <v>1</v>
      </c>
      <c r="O922" s="58"/>
      <c r="P922" s="58">
        <v>1485103.36</v>
      </c>
      <c r="Q922" t="s">
        <v>107</v>
      </c>
      <c r="R922" s="1" t="s">
        <v>48</v>
      </c>
    </row>
    <row r="923" spans="3:18" x14ac:dyDescent="0.35">
      <c r="C923" t="s">
        <v>51</v>
      </c>
      <c r="D923" t="s">
        <v>21</v>
      </c>
      <c r="E923" t="s">
        <v>49</v>
      </c>
      <c r="F923" t="s">
        <v>46</v>
      </c>
      <c r="G923" s="58">
        <v>126261</v>
      </c>
      <c r="H923" s="1" t="s">
        <v>48</v>
      </c>
      <c r="I923" s="1" t="s">
        <v>108</v>
      </c>
      <c r="J923" s="58">
        <v>3030264</v>
      </c>
      <c r="K923" s="1" t="s">
        <v>106</v>
      </c>
      <c r="L923" s="1" t="s">
        <v>120</v>
      </c>
      <c r="M923" s="1" t="s">
        <v>121</v>
      </c>
      <c r="N923" s="1">
        <v>1</v>
      </c>
      <c r="O923" s="58"/>
      <c r="P923" s="58">
        <v>59342.67</v>
      </c>
      <c r="Q923" t="s">
        <v>113</v>
      </c>
      <c r="R923" s="1" t="s">
        <v>158</v>
      </c>
    </row>
    <row r="924" spans="3:18" x14ac:dyDescent="0.35">
      <c r="C924" t="s">
        <v>53</v>
      </c>
      <c r="D924" t="s">
        <v>19</v>
      </c>
      <c r="E924" t="s">
        <v>45</v>
      </c>
      <c r="F924" t="s">
        <v>46</v>
      </c>
      <c r="G924" s="58">
        <v>714523</v>
      </c>
      <c r="H924" s="1" t="s">
        <v>47</v>
      </c>
      <c r="I924" s="1" t="s">
        <v>111</v>
      </c>
      <c r="J924" s="58">
        <v>7859753</v>
      </c>
      <c r="K924" s="1" t="s">
        <v>106</v>
      </c>
      <c r="L924" s="1" t="s">
        <v>120</v>
      </c>
      <c r="N924" s="1">
        <v>1</v>
      </c>
      <c r="O924" s="58"/>
      <c r="P924" s="58">
        <v>493020.87</v>
      </c>
      <c r="Q924" t="s">
        <v>118</v>
      </c>
      <c r="R924" s="1" t="s">
        <v>158</v>
      </c>
    </row>
    <row r="925" spans="3:18" x14ac:dyDescent="0.35">
      <c r="C925" t="s">
        <v>51</v>
      </c>
      <c r="D925" t="s">
        <v>22</v>
      </c>
      <c r="E925" t="s">
        <v>45</v>
      </c>
      <c r="F925" t="s">
        <v>46</v>
      </c>
      <c r="G925" s="58">
        <v>23808408</v>
      </c>
      <c r="H925" s="1" t="s">
        <v>47</v>
      </c>
      <c r="I925" s="1" t="s">
        <v>108</v>
      </c>
      <c r="J925" s="58">
        <v>714252240</v>
      </c>
      <c r="K925" s="1" t="s">
        <v>112</v>
      </c>
      <c r="N925" s="1">
        <v>1</v>
      </c>
      <c r="O925" s="58"/>
      <c r="P925" s="58">
        <v>16665885.6</v>
      </c>
      <c r="Q925" t="s">
        <v>118</v>
      </c>
      <c r="R925" s="1" t="s">
        <v>158</v>
      </c>
    </row>
    <row r="926" spans="3:18" x14ac:dyDescent="0.35">
      <c r="C926" t="s">
        <v>53</v>
      </c>
      <c r="D926" t="s">
        <v>23</v>
      </c>
      <c r="E926" t="s">
        <v>55</v>
      </c>
      <c r="F926" t="s">
        <v>46</v>
      </c>
      <c r="G926" s="58">
        <v>136162</v>
      </c>
      <c r="H926" s="1" t="s">
        <v>54</v>
      </c>
      <c r="I926" s="1" t="s">
        <v>119</v>
      </c>
      <c r="J926" s="58">
        <v>1361620</v>
      </c>
      <c r="K926" s="1" t="s">
        <v>112</v>
      </c>
      <c r="N926" s="1">
        <v>1</v>
      </c>
      <c r="O926" s="58"/>
      <c r="P926" s="58">
        <v>78973.960000000006</v>
      </c>
      <c r="Q926" t="s">
        <v>113</v>
      </c>
      <c r="R926" s="1" t="s">
        <v>158</v>
      </c>
    </row>
    <row r="927" spans="3:18" x14ac:dyDescent="0.35">
      <c r="C927" t="s">
        <v>51</v>
      </c>
      <c r="D927" t="s">
        <v>92</v>
      </c>
      <c r="E927" t="s">
        <v>49</v>
      </c>
      <c r="F927" t="s">
        <v>46</v>
      </c>
      <c r="G927" s="58">
        <v>613940</v>
      </c>
      <c r="H927" s="1" t="s">
        <v>48</v>
      </c>
      <c r="I927" s="1" t="s">
        <v>108</v>
      </c>
      <c r="J927" s="58">
        <v>19032140</v>
      </c>
      <c r="K927" s="1" t="s">
        <v>106</v>
      </c>
      <c r="L927" s="1" t="s">
        <v>116</v>
      </c>
      <c r="M927" s="1" t="s">
        <v>129</v>
      </c>
      <c r="N927" s="1">
        <v>1</v>
      </c>
      <c r="O927" s="58"/>
      <c r="P927" s="58">
        <v>515709.6</v>
      </c>
      <c r="Q927" t="s">
        <v>127</v>
      </c>
      <c r="R927" s="1" t="s">
        <v>158</v>
      </c>
    </row>
    <row r="928" spans="3:18" x14ac:dyDescent="0.35">
      <c r="C928" t="s">
        <v>53</v>
      </c>
      <c r="D928" t="s">
        <v>21</v>
      </c>
      <c r="E928" t="s">
        <v>45</v>
      </c>
      <c r="F928" t="s">
        <v>46</v>
      </c>
      <c r="G928" s="58">
        <v>111047725</v>
      </c>
      <c r="H928" s="1" t="s">
        <v>47</v>
      </c>
      <c r="I928" s="1" t="s">
        <v>105</v>
      </c>
      <c r="J928" s="58">
        <v>444190900</v>
      </c>
      <c r="K928" s="1" t="s">
        <v>106</v>
      </c>
      <c r="L928" s="1" t="s">
        <v>120</v>
      </c>
      <c r="N928" s="1">
        <v>1</v>
      </c>
      <c r="O928" s="58"/>
      <c r="P928" s="58">
        <v>53302908</v>
      </c>
      <c r="Q928" t="s">
        <v>113</v>
      </c>
      <c r="R928" s="1" t="s">
        <v>158</v>
      </c>
    </row>
    <row r="929" spans="3:18" x14ac:dyDescent="0.35">
      <c r="C929" t="s">
        <v>51</v>
      </c>
      <c r="D929" t="s">
        <v>21</v>
      </c>
      <c r="E929" t="s">
        <v>49</v>
      </c>
      <c r="F929" t="s">
        <v>46</v>
      </c>
      <c r="G929" s="58">
        <v>212343</v>
      </c>
      <c r="H929" s="1" t="s">
        <v>59</v>
      </c>
      <c r="I929" s="1" t="s">
        <v>111</v>
      </c>
      <c r="J929" s="58">
        <v>3397488</v>
      </c>
      <c r="K929" s="1" t="s">
        <v>106</v>
      </c>
      <c r="L929" s="1" t="s">
        <v>116</v>
      </c>
      <c r="N929" s="1">
        <v>1</v>
      </c>
      <c r="O929" s="58"/>
      <c r="P929" s="58">
        <v>114665.22</v>
      </c>
      <c r="Q929" t="s">
        <v>113</v>
      </c>
      <c r="R929" s="1" t="s">
        <v>158</v>
      </c>
    </row>
    <row r="930" spans="3:18" x14ac:dyDescent="0.35">
      <c r="C930" t="s">
        <v>51</v>
      </c>
      <c r="D930" t="s">
        <v>91</v>
      </c>
      <c r="E930" t="s">
        <v>49</v>
      </c>
      <c r="F930" t="s">
        <v>46</v>
      </c>
      <c r="G930" s="58">
        <v>9521</v>
      </c>
      <c r="H930" s="1" t="s">
        <v>59</v>
      </c>
      <c r="I930" s="1" t="s">
        <v>108</v>
      </c>
      <c r="J930" s="58">
        <v>304672</v>
      </c>
      <c r="K930" s="1" t="s">
        <v>106</v>
      </c>
      <c r="L930" s="1" t="s">
        <v>124</v>
      </c>
      <c r="N930" s="1">
        <v>1</v>
      </c>
      <c r="O930" s="58"/>
      <c r="P930" s="58">
        <v>14281.5</v>
      </c>
      <c r="Q930" t="s">
        <v>110</v>
      </c>
      <c r="R930" s="1" t="s">
        <v>158</v>
      </c>
    </row>
    <row r="931" spans="3:18" x14ac:dyDescent="0.35">
      <c r="C931" t="s">
        <v>51</v>
      </c>
      <c r="D931" t="s">
        <v>21</v>
      </c>
      <c r="E931" t="s">
        <v>45</v>
      </c>
      <c r="F931" t="s">
        <v>46</v>
      </c>
      <c r="G931" s="58">
        <v>28168</v>
      </c>
      <c r="H931" s="1" t="s">
        <v>56</v>
      </c>
      <c r="I931" s="1" t="s">
        <v>119</v>
      </c>
      <c r="J931" s="58">
        <v>225344</v>
      </c>
      <c r="K931" s="1" t="s">
        <v>106</v>
      </c>
      <c r="L931" s="1" t="s">
        <v>120</v>
      </c>
      <c r="N931" s="1">
        <v>1</v>
      </c>
      <c r="O931" s="58"/>
      <c r="P931" s="58">
        <v>14647.36</v>
      </c>
      <c r="Q931" t="s">
        <v>113</v>
      </c>
      <c r="R931" s="1" t="s">
        <v>158</v>
      </c>
    </row>
    <row r="932" spans="3:18" x14ac:dyDescent="0.35">
      <c r="C932" t="s">
        <v>51</v>
      </c>
      <c r="D932" t="s">
        <v>24</v>
      </c>
      <c r="E932" t="s">
        <v>49</v>
      </c>
      <c r="F932" t="s">
        <v>46</v>
      </c>
      <c r="G932" s="58">
        <v>125859</v>
      </c>
      <c r="H932" s="1" t="s">
        <v>48</v>
      </c>
      <c r="I932" s="1" t="s">
        <v>111</v>
      </c>
      <c r="J932" s="58">
        <v>1762026</v>
      </c>
      <c r="K932" s="1" t="s">
        <v>106</v>
      </c>
      <c r="L932" s="1" t="s">
        <v>124</v>
      </c>
      <c r="M932" s="1" t="s">
        <v>121</v>
      </c>
      <c r="N932" s="1">
        <v>1</v>
      </c>
      <c r="O932" s="58"/>
      <c r="P932" s="58">
        <v>118307.46</v>
      </c>
      <c r="Q932" t="s">
        <v>127</v>
      </c>
      <c r="R932" s="1" t="s">
        <v>158</v>
      </c>
    </row>
    <row r="933" spans="3:18" x14ac:dyDescent="0.35">
      <c r="C933" t="s">
        <v>53</v>
      </c>
      <c r="D933" t="s">
        <v>60</v>
      </c>
      <c r="E933" t="s">
        <v>60</v>
      </c>
      <c r="F933" t="s">
        <v>46</v>
      </c>
      <c r="G933" s="58">
        <v>12211346</v>
      </c>
      <c r="H933" s="1" t="s">
        <v>90</v>
      </c>
      <c r="I933" s="1" t="s">
        <v>119</v>
      </c>
      <c r="J933" s="58">
        <v>85479422</v>
      </c>
      <c r="K933" s="1" t="s">
        <v>106</v>
      </c>
      <c r="N933" s="1">
        <v>1</v>
      </c>
      <c r="O933" s="58"/>
      <c r="P933" s="58">
        <v>0</v>
      </c>
      <c r="Q933" t="s">
        <v>107</v>
      </c>
      <c r="R933" s="1" t="s">
        <v>90</v>
      </c>
    </row>
    <row r="934" spans="3:18" x14ac:dyDescent="0.35">
      <c r="C934" t="s">
        <v>51</v>
      </c>
      <c r="D934" t="s">
        <v>22</v>
      </c>
      <c r="E934" t="s">
        <v>49</v>
      </c>
      <c r="F934" t="s">
        <v>46</v>
      </c>
      <c r="G934" s="58">
        <v>3328286</v>
      </c>
      <c r="H934" s="1" t="s">
        <v>47</v>
      </c>
      <c r="I934" s="1" t="s">
        <v>119</v>
      </c>
      <c r="J934" s="58">
        <v>29954574</v>
      </c>
      <c r="K934" s="1" t="s">
        <v>106</v>
      </c>
      <c r="L934" s="1" t="s">
        <v>124</v>
      </c>
      <c r="N934" s="1">
        <v>1</v>
      </c>
      <c r="O934" s="58"/>
      <c r="P934" s="58">
        <v>1597577.28</v>
      </c>
      <c r="Q934" t="s">
        <v>113</v>
      </c>
      <c r="R934" s="1" t="s">
        <v>158</v>
      </c>
    </row>
    <row r="935" spans="3:18" x14ac:dyDescent="0.35">
      <c r="C935" t="s">
        <v>51</v>
      </c>
      <c r="D935" t="s">
        <v>19</v>
      </c>
      <c r="E935" t="s">
        <v>49</v>
      </c>
      <c r="F935" t="s">
        <v>64</v>
      </c>
      <c r="G935" s="58">
        <v>9485</v>
      </c>
      <c r="H935" s="1" t="s">
        <v>59</v>
      </c>
      <c r="I935" s="1" t="s">
        <v>119</v>
      </c>
      <c r="J935" s="58">
        <v>75880</v>
      </c>
      <c r="K935" s="1" t="s">
        <v>106</v>
      </c>
      <c r="L935" s="1" t="s">
        <v>124</v>
      </c>
      <c r="N935" s="1">
        <v>1</v>
      </c>
      <c r="O935" s="58"/>
      <c r="P935" s="58">
        <v>284.55</v>
      </c>
      <c r="Q935" t="s">
        <v>107</v>
      </c>
      <c r="R935" s="1" t="s">
        <v>158</v>
      </c>
    </row>
    <row r="936" spans="3:18" x14ac:dyDescent="0.35">
      <c r="C936" t="s">
        <v>51</v>
      </c>
      <c r="D936" t="s">
        <v>21</v>
      </c>
      <c r="E936" t="s">
        <v>49</v>
      </c>
      <c r="F936" t="s">
        <v>46</v>
      </c>
      <c r="G936" s="58">
        <v>101450</v>
      </c>
      <c r="H936" s="1" t="s">
        <v>54</v>
      </c>
      <c r="I936" s="1" t="s">
        <v>119</v>
      </c>
      <c r="J936" s="58">
        <v>811600</v>
      </c>
      <c r="K936" s="1" t="s">
        <v>112</v>
      </c>
      <c r="N936" s="1">
        <v>1</v>
      </c>
      <c r="O936" s="58"/>
      <c r="P936" s="58">
        <v>18261</v>
      </c>
      <c r="Q936" t="s">
        <v>107</v>
      </c>
      <c r="R936" s="1" t="s">
        <v>158</v>
      </c>
    </row>
    <row r="937" spans="3:18" x14ac:dyDescent="0.35">
      <c r="C937" t="s">
        <v>51</v>
      </c>
      <c r="D937" t="s">
        <v>24</v>
      </c>
      <c r="E937" t="s">
        <v>45</v>
      </c>
      <c r="F937" t="s">
        <v>46</v>
      </c>
      <c r="G937" s="58">
        <v>10877567</v>
      </c>
      <c r="H937" s="1" t="s">
        <v>48</v>
      </c>
      <c r="I937" s="1" t="s">
        <v>111</v>
      </c>
      <c r="J937" s="58">
        <v>184918639</v>
      </c>
      <c r="K937" s="1" t="s">
        <v>106</v>
      </c>
      <c r="L937" s="1" t="s">
        <v>120</v>
      </c>
      <c r="M937" s="1" t="s">
        <v>121</v>
      </c>
      <c r="N937" s="1">
        <v>1</v>
      </c>
      <c r="O937" s="58"/>
      <c r="P937" s="58">
        <v>5547559.1699999999</v>
      </c>
      <c r="Q937" t="s">
        <v>113</v>
      </c>
      <c r="R937" s="1" t="s">
        <v>158</v>
      </c>
    </row>
    <row r="938" spans="3:18" x14ac:dyDescent="0.35">
      <c r="C938" t="s">
        <v>51</v>
      </c>
      <c r="D938" t="s">
        <v>22</v>
      </c>
      <c r="E938" t="s">
        <v>49</v>
      </c>
      <c r="F938" t="s">
        <v>46</v>
      </c>
      <c r="G938" s="58">
        <v>2964942</v>
      </c>
      <c r="H938" s="1" t="s">
        <v>54</v>
      </c>
      <c r="I938" s="1" t="s">
        <v>108</v>
      </c>
      <c r="J938" s="58">
        <v>91913202</v>
      </c>
      <c r="K938" s="1" t="s">
        <v>112</v>
      </c>
      <c r="N938" s="1">
        <v>1</v>
      </c>
      <c r="O938" s="58"/>
      <c r="P938" s="58">
        <v>2460901.86</v>
      </c>
      <c r="Q938" t="s">
        <v>127</v>
      </c>
      <c r="R938" s="1" t="s">
        <v>158</v>
      </c>
    </row>
    <row r="939" spans="3:18" x14ac:dyDescent="0.35">
      <c r="C939" t="s">
        <v>51</v>
      </c>
      <c r="D939" t="s">
        <v>23</v>
      </c>
      <c r="E939" t="s">
        <v>55</v>
      </c>
      <c r="F939" t="s">
        <v>46</v>
      </c>
      <c r="G939" s="58">
        <v>1009440</v>
      </c>
      <c r="H939" s="1" t="s">
        <v>59</v>
      </c>
      <c r="I939" s="1" t="s">
        <v>108</v>
      </c>
      <c r="J939" s="58">
        <v>32302080</v>
      </c>
      <c r="K939" s="1" t="s">
        <v>112</v>
      </c>
      <c r="N939" s="1">
        <v>1</v>
      </c>
      <c r="O939" s="58"/>
      <c r="P939" s="58">
        <v>847929.6</v>
      </c>
      <c r="Q939" t="s">
        <v>127</v>
      </c>
      <c r="R939" s="1" t="s">
        <v>158</v>
      </c>
    </row>
    <row r="940" spans="3:18" x14ac:dyDescent="0.35">
      <c r="C940" t="s">
        <v>51</v>
      </c>
      <c r="D940" t="s">
        <v>19</v>
      </c>
      <c r="E940" t="s">
        <v>49</v>
      </c>
      <c r="F940" t="s">
        <v>64</v>
      </c>
      <c r="G940" s="58">
        <v>730499</v>
      </c>
      <c r="H940" s="1" t="s">
        <v>47</v>
      </c>
      <c r="I940" s="1" t="s">
        <v>108</v>
      </c>
      <c r="J940" s="58">
        <v>26297964</v>
      </c>
      <c r="K940" s="1" t="s">
        <v>112</v>
      </c>
      <c r="N940" s="1">
        <v>1</v>
      </c>
      <c r="O940" s="58"/>
      <c r="P940" s="58">
        <v>365249.5</v>
      </c>
      <c r="Q940" t="s">
        <v>113</v>
      </c>
      <c r="R940" s="1" t="s">
        <v>158</v>
      </c>
    </row>
    <row r="941" spans="3:18" x14ac:dyDescent="0.35">
      <c r="C941" t="s">
        <v>51</v>
      </c>
      <c r="D941" t="s">
        <v>21</v>
      </c>
      <c r="E941" t="s">
        <v>49</v>
      </c>
      <c r="F941" t="s">
        <v>46</v>
      </c>
      <c r="G941" s="58">
        <v>1848823</v>
      </c>
      <c r="H941" s="1" t="s">
        <v>58</v>
      </c>
      <c r="I941" s="1" t="s">
        <v>105</v>
      </c>
      <c r="J941" s="58">
        <v>3697646</v>
      </c>
      <c r="K941" s="1" t="s">
        <v>106</v>
      </c>
      <c r="L941" s="1" t="s">
        <v>124</v>
      </c>
      <c r="N941" s="1">
        <v>1</v>
      </c>
      <c r="O941" s="58"/>
      <c r="P941" s="58">
        <v>55464.69</v>
      </c>
      <c r="Q941" t="s">
        <v>107</v>
      </c>
      <c r="R941" s="1" t="s">
        <v>158</v>
      </c>
    </row>
    <row r="942" spans="3:18" x14ac:dyDescent="0.35">
      <c r="C942" t="s">
        <v>51</v>
      </c>
      <c r="D942" t="s">
        <v>24</v>
      </c>
      <c r="E942" t="s">
        <v>50</v>
      </c>
      <c r="F942" t="s">
        <v>46</v>
      </c>
      <c r="G942" s="58">
        <v>559108</v>
      </c>
      <c r="H942" s="1" t="s">
        <v>48</v>
      </c>
      <c r="I942" s="1" t="s">
        <v>108</v>
      </c>
      <c r="J942" s="58">
        <v>16773240</v>
      </c>
      <c r="K942" s="1" t="s">
        <v>106</v>
      </c>
      <c r="L942" s="1" t="s">
        <v>114</v>
      </c>
      <c r="M942" s="1" t="s">
        <v>121</v>
      </c>
      <c r="N942" s="1">
        <v>1</v>
      </c>
      <c r="O942" s="58"/>
      <c r="P942" s="58">
        <v>212461.04</v>
      </c>
      <c r="Q942" t="s">
        <v>107</v>
      </c>
      <c r="R942" s="1" t="s">
        <v>48</v>
      </c>
    </row>
    <row r="943" spans="3:18" x14ac:dyDescent="0.35">
      <c r="C943" t="s">
        <v>51</v>
      </c>
      <c r="D943" t="s">
        <v>20</v>
      </c>
      <c r="E943" t="s">
        <v>49</v>
      </c>
      <c r="F943" t="s">
        <v>46</v>
      </c>
      <c r="G943" s="58">
        <v>20319185</v>
      </c>
      <c r="H943" s="1" t="s">
        <v>47</v>
      </c>
      <c r="I943" s="1" t="s">
        <v>108</v>
      </c>
      <c r="J943" s="58">
        <v>629894735</v>
      </c>
      <c r="K943" s="1" t="s">
        <v>106</v>
      </c>
      <c r="L943" s="1" t="s">
        <v>124</v>
      </c>
      <c r="N943" s="1">
        <v>1</v>
      </c>
      <c r="O943" s="58"/>
      <c r="P943" s="58">
        <v>17271307.25</v>
      </c>
      <c r="Q943" t="s">
        <v>127</v>
      </c>
      <c r="R943" s="1" t="s">
        <v>158</v>
      </c>
    </row>
    <row r="944" spans="3:18" x14ac:dyDescent="0.35">
      <c r="C944" t="s">
        <v>51</v>
      </c>
      <c r="D944" t="s">
        <v>23</v>
      </c>
      <c r="E944" t="s">
        <v>55</v>
      </c>
      <c r="F944" t="s">
        <v>46</v>
      </c>
      <c r="G944" s="58">
        <v>577556</v>
      </c>
      <c r="H944" s="1" t="s">
        <v>54</v>
      </c>
      <c r="I944" s="1" t="s">
        <v>111</v>
      </c>
      <c r="J944" s="58">
        <v>8085784</v>
      </c>
      <c r="K944" s="1" t="s">
        <v>106</v>
      </c>
      <c r="L944" s="1" t="s">
        <v>120</v>
      </c>
      <c r="N944" s="1">
        <v>1</v>
      </c>
      <c r="O944" s="58"/>
      <c r="P944" s="58">
        <v>161715.68</v>
      </c>
      <c r="Q944" t="s">
        <v>107</v>
      </c>
      <c r="R944" s="1" t="s">
        <v>158</v>
      </c>
    </row>
    <row r="945" spans="3:18" x14ac:dyDescent="0.35">
      <c r="C945" t="s">
        <v>51</v>
      </c>
      <c r="D945" t="s">
        <v>20</v>
      </c>
      <c r="E945" t="s">
        <v>49</v>
      </c>
      <c r="F945" t="s">
        <v>46</v>
      </c>
      <c r="G945" s="58">
        <v>42744226</v>
      </c>
      <c r="H945" s="1" t="s">
        <v>48</v>
      </c>
      <c r="I945" s="1" t="s">
        <v>111</v>
      </c>
      <c r="J945" s="58">
        <v>641163390</v>
      </c>
      <c r="K945" s="1" t="s">
        <v>106</v>
      </c>
      <c r="L945" s="1" t="s">
        <v>124</v>
      </c>
      <c r="M945" s="1" t="s">
        <v>123</v>
      </c>
      <c r="N945" s="1">
        <v>1</v>
      </c>
      <c r="O945" s="58"/>
      <c r="P945" s="58">
        <v>11540941.02</v>
      </c>
      <c r="Q945" t="s">
        <v>107</v>
      </c>
      <c r="R945" s="1" t="s">
        <v>158</v>
      </c>
    </row>
    <row r="946" spans="3:18" x14ac:dyDescent="0.35">
      <c r="C946" t="s">
        <v>51</v>
      </c>
      <c r="D946" t="s">
        <v>22</v>
      </c>
      <c r="E946" t="s">
        <v>45</v>
      </c>
      <c r="F946" t="s">
        <v>46</v>
      </c>
      <c r="G946" s="58">
        <v>29356975</v>
      </c>
      <c r="H946" s="1" t="s">
        <v>47</v>
      </c>
      <c r="I946" s="1" t="s">
        <v>108</v>
      </c>
      <c r="J946" s="58">
        <v>880709250</v>
      </c>
      <c r="K946" s="1" t="s">
        <v>106</v>
      </c>
      <c r="L946" s="1" t="s">
        <v>120</v>
      </c>
      <c r="N946" s="1">
        <v>1</v>
      </c>
      <c r="O946" s="58"/>
      <c r="P946" s="58">
        <v>34934800.25</v>
      </c>
      <c r="Q946" t="s">
        <v>110</v>
      </c>
      <c r="R946" s="1" t="s">
        <v>158</v>
      </c>
    </row>
    <row r="947" spans="3:18" x14ac:dyDescent="0.35">
      <c r="C947" t="s">
        <v>51</v>
      </c>
      <c r="D947" t="s">
        <v>22</v>
      </c>
      <c r="E947" t="s">
        <v>50</v>
      </c>
      <c r="F947" t="s">
        <v>46</v>
      </c>
      <c r="G947" s="58">
        <v>91199</v>
      </c>
      <c r="H947" s="1" t="s">
        <v>48</v>
      </c>
      <c r="I947" s="1" t="s">
        <v>111</v>
      </c>
      <c r="J947" s="58">
        <v>1550383</v>
      </c>
      <c r="K947" s="1" t="s">
        <v>106</v>
      </c>
      <c r="L947" s="1" t="s">
        <v>120</v>
      </c>
      <c r="M947" s="1" t="s">
        <v>115</v>
      </c>
      <c r="N947" s="1">
        <v>1</v>
      </c>
      <c r="O947" s="58"/>
      <c r="P947" s="58">
        <v>17327.810000000001</v>
      </c>
      <c r="Q947" t="s">
        <v>107</v>
      </c>
      <c r="R947" s="1" t="s">
        <v>48</v>
      </c>
    </row>
    <row r="948" spans="3:18" x14ac:dyDescent="0.35">
      <c r="C948" t="s">
        <v>53</v>
      </c>
      <c r="D948" t="s">
        <v>25</v>
      </c>
      <c r="E948" t="s">
        <v>55</v>
      </c>
      <c r="F948" t="s">
        <v>46</v>
      </c>
      <c r="G948" s="58">
        <v>858771</v>
      </c>
      <c r="H948" s="1" t="s">
        <v>47</v>
      </c>
      <c r="I948" s="1" t="s">
        <v>119</v>
      </c>
      <c r="J948" s="58">
        <v>7728939</v>
      </c>
      <c r="K948" s="1" t="s">
        <v>106</v>
      </c>
      <c r="L948" s="1" t="s">
        <v>114</v>
      </c>
      <c r="N948" s="1">
        <v>1</v>
      </c>
      <c r="O948" s="58"/>
      <c r="P948" s="58">
        <v>455148.63</v>
      </c>
      <c r="Q948" t="s">
        <v>113</v>
      </c>
      <c r="R948" s="1" t="s">
        <v>158</v>
      </c>
    </row>
    <row r="949" spans="3:18" x14ac:dyDescent="0.35">
      <c r="C949" t="s">
        <v>51</v>
      </c>
      <c r="D949" t="s">
        <v>21</v>
      </c>
      <c r="E949" t="s">
        <v>55</v>
      </c>
      <c r="F949" t="s">
        <v>46</v>
      </c>
      <c r="G949" s="58">
        <v>25169680</v>
      </c>
      <c r="H949" s="1" t="s">
        <v>48</v>
      </c>
      <c r="I949" s="1" t="s">
        <v>108</v>
      </c>
      <c r="J949" s="58">
        <v>880938800</v>
      </c>
      <c r="K949" s="1" t="s">
        <v>112</v>
      </c>
      <c r="N949" s="1">
        <v>1</v>
      </c>
      <c r="O949" s="58"/>
      <c r="P949" s="58">
        <v>18122169.600000001</v>
      </c>
      <c r="Q949" t="s">
        <v>118</v>
      </c>
      <c r="R949" s="1" t="s">
        <v>48</v>
      </c>
    </row>
    <row r="950" spans="3:18" x14ac:dyDescent="0.35">
      <c r="C950" t="s">
        <v>53</v>
      </c>
      <c r="D950" t="s">
        <v>21</v>
      </c>
      <c r="E950" t="s">
        <v>45</v>
      </c>
      <c r="F950" t="s">
        <v>46</v>
      </c>
      <c r="G950" s="58">
        <v>5242904</v>
      </c>
      <c r="H950" s="1" t="s">
        <v>59</v>
      </c>
      <c r="I950" s="1" t="s">
        <v>111</v>
      </c>
      <c r="J950" s="58">
        <v>73400656</v>
      </c>
      <c r="K950" s="1" t="s">
        <v>106</v>
      </c>
      <c r="L950" s="1" t="s">
        <v>120</v>
      </c>
      <c r="N950" s="1">
        <v>1</v>
      </c>
      <c r="O950" s="58"/>
      <c r="P950" s="58">
        <v>4456468.4000000004</v>
      </c>
      <c r="Q950" t="s">
        <v>127</v>
      </c>
      <c r="R950" s="1" t="s">
        <v>158</v>
      </c>
    </row>
    <row r="951" spans="3:18" x14ac:dyDescent="0.35">
      <c r="C951" t="s">
        <v>51</v>
      </c>
      <c r="D951" t="s">
        <v>24</v>
      </c>
      <c r="E951" t="s">
        <v>50</v>
      </c>
      <c r="F951" t="s">
        <v>46</v>
      </c>
      <c r="G951" s="58">
        <v>19219656</v>
      </c>
      <c r="H951" s="1" t="s">
        <v>48</v>
      </c>
      <c r="I951" s="1" t="s">
        <v>108</v>
      </c>
      <c r="J951" s="58">
        <v>730346928</v>
      </c>
      <c r="K951" s="1" t="s">
        <v>112</v>
      </c>
      <c r="N951" s="1">
        <v>1</v>
      </c>
      <c r="O951" s="58"/>
      <c r="P951" s="58">
        <v>17297690.399999999</v>
      </c>
      <c r="Q951" t="s">
        <v>127</v>
      </c>
      <c r="R951" s="1" t="s">
        <v>48</v>
      </c>
    </row>
    <row r="952" spans="3:18" x14ac:dyDescent="0.35">
      <c r="C952" t="s">
        <v>51</v>
      </c>
      <c r="D952" t="s">
        <v>24</v>
      </c>
      <c r="E952" t="s">
        <v>45</v>
      </c>
      <c r="F952" t="s">
        <v>46</v>
      </c>
      <c r="G952" s="58">
        <v>2165018</v>
      </c>
      <c r="H952" s="1" t="s">
        <v>59</v>
      </c>
      <c r="I952" s="1" t="s">
        <v>119</v>
      </c>
      <c r="J952" s="58">
        <v>15155126</v>
      </c>
      <c r="K952" s="1" t="s">
        <v>106</v>
      </c>
      <c r="L952" s="1" t="s">
        <v>120</v>
      </c>
      <c r="N952" s="1">
        <v>1</v>
      </c>
      <c r="O952" s="58"/>
      <c r="P952" s="58">
        <v>519604.32</v>
      </c>
      <c r="Q952" t="s">
        <v>107</v>
      </c>
      <c r="R952" s="1" t="s">
        <v>158</v>
      </c>
    </row>
    <row r="953" spans="3:18" x14ac:dyDescent="0.35">
      <c r="C953" t="s">
        <v>51</v>
      </c>
      <c r="D953" t="s">
        <v>22</v>
      </c>
      <c r="E953" t="s">
        <v>45</v>
      </c>
      <c r="F953" t="s">
        <v>46</v>
      </c>
      <c r="G953" s="58">
        <v>100383</v>
      </c>
      <c r="H953" s="1" t="s">
        <v>56</v>
      </c>
      <c r="I953" s="1" t="s">
        <v>105</v>
      </c>
      <c r="J953" s="58">
        <v>501915</v>
      </c>
      <c r="K953" s="1" t="s">
        <v>112</v>
      </c>
      <c r="N953" s="1">
        <v>1</v>
      </c>
      <c r="O953" s="58"/>
      <c r="P953" s="58">
        <v>37141.71</v>
      </c>
      <c r="Q953" t="s">
        <v>107</v>
      </c>
      <c r="R953" s="1" t="s">
        <v>158</v>
      </c>
    </row>
    <row r="954" spans="3:18" x14ac:dyDescent="0.35">
      <c r="C954" t="s">
        <v>51</v>
      </c>
      <c r="D954" t="s">
        <v>24</v>
      </c>
      <c r="E954" t="s">
        <v>50</v>
      </c>
      <c r="F954" t="s">
        <v>46</v>
      </c>
      <c r="G954" s="58">
        <v>48210</v>
      </c>
      <c r="H954" s="1" t="s">
        <v>48</v>
      </c>
      <c r="I954" s="1" t="s">
        <v>111</v>
      </c>
      <c r="J954" s="58">
        <v>771360</v>
      </c>
      <c r="K954" s="1" t="s">
        <v>106</v>
      </c>
      <c r="L954" s="1" t="s">
        <v>109</v>
      </c>
      <c r="M954" s="1" t="s">
        <v>121</v>
      </c>
      <c r="N954" s="1">
        <v>1</v>
      </c>
      <c r="O954" s="58"/>
      <c r="P954" s="58">
        <v>55923.6</v>
      </c>
      <c r="Q954" t="s">
        <v>110</v>
      </c>
      <c r="R954" s="1" t="s">
        <v>158</v>
      </c>
    </row>
    <row r="955" spans="3:18" x14ac:dyDescent="0.35">
      <c r="C955" t="s">
        <v>53</v>
      </c>
      <c r="D955" t="s">
        <v>22</v>
      </c>
      <c r="E955" t="s">
        <v>49</v>
      </c>
      <c r="F955" t="s">
        <v>46</v>
      </c>
      <c r="G955" s="58">
        <v>656432</v>
      </c>
      <c r="H955" s="1" t="s">
        <v>47</v>
      </c>
      <c r="I955" s="1" t="s">
        <v>105</v>
      </c>
      <c r="J955" s="58">
        <v>1969296</v>
      </c>
      <c r="K955" s="1" t="s">
        <v>106</v>
      </c>
      <c r="L955" s="1" t="s">
        <v>124</v>
      </c>
      <c r="N955" s="1">
        <v>1</v>
      </c>
      <c r="O955" s="58"/>
      <c r="P955" s="58">
        <v>105029.12</v>
      </c>
      <c r="Q955" t="s">
        <v>107</v>
      </c>
      <c r="R955" s="1" t="s">
        <v>158</v>
      </c>
    </row>
    <row r="956" spans="3:18" x14ac:dyDescent="0.35">
      <c r="C956" t="s">
        <v>51</v>
      </c>
      <c r="D956" t="s">
        <v>23</v>
      </c>
      <c r="E956" t="s">
        <v>55</v>
      </c>
      <c r="F956" t="s">
        <v>46</v>
      </c>
      <c r="G956" s="58">
        <v>144330</v>
      </c>
      <c r="H956" s="1" t="s">
        <v>56</v>
      </c>
      <c r="I956" s="1" t="s">
        <v>119</v>
      </c>
      <c r="J956" s="58">
        <v>1298970</v>
      </c>
      <c r="K956" s="1" t="s">
        <v>106</v>
      </c>
      <c r="L956" s="1" t="s">
        <v>124</v>
      </c>
      <c r="N956" s="1">
        <v>1</v>
      </c>
      <c r="O956" s="58"/>
      <c r="P956" s="58">
        <v>69278.399999999994</v>
      </c>
      <c r="Q956" t="s">
        <v>113</v>
      </c>
      <c r="R956" s="1" t="s">
        <v>158</v>
      </c>
    </row>
    <row r="957" spans="3:18" x14ac:dyDescent="0.35">
      <c r="C957" t="s">
        <v>51</v>
      </c>
      <c r="D957" t="s">
        <v>22</v>
      </c>
      <c r="E957" t="s">
        <v>50</v>
      </c>
      <c r="F957" t="s">
        <v>46</v>
      </c>
      <c r="G957" s="58">
        <v>4333106</v>
      </c>
      <c r="H957" s="1" t="s">
        <v>48</v>
      </c>
      <c r="I957" s="1" t="s">
        <v>108</v>
      </c>
      <c r="J957" s="58">
        <v>151658710</v>
      </c>
      <c r="K957" s="1" t="s">
        <v>106</v>
      </c>
      <c r="L957" s="1" t="s">
        <v>120</v>
      </c>
      <c r="M957" s="1" t="s">
        <v>115</v>
      </c>
      <c r="N957" s="1">
        <v>1</v>
      </c>
      <c r="O957" s="58"/>
      <c r="P957" s="58">
        <v>3553146.92</v>
      </c>
      <c r="Q957" t="s">
        <v>127</v>
      </c>
      <c r="R957" s="1" t="s">
        <v>48</v>
      </c>
    </row>
    <row r="958" spans="3:18" x14ac:dyDescent="0.35">
      <c r="C958" t="s">
        <v>51</v>
      </c>
      <c r="D958" t="s">
        <v>92</v>
      </c>
      <c r="E958" t="s">
        <v>45</v>
      </c>
      <c r="F958" t="s">
        <v>46</v>
      </c>
      <c r="G958" s="58">
        <v>833075</v>
      </c>
      <c r="H958" s="1" t="s">
        <v>56</v>
      </c>
      <c r="I958" s="1" t="s">
        <v>108</v>
      </c>
      <c r="J958" s="58">
        <v>23326100</v>
      </c>
      <c r="K958" s="1" t="s">
        <v>106</v>
      </c>
      <c r="L958" s="1" t="s">
        <v>120</v>
      </c>
      <c r="N958" s="1">
        <v>1</v>
      </c>
      <c r="O958" s="58"/>
      <c r="P958" s="58">
        <v>583152.5</v>
      </c>
      <c r="Q958" t="s">
        <v>118</v>
      </c>
      <c r="R958" s="1" t="s">
        <v>158</v>
      </c>
    </row>
    <row r="959" spans="3:18" x14ac:dyDescent="0.35">
      <c r="C959" t="s">
        <v>51</v>
      </c>
      <c r="D959" t="s">
        <v>20</v>
      </c>
      <c r="E959" t="s">
        <v>49</v>
      </c>
      <c r="F959" t="s">
        <v>46</v>
      </c>
      <c r="G959" s="58">
        <v>1069324</v>
      </c>
      <c r="H959" s="1" t="s">
        <v>48</v>
      </c>
      <c r="I959" s="1" t="s">
        <v>105</v>
      </c>
      <c r="J959" s="58">
        <v>4277296</v>
      </c>
      <c r="K959" s="1" t="s">
        <v>106</v>
      </c>
      <c r="L959" s="1" t="s">
        <v>124</v>
      </c>
      <c r="M959" s="1" t="s">
        <v>123</v>
      </c>
      <c r="N959" s="1">
        <v>1</v>
      </c>
      <c r="O959" s="58"/>
      <c r="P959" s="58">
        <v>577434.96</v>
      </c>
      <c r="Q959" t="s">
        <v>113</v>
      </c>
      <c r="R959" s="1" t="s">
        <v>158</v>
      </c>
    </row>
    <row r="960" spans="3:18" x14ac:dyDescent="0.35">
      <c r="C960" t="s">
        <v>51</v>
      </c>
      <c r="D960" t="s">
        <v>21</v>
      </c>
      <c r="E960" t="s">
        <v>55</v>
      </c>
      <c r="F960" t="s">
        <v>46</v>
      </c>
      <c r="G960" s="58">
        <v>68166</v>
      </c>
      <c r="H960" s="1" t="s">
        <v>48</v>
      </c>
      <c r="I960" s="1" t="s">
        <v>108</v>
      </c>
      <c r="J960" s="58">
        <v>2385810</v>
      </c>
      <c r="K960" s="1" t="s">
        <v>106</v>
      </c>
      <c r="L960" s="1" t="s">
        <v>124</v>
      </c>
      <c r="M960" s="1" t="s">
        <v>126</v>
      </c>
      <c r="N960" s="1">
        <v>1</v>
      </c>
      <c r="O960" s="58"/>
      <c r="P960" s="58">
        <v>26584.74</v>
      </c>
      <c r="Q960" t="s">
        <v>107</v>
      </c>
      <c r="R960" s="1" t="s">
        <v>48</v>
      </c>
    </row>
    <row r="961" spans="3:18" x14ac:dyDescent="0.35">
      <c r="C961" t="s">
        <v>53</v>
      </c>
      <c r="D961" t="s">
        <v>25</v>
      </c>
      <c r="E961" t="s">
        <v>55</v>
      </c>
      <c r="F961" t="s">
        <v>46</v>
      </c>
      <c r="G961" s="58">
        <v>605520</v>
      </c>
      <c r="H961" s="1" t="s">
        <v>47</v>
      </c>
      <c r="I961" s="1" t="s">
        <v>105</v>
      </c>
      <c r="J961" s="58">
        <v>605520</v>
      </c>
      <c r="K961" s="1" t="s">
        <v>106</v>
      </c>
      <c r="L961" s="1" t="s">
        <v>114</v>
      </c>
      <c r="N961" s="1">
        <v>1</v>
      </c>
      <c r="O961" s="58"/>
      <c r="P961" s="58">
        <v>54496.800000000003</v>
      </c>
      <c r="Q961" t="s">
        <v>107</v>
      </c>
      <c r="R961" s="1" t="s">
        <v>158</v>
      </c>
    </row>
    <row r="962" spans="3:18" x14ac:dyDescent="0.35">
      <c r="C962" t="s">
        <v>51</v>
      </c>
      <c r="D962" t="s">
        <v>23</v>
      </c>
      <c r="E962" t="s">
        <v>55</v>
      </c>
      <c r="F962" t="s">
        <v>64</v>
      </c>
      <c r="G962" s="58">
        <v>54943</v>
      </c>
      <c r="H962" s="1" t="s">
        <v>47</v>
      </c>
      <c r="I962" s="1" t="s">
        <v>105</v>
      </c>
      <c r="J962" s="58">
        <v>164829</v>
      </c>
      <c r="K962" s="1" t="s">
        <v>106</v>
      </c>
      <c r="L962" s="1" t="s">
        <v>114</v>
      </c>
      <c r="N962" s="1">
        <v>1</v>
      </c>
      <c r="O962" s="58"/>
      <c r="P962" s="58">
        <v>6043.73</v>
      </c>
      <c r="Q962" t="s">
        <v>107</v>
      </c>
      <c r="R962" s="1" t="s">
        <v>158</v>
      </c>
    </row>
    <row r="963" spans="3:18" x14ac:dyDescent="0.35">
      <c r="C963" t="s">
        <v>51</v>
      </c>
      <c r="D963" t="s">
        <v>25</v>
      </c>
      <c r="E963" t="s">
        <v>55</v>
      </c>
      <c r="F963" t="s">
        <v>46</v>
      </c>
      <c r="G963" s="58">
        <v>463243</v>
      </c>
      <c r="H963" s="1" t="s">
        <v>47</v>
      </c>
      <c r="I963" s="1" t="s">
        <v>105</v>
      </c>
      <c r="J963" s="58">
        <v>1389729</v>
      </c>
      <c r="K963" s="1" t="s">
        <v>106</v>
      </c>
      <c r="L963" s="1" t="s">
        <v>114</v>
      </c>
      <c r="N963" s="1">
        <v>1</v>
      </c>
      <c r="O963" s="58"/>
      <c r="P963" s="58">
        <v>60221.59</v>
      </c>
      <c r="Q963" t="s">
        <v>107</v>
      </c>
      <c r="R963" s="1" t="s">
        <v>158</v>
      </c>
    </row>
    <row r="964" spans="3:18" x14ac:dyDescent="0.35">
      <c r="C964" t="s">
        <v>51</v>
      </c>
      <c r="D964" t="s">
        <v>19</v>
      </c>
      <c r="E964" t="s">
        <v>49</v>
      </c>
      <c r="F964" t="s">
        <v>46</v>
      </c>
      <c r="G964" s="58">
        <v>8536881</v>
      </c>
      <c r="H964" s="1" t="s">
        <v>54</v>
      </c>
      <c r="I964" s="1" t="s">
        <v>111</v>
      </c>
      <c r="J964" s="58">
        <v>119516334</v>
      </c>
      <c r="K964" s="1" t="s">
        <v>106</v>
      </c>
      <c r="L964" s="1" t="s">
        <v>124</v>
      </c>
      <c r="N964" s="1">
        <v>1</v>
      </c>
      <c r="O964" s="58"/>
      <c r="P964" s="58">
        <v>2304957.87</v>
      </c>
      <c r="Q964" t="s">
        <v>107</v>
      </c>
      <c r="R964" s="1" t="s">
        <v>158</v>
      </c>
    </row>
    <row r="965" spans="3:18" x14ac:dyDescent="0.35">
      <c r="C965" t="s">
        <v>51</v>
      </c>
      <c r="D965" t="s">
        <v>92</v>
      </c>
      <c r="E965" t="s">
        <v>49</v>
      </c>
      <c r="F965" t="s">
        <v>46</v>
      </c>
      <c r="G965" s="58">
        <v>1</v>
      </c>
      <c r="H965" s="1" t="s">
        <v>48</v>
      </c>
      <c r="I965" s="1" t="s">
        <v>128</v>
      </c>
      <c r="J965" s="58"/>
      <c r="K965" s="1" t="s">
        <v>106</v>
      </c>
      <c r="L965" s="1" t="s">
        <v>124</v>
      </c>
      <c r="M965" s="1" t="s">
        <v>123</v>
      </c>
      <c r="N965" s="1">
        <v>0</v>
      </c>
      <c r="O965" s="58"/>
      <c r="P965" s="58">
        <v>0</v>
      </c>
      <c r="Q965" t="s">
        <v>107</v>
      </c>
      <c r="R965" s="1" t="s">
        <v>158</v>
      </c>
    </row>
    <row r="966" spans="3:18" x14ac:dyDescent="0.35">
      <c r="C966" t="s">
        <v>51</v>
      </c>
      <c r="D966" t="s">
        <v>22</v>
      </c>
      <c r="E966" t="s">
        <v>52</v>
      </c>
      <c r="F966" t="s">
        <v>46</v>
      </c>
      <c r="G966" s="58">
        <v>210000</v>
      </c>
      <c r="H966" s="1" t="s">
        <v>48</v>
      </c>
      <c r="I966" s="1" t="s">
        <v>111</v>
      </c>
      <c r="J966" s="58">
        <v>3570000</v>
      </c>
      <c r="K966" s="1" t="s">
        <v>112</v>
      </c>
      <c r="N966" s="1">
        <v>1</v>
      </c>
      <c r="O966" s="58"/>
      <c r="P966" s="58">
        <v>142800</v>
      </c>
      <c r="Q966" t="s">
        <v>118</v>
      </c>
      <c r="R966" s="1" t="s">
        <v>48</v>
      </c>
    </row>
    <row r="967" spans="3:18" x14ac:dyDescent="0.35">
      <c r="C967" t="s">
        <v>51</v>
      </c>
      <c r="D967" t="s">
        <v>25</v>
      </c>
      <c r="E967" t="s">
        <v>55</v>
      </c>
      <c r="F967" t="s">
        <v>46</v>
      </c>
      <c r="G967" s="58">
        <v>150780</v>
      </c>
      <c r="H967" s="1" t="s">
        <v>48</v>
      </c>
      <c r="I967" s="1" t="s">
        <v>108</v>
      </c>
      <c r="J967" s="58">
        <v>5428080</v>
      </c>
      <c r="K967" s="1" t="s">
        <v>106</v>
      </c>
      <c r="L967" s="1" t="s">
        <v>114</v>
      </c>
      <c r="M967" s="1" t="s">
        <v>117</v>
      </c>
      <c r="N967" s="1">
        <v>1</v>
      </c>
      <c r="O967" s="58"/>
      <c r="P967" s="58">
        <v>120624</v>
      </c>
      <c r="Q967" t="s">
        <v>127</v>
      </c>
      <c r="R967" s="1" t="s">
        <v>158</v>
      </c>
    </row>
    <row r="968" spans="3:18" x14ac:dyDescent="0.35">
      <c r="C968" t="s">
        <v>53</v>
      </c>
      <c r="D968" t="s">
        <v>21</v>
      </c>
      <c r="E968" t="s">
        <v>49</v>
      </c>
      <c r="F968" t="s">
        <v>46</v>
      </c>
      <c r="G968" s="58">
        <v>139758</v>
      </c>
      <c r="H968" s="1" t="s">
        <v>47</v>
      </c>
      <c r="I968" s="1" t="s">
        <v>119</v>
      </c>
      <c r="J968" s="58">
        <v>1257822</v>
      </c>
      <c r="K968" s="1" t="s">
        <v>106</v>
      </c>
      <c r="L968" s="1" t="s">
        <v>120</v>
      </c>
      <c r="N968" s="1">
        <v>1</v>
      </c>
      <c r="O968" s="58"/>
      <c r="P968" s="58">
        <v>68481.42</v>
      </c>
      <c r="Q968" t="s">
        <v>113</v>
      </c>
      <c r="R968" s="1" t="s">
        <v>158</v>
      </c>
    </row>
    <row r="969" spans="3:18" x14ac:dyDescent="0.35">
      <c r="C969" t="s">
        <v>53</v>
      </c>
      <c r="D969" t="s">
        <v>23</v>
      </c>
      <c r="E969" t="s">
        <v>45</v>
      </c>
      <c r="F969" t="s">
        <v>46</v>
      </c>
      <c r="G969" s="58">
        <v>46646530</v>
      </c>
      <c r="H969" s="1" t="s">
        <v>47</v>
      </c>
      <c r="I969" s="1" t="s">
        <v>105</v>
      </c>
      <c r="J969" s="58">
        <v>139939590</v>
      </c>
      <c r="K969" s="1" t="s">
        <v>106</v>
      </c>
      <c r="L969" s="1" t="s">
        <v>120</v>
      </c>
      <c r="N969" s="1">
        <v>1</v>
      </c>
      <c r="O969" s="58"/>
      <c r="P969" s="58">
        <v>7463444.7999999998</v>
      </c>
      <c r="Q969" t="s">
        <v>107</v>
      </c>
      <c r="R969" s="1" t="s">
        <v>158</v>
      </c>
    </row>
    <row r="970" spans="3:18" x14ac:dyDescent="0.35">
      <c r="C970" t="s">
        <v>51</v>
      </c>
      <c r="D970" t="s">
        <v>23</v>
      </c>
      <c r="E970" t="s">
        <v>49</v>
      </c>
      <c r="F970" t="s">
        <v>46</v>
      </c>
      <c r="G970" s="58">
        <v>1113721</v>
      </c>
      <c r="H970" s="1" t="s">
        <v>54</v>
      </c>
      <c r="I970" s="1" t="s">
        <v>111</v>
      </c>
      <c r="J970" s="58">
        <v>16705815</v>
      </c>
      <c r="K970" s="1" t="s">
        <v>106</v>
      </c>
      <c r="L970" s="1" t="s">
        <v>124</v>
      </c>
      <c r="N970" s="1">
        <v>1</v>
      </c>
      <c r="O970" s="58"/>
      <c r="P970" s="58">
        <v>746193.07</v>
      </c>
      <c r="Q970" t="s">
        <v>118</v>
      </c>
      <c r="R970" s="1" t="s">
        <v>158</v>
      </c>
    </row>
    <row r="971" spans="3:18" x14ac:dyDescent="0.35">
      <c r="C971" t="s">
        <v>51</v>
      </c>
      <c r="D971" t="s">
        <v>91</v>
      </c>
      <c r="E971" t="s">
        <v>49</v>
      </c>
      <c r="F971" t="s">
        <v>46</v>
      </c>
      <c r="G971" s="58">
        <v>2544199</v>
      </c>
      <c r="H971" s="1" t="s">
        <v>48</v>
      </c>
      <c r="I971" s="1" t="s">
        <v>108</v>
      </c>
      <c r="J971" s="58">
        <v>81414368</v>
      </c>
      <c r="K971" s="1" t="s">
        <v>106</v>
      </c>
      <c r="L971" s="1" t="s">
        <v>124</v>
      </c>
      <c r="M971" s="1" t="s">
        <v>122</v>
      </c>
      <c r="N971" s="1">
        <v>1</v>
      </c>
      <c r="O971" s="58"/>
      <c r="P971" s="58">
        <v>3002154.82</v>
      </c>
      <c r="Q971" t="s">
        <v>110</v>
      </c>
      <c r="R971" s="1" t="s">
        <v>158</v>
      </c>
    </row>
    <row r="972" spans="3:18" x14ac:dyDescent="0.35">
      <c r="C972" t="s">
        <v>51</v>
      </c>
      <c r="D972" t="s">
        <v>20</v>
      </c>
      <c r="E972" t="s">
        <v>49</v>
      </c>
      <c r="F972" t="s">
        <v>46</v>
      </c>
      <c r="G972" s="58">
        <v>7358522</v>
      </c>
      <c r="H972" s="1" t="s">
        <v>47</v>
      </c>
      <c r="I972" s="1" t="s">
        <v>108</v>
      </c>
      <c r="J972" s="58">
        <v>235472704</v>
      </c>
      <c r="K972" s="1" t="s">
        <v>112</v>
      </c>
      <c r="N972" s="1">
        <v>1</v>
      </c>
      <c r="O972" s="58"/>
      <c r="P972" s="58">
        <v>1545289.62</v>
      </c>
      <c r="Q972" t="s">
        <v>107</v>
      </c>
      <c r="R972" s="1" t="s">
        <v>158</v>
      </c>
    </row>
    <row r="973" spans="3:18" x14ac:dyDescent="0.35">
      <c r="C973" t="s">
        <v>51</v>
      </c>
      <c r="D973" t="s">
        <v>23</v>
      </c>
      <c r="E973" t="s">
        <v>55</v>
      </c>
      <c r="F973" t="s">
        <v>46</v>
      </c>
      <c r="G973" s="58">
        <v>617594</v>
      </c>
      <c r="H973" s="1" t="s">
        <v>47</v>
      </c>
      <c r="I973" s="1" t="s">
        <v>119</v>
      </c>
      <c r="J973" s="58">
        <v>4323158</v>
      </c>
      <c r="K973" s="1" t="s">
        <v>106</v>
      </c>
      <c r="L973" s="1" t="s">
        <v>114</v>
      </c>
      <c r="N973" s="1">
        <v>1</v>
      </c>
      <c r="O973" s="58"/>
      <c r="P973" s="58">
        <v>407612.04</v>
      </c>
      <c r="Q973" t="s">
        <v>118</v>
      </c>
      <c r="R973" s="1" t="s">
        <v>158</v>
      </c>
    </row>
    <row r="974" spans="3:18" x14ac:dyDescent="0.35">
      <c r="C974" t="s">
        <v>53</v>
      </c>
      <c r="D974" t="s">
        <v>25</v>
      </c>
      <c r="E974" t="s">
        <v>45</v>
      </c>
      <c r="F974" t="s">
        <v>46</v>
      </c>
      <c r="G974" s="58">
        <v>30826</v>
      </c>
      <c r="H974" s="1" t="s">
        <v>47</v>
      </c>
      <c r="I974" s="1" t="s">
        <v>105</v>
      </c>
      <c r="J974" s="58">
        <v>30826</v>
      </c>
      <c r="K974" s="1" t="s">
        <v>106</v>
      </c>
      <c r="L974" s="1" t="s">
        <v>124</v>
      </c>
      <c r="N974" s="1">
        <v>1</v>
      </c>
      <c r="O974" s="58"/>
      <c r="P974" s="58">
        <v>1849.56</v>
      </c>
      <c r="Q974" t="s">
        <v>107</v>
      </c>
      <c r="R974" s="1" t="s">
        <v>158</v>
      </c>
    </row>
    <row r="975" spans="3:18" x14ac:dyDescent="0.35">
      <c r="C975" t="s">
        <v>53</v>
      </c>
      <c r="D975" t="s">
        <v>92</v>
      </c>
      <c r="E975" t="s">
        <v>49</v>
      </c>
      <c r="F975" t="s">
        <v>46</v>
      </c>
      <c r="G975" s="58">
        <v>38947697</v>
      </c>
      <c r="H975" s="1" t="s">
        <v>54</v>
      </c>
      <c r="I975" s="1" t="s">
        <v>111</v>
      </c>
      <c r="J975" s="58">
        <v>467372364</v>
      </c>
      <c r="K975" s="1" t="s">
        <v>106</v>
      </c>
      <c r="L975" s="1" t="s">
        <v>124</v>
      </c>
      <c r="N975" s="1">
        <v>1</v>
      </c>
      <c r="O975" s="58"/>
      <c r="P975" s="58">
        <v>9347447.2799999993</v>
      </c>
      <c r="Q975" t="s">
        <v>107</v>
      </c>
      <c r="R975" s="1" t="s">
        <v>158</v>
      </c>
    </row>
    <row r="976" spans="3:18" x14ac:dyDescent="0.35">
      <c r="C976" t="s">
        <v>51</v>
      </c>
      <c r="D976" t="s">
        <v>25</v>
      </c>
      <c r="E976" t="s">
        <v>50</v>
      </c>
      <c r="F976" t="s">
        <v>46</v>
      </c>
      <c r="G976" s="58">
        <v>47902</v>
      </c>
      <c r="H976" s="1" t="s">
        <v>54</v>
      </c>
      <c r="I976" s="1" t="s">
        <v>111</v>
      </c>
      <c r="J976" s="58">
        <v>574824</v>
      </c>
      <c r="K976" s="1" t="s">
        <v>106</v>
      </c>
      <c r="L976" s="1" t="s">
        <v>114</v>
      </c>
      <c r="N976" s="1">
        <v>1</v>
      </c>
      <c r="O976" s="58"/>
      <c r="P976" s="58">
        <v>17723.740000000002</v>
      </c>
      <c r="Q976" t="s">
        <v>107</v>
      </c>
      <c r="R976" s="1" t="s">
        <v>158</v>
      </c>
    </row>
    <row r="977" spans="3:18" x14ac:dyDescent="0.35">
      <c r="C977" t="s">
        <v>51</v>
      </c>
      <c r="D977" t="s">
        <v>21</v>
      </c>
      <c r="E977" t="s">
        <v>55</v>
      </c>
      <c r="F977" t="s">
        <v>46</v>
      </c>
      <c r="G977" s="58">
        <v>735075</v>
      </c>
      <c r="H977" s="1" t="s">
        <v>48</v>
      </c>
      <c r="I977" s="1" t="s">
        <v>108</v>
      </c>
      <c r="J977" s="58">
        <v>20582100</v>
      </c>
      <c r="K977" s="1" t="s">
        <v>106</v>
      </c>
      <c r="L977" s="1" t="s">
        <v>120</v>
      </c>
      <c r="M977" s="1" t="s">
        <v>115</v>
      </c>
      <c r="N977" s="1">
        <v>1</v>
      </c>
      <c r="O977" s="58"/>
      <c r="P977" s="58">
        <v>492500.25</v>
      </c>
      <c r="Q977" t="s">
        <v>118</v>
      </c>
      <c r="R977" s="1" t="s">
        <v>48</v>
      </c>
    </row>
    <row r="978" spans="3:18" x14ac:dyDescent="0.35">
      <c r="C978" t="s">
        <v>51</v>
      </c>
      <c r="D978" t="s">
        <v>20</v>
      </c>
      <c r="E978" t="s">
        <v>49</v>
      </c>
      <c r="F978" t="s">
        <v>46</v>
      </c>
      <c r="G978" s="58">
        <v>69030</v>
      </c>
      <c r="H978" s="1" t="s">
        <v>48</v>
      </c>
      <c r="I978" s="1" t="s">
        <v>119</v>
      </c>
      <c r="J978" s="58">
        <v>690300</v>
      </c>
      <c r="K978" s="1" t="s">
        <v>112</v>
      </c>
      <c r="N978" s="1">
        <v>1</v>
      </c>
      <c r="O978" s="58"/>
      <c r="P978" s="58">
        <v>14496.3</v>
      </c>
      <c r="Q978" t="s">
        <v>107</v>
      </c>
      <c r="R978" s="1" t="s">
        <v>158</v>
      </c>
    </row>
    <row r="979" spans="3:18" x14ac:dyDescent="0.35">
      <c r="C979" t="s">
        <v>51</v>
      </c>
      <c r="D979" t="s">
        <v>21</v>
      </c>
      <c r="E979" t="s">
        <v>49</v>
      </c>
      <c r="F979" t="s">
        <v>46</v>
      </c>
      <c r="G979" s="58">
        <v>354372</v>
      </c>
      <c r="H979" s="1" t="s">
        <v>48</v>
      </c>
      <c r="I979" s="1" t="s">
        <v>119</v>
      </c>
      <c r="J979" s="58">
        <v>2834976</v>
      </c>
      <c r="K979" s="1" t="s">
        <v>106</v>
      </c>
      <c r="L979" s="1" t="s">
        <v>124</v>
      </c>
      <c r="M979" s="1" t="s">
        <v>126</v>
      </c>
      <c r="N979" s="1">
        <v>1</v>
      </c>
      <c r="O979" s="58"/>
      <c r="P979" s="58">
        <v>223254.36</v>
      </c>
      <c r="Q979" t="s">
        <v>118</v>
      </c>
      <c r="R979" s="1" t="s">
        <v>48</v>
      </c>
    </row>
    <row r="980" spans="3:18" x14ac:dyDescent="0.35">
      <c r="C980" t="s">
        <v>51</v>
      </c>
      <c r="D980" t="s">
        <v>20</v>
      </c>
      <c r="E980" t="s">
        <v>49</v>
      </c>
      <c r="F980" t="s">
        <v>46</v>
      </c>
      <c r="G980" s="58">
        <v>2284912</v>
      </c>
      <c r="H980" s="1" t="s">
        <v>48</v>
      </c>
      <c r="I980" s="1" t="s">
        <v>111</v>
      </c>
      <c r="J980" s="58">
        <v>41128416</v>
      </c>
      <c r="K980" s="1" t="s">
        <v>112</v>
      </c>
      <c r="N980" s="1">
        <v>1</v>
      </c>
      <c r="O980" s="58"/>
      <c r="P980" s="58">
        <v>1690834.88</v>
      </c>
      <c r="Q980" t="s">
        <v>118</v>
      </c>
      <c r="R980" s="1" t="s">
        <v>48</v>
      </c>
    </row>
    <row r="981" spans="3:18" x14ac:dyDescent="0.35">
      <c r="C981" t="s">
        <v>44</v>
      </c>
      <c r="D981" t="s">
        <v>23</v>
      </c>
      <c r="E981" t="s">
        <v>55</v>
      </c>
      <c r="F981" t="s">
        <v>46</v>
      </c>
      <c r="G981" s="58">
        <v>127628</v>
      </c>
      <c r="H981" s="1" t="s">
        <v>56</v>
      </c>
      <c r="I981" s="1" t="s">
        <v>108</v>
      </c>
      <c r="J981" s="58"/>
      <c r="N981" s="1">
        <v>0</v>
      </c>
      <c r="O981" s="58"/>
      <c r="P981" s="58"/>
      <c r="R981" s="1" t="s">
        <v>158</v>
      </c>
    </row>
    <row r="982" spans="3:18" x14ac:dyDescent="0.35">
      <c r="C982" t="s">
        <v>51</v>
      </c>
      <c r="D982" t="s">
        <v>23</v>
      </c>
      <c r="E982" t="s">
        <v>45</v>
      </c>
      <c r="F982" t="s">
        <v>46</v>
      </c>
      <c r="G982" s="58">
        <v>135987</v>
      </c>
      <c r="H982" s="1" t="s">
        <v>47</v>
      </c>
      <c r="I982" s="1" t="s">
        <v>105</v>
      </c>
      <c r="J982" s="58"/>
      <c r="K982" s="1" t="s">
        <v>106</v>
      </c>
      <c r="L982" s="1" t="s">
        <v>120</v>
      </c>
      <c r="N982" s="1">
        <v>0</v>
      </c>
      <c r="O982" s="58"/>
      <c r="P982" s="58">
        <v>4079.61</v>
      </c>
      <c r="Q982" t="s">
        <v>107</v>
      </c>
      <c r="R982" s="1" t="s">
        <v>158</v>
      </c>
    </row>
    <row r="983" spans="3:18" x14ac:dyDescent="0.35">
      <c r="C983" t="s">
        <v>51</v>
      </c>
      <c r="D983" t="s">
        <v>19</v>
      </c>
      <c r="E983" t="s">
        <v>49</v>
      </c>
      <c r="F983" t="s">
        <v>46</v>
      </c>
      <c r="G983" s="58">
        <v>137543</v>
      </c>
      <c r="H983" s="1" t="s">
        <v>48</v>
      </c>
      <c r="I983" s="1" t="s">
        <v>108</v>
      </c>
      <c r="J983" s="58">
        <v>3851204</v>
      </c>
      <c r="K983" s="1" t="s">
        <v>106</v>
      </c>
      <c r="L983" s="1" t="s">
        <v>114</v>
      </c>
      <c r="M983" s="1" t="s">
        <v>125</v>
      </c>
      <c r="N983" s="1">
        <v>1</v>
      </c>
      <c r="O983" s="58"/>
      <c r="P983" s="58">
        <v>27508.6</v>
      </c>
      <c r="Q983" t="s">
        <v>107</v>
      </c>
      <c r="R983" s="1" t="s">
        <v>158</v>
      </c>
    </row>
    <row r="984" spans="3:18" x14ac:dyDescent="0.35">
      <c r="C984" t="s">
        <v>51</v>
      </c>
      <c r="D984" t="s">
        <v>21</v>
      </c>
      <c r="E984" t="s">
        <v>45</v>
      </c>
      <c r="F984" t="s">
        <v>46</v>
      </c>
      <c r="G984" s="58">
        <v>300174</v>
      </c>
      <c r="H984" s="1" t="s">
        <v>48</v>
      </c>
      <c r="I984" s="1" t="s">
        <v>119</v>
      </c>
      <c r="J984" s="58">
        <v>2101218</v>
      </c>
      <c r="K984" s="1" t="s">
        <v>112</v>
      </c>
      <c r="N984" s="1">
        <v>1</v>
      </c>
      <c r="O984" s="58"/>
      <c r="P984" s="58">
        <v>150087</v>
      </c>
      <c r="Q984" t="s">
        <v>113</v>
      </c>
      <c r="R984" s="1" t="s">
        <v>48</v>
      </c>
    </row>
    <row r="985" spans="3:18" x14ac:dyDescent="0.35">
      <c r="C985" t="s">
        <v>51</v>
      </c>
      <c r="D985" t="s">
        <v>92</v>
      </c>
      <c r="E985" t="s">
        <v>45</v>
      </c>
      <c r="F985" t="s">
        <v>46</v>
      </c>
      <c r="G985" s="58">
        <v>56482</v>
      </c>
      <c r="H985" s="1" t="s">
        <v>54</v>
      </c>
      <c r="I985" s="1" t="s">
        <v>119</v>
      </c>
      <c r="J985" s="58">
        <v>451856</v>
      </c>
      <c r="K985" s="1" t="s">
        <v>106</v>
      </c>
      <c r="L985" s="1" t="s">
        <v>120</v>
      </c>
      <c r="N985" s="1">
        <v>1</v>
      </c>
      <c r="O985" s="58"/>
      <c r="P985" s="58">
        <v>23722.44</v>
      </c>
      <c r="Q985" t="s">
        <v>113</v>
      </c>
      <c r="R985" s="1" t="s">
        <v>158</v>
      </c>
    </row>
    <row r="986" spans="3:18" x14ac:dyDescent="0.35">
      <c r="C986" t="s">
        <v>51</v>
      </c>
      <c r="D986" t="s">
        <v>23</v>
      </c>
      <c r="E986" t="s">
        <v>55</v>
      </c>
      <c r="F986" t="s">
        <v>46</v>
      </c>
      <c r="G986" s="58">
        <v>67362</v>
      </c>
      <c r="H986" s="1" t="s">
        <v>54</v>
      </c>
      <c r="I986" s="1" t="s">
        <v>108</v>
      </c>
      <c r="J986" s="58">
        <v>2290308</v>
      </c>
      <c r="K986" s="1" t="s">
        <v>106</v>
      </c>
      <c r="L986" s="1" t="s">
        <v>120</v>
      </c>
      <c r="N986" s="1">
        <v>1</v>
      </c>
      <c r="O986" s="58"/>
      <c r="P986" s="58">
        <v>8757.06</v>
      </c>
      <c r="Q986" t="s">
        <v>107</v>
      </c>
      <c r="R986" s="1" t="s">
        <v>158</v>
      </c>
    </row>
    <row r="987" spans="3:18" x14ac:dyDescent="0.35">
      <c r="C987" t="s">
        <v>51</v>
      </c>
      <c r="D987" t="s">
        <v>22</v>
      </c>
      <c r="E987" t="s">
        <v>45</v>
      </c>
      <c r="F987" t="s">
        <v>46</v>
      </c>
      <c r="G987" s="58">
        <v>4545</v>
      </c>
      <c r="H987" s="1" t="s">
        <v>56</v>
      </c>
      <c r="I987" s="1" t="s">
        <v>105</v>
      </c>
      <c r="J987" s="58">
        <v>13635</v>
      </c>
      <c r="K987" s="1" t="s">
        <v>106</v>
      </c>
      <c r="L987" s="1" t="s">
        <v>120</v>
      </c>
      <c r="N987" s="1">
        <v>1</v>
      </c>
      <c r="O987" s="58"/>
      <c r="P987" s="58">
        <v>4090.5</v>
      </c>
      <c r="Q987" t="s">
        <v>127</v>
      </c>
      <c r="R987" s="1" t="s">
        <v>158</v>
      </c>
    </row>
    <row r="988" spans="3:18" x14ac:dyDescent="0.35">
      <c r="C988" t="s">
        <v>51</v>
      </c>
      <c r="D988" t="s">
        <v>22</v>
      </c>
      <c r="E988" t="s">
        <v>45</v>
      </c>
      <c r="F988" t="s">
        <v>64</v>
      </c>
      <c r="G988" s="58">
        <v>277025</v>
      </c>
      <c r="H988" s="1" t="s">
        <v>56</v>
      </c>
      <c r="I988" s="1" t="s">
        <v>108</v>
      </c>
      <c r="J988" s="58">
        <v>6925625</v>
      </c>
      <c r="K988" s="1" t="s">
        <v>112</v>
      </c>
      <c r="N988" s="1">
        <v>1</v>
      </c>
      <c r="O988" s="58"/>
      <c r="P988" s="58">
        <v>72026.5</v>
      </c>
      <c r="Q988" t="s">
        <v>107</v>
      </c>
      <c r="R988" s="1" t="s">
        <v>158</v>
      </c>
    </row>
    <row r="989" spans="3:18" x14ac:dyDescent="0.35">
      <c r="C989" t="s">
        <v>51</v>
      </c>
      <c r="D989" t="s">
        <v>92</v>
      </c>
      <c r="E989" t="s">
        <v>45</v>
      </c>
      <c r="F989" t="s">
        <v>46</v>
      </c>
      <c r="G989" s="58">
        <v>383467</v>
      </c>
      <c r="H989" s="1" t="s">
        <v>48</v>
      </c>
      <c r="I989" s="1" t="s">
        <v>111</v>
      </c>
      <c r="J989" s="58">
        <v>6518939</v>
      </c>
      <c r="K989" s="1" t="s">
        <v>106</v>
      </c>
      <c r="L989" s="1" t="s">
        <v>120</v>
      </c>
      <c r="M989" s="1" t="s">
        <v>123</v>
      </c>
      <c r="N989" s="1">
        <v>1</v>
      </c>
      <c r="O989" s="58"/>
      <c r="P989" s="58">
        <v>272261.57</v>
      </c>
      <c r="Q989" t="s">
        <v>118</v>
      </c>
      <c r="R989" s="1" t="s">
        <v>48</v>
      </c>
    </row>
    <row r="990" spans="3:18" x14ac:dyDescent="0.35">
      <c r="C990" t="s">
        <v>51</v>
      </c>
      <c r="D990" t="s">
        <v>25</v>
      </c>
      <c r="E990" t="s">
        <v>55</v>
      </c>
      <c r="F990" t="s">
        <v>46</v>
      </c>
      <c r="G990" s="58">
        <v>175339</v>
      </c>
      <c r="H990" s="1" t="s">
        <v>47</v>
      </c>
      <c r="I990" s="1" t="s">
        <v>111</v>
      </c>
      <c r="J990" s="58">
        <v>3506780</v>
      </c>
      <c r="K990" s="1" t="s">
        <v>112</v>
      </c>
      <c r="N990" s="1">
        <v>1</v>
      </c>
      <c r="O990" s="58"/>
      <c r="P990" s="58">
        <v>92929.67</v>
      </c>
      <c r="Q990" t="s">
        <v>113</v>
      </c>
      <c r="R990" s="1" t="s">
        <v>158</v>
      </c>
    </row>
    <row r="991" spans="3:18" x14ac:dyDescent="0.35">
      <c r="C991" t="s">
        <v>53</v>
      </c>
      <c r="D991" t="s">
        <v>21</v>
      </c>
      <c r="E991" t="s">
        <v>49</v>
      </c>
      <c r="F991" t="s">
        <v>46</v>
      </c>
      <c r="G991" s="58">
        <v>37924303</v>
      </c>
      <c r="H991" s="1" t="s">
        <v>47</v>
      </c>
      <c r="I991" s="1" t="s">
        <v>119</v>
      </c>
      <c r="J991" s="58">
        <v>341318727</v>
      </c>
      <c r="K991" s="1" t="s">
        <v>106</v>
      </c>
      <c r="L991" s="1" t="s">
        <v>124</v>
      </c>
      <c r="N991" s="1">
        <v>1</v>
      </c>
      <c r="O991" s="58"/>
      <c r="P991" s="58">
        <v>26167769.07</v>
      </c>
      <c r="Q991" t="s">
        <v>118</v>
      </c>
      <c r="R991" s="1" t="s">
        <v>158</v>
      </c>
    </row>
    <row r="992" spans="3:18" x14ac:dyDescent="0.35">
      <c r="C992" t="s">
        <v>51</v>
      </c>
      <c r="D992" t="s">
        <v>24</v>
      </c>
      <c r="E992" t="s">
        <v>52</v>
      </c>
      <c r="F992" t="s">
        <v>46</v>
      </c>
      <c r="G992" s="58">
        <v>865125</v>
      </c>
      <c r="H992" s="1" t="s">
        <v>48</v>
      </c>
      <c r="I992" s="1" t="s">
        <v>108</v>
      </c>
      <c r="J992" s="58">
        <v>21628125</v>
      </c>
      <c r="K992" s="1" t="s">
        <v>106</v>
      </c>
      <c r="L992" s="1" t="s">
        <v>114</v>
      </c>
      <c r="M992" s="1" t="s">
        <v>121</v>
      </c>
      <c r="N992" s="1">
        <v>1</v>
      </c>
      <c r="O992" s="58"/>
      <c r="P992" s="58">
        <v>475818.75</v>
      </c>
      <c r="Q992" t="s">
        <v>113</v>
      </c>
      <c r="R992" s="1" t="s">
        <v>48</v>
      </c>
    </row>
    <row r="993" spans="3:18" x14ac:dyDescent="0.35">
      <c r="C993" t="s">
        <v>53</v>
      </c>
      <c r="D993" t="s">
        <v>22</v>
      </c>
      <c r="E993" t="s">
        <v>45</v>
      </c>
      <c r="F993" t="s">
        <v>46</v>
      </c>
      <c r="G993" s="58">
        <v>2082200</v>
      </c>
      <c r="H993" s="1" t="s">
        <v>47</v>
      </c>
      <c r="I993" s="1" t="s">
        <v>111</v>
      </c>
      <c r="J993" s="58">
        <v>31233000</v>
      </c>
      <c r="K993" s="1" t="s">
        <v>106</v>
      </c>
      <c r="L993" s="1" t="s">
        <v>120</v>
      </c>
      <c r="N993" s="1">
        <v>1</v>
      </c>
      <c r="O993" s="58"/>
      <c r="P993" s="58">
        <v>2686038</v>
      </c>
      <c r="Q993" t="s">
        <v>110</v>
      </c>
      <c r="R993" s="1" t="s">
        <v>158</v>
      </c>
    </row>
    <row r="994" spans="3:18" x14ac:dyDescent="0.35">
      <c r="C994" t="s">
        <v>53</v>
      </c>
      <c r="D994" t="s">
        <v>23</v>
      </c>
      <c r="E994" t="s">
        <v>55</v>
      </c>
      <c r="F994" t="s">
        <v>46</v>
      </c>
      <c r="G994" s="58">
        <v>287581</v>
      </c>
      <c r="H994" s="1" t="s">
        <v>56</v>
      </c>
      <c r="I994" s="1" t="s">
        <v>111</v>
      </c>
      <c r="J994" s="58">
        <v>4026134</v>
      </c>
      <c r="K994" s="1" t="s">
        <v>106</v>
      </c>
      <c r="L994" s="1" t="s">
        <v>114</v>
      </c>
      <c r="N994" s="1">
        <v>1</v>
      </c>
      <c r="O994" s="58"/>
      <c r="P994" s="58">
        <v>172548.6</v>
      </c>
      <c r="Q994" t="s">
        <v>118</v>
      </c>
      <c r="R994" s="1" t="s">
        <v>158</v>
      </c>
    </row>
    <row r="995" spans="3:18" x14ac:dyDescent="0.35">
      <c r="C995" t="s">
        <v>51</v>
      </c>
      <c r="D995" t="s">
        <v>23</v>
      </c>
      <c r="E995" t="s">
        <v>49</v>
      </c>
      <c r="F995" t="s">
        <v>46</v>
      </c>
      <c r="G995" s="58">
        <v>239904</v>
      </c>
      <c r="H995" s="1" t="s">
        <v>59</v>
      </c>
      <c r="I995" s="1" t="s">
        <v>108</v>
      </c>
      <c r="J995" s="58">
        <v>5277888</v>
      </c>
      <c r="K995" s="1" t="s">
        <v>112</v>
      </c>
      <c r="N995" s="1">
        <v>1</v>
      </c>
      <c r="O995" s="58"/>
      <c r="P995" s="58">
        <v>172730.88</v>
      </c>
      <c r="Q995" t="s">
        <v>118</v>
      </c>
      <c r="R995" s="1" t="s">
        <v>158</v>
      </c>
    </row>
    <row r="996" spans="3:18" x14ac:dyDescent="0.35">
      <c r="C996" t="s">
        <v>53</v>
      </c>
      <c r="D996" t="s">
        <v>60</v>
      </c>
      <c r="E996" t="s">
        <v>60</v>
      </c>
      <c r="F996" t="s">
        <v>46</v>
      </c>
      <c r="G996" s="58">
        <v>1376335</v>
      </c>
      <c r="H996" s="1" t="s">
        <v>90</v>
      </c>
      <c r="I996" s="1" t="s">
        <v>119</v>
      </c>
      <c r="J996" s="58">
        <v>13763350</v>
      </c>
      <c r="K996" s="1" t="s">
        <v>112</v>
      </c>
      <c r="N996" s="1">
        <v>1</v>
      </c>
      <c r="O996" s="58"/>
      <c r="P996" s="58">
        <v>1624075.3</v>
      </c>
      <c r="Q996" t="s">
        <v>110</v>
      </c>
      <c r="R996" s="1" t="s">
        <v>90</v>
      </c>
    </row>
    <row r="997" spans="3:18" x14ac:dyDescent="0.35">
      <c r="C997" t="s">
        <v>51</v>
      </c>
      <c r="D997" t="s">
        <v>24</v>
      </c>
      <c r="E997" t="s">
        <v>49</v>
      </c>
      <c r="F997" t="s">
        <v>46</v>
      </c>
      <c r="G997" s="58">
        <v>12244836</v>
      </c>
      <c r="H997" s="1" t="s">
        <v>48</v>
      </c>
      <c r="I997" s="1" t="s">
        <v>108</v>
      </c>
      <c r="J997" s="58">
        <v>416324424</v>
      </c>
      <c r="K997" s="1" t="s">
        <v>106</v>
      </c>
      <c r="L997" s="1" t="s">
        <v>124</v>
      </c>
      <c r="M997" s="1" t="s">
        <v>121</v>
      </c>
      <c r="N997" s="1">
        <v>1</v>
      </c>
      <c r="O997" s="58"/>
      <c r="P997" s="58">
        <v>10285662.24</v>
      </c>
      <c r="Q997" t="s">
        <v>127</v>
      </c>
      <c r="R997" s="1" t="s">
        <v>158</v>
      </c>
    </row>
    <row r="998" spans="3:18" x14ac:dyDescent="0.35">
      <c r="C998" t="s">
        <v>51</v>
      </c>
      <c r="D998" t="s">
        <v>92</v>
      </c>
      <c r="E998" t="s">
        <v>45</v>
      </c>
      <c r="F998" t="s">
        <v>46</v>
      </c>
      <c r="G998" s="58">
        <v>144307</v>
      </c>
      <c r="H998" s="1" t="s">
        <v>47</v>
      </c>
      <c r="I998" s="1" t="s">
        <v>108</v>
      </c>
      <c r="J998" s="58">
        <v>4473517</v>
      </c>
      <c r="K998" s="1" t="s">
        <v>112</v>
      </c>
      <c r="N998" s="1">
        <v>1</v>
      </c>
      <c r="O998" s="58"/>
      <c r="P998" s="58">
        <v>28861.4</v>
      </c>
      <c r="Q998" t="s">
        <v>107</v>
      </c>
      <c r="R998" s="1" t="s">
        <v>158</v>
      </c>
    </row>
    <row r="999" spans="3:18" x14ac:dyDescent="0.35">
      <c r="C999" t="s">
        <v>51</v>
      </c>
      <c r="D999" t="s">
        <v>91</v>
      </c>
      <c r="E999" t="s">
        <v>49</v>
      </c>
      <c r="F999" t="s">
        <v>46</v>
      </c>
      <c r="G999" s="58">
        <v>108879</v>
      </c>
      <c r="H999" s="1" t="s">
        <v>48</v>
      </c>
      <c r="I999" s="1" t="s">
        <v>108</v>
      </c>
      <c r="J999" s="58">
        <v>3375249</v>
      </c>
      <c r="K999" s="1" t="s">
        <v>106</v>
      </c>
      <c r="L999" s="1" t="s">
        <v>114</v>
      </c>
      <c r="M999" s="1" t="s">
        <v>121</v>
      </c>
      <c r="N999" s="1">
        <v>1</v>
      </c>
      <c r="O999" s="58"/>
      <c r="P999" s="58">
        <v>117589.32</v>
      </c>
      <c r="Q999" t="s">
        <v>110</v>
      </c>
      <c r="R999" s="1" t="s">
        <v>158</v>
      </c>
    </row>
    <row r="1000" spans="3:18" x14ac:dyDescent="0.35">
      <c r="C1000" t="s">
        <v>51</v>
      </c>
      <c r="D1000" t="s">
        <v>22</v>
      </c>
      <c r="E1000" t="s">
        <v>49</v>
      </c>
      <c r="F1000" t="s">
        <v>46</v>
      </c>
      <c r="G1000" s="58">
        <v>10795807</v>
      </c>
      <c r="H1000" s="1" t="s">
        <v>48</v>
      </c>
      <c r="I1000" s="1" t="s">
        <v>108</v>
      </c>
      <c r="J1000" s="58">
        <v>367057438</v>
      </c>
      <c r="K1000" s="1" t="s">
        <v>112</v>
      </c>
      <c r="N1000" s="1">
        <v>1</v>
      </c>
      <c r="O1000" s="58"/>
      <c r="P1000" s="58">
        <v>7772981.04</v>
      </c>
      <c r="Q1000" t="s">
        <v>118</v>
      </c>
      <c r="R1000" s="1" t="s">
        <v>48</v>
      </c>
    </row>
    <row r="1001" spans="3:18" x14ac:dyDescent="0.35">
      <c r="C1001" t="s">
        <v>51</v>
      </c>
      <c r="D1001" t="s">
        <v>19</v>
      </c>
      <c r="E1001" t="s">
        <v>49</v>
      </c>
      <c r="F1001" t="s">
        <v>46</v>
      </c>
      <c r="G1001" s="58">
        <v>1757701</v>
      </c>
      <c r="H1001" s="1" t="s">
        <v>59</v>
      </c>
      <c r="I1001" s="1" t="s">
        <v>108</v>
      </c>
      <c r="J1001" s="58">
        <v>50973329</v>
      </c>
      <c r="K1001" s="1" t="s">
        <v>106</v>
      </c>
      <c r="L1001" s="1" t="s">
        <v>120</v>
      </c>
      <c r="N1001" s="1">
        <v>1</v>
      </c>
      <c r="O1001" s="58"/>
      <c r="P1001" s="58">
        <v>544887.31000000006</v>
      </c>
      <c r="Q1001" t="s">
        <v>107</v>
      </c>
      <c r="R1001" s="1" t="s">
        <v>158</v>
      </c>
    </row>
    <row r="1002" spans="3:18" x14ac:dyDescent="0.35">
      <c r="C1002" t="s">
        <v>51</v>
      </c>
      <c r="D1002" t="s">
        <v>19</v>
      </c>
      <c r="E1002" t="s">
        <v>49</v>
      </c>
      <c r="F1002" t="s">
        <v>46</v>
      </c>
      <c r="G1002" s="58">
        <v>1937463</v>
      </c>
      <c r="H1002" s="1" t="s">
        <v>47</v>
      </c>
      <c r="I1002" s="1" t="s">
        <v>108</v>
      </c>
      <c r="J1002" s="58">
        <v>54248964</v>
      </c>
      <c r="K1002" s="1" t="s">
        <v>106</v>
      </c>
      <c r="L1002" s="1" t="s">
        <v>114</v>
      </c>
      <c r="N1002" s="1">
        <v>1</v>
      </c>
      <c r="O1002" s="58"/>
      <c r="P1002" s="58">
        <v>503740.38</v>
      </c>
      <c r="Q1002" t="s">
        <v>107</v>
      </c>
      <c r="R1002" s="1" t="s">
        <v>158</v>
      </c>
    </row>
    <row r="1003" spans="3:18" x14ac:dyDescent="0.35">
      <c r="C1003" t="s">
        <v>51</v>
      </c>
      <c r="D1003" t="s">
        <v>91</v>
      </c>
      <c r="E1003" t="s">
        <v>49</v>
      </c>
      <c r="F1003" t="s">
        <v>46</v>
      </c>
      <c r="G1003" s="58">
        <v>237</v>
      </c>
      <c r="H1003" s="1" t="s">
        <v>54</v>
      </c>
      <c r="I1003" s="1" t="s">
        <v>128</v>
      </c>
      <c r="J1003" s="58"/>
      <c r="K1003" s="1" t="s">
        <v>106</v>
      </c>
      <c r="L1003" s="1" t="s">
        <v>124</v>
      </c>
      <c r="N1003" s="1">
        <v>0</v>
      </c>
      <c r="O1003" s="58"/>
      <c r="P1003" s="58">
        <v>0</v>
      </c>
      <c r="Q1003" t="s">
        <v>107</v>
      </c>
      <c r="R1003" s="1" t="s">
        <v>158</v>
      </c>
    </row>
    <row r="1004" spans="3:18" x14ac:dyDescent="0.35">
      <c r="C1004" t="s">
        <v>53</v>
      </c>
      <c r="D1004" t="s">
        <v>23</v>
      </c>
      <c r="E1004" t="s">
        <v>45</v>
      </c>
      <c r="F1004" t="s">
        <v>46</v>
      </c>
      <c r="G1004" s="58">
        <v>13257</v>
      </c>
      <c r="H1004" s="1" t="s">
        <v>54</v>
      </c>
      <c r="I1004" s="1" t="s">
        <v>128</v>
      </c>
      <c r="J1004" s="58"/>
      <c r="K1004" s="1" t="s">
        <v>106</v>
      </c>
      <c r="L1004" s="1" t="s">
        <v>120</v>
      </c>
      <c r="N1004" s="1">
        <v>0</v>
      </c>
      <c r="O1004" s="58"/>
      <c r="P1004" s="58">
        <v>132.57</v>
      </c>
      <c r="Q1004" t="s">
        <v>107</v>
      </c>
      <c r="R1004" s="1" t="s">
        <v>158</v>
      </c>
    </row>
    <row r="1005" spans="3:18" x14ac:dyDescent="0.35">
      <c r="C1005" t="s">
        <v>51</v>
      </c>
      <c r="D1005" t="s">
        <v>22</v>
      </c>
      <c r="E1005" t="s">
        <v>45</v>
      </c>
      <c r="F1005" t="s">
        <v>46</v>
      </c>
      <c r="G1005" s="58">
        <v>1271579</v>
      </c>
      <c r="H1005" s="1" t="s">
        <v>56</v>
      </c>
      <c r="I1005" s="1" t="s">
        <v>111</v>
      </c>
      <c r="J1005" s="58">
        <v>22888422</v>
      </c>
      <c r="K1005" s="1" t="s">
        <v>112</v>
      </c>
      <c r="N1005" s="1">
        <v>1</v>
      </c>
      <c r="O1005" s="58"/>
      <c r="P1005" s="58">
        <v>584926.34</v>
      </c>
      <c r="Q1005" t="s">
        <v>113</v>
      </c>
      <c r="R1005" s="1" t="s">
        <v>158</v>
      </c>
    </row>
    <row r="1006" spans="3:18" x14ac:dyDescent="0.35">
      <c r="C1006" t="s">
        <v>51</v>
      </c>
      <c r="D1006" t="s">
        <v>92</v>
      </c>
      <c r="E1006" t="s">
        <v>49</v>
      </c>
      <c r="F1006" t="s">
        <v>46</v>
      </c>
      <c r="G1006" s="58">
        <v>203232</v>
      </c>
      <c r="H1006" s="1" t="s">
        <v>54</v>
      </c>
      <c r="I1006" s="1" t="s">
        <v>111</v>
      </c>
      <c r="J1006" s="58">
        <v>3454944</v>
      </c>
      <c r="K1006" s="1" t="s">
        <v>106</v>
      </c>
      <c r="L1006" s="1" t="s">
        <v>124</v>
      </c>
      <c r="N1006" s="1">
        <v>1</v>
      </c>
      <c r="O1006" s="58"/>
      <c r="P1006" s="58">
        <v>258104.64</v>
      </c>
      <c r="Q1006" t="s">
        <v>110</v>
      </c>
      <c r="R1006" s="1" t="s">
        <v>158</v>
      </c>
    </row>
    <row r="1007" spans="3:18" x14ac:dyDescent="0.35">
      <c r="C1007" t="s">
        <v>51</v>
      </c>
      <c r="D1007" t="s">
        <v>21</v>
      </c>
      <c r="E1007" t="s">
        <v>49</v>
      </c>
      <c r="F1007" t="s">
        <v>46</v>
      </c>
      <c r="G1007" s="58">
        <v>68305991</v>
      </c>
      <c r="H1007" s="1" t="s">
        <v>47</v>
      </c>
      <c r="I1007" s="1" t="s">
        <v>111</v>
      </c>
      <c r="J1007" s="58">
        <v>1161201847</v>
      </c>
      <c r="K1007" s="1" t="s">
        <v>106</v>
      </c>
      <c r="L1007" s="1" t="s">
        <v>124</v>
      </c>
      <c r="N1007" s="1">
        <v>1</v>
      </c>
      <c r="O1007" s="58"/>
      <c r="P1007" s="58">
        <v>45765013.969999999</v>
      </c>
      <c r="Q1007" t="s">
        <v>118</v>
      </c>
      <c r="R1007" s="1" t="s">
        <v>158</v>
      </c>
    </row>
    <row r="1008" spans="3:18" x14ac:dyDescent="0.35">
      <c r="C1008" t="s">
        <v>51</v>
      </c>
      <c r="D1008" t="s">
        <v>23</v>
      </c>
      <c r="E1008" t="s">
        <v>50</v>
      </c>
      <c r="F1008" t="s">
        <v>46</v>
      </c>
      <c r="G1008" s="58">
        <v>296012</v>
      </c>
      <c r="H1008" s="1" t="s">
        <v>48</v>
      </c>
      <c r="I1008" s="1" t="s">
        <v>111</v>
      </c>
      <c r="J1008" s="58">
        <v>5920240</v>
      </c>
      <c r="K1008" s="1" t="s">
        <v>106</v>
      </c>
      <c r="L1008" s="1" t="s">
        <v>109</v>
      </c>
      <c r="M1008" s="1" t="s">
        <v>125</v>
      </c>
      <c r="N1008" s="1">
        <v>1</v>
      </c>
      <c r="O1008" s="58"/>
      <c r="P1008" s="58">
        <v>239769.72</v>
      </c>
      <c r="Q1008" t="s">
        <v>127</v>
      </c>
      <c r="R1008" s="1" t="s">
        <v>48</v>
      </c>
    </row>
    <row r="1009" spans="3:18" x14ac:dyDescent="0.35">
      <c r="C1009" t="s">
        <v>51</v>
      </c>
      <c r="D1009" t="s">
        <v>20</v>
      </c>
      <c r="E1009" t="s">
        <v>49</v>
      </c>
      <c r="F1009" t="s">
        <v>46</v>
      </c>
      <c r="G1009" s="58">
        <v>3388118</v>
      </c>
      <c r="H1009" s="1" t="s">
        <v>56</v>
      </c>
      <c r="I1009" s="1" t="s">
        <v>111</v>
      </c>
      <c r="J1009" s="58">
        <v>60986124</v>
      </c>
      <c r="K1009" s="1" t="s">
        <v>106</v>
      </c>
      <c r="L1009" s="1" t="s">
        <v>124</v>
      </c>
      <c r="N1009" s="1">
        <v>1</v>
      </c>
      <c r="O1009" s="58"/>
      <c r="P1009" s="58">
        <v>2236157.88</v>
      </c>
      <c r="Q1009" t="s">
        <v>118</v>
      </c>
      <c r="R1009" s="1" t="s">
        <v>158</v>
      </c>
    </row>
    <row r="1010" spans="3:18" x14ac:dyDescent="0.35">
      <c r="C1010" t="s">
        <v>51</v>
      </c>
      <c r="D1010" t="s">
        <v>21</v>
      </c>
      <c r="E1010" t="s">
        <v>52</v>
      </c>
      <c r="F1010" t="s">
        <v>46</v>
      </c>
      <c r="G1010" s="58">
        <v>214550</v>
      </c>
      <c r="H1010" s="1" t="s">
        <v>48</v>
      </c>
      <c r="I1010" s="1" t="s">
        <v>108</v>
      </c>
      <c r="J1010" s="58">
        <v>6221950</v>
      </c>
      <c r="K1010" s="1" t="s">
        <v>106</v>
      </c>
      <c r="L1010" s="1" t="s">
        <v>130</v>
      </c>
      <c r="M1010" s="1" t="s">
        <v>126</v>
      </c>
      <c r="N1010" s="1">
        <v>1</v>
      </c>
      <c r="O1010" s="58"/>
      <c r="P1010" s="58">
        <v>178076.5</v>
      </c>
      <c r="Q1010" t="s">
        <v>127</v>
      </c>
      <c r="R1010" s="1" t="s">
        <v>48</v>
      </c>
    </row>
    <row r="1011" spans="3:18" x14ac:dyDescent="0.35">
      <c r="C1011" t="s">
        <v>51</v>
      </c>
      <c r="D1011" t="s">
        <v>91</v>
      </c>
      <c r="E1011" t="s">
        <v>49</v>
      </c>
      <c r="F1011" t="s">
        <v>46</v>
      </c>
      <c r="G1011" s="58">
        <v>1901196</v>
      </c>
      <c r="H1011" s="1" t="s">
        <v>48</v>
      </c>
      <c r="I1011" s="1" t="s">
        <v>111</v>
      </c>
      <c r="J1011" s="58">
        <v>32320332</v>
      </c>
      <c r="K1011" s="1" t="s">
        <v>106</v>
      </c>
      <c r="L1011" s="1" t="s">
        <v>124</v>
      </c>
      <c r="M1011" s="1" t="s">
        <v>122</v>
      </c>
      <c r="N1011" s="1">
        <v>1</v>
      </c>
      <c r="O1011" s="58"/>
      <c r="P1011" s="58">
        <v>1311825.24</v>
      </c>
      <c r="Q1011" t="s">
        <v>118</v>
      </c>
      <c r="R1011" s="1" t="s">
        <v>48</v>
      </c>
    </row>
    <row r="1012" spans="3:18" x14ac:dyDescent="0.35">
      <c r="C1012" t="s">
        <v>51</v>
      </c>
      <c r="D1012" t="s">
        <v>22</v>
      </c>
      <c r="E1012" t="s">
        <v>49</v>
      </c>
      <c r="F1012" t="s">
        <v>46</v>
      </c>
      <c r="G1012" s="58">
        <v>231676</v>
      </c>
      <c r="H1012" s="1" t="s">
        <v>58</v>
      </c>
      <c r="I1012" s="1" t="s">
        <v>111</v>
      </c>
      <c r="J1012" s="58">
        <v>4401844</v>
      </c>
      <c r="K1012" s="1" t="s">
        <v>106</v>
      </c>
      <c r="L1012" s="1" t="s">
        <v>124</v>
      </c>
      <c r="N1012" s="1">
        <v>1</v>
      </c>
      <c r="O1012" s="58"/>
      <c r="P1012" s="58">
        <v>152906.16</v>
      </c>
      <c r="Q1012" t="s">
        <v>118</v>
      </c>
      <c r="R1012" s="1" t="s">
        <v>158</v>
      </c>
    </row>
    <row r="1013" spans="3:18" x14ac:dyDescent="0.35">
      <c r="C1013" t="s">
        <v>51</v>
      </c>
      <c r="D1013" t="s">
        <v>22</v>
      </c>
      <c r="E1013" t="s">
        <v>45</v>
      </c>
      <c r="F1013" t="s">
        <v>46</v>
      </c>
      <c r="G1013" s="58">
        <v>6981694</v>
      </c>
      <c r="H1013" s="1" t="s">
        <v>47</v>
      </c>
      <c r="I1013" s="1" t="s">
        <v>105</v>
      </c>
      <c r="J1013" s="58">
        <v>20945082</v>
      </c>
      <c r="K1013" s="1" t="s">
        <v>112</v>
      </c>
      <c r="N1013" s="1">
        <v>1</v>
      </c>
      <c r="O1013" s="58"/>
      <c r="P1013" s="58">
        <v>1256704.92</v>
      </c>
      <c r="Q1013" t="s">
        <v>107</v>
      </c>
      <c r="R1013" s="1" t="s">
        <v>158</v>
      </c>
    </row>
    <row r="1014" spans="3:18" x14ac:dyDescent="0.35">
      <c r="C1014" t="s">
        <v>51</v>
      </c>
      <c r="D1014" t="s">
        <v>91</v>
      </c>
      <c r="E1014" t="s">
        <v>52</v>
      </c>
      <c r="F1014" t="s">
        <v>46</v>
      </c>
      <c r="G1014" s="58">
        <v>427760</v>
      </c>
      <c r="H1014" s="1" t="s">
        <v>48</v>
      </c>
      <c r="I1014" s="1" t="s">
        <v>108</v>
      </c>
      <c r="J1014" s="58">
        <v>13688320</v>
      </c>
      <c r="K1014" s="1" t="s">
        <v>106</v>
      </c>
      <c r="L1014" s="1" t="s">
        <v>130</v>
      </c>
      <c r="M1014" s="1" t="s">
        <v>122</v>
      </c>
      <c r="N1014" s="1">
        <v>1</v>
      </c>
      <c r="O1014" s="58"/>
      <c r="P1014" s="58">
        <v>230990.4</v>
      </c>
      <c r="Q1014" t="s">
        <v>113</v>
      </c>
      <c r="R1014" s="1" t="s">
        <v>48</v>
      </c>
    </row>
    <row r="1015" spans="3:18" x14ac:dyDescent="0.35">
      <c r="C1015" t="s">
        <v>53</v>
      </c>
      <c r="D1015" t="s">
        <v>25</v>
      </c>
      <c r="E1015" t="s">
        <v>55</v>
      </c>
      <c r="F1015" t="s">
        <v>46</v>
      </c>
      <c r="G1015" s="58">
        <v>208611</v>
      </c>
      <c r="H1015" s="1" t="s">
        <v>47</v>
      </c>
      <c r="I1015" s="1" t="s">
        <v>119</v>
      </c>
      <c r="J1015" s="58">
        <v>1460277</v>
      </c>
      <c r="K1015" s="1" t="s">
        <v>106</v>
      </c>
      <c r="L1015" s="1" t="s">
        <v>114</v>
      </c>
      <c r="N1015" s="1">
        <v>1</v>
      </c>
      <c r="O1015" s="58"/>
      <c r="P1015" s="58">
        <v>39636.089999999997</v>
      </c>
      <c r="Q1015" t="s">
        <v>107</v>
      </c>
      <c r="R1015" s="1" t="s">
        <v>158</v>
      </c>
    </row>
    <row r="1016" spans="3:18" x14ac:dyDescent="0.35">
      <c r="C1016" t="s">
        <v>53</v>
      </c>
      <c r="D1016" t="s">
        <v>21</v>
      </c>
      <c r="E1016" t="s">
        <v>49</v>
      </c>
      <c r="F1016" t="s">
        <v>46</v>
      </c>
      <c r="G1016" s="58">
        <v>64598406</v>
      </c>
      <c r="H1016" s="1" t="s">
        <v>48</v>
      </c>
      <c r="I1016" s="1" t="s">
        <v>111</v>
      </c>
      <c r="J1016" s="58">
        <v>839779278</v>
      </c>
      <c r="K1016" s="1" t="s">
        <v>106</v>
      </c>
      <c r="L1016" s="1" t="s">
        <v>124</v>
      </c>
      <c r="M1016" s="1" t="s">
        <v>126</v>
      </c>
      <c r="N1016" s="1">
        <v>1</v>
      </c>
      <c r="O1016" s="58"/>
      <c r="P1016" s="58">
        <v>38113059.539999999</v>
      </c>
      <c r="Q1016" t="s">
        <v>113</v>
      </c>
      <c r="R1016" s="1" t="s">
        <v>158</v>
      </c>
    </row>
    <row r="1017" spans="3:18" x14ac:dyDescent="0.35">
      <c r="C1017" t="s">
        <v>51</v>
      </c>
      <c r="D1017" t="s">
        <v>24</v>
      </c>
      <c r="E1017" t="s">
        <v>52</v>
      </c>
      <c r="F1017" t="s">
        <v>46</v>
      </c>
      <c r="G1017" s="58">
        <v>54909</v>
      </c>
      <c r="H1017" s="1" t="s">
        <v>48</v>
      </c>
      <c r="I1017" s="1" t="s">
        <v>119</v>
      </c>
      <c r="J1017" s="58">
        <v>494181</v>
      </c>
      <c r="K1017" s="1" t="s">
        <v>106</v>
      </c>
      <c r="L1017" s="1" t="s">
        <v>114</v>
      </c>
      <c r="M1017" s="1" t="s">
        <v>121</v>
      </c>
      <c r="N1017" s="1">
        <v>1</v>
      </c>
      <c r="O1017" s="58"/>
      <c r="P1017" s="58">
        <v>13178.16</v>
      </c>
      <c r="Q1017" t="s">
        <v>107</v>
      </c>
      <c r="R1017" s="1" t="s">
        <v>48</v>
      </c>
    </row>
    <row r="1018" spans="3:18" x14ac:dyDescent="0.35">
      <c r="C1018" t="s">
        <v>51</v>
      </c>
      <c r="D1018" t="s">
        <v>24</v>
      </c>
      <c r="E1018" t="s">
        <v>49</v>
      </c>
      <c r="F1018" t="s">
        <v>46</v>
      </c>
      <c r="G1018" s="58">
        <v>171715</v>
      </c>
      <c r="H1018" s="1" t="s">
        <v>48</v>
      </c>
      <c r="I1018" s="1" t="s">
        <v>108</v>
      </c>
      <c r="J1018" s="58">
        <v>6181740</v>
      </c>
      <c r="K1018" s="1" t="s">
        <v>106</v>
      </c>
      <c r="L1018" s="1" t="s">
        <v>114</v>
      </c>
      <c r="M1018" s="1" t="s">
        <v>121</v>
      </c>
      <c r="N1018" s="1">
        <v>1</v>
      </c>
      <c r="O1018" s="58"/>
      <c r="P1018" s="58">
        <v>94443.25</v>
      </c>
      <c r="Q1018" t="s">
        <v>113</v>
      </c>
      <c r="R1018" s="1" t="s">
        <v>48</v>
      </c>
    </row>
    <row r="1019" spans="3:18" x14ac:dyDescent="0.35">
      <c r="C1019" t="s">
        <v>51</v>
      </c>
      <c r="D1019" t="s">
        <v>24</v>
      </c>
      <c r="E1019" t="s">
        <v>62</v>
      </c>
      <c r="F1019" t="s">
        <v>46</v>
      </c>
      <c r="G1019" s="58">
        <v>644302</v>
      </c>
      <c r="H1019" s="1" t="s">
        <v>48</v>
      </c>
      <c r="I1019" s="1" t="s">
        <v>108</v>
      </c>
      <c r="J1019" s="58">
        <v>20617664</v>
      </c>
      <c r="K1019" s="1" t="s">
        <v>106</v>
      </c>
      <c r="L1019" s="1" t="s">
        <v>109</v>
      </c>
      <c r="M1019" s="1" t="s">
        <v>121</v>
      </c>
      <c r="N1019" s="1">
        <v>1</v>
      </c>
      <c r="O1019" s="58"/>
      <c r="P1019" s="58">
        <v>534770.66</v>
      </c>
      <c r="Q1019" t="s">
        <v>127</v>
      </c>
      <c r="R1019" s="1" t="s">
        <v>48</v>
      </c>
    </row>
    <row r="1020" spans="3:18" x14ac:dyDescent="0.35">
      <c r="C1020" t="s">
        <v>51</v>
      </c>
      <c r="D1020" t="s">
        <v>23</v>
      </c>
      <c r="E1020" t="s">
        <v>45</v>
      </c>
      <c r="F1020" t="s">
        <v>46</v>
      </c>
      <c r="G1020" s="58">
        <v>84370487</v>
      </c>
      <c r="H1020" s="1" t="s">
        <v>47</v>
      </c>
      <c r="I1020" s="1" t="s">
        <v>111</v>
      </c>
      <c r="J1020" s="58">
        <v>1349927792</v>
      </c>
      <c r="K1020" s="1" t="s">
        <v>106</v>
      </c>
      <c r="L1020" s="1" t="s">
        <v>120</v>
      </c>
      <c r="N1020" s="1">
        <v>1</v>
      </c>
      <c r="O1020" s="58"/>
      <c r="P1020" s="58">
        <v>41341538.630000003</v>
      </c>
      <c r="Q1020" t="s">
        <v>113</v>
      </c>
      <c r="R1020" s="1" t="s">
        <v>158</v>
      </c>
    </row>
    <row r="1021" spans="3:18" x14ac:dyDescent="0.35">
      <c r="C1021" t="s">
        <v>51</v>
      </c>
      <c r="D1021" t="s">
        <v>24</v>
      </c>
      <c r="E1021" t="s">
        <v>55</v>
      </c>
      <c r="F1021" t="s">
        <v>46</v>
      </c>
      <c r="G1021" s="58">
        <v>279058</v>
      </c>
      <c r="H1021" s="1" t="s">
        <v>59</v>
      </c>
      <c r="I1021" s="1" t="s">
        <v>119</v>
      </c>
      <c r="J1021" s="58">
        <v>2232464</v>
      </c>
      <c r="K1021" s="1" t="s">
        <v>106</v>
      </c>
      <c r="L1021" s="1" t="s">
        <v>120</v>
      </c>
      <c r="N1021" s="1">
        <v>1</v>
      </c>
      <c r="O1021" s="58"/>
      <c r="P1021" s="58">
        <v>86507.98</v>
      </c>
      <c r="Q1021" t="s">
        <v>107</v>
      </c>
      <c r="R1021" s="1" t="s">
        <v>158</v>
      </c>
    </row>
    <row r="1022" spans="3:18" x14ac:dyDescent="0.35">
      <c r="C1022" t="s">
        <v>51</v>
      </c>
      <c r="D1022" t="s">
        <v>21</v>
      </c>
      <c r="E1022" t="s">
        <v>49</v>
      </c>
      <c r="F1022" t="s">
        <v>46</v>
      </c>
      <c r="G1022" s="58">
        <v>7380146</v>
      </c>
      <c r="H1022" s="1" t="s">
        <v>56</v>
      </c>
      <c r="I1022" s="1" t="s">
        <v>108</v>
      </c>
      <c r="J1022" s="58">
        <v>199263942</v>
      </c>
      <c r="K1022" s="1" t="s">
        <v>112</v>
      </c>
      <c r="N1022" s="1">
        <v>1</v>
      </c>
      <c r="O1022" s="58"/>
      <c r="P1022" s="58">
        <v>2214043.7999999998</v>
      </c>
      <c r="Q1022" t="s">
        <v>107</v>
      </c>
      <c r="R1022" s="1" t="s">
        <v>158</v>
      </c>
    </row>
    <row r="1023" spans="3:18" x14ac:dyDescent="0.35">
      <c r="C1023" t="s">
        <v>53</v>
      </c>
      <c r="D1023" t="s">
        <v>91</v>
      </c>
      <c r="E1023" t="s">
        <v>45</v>
      </c>
      <c r="F1023" t="s">
        <v>46</v>
      </c>
      <c r="G1023" s="58">
        <v>2204</v>
      </c>
      <c r="H1023" s="1" t="s">
        <v>54</v>
      </c>
      <c r="I1023" s="1" t="s">
        <v>105</v>
      </c>
      <c r="J1023" s="58"/>
      <c r="K1023" s="1" t="s">
        <v>106</v>
      </c>
      <c r="L1023" s="1" t="s">
        <v>120</v>
      </c>
      <c r="N1023" s="1">
        <v>0</v>
      </c>
      <c r="O1023" s="58"/>
      <c r="P1023" s="58">
        <v>0</v>
      </c>
      <c r="Q1023" t="s">
        <v>107</v>
      </c>
      <c r="R1023" s="1" t="s">
        <v>158</v>
      </c>
    </row>
    <row r="1024" spans="3:18" x14ac:dyDescent="0.35">
      <c r="C1024" t="s">
        <v>51</v>
      </c>
      <c r="D1024" t="s">
        <v>22</v>
      </c>
      <c r="E1024" t="s">
        <v>45</v>
      </c>
      <c r="F1024" t="s">
        <v>46</v>
      </c>
      <c r="G1024" s="58">
        <v>8611860</v>
      </c>
      <c r="H1024" s="1" t="s">
        <v>59</v>
      </c>
      <c r="I1024" s="1" t="s">
        <v>108</v>
      </c>
      <c r="J1024" s="58">
        <v>275579520</v>
      </c>
      <c r="K1024" s="1" t="s">
        <v>112</v>
      </c>
      <c r="N1024" s="1">
        <v>1</v>
      </c>
      <c r="O1024" s="58"/>
      <c r="P1024" s="58">
        <v>6114420.5999999996</v>
      </c>
      <c r="Q1024" t="s">
        <v>118</v>
      </c>
      <c r="R1024" s="1" t="s">
        <v>158</v>
      </c>
    </row>
    <row r="1025" spans="3:18" x14ac:dyDescent="0.35">
      <c r="C1025" t="s">
        <v>53</v>
      </c>
      <c r="D1025" t="s">
        <v>22</v>
      </c>
      <c r="E1025" t="s">
        <v>49</v>
      </c>
      <c r="F1025" t="s">
        <v>46</v>
      </c>
      <c r="G1025" s="58">
        <v>4300251</v>
      </c>
      <c r="H1025" s="1" t="s">
        <v>47</v>
      </c>
      <c r="I1025" s="1" t="s">
        <v>119</v>
      </c>
      <c r="J1025" s="58">
        <v>30101757</v>
      </c>
      <c r="K1025" s="1" t="s">
        <v>106</v>
      </c>
      <c r="L1025" s="1" t="s">
        <v>124</v>
      </c>
      <c r="N1025" s="1">
        <v>1</v>
      </c>
      <c r="O1025" s="58"/>
      <c r="P1025" s="58">
        <v>989057.73</v>
      </c>
      <c r="Q1025" t="s">
        <v>107</v>
      </c>
      <c r="R1025" s="1" t="s">
        <v>158</v>
      </c>
    </row>
    <row r="1026" spans="3:18" x14ac:dyDescent="0.35">
      <c r="C1026" t="s">
        <v>51</v>
      </c>
      <c r="D1026" t="s">
        <v>23</v>
      </c>
      <c r="E1026" t="s">
        <v>55</v>
      </c>
      <c r="F1026" t="s">
        <v>46</v>
      </c>
      <c r="G1026" s="58">
        <v>4038020</v>
      </c>
      <c r="H1026" s="1" t="s">
        <v>47</v>
      </c>
      <c r="I1026" s="1" t="s">
        <v>108</v>
      </c>
      <c r="J1026" s="58">
        <v>125178620</v>
      </c>
      <c r="K1026" s="1" t="s">
        <v>106</v>
      </c>
      <c r="L1026" s="1" t="s">
        <v>124</v>
      </c>
      <c r="N1026" s="1">
        <v>1</v>
      </c>
      <c r="O1026" s="58"/>
      <c r="P1026" s="58">
        <v>2745853.6</v>
      </c>
      <c r="Q1026" t="s">
        <v>118</v>
      </c>
      <c r="R1026" s="1" t="s">
        <v>158</v>
      </c>
    </row>
    <row r="1027" spans="3:18" x14ac:dyDescent="0.35">
      <c r="C1027" t="s">
        <v>53</v>
      </c>
      <c r="D1027" t="s">
        <v>21</v>
      </c>
      <c r="E1027" t="s">
        <v>45</v>
      </c>
      <c r="F1027" t="s">
        <v>46</v>
      </c>
      <c r="G1027" s="58">
        <v>20043</v>
      </c>
      <c r="H1027" s="1" t="s">
        <v>56</v>
      </c>
      <c r="I1027" s="1" t="s">
        <v>105</v>
      </c>
      <c r="J1027" s="58"/>
      <c r="K1027" s="1" t="s">
        <v>106</v>
      </c>
      <c r="L1027" s="1" t="s">
        <v>120</v>
      </c>
      <c r="N1027" s="1">
        <v>0</v>
      </c>
      <c r="O1027" s="58"/>
      <c r="P1027" s="58">
        <v>400.86</v>
      </c>
      <c r="Q1027" t="s">
        <v>107</v>
      </c>
      <c r="R1027" s="1" t="s">
        <v>158</v>
      </c>
    </row>
    <row r="1028" spans="3:18" x14ac:dyDescent="0.35">
      <c r="C1028" t="s">
        <v>53</v>
      </c>
      <c r="D1028" t="s">
        <v>20</v>
      </c>
      <c r="E1028" t="s">
        <v>45</v>
      </c>
      <c r="F1028" t="s">
        <v>46</v>
      </c>
      <c r="G1028" s="58">
        <v>2941605</v>
      </c>
      <c r="H1028" s="1" t="s">
        <v>54</v>
      </c>
      <c r="I1028" s="1" t="s">
        <v>128</v>
      </c>
      <c r="J1028" s="58"/>
      <c r="K1028" s="1" t="s">
        <v>106</v>
      </c>
      <c r="L1028" s="1" t="s">
        <v>120</v>
      </c>
      <c r="N1028" s="1">
        <v>0</v>
      </c>
      <c r="O1028" s="58"/>
      <c r="P1028" s="58">
        <v>500072.85</v>
      </c>
      <c r="Q1028" t="s">
        <v>107</v>
      </c>
      <c r="R1028" s="1" t="s">
        <v>158</v>
      </c>
    </row>
    <row r="1029" spans="3:18" x14ac:dyDescent="0.35">
      <c r="C1029" t="s">
        <v>51</v>
      </c>
      <c r="D1029" t="s">
        <v>21</v>
      </c>
      <c r="E1029" t="s">
        <v>49</v>
      </c>
      <c r="F1029" t="s">
        <v>46</v>
      </c>
      <c r="G1029" s="58">
        <v>147840</v>
      </c>
      <c r="H1029" s="1" t="s">
        <v>54</v>
      </c>
      <c r="I1029" s="1" t="s">
        <v>105</v>
      </c>
      <c r="J1029" s="58">
        <v>443520</v>
      </c>
      <c r="K1029" s="1" t="s">
        <v>106</v>
      </c>
      <c r="L1029" s="1" t="s">
        <v>124</v>
      </c>
      <c r="N1029" s="1">
        <v>1</v>
      </c>
      <c r="O1029" s="58"/>
      <c r="P1029" s="58">
        <v>221760</v>
      </c>
      <c r="Q1029" t="s">
        <v>110</v>
      </c>
      <c r="R1029" s="1" t="s">
        <v>158</v>
      </c>
    </row>
    <row r="1030" spans="3:18" x14ac:dyDescent="0.35">
      <c r="C1030" t="s">
        <v>51</v>
      </c>
      <c r="D1030" t="s">
        <v>23</v>
      </c>
      <c r="E1030" t="s">
        <v>49</v>
      </c>
      <c r="F1030" t="s">
        <v>46</v>
      </c>
      <c r="G1030" s="58">
        <v>120336</v>
      </c>
      <c r="H1030" s="1" t="s">
        <v>48</v>
      </c>
      <c r="I1030" s="1" t="s">
        <v>119</v>
      </c>
      <c r="J1030" s="58">
        <v>1203360</v>
      </c>
      <c r="K1030" s="1" t="s">
        <v>112</v>
      </c>
      <c r="N1030" s="1">
        <v>1</v>
      </c>
      <c r="O1030" s="58"/>
      <c r="P1030" s="58">
        <v>57761.279999999999</v>
      </c>
      <c r="Q1030" t="s">
        <v>113</v>
      </c>
      <c r="R1030" s="1" t="s">
        <v>158</v>
      </c>
    </row>
    <row r="1031" spans="3:18" x14ac:dyDescent="0.35">
      <c r="C1031" t="s">
        <v>51</v>
      </c>
      <c r="D1031" t="s">
        <v>21</v>
      </c>
      <c r="E1031" t="s">
        <v>49</v>
      </c>
      <c r="F1031" t="s">
        <v>46</v>
      </c>
      <c r="G1031" s="58">
        <v>292527</v>
      </c>
      <c r="H1031" s="1" t="s">
        <v>48</v>
      </c>
      <c r="I1031" s="1" t="s">
        <v>108</v>
      </c>
      <c r="J1031" s="58">
        <v>7605702</v>
      </c>
      <c r="K1031" s="1" t="s">
        <v>106</v>
      </c>
      <c r="L1031" s="1" t="s">
        <v>124</v>
      </c>
      <c r="M1031" s="1" t="s">
        <v>122</v>
      </c>
      <c r="N1031" s="1">
        <v>1</v>
      </c>
      <c r="O1031" s="58"/>
      <c r="P1031" s="58">
        <v>76057.02</v>
      </c>
      <c r="Q1031" t="s">
        <v>107</v>
      </c>
      <c r="R1031" s="1" t="s">
        <v>48</v>
      </c>
    </row>
    <row r="1032" spans="3:18" x14ac:dyDescent="0.35">
      <c r="C1032" t="s">
        <v>51</v>
      </c>
      <c r="D1032" t="s">
        <v>23</v>
      </c>
      <c r="E1032" t="s">
        <v>62</v>
      </c>
      <c r="F1032" t="s">
        <v>46</v>
      </c>
      <c r="G1032" s="58">
        <v>1645574</v>
      </c>
      <c r="H1032" s="1" t="s">
        <v>48</v>
      </c>
      <c r="I1032" s="1" t="s">
        <v>108</v>
      </c>
      <c r="J1032" s="58">
        <v>46076072</v>
      </c>
      <c r="K1032" s="1" t="s">
        <v>106</v>
      </c>
      <c r="L1032" s="1" t="s">
        <v>131</v>
      </c>
      <c r="M1032" s="1" t="s">
        <v>125</v>
      </c>
      <c r="N1032" s="1">
        <v>1</v>
      </c>
      <c r="O1032" s="58"/>
      <c r="P1032" s="58">
        <v>444304.98</v>
      </c>
      <c r="Q1032" t="s">
        <v>107</v>
      </c>
      <c r="R1032" s="1" t="s">
        <v>48</v>
      </c>
    </row>
    <row r="1033" spans="3:18" x14ac:dyDescent="0.35">
      <c r="C1033" t="s">
        <v>53</v>
      </c>
      <c r="D1033" t="s">
        <v>19</v>
      </c>
      <c r="E1033" t="s">
        <v>49</v>
      </c>
      <c r="F1033" t="s">
        <v>46</v>
      </c>
      <c r="G1033" s="58">
        <v>10214415</v>
      </c>
      <c r="H1033" s="1" t="s">
        <v>47</v>
      </c>
      <c r="I1033" s="1" t="s">
        <v>119</v>
      </c>
      <c r="J1033" s="58">
        <v>71500905</v>
      </c>
      <c r="K1033" s="1" t="s">
        <v>106</v>
      </c>
      <c r="L1033" s="1" t="s">
        <v>124</v>
      </c>
      <c r="N1033" s="1">
        <v>1</v>
      </c>
      <c r="O1033" s="58"/>
      <c r="P1033" s="58">
        <v>1532162.25</v>
      </c>
      <c r="Q1033" t="s">
        <v>107</v>
      </c>
      <c r="R1033" s="1" t="s">
        <v>158</v>
      </c>
    </row>
    <row r="1034" spans="3:18" x14ac:dyDescent="0.35">
      <c r="C1034" t="s">
        <v>53</v>
      </c>
      <c r="D1034" t="s">
        <v>20</v>
      </c>
      <c r="E1034" t="s">
        <v>49</v>
      </c>
      <c r="F1034" t="s">
        <v>46</v>
      </c>
      <c r="G1034" s="58">
        <v>2866249</v>
      </c>
      <c r="H1034" s="1" t="s">
        <v>48</v>
      </c>
      <c r="I1034" s="1" t="s">
        <v>119</v>
      </c>
      <c r="J1034" s="58">
        <v>20063743</v>
      </c>
      <c r="K1034" s="1" t="s">
        <v>106</v>
      </c>
      <c r="L1034" s="1" t="s">
        <v>124</v>
      </c>
      <c r="M1034" s="1" t="s">
        <v>123</v>
      </c>
      <c r="N1034" s="1">
        <v>1</v>
      </c>
      <c r="O1034" s="58"/>
      <c r="P1034" s="58">
        <v>831212.21</v>
      </c>
      <c r="Q1034" t="s">
        <v>107</v>
      </c>
      <c r="R1034" s="1" t="s">
        <v>48</v>
      </c>
    </row>
    <row r="1035" spans="3:18" x14ac:dyDescent="0.35">
      <c r="C1035" t="s">
        <v>51</v>
      </c>
      <c r="D1035" t="s">
        <v>22</v>
      </c>
      <c r="E1035" t="s">
        <v>49</v>
      </c>
      <c r="F1035" t="s">
        <v>46</v>
      </c>
      <c r="G1035" s="58">
        <v>554172</v>
      </c>
      <c r="H1035" s="1" t="s">
        <v>48</v>
      </c>
      <c r="I1035" s="1" t="s">
        <v>108</v>
      </c>
      <c r="J1035" s="58">
        <v>20504364</v>
      </c>
      <c r="K1035" s="1" t="s">
        <v>106</v>
      </c>
      <c r="L1035" s="1" t="s">
        <v>120</v>
      </c>
      <c r="M1035" s="1" t="s">
        <v>115</v>
      </c>
      <c r="N1035" s="1">
        <v>1</v>
      </c>
      <c r="O1035" s="58"/>
      <c r="P1035" s="58">
        <v>454421.04</v>
      </c>
      <c r="Q1035" t="s">
        <v>127</v>
      </c>
      <c r="R1035" s="1" t="s">
        <v>48</v>
      </c>
    </row>
    <row r="1036" spans="3:18" x14ac:dyDescent="0.35">
      <c r="C1036" t="s">
        <v>51</v>
      </c>
      <c r="D1036" t="s">
        <v>24</v>
      </c>
      <c r="E1036" t="s">
        <v>55</v>
      </c>
      <c r="F1036" t="s">
        <v>46</v>
      </c>
      <c r="G1036" s="58">
        <v>103910</v>
      </c>
      <c r="H1036" s="1" t="s">
        <v>59</v>
      </c>
      <c r="I1036" s="1" t="s">
        <v>111</v>
      </c>
      <c r="J1036" s="58">
        <v>1143010</v>
      </c>
      <c r="K1036" s="1" t="s">
        <v>106</v>
      </c>
      <c r="L1036" s="1" t="s">
        <v>124</v>
      </c>
      <c r="N1036" s="1">
        <v>1</v>
      </c>
      <c r="O1036" s="58"/>
      <c r="P1036" s="58">
        <v>80010.7</v>
      </c>
      <c r="Q1036" t="s">
        <v>118</v>
      </c>
      <c r="R1036" s="1" t="s">
        <v>158</v>
      </c>
    </row>
    <row r="1037" spans="3:18" x14ac:dyDescent="0.35">
      <c r="C1037" t="s">
        <v>51</v>
      </c>
      <c r="D1037" t="s">
        <v>22</v>
      </c>
      <c r="E1037" t="s">
        <v>55</v>
      </c>
      <c r="F1037" t="s">
        <v>46</v>
      </c>
      <c r="G1037" s="58">
        <v>2930982</v>
      </c>
      <c r="H1037" s="1" t="s">
        <v>48</v>
      </c>
      <c r="I1037" s="1" t="s">
        <v>111</v>
      </c>
      <c r="J1037" s="58">
        <v>46895712</v>
      </c>
      <c r="K1037" s="1" t="s">
        <v>106</v>
      </c>
      <c r="L1037" s="1" t="s">
        <v>114</v>
      </c>
      <c r="M1037" s="1" t="s">
        <v>115</v>
      </c>
      <c r="N1037" s="1">
        <v>1</v>
      </c>
      <c r="O1037" s="58"/>
      <c r="P1037" s="58">
        <v>1524110.64</v>
      </c>
      <c r="Q1037" t="s">
        <v>113</v>
      </c>
      <c r="R1037" s="1" t="s">
        <v>158</v>
      </c>
    </row>
    <row r="1038" spans="3:18" x14ac:dyDescent="0.35">
      <c r="C1038" t="s">
        <v>51</v>
      </c>
      <c r="D1038" t="s">
        <v>24</v>
      </c>
      <c r="E1038" t="s">
        <v>49</v>
      </c>
      <c r="F1038" t="s">
        <v>46</v>
      </c>
      <c r="G1038" s="58">
        <v>281204</v>
      </c>
      <c r="H1038" s="1" t="s">
        <v>48</v>
      </c>
      <c r="I1038" s="1" t="s">
        <v>119</v>
      </c>
      <c r="J1038" s="58">
        <v>2530836</v>
      </c>
      <c r="K1038" s="1" t="s">
        <v>106</v>
      </c>
      <c r="L1038" s="1" t="s">
        <v>124</v>
      </c>
      <c r="M1038" s="1" t="s">
        <v>121</v>
      </c>
      <c r="N1038" s="1">
        <v>1</v>
      </c>
      <c r="O1038" s="58"/>
      <c r="P1038" s="58">
        <v>134977.92000000001</v>
      </c>
      <c r="Q1038" t="s">
        <v>113</v>
      </c>
      <c r="R1038" s="1" t="s">
        <v>158</v>
      </c>
    </row>
    <row r="1039" spans="3:18" x14ac:dyDescent="0.35">
      <c r="C1039" t="s">
        <v>51</v>
      </c>
      <c r="D1039" t="s">
        <v>19</v>
      </c>
      <c r="E1039" t="s">
        <v>49</v>
      </c>
      <c r="F1039" t="s">
        <v>46</v>
      </c>
      <c r="G1039" s="58">
        <v>1274746</v>
      </c>
      <c r="H1039" s="1" t="s">
        <v>56</v>
      </c>
      <c r="I1039" s="1" t="s">
        <v>108</v>
      </c>
      <c r="J1039" s="58">
        <v>36967634</v>
      </c>
      <c r="K1039" s="1" t="s">
        <v>112</v>
      </c>
      <c r="N1039" s="1">
        <v>1</v>
      </c>
      <c r="O1039" s="58"/>
      <c r="P1039" s="58">
        <v>1070786.6399999999</v>
      </c>
      <c r="Q1039" t="s">
        <v>127</v>
      </c>
      <c r="R1039" s="1" t="s">
        <v>158</v>
      </c>
    </row>
    <row r="1040" spans="3:18" x14ac:dyDescent="0.35">
      <c r="C1040" t="s">
        <v>51</v>
      </c>
      <c r="D1040" t="s">
        <v>19</v>
      </c>
      <c r="E1040" t="s">
        <v>49</v>
      </c>
      <c r="F1040" t="s">
        <v>46</v>
      </c>
      <c r="G1040" s="58">
        <v>239074</v>
      </c>
      <c r="H1040" s="1" t="s">
        <v>56</v>
      </c>
      <c r="I1040" s="1" t="s">
        <v>108</v>
      </c>
      <c r="J1040" s="58">
        <v>6215924</v>
      </c>
      <c r="K1040" s="1" t="s">
        <v>106</v>
      </c>
      <c r="L1040" s="1" t="s">
        <v>124</v>
      </c>
      <c r="N1040" s="1">
        <v>1</v>
      </c>
      <c r="O1040" s="58"/>
      <c r="P1040" s="58">
        <v>315577.68</v>
      </c>
      <c r="Q1040" t="s">
        <v>110</v>
      </c>
      <c r="R1040" s="1" t="s">
        <v>158</v>
      </c>
    </row>
    <row r="1041" spans="3:18" x14ac:dyDescent="0.35">
      <c r="C1041" t="s">
        <v>51</v>
      </c>
      <c r="D1041" t="s">
        <v>23</v>
      </c>
      <c r="E1041" t="s">
        <v>45</v>
      </c>
      <c r="F1041" t="s">
        <v>46</v>
      </c>
      <c r="G1041" s="58">
        <v>14519</v>
      </c>
      <c r="H1041" s="1" t="s">
        <v>59</v>
      </c>
      <c r="I1041" s="1" t="s">
        <v>111</v>
      </c>
      <c r="J1041" s="58">
        <v>217785</v>
      </c>
      <c r="K1041" s="1" t="s">
        <v>106</v>
      </c>
      <c r="L1041" s="1" t="s">
        <v>120</v>
      </c>
      <c r="N1041" s="1">
        <v>1</v>
      </c>
      <c r="O1041" s="58"/>
      <c r="P1041" s="58">
        <v>18293.939999999999</v>
      </c>
      <c r="Q1041" t="s">
        <v>110</v>
      </c>
      <c r="R1041" s="1" t="s">
        <v>158</v>
      </c>
    </row>
    <row r="1042" spans="3:18" x14ac:dyDescent="0.35">
      <c r="C1042" t="s">
        <v>51</v>
      </c>
      <c r="D1042" t="s">
        <v>22</v>
      </c>
      <c r="E1042" t="s">
        <v>55</v>
      </c>
      <c r="F1042" t="s">
        <v>46</v>
      </c>
      <c r="G1042" s="58">
        <v>1425459</v>
      </c>
      <c r="H1042" s="1" t="s">
        <v>48</v>
      </c>
      <c r="I1042" s="1" t="s">
        <v>111</v>
      </c>
      <c r="J1042" s="58">
        <v>24232803</v>
      </c>
      <c r="K1042" s="1" t="s">
        <v>112</v>
      </c>
      <c r="N1042" s="1">
        <v>1</v>
      </c>
      <c r="O1042" s="58"/>
      <c r="P1042" s="58">
        <v>712729.5</v>
      </c>
      <c r="Q1042" t="s">
        <v>113</v>
      </c>
      <c r="R1042" s="1" t="s">
        <v>48</v>
      </c>
    </row>
    <row r="1043" spans="3:18" x14ac:dyDescent="0.35">
      <c r="C1043" t="s">
        <v>51</v>
      </c>
      <c r="D1043" t="s">
        <v>21</v>
      </c>
      <c r="E1043" t="s">
        <v>49</v>
      </c>
      <c r="F1043" t="s">
        <v>46</v>
      </c>
      <c r="G1043" s="58">
        <v>14131792</v>
      </c>
      <c r="H1043" s="1" t="s">
        <v>47</v>
      </c>
      <c r="I1043" s="1" t="s">
        <v>108</v>
      </c>
      <c r="J1043" s="58">
        <v>367426592</v>
      </c>
      <c r="K1043" s="1" t="s">
        <v>106</v>
      </c>
      <c r="L1043" s="1" t="s">
        <v>120</v>
      </c>
      <c r="N1043" s="1">
        <v>1</v>
      </c>
      <c r="O1043" s="58"/>
      <c r="P1043" s="58">
        <v>7348531.8399999999</v>
      </c>
      <c r="Q1043" t="s">
        <v>113</v>
      </c>
      <c r="R1043" s="1" t="s">
        <v>158</v>
      </c>
    </row>
    <row r="1044" spans="3:18" x14ac:dyDescent="0.35">
      <c r="C1044" t="s">
        <v>51</v>
      </c>
      <c r="D1044" t="s">
        <v>25</v>
      </c>
      <c r="E1044" t="s">
        <v>55</v>
      </c>
      <c r="F1044" t="s">
        <v>46</v>
      </c>
      <c r="G1044" s="58">
        <v>228459</v>
      </c>
      <c r="H1044" s="1" t="s">
        <v>59</v>
      </c>
      <c r="I1044" s="1" t="s">
        <v>111</v>
      </c>
      <c r="J1044" s="58">
        <v>4112262</v>
      </c>
      <c r="K1044" s="1" t="s">
        <v>106</v>
      </c>
      <c r="L1044" s="1" t="s">
        <v>114</v>
      </c>
      <c r="N1044" s="1">
        <v>1</v>
      </c>
      <c r="O1044" s="58"/>
      <c r="P1044" s="58">
        <v>141644.57999999999</v>
      </c>
      <c r="Q1044" t="s">
        <v>118</v>
      </c>
      <c r="R1044" s="1" t="s">
        <v>158</v>
      </c>
    </row>
    <row r="1045" spans="3:18" x14ac:dyDescent="0.35">
      <c r="C1045" t="s">
        <v>51</v>
      </c>
      <c r="D1045" t="s">
        <v>21</v>
      </c>
      <c r="E1045" t="s">
        <v>52</v>
      </c>
      <c r="F1045" t="s">
        <v>46</v>
      </c>
      <c r="G1045" s="58">
        <v>87021</v>
      </c>
      <c r="H1045" s="1" t="s">
        <v>48</v>
      </c>
      <c r="I1045" s="1" t="s">
        <v>111</v>
      </c>
      <c r="J1045" s="58">
        <v>1479357</v>
      </c>
      <c r="K1045" s="1" t="s">
        <v>106</v>
      </c>
      <c r="L1045" s="1" t="s">
        <v>130</v>
      </c>
      <c r="M1045" s="1" t="s">
        <v>126</v>
      </c>
      <c r="N1045" s="1">
        <v>1</v>
      </c>
      <c r="O1045" s="58"/>
      <c r="P1045" s="58">
        <v>34808.400000000001</v>
      </c>
      <c r="Q1045" t="s">
        <v>107</v>
      </c>
      <c r="R1045" s="1" t="s">
        <v>48</v>
      </c>
    </row>
    <row r="1046" spans="3:18" x14ac:dyDescent="0.35">
      <c r="C1046" t="s">
        <v>51</v>
      </c>
      <c r="D1046" t="s">
        <v>91</v>
      </c>
      <c r="E1046" t="s">
        <v>50</v>
      </c>
      <c r="F1046" t="s">
        <v>46</v>
      </c>
      <c r="G1046" s="58">
        <v>769461</v>
      </c>
      <c r="H1046" s="1" t="s">
        <v>48</v>
      </c>
      <c r="I1046" s="1" t="s">
        <v>108</v>
      </c>
      <c r="J1046" s="58">
        <v>23083830</v>
      </c>
      <c r="K1046" s="1" t="s">
        <v>106</v>
      </c>
      <c r="L1046" s="1" t="s">
        <v>109</v>
      </c>
      <c r="M1046" s="1" t="s">
        <v>122</v>
      </c>
      <c r="N1046" s="1">
        <v>1</v>
      </c>
      <c r="O1046" s="58"/>
      <c r="P1046" s="58">
        <v>554011.92000000004</v>
      </c>
      <c r="Q1046" t="s">
        <v>118</v>
      </c>
      <c r="R1046" s="1" t="s">
        <v>48</v>
      </c>
    </row>
    <row r="1047" spans="3:18" x14ac:dyDescent="0.35">
      <c r="C1047" t="s">
        <v>51</v>
      </c>
      <c r="D1047" t="s">
        <v>21</v>
      </c>
      <c r="E1047" t="s">
        <v>49</v>
      </c>
      <c r="F1047" t="s">
        <v>46</v>
      </c>
      <c r="G1047" s="58">
        <v>4274928</v>
      </c>
      <c r="H1047" s="1" t="s">
        <v>54</v>
      </c>
      <c r="I1047" s="1" t="s">
        <v>108</v>
      </c>
      <c r="J1047" s="58">
        <v>128247840</v>
      </c>
      <c r="K1047" s="1" t="s">
        <v>106</v>
      </c>
      <c r="L1047" s="1" t="s">
        <v>124</v>
      </c>
      <c r="N1047" s="1">
        <v>1</v>
      </c>
      <c r="O1047" s="58"/>
      <c r="P1047" s="58">
        <v>5343660</v>
      </c>
      <c r="Q1047" t="s">
        <v>110</v>
      </c>
      <c r="R1047" s="1" t="s">
        <v>158</v>
      </c>
    </row>
    <row r="1048" spans="3:18" x14ac:dyDescent="0.35">
      <c r="C1048" t="s">
        <v>51</v>
      </c>
      <c r="D1048" t="s">
        <v>22</v>
      </c>
      <c r="E1048" t="s">
        <v>45</v>
      </c>
      <c r="F1048" t="s">
        <v>46</v>
      </c>
      <c r="G1048" s="58">
        <v>2179483</v>
      </c>
      <c r="H1048" s="1" t="s">
        <v>48</v>
      </c>
      <c r="I1048" s="1" t="s">
        <v>111</v>
      </c>
      <c r="J1048" s="58">
        <v>37051211</v>
      </c>
      <c r="K1048" s="1" t="s">
        <v>112</v>
      </c>
      <c r="N1048" s="1">
        <v>1</v>
      </c>
      <c r="O1048" s="58"/>
      <c r="P1048" s="58">
        <v>1612817.42</v>
      </c>
      <c r="Q1048" t="s">
        <v>118</v>
      </c>
      <c r="R1048" s="1" t="s">
        <v>158</v>
      </c>
    </row>
    <row r="1049" spans="3:18" x14ac:dyDescent="0.35">
      <c r="C1049" t="s">
        <v>51</v>
      </c>
      <c r="D1049" t="s">
        <v>92</v>
      </c>
      <c r="E1049" t="s">
        <v>49</v>
      </c>
      <c r="F1049" t="s">
        <v>46</v>
      </c>
      <c r="G1049" s="58">
        <v>8132784</v>
      </c>
      <c r="H1049" s="1" t="s">
        <v>56</v>
      </c>
      <c r="I1049" s="1" t="s">
        <v>111</v>
      </c>
      <c r="J1049" s="58">
        <v>138257328</v>
      </c>
      <c r="K1049" s="1" t="s">
        <v>106</v>
      </c>
      <c r="L1049" s="1" t="s">
        <v>124</v>
      </c>
      <c r="N1049" s="1">
        <v>1</v>
      </c>
      <c r="O1049" s="58"/>
      <c r="P1049" s="58">
        <v>5367637.4400000004</v>
      </c>
      <c r="Q1049" t="s">
        <v>118</v>
      </c>
      <c r="R1049" s="1" t="s">
        <v>158</v>
      </c>
    </row>
    <row r="1050" spans="3:18" x14ac:dyDescent="0.35">
      <c r="C1050" t="s">
        <v>51</v>
      </c>
      <c r="D1050" t="s">
        <v>23</v>
      </c>
      <c r="E1050" t="s">
        <v>55</v>
      </c>
      <c r="F1050" t="s">
        <v>64</v>
      </c>
      <c r="G1050" s="58">
        <v>306444</v>
      </c>
      <c r="H1050" s="1" t="s">
        <v>48</v>
      </c>
      <c r="I1050" s="1" t="s">
        <v>108</v>
      </c>
      <c r="J1050" s="58">
        <v>9193320</v>
      </c>
      <c r="K1050" s="1" t="s">
        <v>112</v>
      </c>
      <c r="N1050" s="1">
        <v>1</v>
      </c>
      <c r="O1050" s="58"/>
      <c r="P1050" s="58">
        <v>260477.4</v>
      </c>
      <c r="Q1050" t="s">
        <v>127</v>
      </c>
      <c r="R1050" s="1" t="s">
        <v>48</v>
      </c>
    </row>
    <row r="1051" spans="3:18" x14ac:dyDescent="0.35">
      <c r="C1051" t="s">
        <v>51</v>
      </c>
      <c r="D1051" t="s">
        <v>21</v>
      </c>
      <c r="E1051" t="s">
        <v>49</v>
      </c>
      <c r="F1051" t="s">
        <v>46</v>
      </c>
      <c r="G1051" s="58">
        <v>1791094</v>
      </c>
      <c r="H1051" s="1" t="s">
        <v>48</v>
      </c>
      <c r="I1051" s="1" t="s">
        <v>111</v>
      </c>
      <c r="J1051" s="58">
        <v>28657504</v>
      </c>
      <c r="K1051" s="1" t="s">
        <v>112</v>
      </c>
      <c r="N1051" s="1">
        <v>1</v>
      </c>
      <c r="O1051" s="58"/>
      <c r="P1051" s="58">
        <v>501506.32</v>
      </c>
      <c r="Q1051" t="s">
        <v>107</v>
      </c>
      <c r="R1051" s="1" t="s">
        <v>158</v>
      </c>
    </row>
    <row r="1052" spans="3:18" x14ac:dyDescent="0.35">
      <c r="C1052" t="s">
        <v>51</v>
      </c>
      <c r="D1052" t="s">
        <v>22</v>
      </c>
      <c r="E1052" t="s">
        <v>45</v>
      </c>
      <c r="F1052" t="s">
        <v>46</v>
      </c>
      <c r="G1052" s="58">
        <v>26349</v>
      </c>
      <c r="H1052" s="1" t="s">
        <v>59</v>
      </c>
      <c r="I1052" s="1" t="s">
        <v>105</v>
      </c>
      <c r="J1052" s="58">
        <v>105396</v>
      </c>
      <c r="K1052" s="1" t="s">
        <v>106</v>
      </c>
      <c r="L1052" s="1" t="s">
        <v>120</v>
      </c>
      <c r="N1052" s="1">
        <v>1</v>
      </c>
      <c r="O1052" s="58"/>
      <c r="P1052" s="58">
        <v>19234.77</v>
      </c>
      <c r="Q1052" t="s">
        <v>118</v>
      </c>
      <c r="R1052" s="1" t="s">
        <v>158</v>
      </c>
    </row>
    <row r="1053" spans="3:18" x14ac:dyDescent="0.35">
      <c r="C1053" t="s">
        <v>51</v>
      </c>
      <c r="D1053" t="s">
        <v>19</v>
      </c>
      <c r="E1053" t="s">
        <v>49</v>
      </c>
      <c r="F1053" t="s">
        <v>46</v>
      </c>
      <c r="G1053" s="58">
        <v>2845721</v>
      </c>
      <c r="H1053" s="1" t="s">
        <v>56</v>
      </c>
      <c r="I1053" s="1" t="s">
        <v>108</v>
      </c>
      <c r="J1053" s="58">
        <v>82525909</v>
      </c>
      <c r="K1053" s="1" t="s">
        <v>112</v>
      </c>
      <c r="N1053" s="1">
        <v>1</v>
      </c>
      <c r="O1053" s="58"/>
      <c r="P1053" s="58">
        <v>1422860.5</v>
      </c>
      <c r="Q1053" t="s">
        <v>113</v>
      </c>
      <c r="R1053" s="1" t="s">
        <v>158</v>
      </c>
    </row>
    <row r="1054" spans="3:18" x14ac:dyDescent="0.35">
      <c r="C1054" t="s">
        <v>51</v>
      </c>
      <c r="D1054" t="s">
        <v>19</v>
      </c>
      <c r="E1054" t="s">
        <v>49</v>
      </c>
      <c r="F1054" t="s">
        <v>64</v>
      </c>
      <c r="G1054" s="58">
        <v>193423</v>
      </c>
      <c r="H1054" s="1" t="s">
        <v>56</v>
      </c>
      <c r="I1054" s="1" t="s">
        <v>119</v>
      </c>
      <c r="J1054" s="58">
        <v>1934230</v>
      </c>
      <c r="K1054" s="1" t="s">
        <v>106</v>
      </c>
      <c r="L1054" s="1" t="s">
        <v>124</v>
      </c>
      <c r="N1054" s="1">
        <v>1</v>
      </c>
      <c r="O1054" s="58"/>
      <c r="P1054" s="58">
        <v>36750.370000000003</v>
      </c>
      <c r="Q1054" t="s">
        <v>107</v>
      </c>
      <c r="R1054" s="1" t="s">
        <v>158</v>
      </c>
    </row>
    <row r="1055" spans="3:18" x14ac:dyDescent="0.35">
      <c r="C1055" t="s">
        <v>51</v>
      </c>
      <c r="D1055" t="s">
        <v>23</v>
      </c>
      <c r="E1055" t="s">
        <v>55</v>
      </c>
      <c r="F1055" t="s">
        <v>46</v>
      </c>
      <c r="G1055" s="58">
        <v>483125</v>
      </c>
      <c r="H1055" s="1" t="s">
        <v>47</v>
      </c>
      <c r="I1055" s="1" t="s">
        <v>111</v>
      </c>
      <c r="J1055" s="58">
        <v>8213125</v>
      </c>
      <c r="K1055" s="1" t="s">
        <v>106</v>
      </c>
      <c r="L1055" s="1" t="s">
        <v>114</v>
      </c>
      <c r="N1055" s="1">
        <v>1</v>
      </c>
      <c r="O1055" s="58"/>
      <c r="P1055" s="58">
        <v>637725</v>
      </c>
      <c r="Q1055" t="s">
        <v>110</v>
      </c>
      <c r="R1055" s="1" t="s">
        <v>158</v>
      </c>
    </row>
    <row r="1056" spans="3:18" x14ac:dyDescent="0.35">
      <c r="C1056" t="s">
        <v>51</v>
      </c>
      <c r="D1056" t="s">
        <v>24</v>
      </c>
      <c r="E1056" t="s">
        <v>55</v>
      </c>
      <c r="F1056" t="s">
        <v>46</v>
      </c>
      <c r="G1056" s="58">
        <v>135026</v>
      </c>
      <c r="H1056" s="1" t="s">
        <v>48</v>
      </c>
      <c r="I1056" s="1" t="s">
        <v>108</v>
      </c>
      <c r="J1056" s="58">
        <v>4320832</v>
      </c>
      <c r="K1056" s="1" t="s">
        <v>106</v>
      </c>
      <c r="L1056" s="1" t="s">
        <v>109</v>
      </c>
      <c r="M1056" s="1" t="s">
        <v>121</v>
      </c>
      <c r="N1056" s="1">
        <v>1</v>
      </c>
      <c r="O1056" s="58"/>
      <c r="P1056" s="58">
        <v>106670.54</v>
      </c>
      <c r="Q1056" t="s">
        <v>118</v>
      </c>
      <c r="R1056" s="1" t="s">
        <v>158</v>
      </c>
    </row>
    <row r="1057" spans="3:18" x14ac:dyDescent="0.35">
      <c r="C1057" t="s">
        <v>53</v>
      </c>
      <c r="D1057" t="s">
        <v>24</v>
      </c>
      <c r="E1057" t="s">
        <v>55</v>
      </c>
      <c r="F1057" t="s">
        <v>46</v>
      </c>
      <c r="G1057" s="58">
        <v>42295189</v>
      </c>
      <c r="H1057" s="1" t="s">
        <v>54</v>
      </c>
      <c r="I1057" s="1" t="s">
        <v>111</v>
      </c>
      <c r="J1057" s="58">
        <v>549837457</v>
      </c>
      <c r="K1057" s="1" t="s">
        <v>106</v>
      </c>
      <c r="L1057" s="1" t="s">
        <v>114</v>
      </c>
      <c r="N1057" s="1">
        <v>1</v>
      </c>
      <c r="O1057" s="58"/>
      <c r="P1057" s="58">
        <v>37219766.32</v>
      </c>
      <c r="Q1057" t="s">
        <v>127</v>
      </c>
      <c r="R1057" s="1" t="s">
        <v>158</v>
      </c>
    </row>
    <row r="1058" spans="3:18" x14ac:dyDescent="0.35">
      <c r="C1058" t="s">
        <v>51</v>
      </c>
      <c r="D1058" t="s">
        <v>24</v>
      </c>
      <c r="E1058" t="s">
        <v>50</v>
      </c>
      <c r="F1058" t="s">
        <v>46</v>
      </c>
      <c r="G1058" s="58">
        <v>32820812</v>
      </c>
      <c r="H1058" s="1" t="s">
        <v>47</v>
      </c>
      <c r="I1058" s="1" t="s">
        <v>108</v>
      </c>
      <c r="J1058" s="58">
        <v>918982736</v>
      </c>
      <c r="K1058" s="1" t="s">
        <v>106</v>
      </c>
      <c r="L1058" s="1" t="s">
        <v>109</v>
      </c>
      <c r="N1058" s="1">
        <v>1</v>
      </c>
      <c r="O1058" s="58"/>
      <c r="P1058" s="58">
        <v>22646360.280000001</v>
      </c>
      <c r="Q1058" t="s">
        <v>118</v>
      </c>
      <c r="R1058" s="1" t="s">
        <v>158</v>
      </c>
    </row>
    <row r="1059" spans="3:18" x14ac:dyDescent="0.35">
      <c r="C1059" t="s">
        <v>51</v>
      </c>
      <c r="D1059" t="s">
        <v>20</v>
      </c>
      <c r="E1059" t="s">
        <v>49</v>
      </c>
      <c r="F1059" t="s">
        <v>46</v>
      </c>
      <c r="G1059" s="58">
        <v>15324406</v>
      </c>
      <c r="H1059" s="1" t="s">
        <v>59</v>
      </c>
      <c r="I1059" s="1" t="s">
        <v>111</v>
      </c>
      <c r="J1059" s="58">
        <v>229866090</v>
      </c>
      <c r="K1059" s="1" t="s">
        <v>106</v>
      </c>
      <c r="L1059" s="1" t="s">
        <v>124</v>
      </c>
      <c r="N1059" s="1">
        <v>1</v>
      </c>
      <c r="O1059" s="58"/>
      <c r="P1059" s="58">
        <v>3984345.56</v>
      </c>
      <c r="Q1059" t="s">
        <v>107</v>
      </c>
      <c r="R1059" s="1" t="s">
        <v>158</v>
      </c>
    </row>
    <row r="1060" spans="3:18" x14ac:dyDescent="0.35">
      <c r="C1060" t="s">
        <v>51</v>
      </c>
      <c r="D1060" t="s">
        <v>24</v>
      </c>
      <c r="E1060" t="s">
        <v>55</v>
      </c>
      <c r="F1060" t="s">
        <v>46</v>
      </c>
      <c r="G1060" s="58">
        <v>47898</v>
      </c>
      <c r="H1060" s="1" t="s">
        <v>59</v>
      </c>
      <c r="I1060" s="1" t="s">
        <v>111</v>
      </c>
      <c r="J1060" s="58">
        <v>718470</v>
      </c>
      <c r="K1060" s="1" t="s">
        <v>112</v>
      </c>
      <c r="N1060" s="1">
        <v>1</v>
      </c>
      <c r="O1060" s="58"/>
      <c r="P1060" s="58">
        <v>9100.6200000000008</v>
      </c>
      <c r="Q1060" t="s">
        <v>107</v>
      </c>
      <c r="R1060" s="1" t="s">
        <v>158</v>
      </c>
    </row>
    <row r="1061" spans="3:18" x14ac:dyDescent="0.35">
      <c r="C1061" t="s">
        <v>51</v>
      </c>
      <c r="D1061" t="s">
        <v>24</v>
      </c>
      <c r="E1061" t="s">
        <v>50</v>
      </c>
      <c r="F1061" t="s">
        <v>46</v>
      </c>
      <c r="G1061" s="58">
        <v>114268</v>
      </c>
      <c r="H1061" s="1" t="s">
        <v>54</v>
      </c>
      <c r="I1061" s="1" t="s">
        <v>111</v>
      </c>
      <c r="J1061" s="58">
        <v>1828288</v>
      </c>
      <c r="K1061" s="1" t="s">
        <v>106</v>
      </c>
      <c r="L1061" s="1" t="s">
        <v>114</v>
      </c>
      <c r="N1061" s="1">
        <v>1</v>
      </c>
      <c r="O1061" s="58"/>
      <c r="P1061" s="58">
        <v>59419.360000000001</v>
      </c>
      <c r="Q1061" t="s">
        <v>113</v>
      </c>
      <c r="R1061" s="1" t="s">
        <v>158</v>
      </c>
    </row>
    <row r="1062" spans="3:18" x14ac:dyDescent="0.35">
      <c r="C1062" t="s">
        <v>51</v>
      </c>
      <c r="D1062" t="s">
        <v>22</v>
      </c>
      <c r="E1062" t="s">
        <v>49</v>
      </c>
      <c r="F1062" t="s">
        <v>46</v>
      </c>
      <c r="G1062" s="58">
        <v>2055963</v>
      </c>
      <c r="H1062" s="1" t="s">
        <v>47</v>
      </c>
      <c r="I1062" s="1" t="s">
        <v>108</v>
      </c>
      <c r="J1062" s="58">
        <v>61678890</v>
      </c>
      <c r="K1062" s="1" t="s">
        <v>112</v>
      </c>
      <c r="N1062" s="1">
        <v>1</v>
      </c>
      <c r="O1062" s="58"/>
      <c r="P1062" s="58">
        <v>986862.24</v>
      </c>
      <c r="Q1062" t="s">
        <v>113</v>
      </c>
      <c r="R1062" s="1" t="s">
        <v>158</v>
      </c>
    </row>
    <row r="1063" spans="3:18" x14ac:dyDescent="0.35">
      <c r="C1063" t="s">
        <v>51</v>
      </c>
      <c r="D1063" t="s">
        <v>20</v>
      </c>
      <c r="E1063" t="s">
        <v>49</v>
      </c>
      <c r="F1063" t="s">
        <v>46</v>
      </c>
      <c r="G1063" s="58">
        <v>7998368</v>
      </c>
      <c r="H1063" s="1" t="s">
        <v>48</v>
      </c>
      <c r="I1063" s="1" t="s">
        <v>108</v>
      </c>
      <c r="J1063" s="58">
        <v>255947776</v>
      </c>
      <c r="K1063" s="1" t="s">
        <v>112</v>
      </c>
      <c r="N1063" s="1">
        <v>1</v>
      </c>
      <c r="O1063" s="58"/>
      <c r="P1063" s="58">
        <v>3999184</v>
      </c>
      <c r="Q1063" t="s">
        <v>113</v>
      </c>
      <c r="R1063" s="1" t="s">
        <v>158</v>
      </c>
    </row>
    <row r="1064" spans="3:18" x14ac:dyDescent="0.35">
      <c r="C1064" t="s">
        <v>51</v>
      </c>
      <c r="D1064" t="s">
        <v>21</v>
      </c>
      <c r="E1064" t="s">
        <v>49</v>
      </c>
      <c r="F1064" t="s">
        <v>46</v>
      </c>
      <c r="G1064" s="58">
        <v>52363</v>
      </c>
      <c r="H1064" s="1" t="s">
        <v>47</v>
      </c>
      <c r="I1064" s="1" t="s">
        <v>108</v>
      </c>
      <c r="J1064" s="58">
        <v>2042157</v>
      </c>
      <c r="K1064" s="1" t="s">
        <v>106</v>
      </c>
      <c r="L1064" s="1" t="s">
        <v>114</v>
      </c>
      <c r="N1064" s="1">
        <v>1</v>
      </c>
      <c r="O1064" s="58"/>
      <c r="P1064" s="58">
        <v>78544.5</v>
      </c>
      <c r="Q1064" t="s">
        <v>110</v>
      </c>
      <c r="R1064" s="1" t="s">
        <v>158</v>
      </c>
    </row>
    <row r="1065" spans="3:18" x14ac:dyDescent="0.35">
      <c r="C1065" t="s">
        <v>53</v>
      </c>
      <c r="D1065" t="s">
        <v>21</v>
      </c>
      <c r="E1065" t="s">
        <v>45</v>
      </c>
      <c r="F1065" t="s">
        <v>46</v>
      </c>
      <c r="G1065" s="58">
        <v>16984741</v>
      </c>
      <c r="H1065" s="1" t="s">
        <v>56</v>
      </c>
      <c r="I1065" s="1" t="s">
        <v>119</v>
      </c>
      <c r="J1065" s="58">
        <v>152862669</v>
      </c>
      <c r="K1065" s="1" t="s">
        <v>106</v>
      </c>
      <c r="L1065" s="1" t="s">
        <v>120</v>
      </c>
      <c r="N1065" s="1">
        <v>1</v>
      </c>
      <c r="O1065" s="58"/>
      <c r="P1065" s="58">
        <v>11719471.289999999</v>
      </c>
      <c r="Q1065" t="s">
        <v>118</v>
      </c>
      <c r="R1065" s="1" t="s">
        <v>158</v>
      </c>
    </row>
    <row r="1066" spans="3:18" x14ac:dyDescent="0.35">
      <c r="C1066" t="s">
        <v>51</v>
      </c>
      <c r="D1066" t="s">
        <v>23</v>
      </c>
      <c r="E1066" t="s">
        <v>50</v>
      </c>
      <c r="F1066" t="s">
        <v>46</v>
      </c>
      <c r="G1066" s="58">
        <v>471511</v>
      </c>
      <c r="H1066" s="1" t="s">
        <v>48</v>
      </c>
      <c r="I1066" s="1" t="s">
        <v>111</v>
      </c>
      <c r="J1066" s="58">
        <v>9430220</v>
      </c>
      <c r="K1066" s="1" t="s">
        <v>112</v>
      </c>
      <c r="N1066" s="1">
        <v>1</v>
      </c>
      <c r="O1066" s="58"/>
      <c r="P1066" s="58">
        <v>396069.24</v>
      </c>
      <c r="Q1066" t="s">
        <v>127</v>
      </c>
      <c r="R1066" s="1" t="s">
        <v>48</v>
      </c>
    </row>
    <row r="1067" spans="3:18" x14ac:dyDescent="0.35">
      <c r="C1067" t="s">
        <v>51</v>
      </c>
      <c r="D1067" t="s">
        <v>92</v>
      </c>
      <c r="E1067" t="s">
        <v>49</v>
      </c>
      <c r="F1067" t="s">
        <v>46</v>
      </c>
      <c r="G1067" s="58">
        <v>824023</v>
      </c>
      <c r="H1067" s="1" t="s">
        <v>59</v>
      </c>
      <c r="I1067" s="1" t="s">
        <v>108</v>
      </c>
      <c r="J1067" s="58">
        <v>25544713</v>
      </c>
      <c r="K1067" s="1" t="s">
        <v>106</v>
      </c>
      <c r="L1067" s="1" t="s">
        <v>124</v>
      </c>
      <c r="N1067" s="1">
        <v>1</v>
      </c>
      <c r="O1067" s="58"/>
      <c r="P1067" s="58">
        <v>980587.37</v>
      </c>
      <c r="Q1067" t="s">
        <v>110</v>
      </c>
      <c r="R1067" s="1" t="s">
        <v>158</v>
      </c>
    </row>
    <row r="1068" spans="3:18" x14ac:dyDescent="0.35">
      <c r="C1068" t="s">
        <v>51</v>
      </c>
      <c r="D1068" t="s">
        <v>22</v>
      </c>
      <c r="E1068" t="s">
        <v>55</v>
      </c>
      <c r="F1068" t="s">
        <v>46</v>
      </c>
      <c r="G1068" s="58">
        <v>1113369</v>
      </c>
      <c r="H1068" s="1" t="s">
        <v>48</v>
      </c>
      <c r="I1068" s="1" t="s">
        <v>111</v>
      </c>
      <c r="J1068" s="58">
        <v>18927273</v>
      </c>
      <c r="K1068" s="1" t="s">
        <v>106</v>
      </c>
      <c r="L1068" s="1" t="s">
        <v>120</v>
      </c>
      <c r="M1068" s="1" t="s">
        <v>115</v>
      </c>
      <c r="N1068" s="1">
        <v>1</v>
      </c>
      <c r="O1068" s="58"/>
      <c r="P1068" s="58">
        <v>334010.7</v>
      </c>
      <c r="Q1068" t="s">
        <v>107</v>
      </c>
      <c r="R1068" s="1" t="s">
        <v>48</v>
      </c>
    </row>
    <row r="1069" spans="3:18" x14ac:dyDescent="0.35">
      <c r="C1069" t="s">
        <v>51</v>
      </c>
      <c r="D1069" t="s">
        <v>23</v>
      </c>
      <c r="E1069" t="s">
        <v>45</v>
      </c>
      <c r="F1069" t="s">
        <v>46</v>
      </c>
      <c r="G1069" s="58">
        <v>69300</v>
      </c>
      <c r="H1069" s="1" t="s">
        <v>48</v>
      </c>
      <c r="I1069" s="1" t="s">
        <v>111</v>
      </c>
      <c r="J1069" s="58">
        <v>831600</v>
      </c>
      <c r="K1069" s="1" t="s">
        <v>112</v>
      </c>
      <c r="N1069" s="1">
        <v>1</v>
      </c>
      <c r="O1069" s="58"/>
      <c r="P1069" s="58">
        <v>58212</v>
      </c>
      <c r="Q1069" t="s">
        <v>127</v>
      </c>
      <c r="R1069" s="1" t="s">
        <v>158</v>
      </c>
    </row>
    <row r="1070" spans="3:18" x14ac:dyDescent="0.35">
      <c r="C1070" t="s">
        <v>51</v>
      </c>
      <c r="D1070" t="s">
        <v>24</v>
      </c>
      <c r="E1070" t="s">
        <v>55</v>
      </c>
      <c r="F1070" t="s">
        <v>46</v>
      </c>
      <c r="G1070" s="58">
        <v>41314</v>
      </c>
      <c r="H1070" s="1" t="s">
        <v>56</v>
      </c>
      <c r="I1070" s="1" t="s">
        <v>119</v>
      </c>
      <c r="J1070" s="58">
        <v>371826</v>
      </c>
      <c r="K1070" s="1" t="s">
        <v>112</v>
      </c>
      <c r="N1070" s="1">
        <v>1</v>
      </c>
      <c r="O1070" s="58"/>
      <c r="P1070" s="58">
        <v>6610.24</v>
      </c>
      <c r="Q1070" t="s">
        <v>107</v>
      </c>
      <c r="R1070" s="1" t="s">
        <v>158</v>
      </c>
    </row>
    <row r="1071" spans="3:18" x14ac:dyDescent="0.35">
      <c r="C1071" t="s">
        <v>51</v>
      </c>
      <c r="D1071" t="s">
        <v>24</v>
      </c>
      <c r="E1071" t="s">
        <v>62</v>
      </c>
      <c r="F1071" t="s">
        <v>46</v>
      </c>
      <c r="G1071" s="58">
        <v>304199</v>
      </c>
      <c r="H1071" s="1" t="s">
        <v>48</v>
      </c>
      <c r="I1071" s="1" t="s">
        <v>108</v>
      </c>
      <c r="J1071" s="58">
        <v>11255363</v>
      </c>
      <c r="K1071" s="1" t="s">
        <v>106</v>
      </c>
      <c r="L1071" s="1" t="s">
        <v>124</v>
      </c>
      <c r="M1071" s="1" t="s">
        <v>121</v>
      </c>
      <c r="N1071" s="1">
        <v>1</v>
      </c>
      <c r="O1071" s="58"/>
      <c r="P1071" s="58">
        <v>231191.24</v>
      </c>
      <c r="Q1071" t="s">
        <v>118</v>
      </c>
      <c r="R1071" s="1" t="s">
        <v>48</v>
      </c>
    </row>
    <row r="1072" spans="3:18" x14ac:dyDescent="0.35">
      <c r="C1072" t="s">
        <v>51</v>
      </c>
      <c r="D1072" t="s">
        <v>25</v>
      </c>
      <c r="E1072" t="s">
        <v>55</v>
      </c>
      <c r="F1072" t="s">
        <v>46</v>
      </c>
      <c r="G1072" s="58">
        <v>13600</v>
      </c>
      <c r="H1072" s="1" t="s">
        <v>59</v>
      </c>
      <c r="I1072" s="1" t="s">
        <v>111</v>
      </c>
      <c r="J1072" s="58">
        <v>244800</v>
      </c>
      <c r="K1072" s="1" t="s">
        <v>106</v>
      </c>
      <c r="L1072" s="1" t="s">
        <v>114</v>
      </c>
      <c r="N1072" s="1">
        <v>1</v>
      </c>
      <c r="O1072" s="58"/>
      <c r="P1072" s="58">
        <v>20400</v>
      </c>
      <c r="Q1072" t="s">
        <v>110</v>
      </c>
      <c r="R1072" s="1" t="s">
        <v>158</v>
      </c>
    </row>
    <row r="1073" spans="3:18" x14ac:dyDescent="0.35">
      <c r="C1073" t="s">
        <v>51</v>
      </c>
      <c r="D1073" t="s">
        <v>19</v>
      </c>
      <c r="E1073" t="s">
        <v>49</v>
      </c>
      <c r="F1073" t="s">
        <v>46</v>
      </c>
      <c r="G1073" s="58">
        <v>262528</v>
      </c>
      <c r="H1073" s="1" t="s">
        <v>48</v>
      </c>
      <c r="I1073" s="1" t="s">
        <v>108</v>
      </c>
      <c r="J1073" s="58">
        <v>7088256</v>
      </c>
      <c r="K1073" s="1" t="s">
        <v>106</v>
      </c>
      <c r="L1073" s="1" t="s">
        <v>114</v>
      </c>
      <c r="M1073" s="1" t="s">
        <v>121</v>
      </c>
      <c r="N1073" s="1">
        <v>1</v>
      </c>
      <c r="O1073" s="58"/>
      <c r="P1073" s="58">
        <v>60381.440000000002</v>
      </c>
      <c r="Q1073" t="s">
        <v>107</v>
      </c>
      <c r="R1073" s="1" t="s">
        <v>158</v>
      </c>
    </row>
    <row r="1074" spans="3:18" x14ac:dyDescent="0.35">
      <c r="C1074" t="s">
        <v>53</v>
      </c>
      <c r="D1074" t="s">
        <v>20</v>
      </c>
      <c r="E1074" t="s">
        <v>45</v>
      </c>
      <c r="F1074" t="s">
        <v>46</v>
      </c>
      <c r="G1074" s="58">
        <v>1944866</v>
      </c>
      <c r="H1074" s="1" t="s">
        <v>59</v>
      </c>
      <c r="I1074" s="1" t="s">
        <v>105</v>
      </c>
      <c r="J1074" s="58">
        <v>3889732</v>
      </c>
      <c r="K1074" s="1" t="s">
        <v>106</v>
      </c>
      <c r="L1074" s="1" t="s">
        <v>120</v>
      </c>
      <c r="N1074" s="1">
        <v>1</v>
      </c>
      <c r="O1074" s="58"/>
      <c r="P1074" s="58">
        <v>350075.88</v>
      </c>
      <c r="Q1074" t="s">
        <v>107</v>
      </c>
      <c r="R1074" s="1" t="s">
        <v>158</v>
      </c>
    </row>
    <row r="1075" spans="3:18" x14ac:dyDescent="0.35">
      <c r="C1075" t="s">
        <v>51</v>
      </c>
      <c r="D1075" t="s">
        <v>22</v>
      </c>
      <c r="E1075" t="s">
        <v>45</v>
      </c>
      <c r="F1075" t="s">
        <v>46</v>
      </c>
      <c r="G1075" s="58">
        <v>950654</v>
      </c>
      <c r="H1075" s="1" t="s">
        <v>48</v>
      </c>
      <c r="I1075" s="1" t="s">
        <v>108</v>
      </c>
      <c r="J1075" s="58">
        <v>31371582</v>
      </c>
      <c r="K1075" s="1" t="s">
        <v>106</v>
      </c>
      <c r="L1075" s="1" t="s">
        <v>124</v>
      </c>
      <c r="M1075" s="1" t="s">
        <v>115</v>
      </c>
      <c r="N1075" s="1">
        <v>1</v>
      </c>
      <c r="O1075" s="58"/>
      <c r="P1075" s="58">
        <v>285196.2</v>
      </c>
      <c r="Q1075" t="s">
        <v>107</v>
      </c>
      <c r="R1075" s="1" t="s">
        <v>48</v>
      </c>
    </row>
    <row r="1076" spans="3:18" x14ac:dyDescent="0.35">
      <c r="C1076" t="s">
        <v>51</v>
      </c>
      <c r="D1076" t="s">
        <v>20</v>
      </c>
      <c r="E1076" t="s">
        <v>45</v>
      </c>
      <c r="F1076" t="s">
        <v>46</v>
      </c>
      <c r="G1076" s="58">
        <v>4068615</v>
      </c>
      <c r="H1076" s="1" t="s">
        <v>48</v>
      </c>
      <c r="I1076" s="1" t="s">
        <v>111</v>
      </c>
      <c r="J1076" s="58">
        <v>65097840</v>
      </c>
      <c r="K1076" s="1" t="s">
        <v>106</v>
      </c>
      <c r="L1076" s="1" t="s">
        <v>120</v>
      </c>
      <c r="M1076" s="1" t="s">
        <v>123</v>
      </c>
      <c r="N1076" s="1">
        <v>1</v>
      </c>
      <c r="O1076" s="58"/>
      <c r="P1076" s="58">
        <v>2034307.5</v>
      </c>
      <c r="Q1076" t="s">
        <v>113</v>
      </c>
      <c r="R1076" s="1" t="s">
        <v>158</v>
      </c>
    </row>
    <row r="1077" spans="3:18" x14ac:dyDescent="0.35">
      <c r="C1077" t="s">
        <v>53</v>
      </c>
      <c r="D1077" t="s">
        <v>24</v>
      </c>
      <c r="E1077" t="s">
        <v>52</v>
      </c>
      <c r="F1077" t="s">
        <v>46</v>
      </c>
      <c r="G1077" s="58">
        <v>8981779</v>
      </c>
      <c r="H1077" s="1" t="s">
        <v>48</v>
      </c>
      <c r="I1077" s="1" t="s">
        <v>111</v>
      </c>
      <c r="J1077" s="58">
        <v>143708464</v>
      </c>
      <c r="K1077" s="1" t="s">
        <v>106</v>
      </c>
      <c r="L1077" s="1" t="s">
        <v>130</v>
      </c>
      <c r="M1077" s="1" t="s">
        <v>121</v>
      </c>
      <c r="N1077" s="1">
        <v>1</v>
      </c>
      <c r="O1077" s="58"/>
      <c r="P1077" s="58">
        <v>4580707.29</v>
      </c>
      <c r="Q1077" t="s">
        <v>113</v>
      </c>
      <c r="R1077" s="1" t="s">
        <v>48</v>
      </c>
    </row>
    <row r="1078" spans="3:18" x14ac:dyDescent="0.35">
      <c r="C1078" t="s">
        <v>51</v>
      </c>
      <c r="D1078" t="s">
        <v>22</v>
      </c>
      <c r="E1078" t="s">
        <v>52</v>
      </c>
      <c r="F1078" t="s">
        <v>46</v>
      </c>
      <c r="G1078" s="58">
        <v>286000</v>
      </c>
      <c r="H1078" s="1" t="s">
        <v>48</v>
      </c>
      <c r="I1078" s="1" t="s">
        <v>108</v>
      </c>
      <c r="J1078" s="58">
        <v>11440000</v>
      </c>
      <c r="K1078" s="1" t="s">
        <v>112</v>
      </c>
      <c r="N1078" s="1">
        <v>1</v>
      </c>
      <c r="O1078" s="58"/>
      <c r="P1078" s="58">
        <v>286000</v>
      </c>
      <c r="Q1078" t="s">
        <v>110</v>
      </c>
      <c r="R1078" s="1" t="s">
        <v>48</v>
      </c>
    </row>
    <row r="1079" spans="3:18" x14ac:dyDescent="0.35">
      <c r="C1079" t="s">
        <v>53</v>
      </c>
      <c r="D1079" t="s">
        <v>23</v>
      </c>
      <c r="E1079" t="s">
        <v>45</v>
      </c>
      <c r="F1079" t="s">
        <v>46</v>
      </c>
      <c r="G1079" s="58">
        <v>2168007</v>
      </c>
      <c r="H1079" s="1" t="s">
        <v>54</v>
      </c>
      <c r="I1079" s="1" t="s">
        <v>111</v>
      </c>
      <c r="J1079" s="58">
        <v>23848077</v>
      </c>
      <c r="K1079" s="1" t="s">
        <v>106</v>
      </c>
      <c r="L1079" s="1" t="s">
        <v>120</v>
      </c>
      <c r="N1079" s="1">
        <v>1</v>
      </c>
      <c r="O1079" s="58"/>
      <c r="P1079" s="58">
        <v>1127363.6399999999</v>
      </c>
      <c r="Q1079" t="s">
        <v>113</v>
      </c>
      <c r="R1079" s="1" t="s">
        <v>158</v>
      </c>
    </row>
    <row r="1080" spans="3:18" x14ac:dyDescent="0.35">
      <c r="C1080" t="s">
        <v>51</v>
      </c>
      <c r="D1080" t="s">
        <v>23</v>
      </c>
      <c r="E1080" t="s">
        <v>45</v>
      </c>
      <c r="F1080" t="s">
        <v>46</v>
      </c>
      <c r="G1080" s="58">
        <v>12788382</v>
      </c>
      <c r="H1080" s="1" t="s">
        <v>48</v>
      </c>
      <c r="I1080" s="1" t="s">
        <v>108</v>
      </c>
      <c r="J1080" s="58">
        <v>383651460</v>
      </c>
      <c r="K1080" s="1" t="s">
        <v>106</v>
      </c>
      <c r="L1080" s="1" t="s">
        <v>120</v>
      </c>
      <c r="M1080" s="1" t="s">
        <v>125</v>
      </c>
      <c r="N1080" s="1">
        <v>1</v>
      </c>
      <c r="O1080" s="58"/>
      <c r="P1080" s="58">
        <v>6649958.6399999997</v>
      </c>
      <c r="Q1080" t="s">
        <v>113</v>
      </c>
      <c r="R1080" s="1" t="s">
        <v>48</v>
      </c>
    </row>
    <row r="1081" spans="3:18" x14ac:dyDescent="0.35">
      <c r="C1081" t="s">
        <v>51</v>
      </c>
      <c r="D1081" t="s">
        <v>22</v>
      </c>
      <c r="E1081" t="s">
        <v>55</v>
      </c>
      <c r="F1081" t="s">
        <v>46</v>
      </c>
      <c r="G1081" s="58">
        <v>8480</v>
      </c>
      <c r="H1081" s="1" t="s">
        <v>47</v>
      </c>
      <c r="I1081" s="1" t="s">
        <v>105</v>
      </c>
      <c r="J1081" s="58">
        <v>8480</v>
      </c>
      <c r="K1081" s="1" t="s">
        <v>106</v>
      </c>
      <c r="L1081" s="1" t="s">
        <v>114</v>
      </c>
      <c r="N1081" s="1">
        <v>1</v>
      </c>
      <c r="O1081" s="58"/>
      <c r="P1081" s="58">
        <v>169.6</v>
      </c>
      <c r="Q1081" t="s">
        <v>107</v>
      </c>
      <c r="R1081" s="1" t="s">
        <v>158</v>
      </c>
    </row>
    <row r="1082" spans="3:18" x14ac:dyDescent="0.35">
      <c r="C1082" t="s">
        <v>51</v>
      </c>
      <c r="D1082" t="s">
        <v>21</v>
      </c>
      <c r="E1082" t="s">
        <v>50</v>
      </c>
      <c r="F1082" t="s">
        <v>46</v>
      </c>
      <c r="G1082" s="58">
        <v>126364</v>
      </c>
      <c r="H1082" s="1" t="s">
        <v>48</v>
      </c>
      <c r="I1082" s="1" t="s">
        <v>108</v>
      </c>
      <c r="J1082" s="58">
        <v>3664556</v>
      </c>
      <c r="K1082" s="1" t="s">
        <v>106</v>
      </c>
      <c r="L1082" s="1" t="s">
        <v>124</v>
      </c>
      <c r="M1082" s="1" t="s">
        <v>126</v>
      </c>
      <c r="N1082" s="1">
        <v>1</v>
      </c>
      <c r="O1082" s="58"/>
      <c r="P1082" s="58">
        <v>72027.48</v>
      </c>
      <c r="Q1082" t="s">
        <v>113</v>
      </c>
      <c r="R1082" s="1" t="s">
        <v>48</v>
      </c>
    </row>
    <row r="1083" spans="3:18" x14ac:dyDescent="0.35">
      <c r="C1083" t="s">
        <v>51</v>
      </c>
      <c r="D1083" t="s">
        <v>19</v>
      </c>
      <c r="E1083" t="s">
        <v>49</v>
      </c>
      <c r="F1083" t="s">
        <v>46</v>
      </c>
      <c r="G1083" s="58">
        <v>174134505</v>
      </c>
      <c r="H1083" s="1" t="s">
        <v>48</v>
      </c>
      <c r="I1083" s="1" t="s">
        <v>108</v>
      </c>
      <c r="J1083" s="58">
        <v>4875766140</v>
      </c>
      <c r="K1083" s="1" t="s">
        <v>106</v>
      </c>
      <c r="L1083" s="1" t="s">
        <v>124</v>
      </c>
      <c r="M1083" s="1" t="s">
        <v>122</v>
      </c>
      <c r="N1083" s="1">
        <v>1</v>
      </c>
      <c r="O1083" s="58"/>
      <c r="P1083" s="58">
        <v>48757661.399999999</v>
      </c>
      <c r="Q1083" t="s">
        <v>107</v>
      </c>
      <c r="R1083" s="1" t="s">
        <v>158</v>
      </c>
    </row>
    <row r="1084" spans="3:18" x14ac:dyDescent="0.35">
      <c r="C1084" t="s">
        <v>53</v>
      </c>
      <c r="D1084" t="s">
        <v>20</v>
      </c>
      <c r="E1084" t="s">
        <v>45</v>
      </c>
      <c r="F1084" t="s">
        <v>46</v>
      </c>
      <c r="G1084" s="58">
        <v>212882</v>
      </c>
      <c r="H1084" s="1" t="s">
        <v>47</v>
      </c>
      <c r="I1084" s="1" t="s">
        <v>119</v>
      </c>
      <c r="J1084" s="58">
        <v>2128820</v>
      </c>
      <c r="K1084" s="1" t="s">
        <v>112</v>
      </c>
      <c r="N1084" s="1">
        <v>1</v>
      </c>
      <c r="O1084" s="58"/>
      <c r="P1084" s="58">
        <v>117085.1</v>
      </c>
      <c r="Q1084" t="s">
        <v>113</v>
      </c>
      <c r="R1084" s="1" t="s">
        <v>158</v>
      </c>
    </row>
    <row r="1085" spans="3:18" x14ac:dyDescent="0.35">
      <c r="C1085" t="s">
        <v>53</v>
      </c>
      <c r="D1085" t="s">
        <v>22</v>
      </c>
      <c r="E1085" t="s">
        <v>49</v>
      </c>
      <c r="F1085" t="s">
        <v>46</v>
      </c>
      <c r="G1085" s="58">
        <v>830</v>
      </c>
      <c r="H1085" s="1" t="s">
        <v>54</v>
      </c>
      <c r="I1085" s="1" t="s">
        <v>105</v>
      </c>
      <c r="J1085" s="58">
        <v>0</v>
      </c>
      <c r="K1085" s="1" t="s">
        <v>106</v>
      </c>
      <c r="L1085" s="1" t="s">
        <v>120</v>
      </c>
      <c r="N1085" s="1">
        <v>1</v>
      </c>
      <c r="O1085" s="58"/>
      <c r="P1085" s="58">
        <v>0</v>
      </c>
      <c r="Q1085" t="s">
        <v>107</v>
      </c>
      <c r="R1085" s="1" t="s">
        <v>158</v>
      </c>
    </row>
    <row r="1086" spans="3:18" x14ac:dyDescent="0.35">
      <c r="C1086" t="s">
        <v>51</v>
      </c>
      <c r="D1086" t="s">
        <v>22</v>
      </c>
      <c r="E1086" t="s">
        <v>45</v>
      </c>
      <c r="F1086" t="s">
        <v>46</v>
      </c>
      <c r="G1086" s="58">
        <v>254931246</v>
      </c>
      <c r="H1086" s="1" t="s">
        <v>59</v>
      </c>
      <c r="I1086" s="1" t="s">
        <v>108</v>
      </c>
      <c r="J1086" s="58">
        <v>7138074888</v>
      </c>
      <c r="K1086" s="1" t="s">
        <v>106</v>
      </c>
      <c r="L1086" s="1" t="s">
        <v>120</v>
      </c>
      <c r="N1086" s="1">
        <v>1</v>
      </c>
      <c r="O1086" s="58"/>
      <c r="P1086" s="58">
        <v>175902559.74000001</v>
      </c>
      <c r="Q1086" t="s">
        <v>118</v>
      </c>
      <c r="R1086" s="1" t="s">
        <v>158</v>
      </c>
    </row>
    <row r="1087" spans="3:18" x14ac:dyDescent="0.35">
      <c r="C1087" t="s">
        <v>51</v>
      </c>
      <c r="D1087" t="s">
        <v>24</v>
      </c>
      <c r="E1087" t="s">
        <v>45</v>
      </c>
      <c r="F1087" t="s">
        <v>46</v>
      </c>
      <c r="G1087" s="58">
        <v>2550892</v>
      </c>
      <c r="H1087" s="1" t="s">
        <v>48</v>
      </c>
      <c r="I1087" s="1" t="s">
        <v>108</v>
      </c>
      <c r="J1087" s="58">
        <v>79077652</v>
      </c>
      <c r="K1087" s="1" t="s">
        <v>106</v>
      </c>
      <c r="L1087" s="1" t="s">
        <v>120</v>
      </c>
      <c r="M1087" s="1" t="s">
        <v>121</v>
      </c>
      <c r="N1087" s="1">
        <v>1</v>
      </c>
      <c r="O1087" s="58"/>
      <c r="P1087" s="58">
        <v>1760115.48</v>
      </c>
      <c r="Q1087" t="s">
        <v>118</v>
      </c>
      <c r="R1087" s="1" t="s">
        <v>48</v>
      </c>
    </row>
    <row r="1088" spans="3:18" x14ac:dyDescent="0.35">
      <c r="C1088" t="s">
        <v>51</v>
      </c>
      <c r="D1088" t="s">
        <v>23</v>
      </c>
      <c r="E1088" t="s">
        <v>45</v>
      </c>
      <c r="F1088" t="s">
        <v>46</v>
      </c>
      <c r="G1088" s="58">
        <v>3927627</v>
      </c>
      <c r="H1088" s="1" t="s">
        <v>48</v>
      </c>
      <c r="I1088" s="1" t="s">
        <v>108</v>
      </c>
      <c r="J1088" s="58">
        <v>109973556</v>
      </c>
      <c r="K1088" s="1" t="s">
        <v>106</v>
      </c>
      <c r="L1088" s="1" t="s">
        <v>120</v>
      </c>
      <c r="M1088" s="1" t="s">
        <v>125</v>
      </c>
      <c r="N1088" s="1">
        <v>1</v>
      </c>
      <c r="O1088" s="58"/>
      <c r="P1088" s="58">
        <v>1099735.56</v>
      </c>
      <c r="Q1088" t="s">
        <v>107</v>
      </c>
      <c r="R1088" s="1" t="s">
        <v>48</v>
      </c>
    </row>
    <row r="1089" spans="3:18" x14ac:dyDescent="0.35">
      <c r="C1089" t="s">
        <v>51</v>
      </c>
      <c r="D1089" t="s">
        <v>20</v>
      </c>
      <c r="E1089" t="s">
        <v>45</v>
      </c>
      <c r="F1089" t="s">
        <v>46</v>
      </c>
      <c r="G1089" s="58">
        <v>5047216</v>
      </c>
      <c r="H1089" s="1" t="s">
        <v>48</v>
      </c>
      <c r="I1089" s="1" t="s">
        <v>108</v>
      </c>
      <c r="J1089" s="58">
        <v>191794208</v>
      </c>
      <c r="K1089" s="1" t="s">
        <v>112</v>
      </c>
      <c r="N1089" s="1">
        <v>1</v>
      </c>
      <c r="O1089" s="58"/>
      <c r="P1089" s="58">
        <v>4441550.08</v>
      </c>
      <c r="Q1089" t="s">
        <v>127</v>
      </c>
      <c r="R1089" s="1" t="s">
        <v>48</v>
      </c>
    </row>
    <row r="1090" spans="3:18" x14ac:dyDescent="0.35">
      <c r="C1090" t="s">
        <v>51</v>
      </c>
      <c r="D1090" t="s">
        <v>19</v>
      </c>
      <c r="E1090" t="s">
        <v>49</v>
      </c>
      <c r="F1090" t="s">
        <v>46</v>
      </c>
      <c r="G1090" s="58">
        <v>980246</v>
      </c>
      <c r="I1090" s="1" t="s">
        <v>108</v>
      </c>
      <c r="J1090" s="58">
        <v>25486396</v>
      </c>
      <c r="K1090" s="1" t="s">
        <v>106</v>
      </c>
      <c r="L1090" s="1" t="s">
        <v>124</v>
      </c>
      <c r="N1090" s="1">
        <v>1</v>
      </c>
      <c r="O1090" s="58"/>
      <c r="P1090" s="58">
        <v>509727.92</v>
      </c>
      <c r="Q1090" t="s">
        <v>113</v>
      </c>
      <c r="R1090" s="1" t="s">
        <v>158</v>
      </c>
    </row>
    <row r="1091" spans="3:18" x14ac:dyDescent="0.35">
      <c r="C1091" t="s">
        <v>51</v>
      </c>
      <c r="D1091" t="s">
        <v>20</v>
      </c>
      <c r="E1091" t="s">
        <v>49</v>
      </c>
      <c r="F1091" t="s">
        <v>46</v>
      </c>
      <c r="G1091" s="58">
        <v>7181221</v>
      </c>
      <c r="H1091" s="1" t="s">
        <v>48</v>
      </c>
      <c r="I1091" s="1" t="s">
        <v>105</v>
      </c>
      <c r="J1091" s="58">
        <v>7181221</v>
      </c>
      <c r="K1091" s="1" t="s">
        <v>106</v>
      </c>
      <c r="L1091" s="1" t="s">
        <v>120</v>
      </c>
      <c r="M1091" s="1" t="s">
        <v>123</v>
      </c>
      <c r="N1091" s="1">
        <v>1</v>
      </c>
      <c r="O1091" s="58"/>
      <c r="P1091" s="58">
        <v>3949671.55</v>
      </c>
      <c r="Q1091" t="s">
        <v>113</v>
      </c>
      <c r="R1091" s="1" t="s">
        <v>158</v>
      </c>
    </row>
    <row r="1092" spans="3:18" x14ac:dyDescent="0.35">
      <c r="C1092" t="s">
        <v>51</v>
      </c>
      <c r="D1092" t="s">
        <v>24</v>
      </c>
      <c r="E1092" t="s">
        <v>50</v>
      </c>
      <c r="F1092" t="s">
        <v>46</v>
      </c>
      <c r="G1092" s="58">
        <v>959321</v>
      </c>
      <c r="H1092" s="1" t="s">
        <v>47</v>
      </c>
      <c r="I1092" s="1" t="s">
        <v>108</v>
      </c>
      <c r="J1092" s="58">
        <v>33576235</v>
      </c>
      <c r="K1092" s="1" t="s">
        <v>106</v>
      </c>
      <c r="L1092" s="1" t="s">
        <v>120</v>
      </c>
      <c r="N1092" s="1">
        <v>1</v>
      </c>
      <c r="O1092" s="58"/>
      <c r="P1092" s="58">
        <v>681117.91</v>
      </c>
      <c r="Q1092" t="s">
        <v>118</v>
      </c>
      <c r="R1092" s="1" t="s">
        <v>158</v>
      </c>
    </row>
    <row r="1093" spans="3:18" x14ac:dyDescent="0.35">
      <c r="C1093" t="s">
        <v>51</v>
      </c>
      <c r="D1093" t="s">
        <v>24</v>
      </c>
      <c r="E1093" t="s">
        <v>55</v>
      </c>
      <c r="F1093" t="s">
        <v>46</v>
      </c>
      <c r="G1093" s="58">
        <v>262158</v>
      </c>
      <c r="H1093" s="1" t="s">
        <v>59</v>
      </c>
      <c r="I1093" s="1" t="s">
        <v>108</v>
      </c>
      <c r="J1093" s="58">
        <v>6816108</v>
      </c>
      <c r="K1093" s="1" t="s">
        <v>106</v>
      </c>
      <c r="L1093" s="1" t="s">
        <v>114</v>
      </c>
      <c r="N1093" s="1">
        <v>1</v>
      </c>
      <c r="O1093" s="58"/>
      <c r="P1093" s="58">
        <v>288373.8</v>
      </c>
      <c r="Q1093" t="s">
        <v>110</v>
      </c>
      <c r="R1093" s="1" t="s">
        <v>158</v>
      </c>
    </row>
    <row r="1094" spans="3:18" x14ac:dyDescent="0.35">
      <c r="C1094" t="s">
        <v>51</v>
      </c>
      <c r="D1094" t="s">
        <v>24</v>
      </c>
      <c r="E1094" t="s">
        <v>62</v>
      </c>
      <c r="F1094" t="s">
        <v>46</v>
      </c>
      <c r="G1094" s="58">
        <v>165204</v>
      </c>
      <c r="H1094" s="1" t="s">
        <v>48</v>
      </c>
      <c r="I1094" s="1" t="s">
        <v>119</v>
      </c>
      <c r="J1094" s="58">
        <v>1652040</v>
      </c>
      <c r="K1094" s="1" t="s">
        <v>112</v>
      </c>
      <c r="N1094" s="1">
        <v>1</v>
      </c>
      <c r="O1094" s="58"/>
      <c r="P1094" s="58">
        <v>115642.8</v>
      </c>
      <c r="Q1094" t="s">
        <v>118</v>
      </c>
      <c r="R1094" s="1" t="s">
        <v>48</v>
      </c>
    </row>
    <row r="1095" spans="3:18" x14ac:dyDescent="0.35">
      <c r="C1095" t="s">
        <v>51</v>
      </c>
      <c r="D1095" t="s">
        <v>91</v>
      </c>
      <c r="E1095" t="s">
        <v>49</v>
      </c>
      <c r="F1095" t="s">
        <v>46</v>
      </c>
      <c r="G1095" s="58">
        <v>4309152</v>
      </c>
      <c r="H1095" s="1" t="s">
        <v>47</v>
      </c>
      <c r="I1095" s="1" t="s">
        <v>108</v>
      </c>
      <c r="J1095" s="58">
        <v>137892864</v>
      </c>
      <c r="K1095" s="1" t="s">
        <v>112</v>
      </c>
      <c r="N1095" s="1">
        <v>1</v>
      </c>
      <c r="O1095" s="58"/>
      <c r="P1095" s="58">
        <v>3059497.92</v>
      </c>
      <c r="Q1095" t="s">
        <v>118</v>
      </c>
      <c r="R1095" s="1" t="s">
        <v>158</v>
      </c>
    </row>
    <row r="1096" spans="3:18" x14ac:dyDescent="0.35">
      <c r="C1096" t="s">
        <v>51</v>
      </c>
      <c r="D1096" t="s">
        <v>21</v>
      </c>
      <c r="E1096" t="s">
        <v>45</v>
      </c>
      <c r="F1096" t="s">
        <v>46</v>
      </c>
      <c r="G1096" s="58">
        <v>390510</v>
      </c>
      <c r="H1096" s="1" t="s">
        <v>48</v>
      </c>
      <c r="I1096" s="1" t="s">
        <v>108</v>
      </c>
      <c r="J1096" s="58">
        <v>12105810</v>
      </c>
      <c r="K1096" s="1" t="s">
        <v>106</v>
      </c>
      <c r="L1096" s="1" t="s">
        <v>120</v>
      </c>
      <c r="M1096" s="1" t="s">
        <v>126</v>
      </c>
      <c r="N1096" s="1">
        <v>1</v>
      </c>
      <c r="O1096" s="58"/>
      <c r="P1096" s="58">
        <v>398320.2</v>
      </c>
      <c r="Q1096" t="s">
        <v>110</v>
      </c>
      <c r="R1096" s="1" t="s">
        <v>48</v>
      </c>
    </row>
    <row r="1097" spans="3:18" x14ac:dyDescent="0.35">
      <c r="C1097" t="s">
        <v>51</v>
      </c>
      <c r="D1097" t="s">
        <v>21</v>
      </c>
      <c r="E1097" t="s">
        <v>45</v>
      </c>
      <c r="F1097" t="s">
        <v>46</v>
      </c>
      <c r="G1097" s="58">
        <v>239450</v>
      </c>
      <c r="H1097" s="1" t="s">
        <v>48</v>
      </c>
      <c r="I1097" s="1" t="s">
        <v>119</v>
      </c>
      <c r="J1097" s="58">
        <v>1915600</v>
      </c>
      <c r="K1097" s="1" t="s">
        <v>106</v>
      </c>
      <c r="L1097" s="1" t="s">
        <v>120</v>
      </c>
      <c r="M1097" s="1" t="s">
        <v>126</v>
      </c>
      <c r="N1097" s="1">
        <v>1</v>
      </c>
      <c r="O1097" s="58"/>
      <c r="P1097" s="58">
        <v>158037</v>
      </c>
      <c r="Q1097" t="s">
        <v>118</v>
      </c>
      <c r="R1097" s="1" t="s">
        <v>158</v>
      </c>
    </row>
    <row r="1098" spans="3:18" x14ac:dyDescent="0.35">
      <c r="C1098" t="s">
        <v>51</v>
      </c>
      <c r="D1098" t="s">
        <v>92</v>
      </c>
      <c r="E1098" t="s">
        <v>49</v>
      </c>
      <c r="F1098" t="s">
        <v>46</v>
      </c>
      <c r="G1098" s="58">
        <v>90197959</v>
      </c>
      <c r="H1098" s="1" t="s">
        <v>48</v>
      </c>
      <c r="I1098" s="1" t="s">
        <v>108</v>
      </c>
      <c r="J1098" s="58">
        <v>2525542852</v>
      </c>
      <c r="K1098" s="1" t="s">
        <v>106</v>
      </c>
      <c r="L1098" s="1" t="s">
        <v>124</v>
      </c>
      <c r="M1098" s="1" t="s">
        <v>123</v>
      </c>
      <c r="N1098" s="1">
        <v>1</v>
      </c>
      <c r="O1098" s="58"/>
      <c r="P1098" s="58">
        <v>25255428.52</v>
      </c>
      <c r="Q1098" t="s">
        <v>107</v>
      </c>
      <c r="R1098" s="1" t="s">
        <v>158</v>
      </c>
    </row>
    <row r="1099" spans="3:18" x14ac:dyDescent="0.35">
      <c r="C1099" t="s">
        <v>53</v>
      </c>
      <c r="D1099" t="s">
        <v>22</v>
      </c>
      <c r="E1099" t="s">
        <v>49</v>
      </c>
      <c r="F1099" t="s">
        <v>46</v>
      </c>
      <c r="G1099" s="58">
        <v>138503</v>
      </c>
      <c r="H1099" s="1" t="s">
        <v>47</v>
      </c>
      <c r="I1099" s="1" t="s">
        <v>108</v>
      </c>
      <c r="J1099" s="58">
        <v>3739581</v>
      </c>
      <c r="K1099" s="1" t="s">
        <v>106</v>
      </c>
      <c r="L1099" s="1" t="s">
        <v>124</v>
      </c>
      <c r="N1099" s="1">
        <v>1</v>
      </c>
      <c r="O1099" s="58"/>
      <c r="P1099" s="58">
        <v>23545.51</v>
      </c>
      <c r="Q1099" t="s">
        <v>107</v>
      </c>
      <c r="R1099" s="1" t="s">
        <v>158</v>
      </c>
    </row>
    <row r="1100" spans="3:18" x14ac:dyDescent="0.35">
      <c r="C1100" t="s">
        <v>51</v>
      </c>
      <c r="D1100" t="s">
        <v>22</v>
      </c>
      <c r="E1100" t="s">
        <v>45</v>
      </c>
      <c r="F1100" t="s">
        <v>46</v>
      </c>
      <c r="G1100" s="58">
        <v>23635540</v>
      </c>
      <c r="H1100" s="1" t="s">
        <v>48</v>
      </c>
      <c r="I1100" s="1" t="s">
        <v>108</v>
      </c>
      <c r="J1100" s="58">
        <v>779972820</v>
      </c>
      <c r="K1100" s="1" t="s">
        <v>112</v>
      </c>
      <c r="N1100" s="1">
        <v>1</v>
      </c>
      <c r="O1100" s="58"/>
      <c r="P1100" s="58">
        <v>12054125.4</v>
      </c>
      <c r="Q1100" t="s">
        <v>113</v>
      </c>
      <c r="R1100" s="1" t="s">
        <v>48</v>
      </c>
    </row>
    <row r="1101" spans="3:18" x14ac:dyDescent="0.35">
      <c r="C1101" t="s">
        <v>53</v>
      </c>
      <c r="D1101" t="s">
        <v>25</v>
      </c>
      <c r="E1101" t="s">
        <v>55</v>
      </c>
      <c r="F1101" t="s">
        <v>46</v>
      </c>
      <c r="G1101" s="58">
        <v>338975</v>
      </c>
      <c r="H1101" s="1" t="s">
        <v>59</v>
      </c>
      <c r="I1101" s="1" t="s">
        <v>111</v>
      </c>
      <c r="J1101" s="58">
        <v>4067700</v>
      </c>
      <c r="K1101" s="1" t="s">
        <v>106</v>
      </c>
      <c r="L1101" s="1" t="s">
        <v>114</v>
      </c>
      <c r="N1101" s="1">
        <v>1</v>
      </c>
      <c r="O1101" s="58"/>
      <c r="P1101" s="58">
        <v>213554.25</v>
      </c>
      <c r="Q1101" t="s">
        <v>118</v>
      </c>
      <c r="R1101" s="1" t="s">
        <v>158</v>
      </c>
    </row>
    <row r="1102" spans="3:18" x14ac:dyDescent="0.35">
      <c r="C1102" t="s">
        <v>53</v>
      </c>
      <c r="D1102" t="s">
        <v>24</v>
      </c>
      <c r="E1102" t="s">
        <v>55</v>
      </c>
      <c r="F1102" t="s">
        <v>46</v>
      </c>
      <c r="G1102" s="58">
        <v>389075</v>
      </c>
      <c r="H1102" s="1" t="s">
        <v>54</v>
      </c>
      <c r="I1102" s="1" t="s">
        <v>119</v>
      </c>
      <c r="J1102" s="58">
        <v>3890750</v>
      </c>
      <c r="K1102" s="1" t="s">
        <v>112</v>
      </c>
      <c r="N1102" s="1">
        <v>1</v>
      </c>
      <c r="O1102" s="58"/>
      <c r="P1102" s="58">
        <v>217882</v>
      </c>
      <c r="Q1102" t="s">
        <v>113</v>
      </c>
      <c r="R1102" s="1" t="s">
        <v>158</v>
      </c>
    </row>
    <row r="1103" spans="3:18" x14ac:dyDescent="0.35">
      <c r="C1103" t="s">
        <v>53</v>
      </c>
      <c r="D1103" t="s">
        <v>20</v>
      </c>
      <c r="E1103" t="s">
        <v>55</v>
      </c>
      <c r="F1103" t="s">
        <v>46</v>
      </c>
      <c r="G1103" s="58">
        <v>644167</v>
      </c>
      <c r="H1103" s="1" t="s">
        <v>47</v>
      </c>
      <c r="I1103" s="1" t="s">
        <v>105</v>
      </c>
      <c r="J1103" s="58">
        <v>1288334</v>
      </c>
      <c r="K1103" s="1" t="s">
        <v>106</v>
      </c>
      <c r="L1103" s="1" t="s">
        <v>114</v>
      </c>
      <c r="N1103" s="1">
        <v>1</v>
      </c>
      <c r="O1103" s="58"/>
      <c r="P1103" s="58">
        <v>128833.4</v>
      </c>
      <c r="Q1103" t="s">
        <v>107</v>
      </c>
      <c r="R1103" s="1" t="s">
        <v>158</v>
      </c>
    </row>
    <row r="1104" spans="3:18" x14ac:dyDescent="0.35">
      <c r="C1104" t="s">
        <v>51</v>
      </c>
      <c r="D1104" t="s">
        <v>23</v>
      </c>
      <c r="E1104" t="s">
        <v>50</v>
      </c>
      <c r="F1104" t="s">
        <v>64</v>
      </c>
      <c r="G1104" s="58">
        <v>575657</v>
      </c>
      <c r="H1104" s="1" t="s">
        <v>48</v>
      </c>
      <c r="I1104" s="1" t="s">
        <v>108</v>
      </c>
      <c r="J1104" s="58">
        <v>21299309</v>
      </c>
      <c r="K1104" s="1" t="s">
        <v>106</v>
      </c>
      <c r="L1104" s="1" t="s">
        <v>109</v>
      </c>
      <c r="M1104" s="1" t="s">
        <v>125</v>
      </c>
      <c r="N1104" s="1">
        <v>1</v>
      </c>
      <c r="O1104" s="58"/>
      <c r="P1104" s="58">
        <v>397203.33</v>
      </c>
      <c r="Q1104" t="s">
        <v>118</v>
      </c>
      <c r="R1104" s="1" t="s">
        <v>48</v>
      </c>
    </row>
    <row r="1105" spans="3:18" x14ac:dyDescent="0.35">
      <c r="C1105" t="s">
        <v>53</v>
      </c>
      <c r="D1105" t="s">
        <v>25</v>
      </c>
      <c r="E1105" t="s">
        <v>45</v>
      </c>
      <c r="F1105" t="s">
        <v>46</v>
      </c>
      <c r="G1105" s="58">
        <v>77169</v>
      </c>
      <c r="H1105" s="1" t="s">
        <v>47</v>
      </c>
      <c r="I1105" s="1" t="s">
        <v>105</v>
      </c>
      <c r="J1105" s="58">
        <v>77169</v>
      </c>
      <c r="K1105" s="1" t="s">
        <v>106</v>
      </c>
      <c r="L1105" s="1" t="s">
        <v>114</v>
      </c>
      <c r="N1105" s="1">
        <v>1</v>
      </c>
      <c r="O1105" s="58"/>
      <c r="P1105" s="58">
        <v>17748.87</v>
      </c>
      <c r="Q1105" t="s">
        <v>107</v>
      </c>
      <c r="R1105" s="1" t="s">
        <v>158</v>
      </c>
    </row>
    <row r="1106" spans="3:18" x14ac:dyDescent="0.35">
      <c r="C1106" t="s">
        <v>53</v>
      </c>
      <c r="D1106" t="s">
        <v>21</v>
      </c>
      <c r="E1106" t="s">
        <v>45</v>
      </c>
      <c r="F1106" t="s">
        <v>46</v>
      </c>
      <c r="G1106" s="58">
        <v>1672000</v>
      </c>
      <c r="H1106" s="1" t="s">
        <v>56</v>
      </c>
      <c r="I1106" s="1" t="s">
        <v>105</v>
      </c>
      <c r="J1106" s="58">
        <v>5016000</v>
      </c>
      <c r="K1106" s="1" t="s">
        <v>106</v>
      </c>
      <c r="L1106" s="1" t="s">
        <v>120</v>
      </c>
      <c r="N1106" s="1">
        <v>1</v>
      </c>
      <c r="O1106" s="58"/>
      <c r="P1106" s="58">
        <v>2508000</v>
      </c>
      <c r="Q1106" t="s">
        <v>110</v>
      </c>
      <c r="R1106" s="1" t="s">
        <v>158</v>
      </c>
    </row>
    <row r="1107" spans="3:18" x14ac:dyDescent="0.35">
      <c r="C1107" t="s">
        <v>51</v>
      </c>
      <c r="D1107" t="s">
        <v>23</v>
      </c>
      <c r="E1107" t="s">
        <v>50</v>
      </c>
      <c r="F1107" t="s">
        <v>46</v>
      </c>
      <c r="G1107" s="58">
        <v>10609396</v>
      </c>
      <c r="H1107" s="1" t="s">
        <v>48</v>
      </c>
      <c r="I1107" s="1" t="s">
        <v>108</v>
      </c>
      <c r="J1107" s="58">
        <v>350110068</v>
      </c>
      <c r="K1107" s="1" t="s">
        <v>112</v>
      </c>
      <c r="N1107" s="1">
        <v>1</v>
      </c>
      <c r="O1107" s="58"/>
      <c r="P1107" s="58">
        <v>5516885.9199999999</v>
      </c>
      <c r="Q1107" t="s">
        <v>113</v>
      </c>
      <c r="R1107" s="1" t="s">
        <v>48</v>
      </c>
    </row>
    <row r="1108" spans="3:18" x14ac:dyDescent="0.35">
      <c r="C1108" t="s">
        <v>51</v>
      </c>
      <c r="D1108" t="s">
        <v>20</v>
      </c>
      <c r="E1108" t="s">
        <v>49</v>
      </c>
      <c r="F1108" t="s">
        <v>46</v>
      </c>
      <c r="G1108" s="58">
        <v>825600</v>
      </c>
      <c r="H1108" s="1" t="s">
        <v>59</v>
      </c>
      <c r="I1108" s="1" t="s">
        <v>108</v>
      </c>
      <c r="J1108" s="58">
        <v>23116800</v>
      </c>
      <c r="K1108" s="1" t="s">
        <v>112</v>
      </c>
      <c r="N1108" s="1">
        <v>1</v>
      </c>
      <c r="O1108" s="58"/>
      <c r="P1108" s="58">
        <v>544896</v>
      </c>
      <c r="Q1108" t="s">
        <v>118</v>
      </c>
      <c r="R1108" s="1" t="s">
        <v>158</v>
      </c>
    </row>
    <row r="1109" spans="3:18" x14ac:dyDescent="0.35">
      <c r="C1109" t="s">
        <v>51</v>
      </c>
      <c r="D1109" t="s">
        <v>25</v>
      </c>
      <c r="E1109" t="s">
        <v>50</v>
      </c>
      <c r="F1109" t="s">
        <v>46</v>
      </c>
      <c r="G1109" s="58">
        <v>15982</v>
      </c>
      <c r="H1109" s="1" t="s">
        <v>54</v>
      </c>
      <c r="I1109" s="1" t="s">
        <v>105</v>
      </c>
      <c r="J1109" s="58">
        <v>31964</v>
      </c>
      <c r="K1109" s="1" t="s">
        <v>106</v>
      </c>
      <c r="L1109" s="1" t="s">
        <v>114</v>
      </c>
      <c r="N1109" s="1">
        <v>1</v>
      </c>
      <c r="O1109" s="58"/>
      <c r="P1109" s="58">
        <v>1278.56</v>
      </c>
      <c r="Q1109" t="s">
        <v>107</v>
      </c>
      <c r="R1109" s="1" t="s">
        <v>158</v>
      </c>
    </row>
    <row r="1110" spans="3:18" x14ac:dyDescent="0.35">
      <c r="C1110" t="s">
        <v>51</v>
      </c>
      <c r="D1110" t="s">
        <v>20</v>
      </c>
      <c r="E1110" t="s">
        <v>55</v>
      </c>
      <c r="F1110" t="s">
        <v>46</v>
      </c>
      <c r="G1110" s="58">
        <v>81115</v>
      </c>
      <c r="H1110" s="1" t="s">
        <v>48</v>
      </c>
      <c r="I1110" s="1" t="s">
        <v>108</v>
      </c>
      <c r="J1110" s="58">
        <v>2757910</v>
      </c>
      <c r="K1110" s="1" t="s">
        <v>106</v>
      </c>
      <c r="L1110" s="1" t="s">
        <v>114</v>
      </c>
      <c r="M1110" s="1" t="s">
        <v>123</v>
      </c>
      <c r="N1110" s="1">
        <v>1</v>
      </c>
      <c r="O1110" s="58"/>
      <c r="P1110" s="58">
        <v>121672.5</v>
      </c>
      <c r="Q1110" t="s">
        <v>110</v>
      </c>
      <c r="R1110" s="1" t="s">
        <v>158</v>
      </c>
    </row>
    <row r="1111" spans="3:18" x14ac:dyDescent="0.35">
      <c r="C1111" t="s">
        <v>51</v>
      </c>
      <c r="D1111" t="s">
        <v>20</v>
      </c>
      <c r="E1111" t="s">
        <v>55</v>
      </c>
      <c r="F1111" t="s">
        <v>46</v>
      </c>
      <c r="G1111" s="58">
        <v>408119</v>
      </c>
      <c r="H1111" s="1" t="s">
        <v>48</v>
      </c>
      <c r="I1111" s="1" t="s">
        <v>108</v>
      </c>
      <c r="J1111" s="58">
        <v>13467927</v>
      </c>
      <c r="K1111" s="1" t="s">
        <v>106</v>
      </c>
      <c r="L1111" s="1" t="s">
        <v>120</v>
      </c>
      <c r="M1111" s="1" t="s">
        <v>123</v>
      </c>
      <c r="N1111" s="1">
        <v>1</v>
      </c>
      <c r="O1111" s="58"/>
      <c r="P1111" s="58">
        <v>257114.97</v>
      </c>
      <c r="Q1111" t="s">
        <v>118</v>
      </c>
      <c r="R1111" s="1" t="s">
        <v>158</v>
      </c>
    </row>
    <row r="1112" spans="3:18" x14ac:dyDescent="0.35">
      <c r="C1112" t="s">
        <v>51</v>
      </c>
      <c r="D1112" t="s">
        <v>23</v>
      </c>
      <c r="E1112" t="s">
        <v>45</v>
      </c>
      <c r="F1112" t="s">
        <v>46</v>
      </c>
      <c r="G1112" s="58">
        <v>252521</v>
      </c>
      <c r="H1112" s="1" t="s">
        <v>47</v>
      </c>
      <c r="I1112" s="1" t="s">
        <v>119</v>
      </c>
      <c r="J1112" s="58">
        <v>1767647</v>
      </c>
      <c r="K1112" s="1" t="s">
        <v>112</v>
      </c>
      <c r="N1112" s="1">
        <v>1</v>
      </c>
      <c r="O1112" s="58"/>
      <c r="P1112" s="58">
        <v>83331.929999999993</v>
      </c>
      <c r="Q1112" t="s">
        <v>107</v>
      </c>
      <c r="R1112" s="1" t="s">
        <v>158</v>
      </c>
    </row>
    <row r="1113" spans="3:18" x14ac:dyDescent="0.35">
      <c r="C1113" t="s">
        <v>51</v>
      </c>
      <c r="D1113" t="s">
        <v>23</v>
      </c>
      <c r="E1113" t="s">
        <v>50</v>
      </c>
      <c r="F1113" t="s">
        <v>46</v>
      </c>
      <c r="G1113" s="58">
        <v>2883282</v>
      </c>
      <c r="H1113" s="1" t="s">
        <v>48</v>
      </c>
      <c r="I1113" s="1" t="s">
        <v>108</v>
      </c>
      <c r="J1113" s="58">
        <v>89381742</v>
      </c>
      <c r="K1113" s="1" t="s">
        <v>106</v>
      </c>
      <c r="L1113" s="1" t="s">
        <v>114</v>
      </c>
      <c r="M1113" s="1" t="s">
        <v>125</v>
      </c>
      <c r="N1113" s="1">
        <v>1</v>
      </c>
      <c r="O1113" s="58"/>
      <c r="P1113" s="58">
        <v>2075963.04</v>
      </c>
      <c r="Q1113" t="s">
        <v>118</v>
      </c>
      <c r="R1113" s="1" t="s">
        <v>48</v>
      </c>
    </row>
    <row r="1114" spans="3:18" x14ac:dyDescent="0.35">
      <c r="C1114" t="s">
        <v>53</v>
      </c>
      <c r="D1114" t="s">
        <v>22</v>
      </c>
      <c r="E1114" t="s">
        <v>45</v>
      </c>
      <c r="F1114" t="s">
        <v>46</v>
      </c>
      <c r="G1114" s="58">
        <v>1128</v>
      </c>
      <c r="H1114" s="1" t="s">
        <v>56</v>
      </c>
      <c r="I1114" s="1" t="s">
        <v>105</v>
      </c>
      <c r="J1114" s="58"/>
      <c r="K1114" s="1" t="s">
        <v>106</v>
      </c>
      <c r="L1114" s="1" t="s">
        <v>120</v>
      </c>
      <c r="N1114" s="1">
        <v>0</v>
      </c>
      <c r="O1114" s="58"/>
      <c r="P1114" s="58">
        <v>0</v>
      </c>
      <c r="Q1114" t="s">
        <v>107</v>
      </c>
      <c r="R1114" s="1" t="s">
        <v>158</v>
      </c>
    </row>
    <row r="1115" spans="3:18" x14ac:dyDescent="0.35">
      <c r="C1115" t="s">
        <v>51</v>
      </c>
      <c r="D1115" t="s">
        <v>92</v>
      </c>
      <c r="E1115" t="s">
        <v>49</v>
      </c>
      <c r="F1115" t="s">
        <v>46</v>
      </c>
      <c r="G1115" s="58">
        <v>377467</v>
      </c>
      <c r="H1115" s="1" t="s">
        <v>47</v>
      </c>
      <c r="I1115" s="1" t="s">
        <v>111</v>
      </c>
      <c r="J1115" s="58">
        <v>4152137</v>
      </c>
      <c r="K1115" s="1" t="s">
        <v>106</v>
      </c>
      <c r="L1115" s="1" t="s">
        <v>120</v>
      </c>
      <c r="N1115" s="1">
        <v>1</v>
      </c>
      <c r="O1115" s="58"/>
      <c r="P1115" s="58">
        <v>98141.42</v>
      </c>
      <c r="Q1115" t="s">
        <v>107</v>
      </c>
      <c r="R1115" s="1" t="s">
        <v>158</v>
      </c>
    </row>
    <row r="1116" spans="3:18" x14ac:dyDescent="0.35">
      <c r="C1116" t="s">
        <v>51</v>
      </c>
      <c r="D1116" t="s">
        <v>23</v>
      </c>
      <c r="E1116" t="s">
        <v>55</v>
      </c>
      <c r="F1116" t="s">
        <v>46</v>
      </c>
      <c r="G1116" s="58">
        <v>2745877</v>
      </c>
      <c r="H1116" s="1" t="s">
        <v>56</v>
      </c>
      <c r="I1116" s="1" t="s">
        <v>111</v>
      </c>
      <c r="J1116" s="58">
        <v>41188155</v>
      </c>
      <c r="K1116" s="1" t="s">
        <v>106</v>
      </c>
      <c r="L1116" s="1" t="s">
        <v>114</v>
      </c>
      <c r="N1116" s="1">
        <v>1</v>
      </c>
      <c r="O1116" s="58"/>
      <c r="P1116" s="58">
        <v>878680.64</v>
      </c>
      <c r="Q1116" t="s">
        <v>107</v>
      </c>
      <c r="R1116" s="1" t="s">
        <v>158</v>
      </c>
    </row>
    <row r="1117" spans="3:18" x14ac:dyDescent="0.35">
      <c r="C1117" t="s">
        <v>53</v>
      </c>
      <c r="D1117" t="s">
        <v>23</v>
      </c>
      <c r="E1117" t="s">
        <v>45</v>
      </c>
      <c r="F1117" t="s">
        <v>46</v>
      </c>
      <c r="G1117" s="58">
        <v>138542</v>
      </c>
      <c r="H1117" s="1" t="s">
        <v>56</v>
      </c>
      <c r="I1117" s="1" t="s">
        <v>111</v>
      </c>
      <c r="J1117" s="58">
        <v>1801046</v>
      </c>
      <c r="K1117" s="1" t="s">
        <v>106</v>
      </c>
      <c r="L1117" s="1" t="s">
        <v>120</v>
      </c>
      <c r="N1117" s="1">
        <v>1</v>
      </c>
      <c r="O1117" s="58"/>
      <c r="P1117" s="58">
        <v>78968.94</v>
      </c>
      <c r="Q1117" t="s">
        <v>113</v>
      </c>
      <c r="R1117" s="1" t="s">
        <v>158</v>
      </c>
    </row>
    <row r="1118" spans="3:18" x14ac:dyDescent="0.35">
      <c r="C1118" t="s">
        <v>51</v>
      </c>
      <c r="D1118" t="s">
        <v>22</v>
      </c>
      <c r="E1118" t="s">
        <v>45</v>
      </c>
      <c r="F1118" t="s">
        <v>46</v>
      </c>
      <c r="G1118" s="58">
        <v>122320</v>
      </c>
      <c r="H1118" s="1" t="s">
        <v>48</v>
      </c>
      <c r="I1118" s="1" t="s">
        <v>108</v>
      </c>
      <c r="J1118" s="58">
        <v>3424960</v>
      </c>
      <c r="K1118" s="1" t="s">
        <v>106</v>
      </c>
      <c r="L1118" s="1" t="s">
        <v>116</v>
      </c>
      <c r="M1118" s="1" t="s">
        <v>129</v>
      </c>
      <c r="N1118" s="1">
        <v>1</v>
      </c>
      <c r="O1118" s="58"/>
      <c r="P1118" s="58">
        <v>34249.599999999999</v>
      </c>
      <c r="Q1118" t="s">
        <v>107</v>
      </c>
      <c r="R1118" s="1" t="s">
        <v>158</v>
      </c>
    </row>
    <row r="1119" spans="3:18" x14ac:dyDescent="0.35">
      <c r="C1119" t="s">
        <v>53</v>
      </c>
      <c r="D1119" t="s">
        <v>19</v>
      </c>
      <c r="E1119" t="s">
        <v>49</v>
      </c>
      <c r="F1119" t="s">
        <v>46</v>
      </c>
      <c r="G1119" s="58">
        <v>3780801</v>
      </c>
      <c r="H1119" s="1" t="s">
        <v>47</v>
      </c>
      <c r="I1119" s="1" t="s">
        <v>105</v>
      </c>
      <c r="J1119" s="58">
        <v>7561602</v>
      </c>
      <c r="K1119" s="1" t="s">
        <v>106</v>
      </c>
      <c r="L1119" s="1" t="s">
        <v>124</v>
      </c>
      <c r="N1119" s="1">
        <v>1</v>
      </c>
      <c r="O1119" s="58"/>
      <c r="P1119" s="58">
        <v>415888.11</v>
      </c>
      <c r="Q1119" t="s">
        <v>107</v>
      </c>
      <c r="R1119" s="1" t="s">
        <v>158</v>
      </c>
    </row>
    <row r="1120" spans="3:18" x14ac:dyDescent="0.35">
      <c r="C1120" t="s">
        <v>51</v>
      </c>
      <c r="D1120" t="s">
        <v>24</v>
      </c>
      <c r="E1120" t="s">
        <v>50</v>
      </c>
      <c r="F1120" t="s">
        <v>64</v>
      </c>
      <c r="G1120" s="58">
        <v>278727</v>
      </c>
      <c r="H1120" s="1" t="s">
        <v>48</v>
      </c>
      <c r="I1120" s="1" t="s">
        <v>108</v>
      </c>
      <c r="J1120" s="58">
        <v>6689448</v>
      </c>
      <c r="K1120" s="1" t="s">
        <v>112</v>
      </c>
      <c r="N1120" s="1">
        <v>1</v>
      </c>
      <c r="O1120" s="58"/>
      <c r="P1120" s="58">
        <v>150512.57999999999</v>
      </c>
      <c r="Q1120" t="s">
        <v>113</v>
      </c>
      <c r="R1120" s="1" t="s">
        <v>48</v>
      </c>
    </row>
    <row r="1121" spans="3:18" x14ac:dyDescent="0.35">
      <c r="C1121" t="s">
        <v>51</v>
      </c>
      <c r="D1121" t="s">
        <v>24</v>
      </c>
      <c r="E1121" t="s">
        <v>55</v>
      </c>
      <c r="F1121" t="s">
        <v>46</v>
      </c>
      <c r="G1121" s="58">
        <v>896633</v>
      </c>
      <c r="H1121" s="1" t="s">
        <v>47</v>
      </c>
      <c r="I1121" s="1" t="s">
        <v>111</v>
      </c>
      <c r="J1121" s="58">
        <v>16139394</v>
      </c>
      <c r="K1121" s="1" t="s">
        <v>106</v>
      </c>
      <c r="L1121" s="1" t="s">
        <v>114</v>
      </c>
      <c r="N1121" s="1">
        <v>1</v>
      </c>
      <c r="O1121" s="58"/>
      <c r="P1121" s="58">
        <v>1013195.29</v>
      </c>
      <c r="Q1121" t="s">
        <v>110</v>
      </c>
      <c r="R1121" s="1" t="s">
        <v>158</v>
      </c>
    </row>
    <row r="1122" spans="3:18" x14ac:dyDescent="0.35">
      <c r="C1122" t="s">
        <v>51</v>
      </c>
      <c r="D1122" t="s">
        <v>22</v>
      </c>
      <c r="E1122" t="s">
        <v>49</v>
      </c>
      <c r="F1122" t="s">
        <v>46</v>
      </c>
      <c r="G1122" s="58">
        <v>804724</v>
      </c>
      <c r="H1122" s="1" t="s">
        <v>54</v>
      </c>
      <c r="I1122" s="1" t="s">
        <v>111</v>
      </c>
      <c r="J1122" s="58">
        <v>14485032</v>
      </c>
      <c r="K1122" s="1" t="s">
        <v>106</v>
      </c>
      <c r="L1122" s="1" t="s">
        <v>124</v>
      </c>
      <c r="N1122" s="1">
        <v>1</v>
      </c>
      <c r="O1122" s="58"/>
      <c r="P1122" s="58">
        <v>1054188.44</v>
      </c>
      <c r="Q1122" t="s">
        <v>110</v>
      </c>
      <c r="R1122" s="1" t="s">
        <v>158</v>
      </c>
    </row>
    <row r="1123" spans="3:18" x14ac:dyDescent="0.35">
      <c r="C1123" t="s">
        <v>53</v>
      </c>
      <c r="D1123" t="s">
        <v>21</v>
      </c>
      <c r="E1123" t="s">
        <v>45</v>
      </c>
      <c r="F1123" t="s">
        <v>46</v>
      </c>
      <c r="G1123" s="58">
        <v>64289</v>
      </c>
      <c r="H1123" s="1" t="s">
        <v>54</v>
      </c>
      <c r="I1123" s="1" t="s">
        <v>108</v>
      </c>
      <c r="J1123" s="58">
        <v>1478647</v>
      </c>
      <c r="K1123" s="1" t="s">
        <v>106</v>
      </c>
      <c r="L1123" s="1" t="s">
        <v>124</v>
      </c>
      <c r="N1123" s="1">
        <v>1</v>
      </c>
      <c r="O1123" s="58"/>
      <c r="P1123" s="58">
        <v>48859.64</v>
      </c>
      <c r="Q1123" t="s">
        <v>118</v>
      </c>
      <c r="R1123" s="1" t="s">
        <v>158</v>
      </c>
    </row>
    <row r="1124" spans="3:18" x14ac:dyDescent="0.35">
      <c r="C1124" t="s">
        <v>51</v>
      </c>
      <c r="D1124" t="s">
        <v>21</v>
      </c>
      <c r="E1124" t="s">
        <v>49</v>
      </c>
      <c r="F1124" t="s">
        <v>46</v>
      </c>
      <c r="G1124" s="58">
        <v>508724</v>
      </c>
      <c r="H1124" s="1" t="s">
        <v>48</v>
      </c>
      <c r="I1124" s="1" t="s">
        <v>108</v>
      </c>
      <c r="J1124" s="58">
        <v>17296616</v>
      </c>
      <c r="K1124" s="1" t="s">
        <v>106</v>
      </c>
      <c r="L1124" s="1" t="s">
        <v>120</v>
      </c>
      <c r="M1124" s="1" t="s">
        <v>125</v>
      </c>
      <c r="N1124" s="1">
        <v>1</v>
      </c>
      <c r="O1124" s="58"/>
      <c r="P1124" s="58">
        <v>193315.12</v>
      </c>
      <c r="Q1124" t="s">
        <v>107</v>
      </c>
      <c r="R1124" s="1" t="s">
        <v>158</v>
      </c>
    </row>
    <row r="1125" spans="3:18" x14ac:dyDescent="0.35">
      <c r="C1125" t="s">
        <v>51</v>
      </c>
      <c r="D1125" t="s">
        <v>19</v>
      </c>
      <c r="E1125" t="s">
        <v>49</v>
      </c>
      <c r="F1125" t="s">
        <v>46</v>
      </c>
      <c r="G1125" s="58">
        <v>551368</v>
      </c>
      <c r="H1125" s="1" t="s">
        <v>48</v>
      </c>
      <c r="I1125" s="1" t="s">
        <v>108</v>
      </c>
      <c r="J1125" s="58">
        <v>16541040</v>
      </c>
      <c r="K1125" s="1" t="s">
        <v>106</v>
      </c>
      <c r="L1125" s="1" t="s">
        <v>114</v>
      </c>
      <c r="M1125" s="1" t="s">
        <v>121</v>
      </c>
      <c r="N1125" s="1">
        <v>1</v>
      </c>
      <c r="O1125" s="58"/>
      <c r="P1125" s="58">
        <v>452121.76</v>
      </c>
      <c r="Q1125" t="s">
        <v>127</v>
      </c>
      <c r="R1125" s="1" t="s">
        <v>158</v>
      </c>
    </row>
    <row r="1126" spans="3:18" x14ac:dyDescent="0.35">
      <c r="C1126" t="s">
        <v>51</v>
      </c>
      <c r="D1126" t="s">
        <v>22</v>
      </c>
      <c r="E1126" t="s">
        <v>55</v>
      </c>
      <c r="F1126" t="s">
        <v>46</v>
      </c>
      <c r="G1126" s="58">
        <v>120000</v>
      </c>
      <c r="H1126" s="1" t="s">
        <v>48</v>
      </c>
      <c r="I1126" s="1" t="s">
        <v>108</v>
      </c>
      <c r="J1126" s="58">
        <v>3000000</v>
      </c>
      <c r="K1126" s="1" t="s">
        <v>106</v>
      </c>
      <c r="L1126" s="1" t="s">
        <v>120</v>
      </c>
      <c r="M1126" s="1" t="s">
        <v>115</v>
      </c>
      <c r="N1126" s="1">
        <v>1</v>
      </c>
      <c r="O1126" s="58"/>
      <c r="P1126" s="58">
        <v>177600</v>
      </c>
      <c r="Q1126" t="s">
        <v>110</v>
      </c>
      <c r="R1126" s="1" t="s">
        <v>48</v>
      </c>
    </row>
    <row r="1127" spans="3:18" x14ac:dyDescent="0.35">
      <c r="C1127" t="s">
        <v>51</v>
      </c>
      <c r="D1127" t="s">
        <v>21</v>
      </c>
      <c r="E1127" t="s">
        <v>55</v>
      </c>
      <c r="F1127" t="s">
        <v>46</v>
      </c>
      <c r="G1127" s="58">
        <v>1321176</v>
      </c>
      <c r="H1127" s="1" t="s">
        <v>48</v>
      </c>
      <c r="I1127" s="1" t="s">
        <v>108</v>
      </c>
      <c r="J1127" s="58">
        <v>38314104</v>
      </c>
      <c r="K1127" s="1" t="s">
        <v>106</v>
      </c>
      <c r="L1127" s="1" t="s">
        <v>114</v>
      </c>
      <c r="M1127" s="1" t="s">
        <v>126</v>
      </c>
      <c r="N1127" s="1">
        <v>1</v>
      </c>
      <c r="O1127" s="58"/>
      <c r="P1127" s="58">
        <v>396352.8</v>
      </c>
      <c r="Q1127" t="s">
        <v>107</v>
      </c>
      <c r="R1127" s="1" t="s">
        <v>158</v>
      </c>
    </row>
    <row r="1128" spans="3:18" x14ac:dyDescent="0.35">
      <c r="C1128" t="s">
        <v>51</v>
      </c>
      <c r="D1128" t="s">
        <v>22</v>
      </c>
      <c r="E1128" t="s">
        <v>52</v>
      </c>
      <c r="F1128" t="s">
        <v>46</v>
      </c>
      <c r="G1128" s="58">
        <v>17828516</v>
      </c>
      <c r="H1128" s="1" t="s">
        <v>48</v>
      </c>
      <c r="I1128" s="1" t="s">
        <v>108</v>
      </c>
      <c r="J1128" s="58">
        <v>641826576</v>
      </c>
      <c r="K1128" s="1" t="s">
        <v>112</v>
      </c>
      <c r="N1128" s="1">
        <v>1</v>
      </c>
      <c r="O1128" s="58"/>
      <c r="P1128" s="58">
        <v>15867379.24</v>
      </c>
      <c r="Q1128" t="s">
        <v>127</v>
      </c>
      <c r="R1128" s="1" t="s">
        <v>48</v>
      </c>
    </row>
    <row r="1129" spans="3:18" x14ac:dyDescent="0.35">
      <c r="C1129" t="s">
        <v>51</v>
      </c>
      <c r="D1129" t="s">
        <v>20</v>
      </c>
      <c r="E1129" t="s">
        <v>45</v>
      </c>
      <c r="F1129" t="s">
        <v>46</v>
      </c>
      <c r="G1129" s="58">
        <v>168126</v>
      </c>
      <c r="H1129" s="1" t="s">
        <v>48</v>
      </c>
      <c r="I1129" s="1" t="s">
        <v>111</v>
      </c>
      <c r="J1129" s="58">
        <v>3194394</v>
      </c>
      <c r="K1129" s="1" t="s">
        <v>112</v>
      </c>
      <c r="N1129" s="1">
        <v>1</v>
      </c>
      <c r="O1129" s="58"/>
      <c r="P1129" s="58">
        <v>90788.04</v>
      </c>
      <c r="Q1129" t="s">
        <v>113</v>
      </c>
      <c r="R1129" s="1" t="s">
        <v>48</v>
      </c>
    </row>
    <row r="1130" spans="3:18" x14ac:dyDescent="0.35">
      <c r="C1130" t="s">
        <v>53</v>
      </c>
      <c r="D1130" t="s">
        <v>92</v>
      </c>
      <c r="E1130" t="s">
        <v>49</v>
      </c>
      <c r="F1130" t="s">
        <v>46</v>
      </c>
      <c r="G1130" s="58">
        <v>65867</v>
      </c>
      <c r="H1130" s="1" t="s">
        <v>56</v>
      </c>
      <c r="I1130" s="1" t="s">
        <v>105</v>
      </c>
      <c r="J1130" s="58">
        <v>263468</v>
      </c>
      <c r="K1130" s="1" t="s">
        <v>106</v>
      </c>
      <c r="L1130" s="1" t="s">
        <v>124</v>
      </c>
      <c r="N1130" s="1">
        <v>1</v>
      </c>
      <c r="O1130" s="58"/>
      <c r="P1130" s="58">
        <v>0</v>
      </c>
      <c r="Q1130" t="s">
        <v>107</v>
      </c>
      <c r="R1130" s="1" t="s">
        <v>158</v>
      </c>
    </row>
    <row r="1131" spans="3:18" x14ac:dyDescent="0.35">
      <c r="C1131" t="s">
        <v>51</v>
      </c>
      <c r="D1131" t="s">
        <v>22</v>
      </c>
      <c r="E1131" t="s">
        <v>45</v>
      </c>
      <c r="F1131" t="s">
        <v>46</v>
      </c>
      <c r="G1131" s="58">
        <v>569471</v>
      </c>
      <c r="H1131" s="1" t="s">
        <v>47</v>
      </c>
      <c r="I1131" s="1" t="s">
        <v>119</v>
      </c>
      <c r="J1131" s="58">
        <v>5694710</v>
      </c>
      <c r="K1131" s="1" t="s">
        <v>112</v>
      </c>
      <c r="N1131" s="1">
        <v>1</v>
      </c>
      <c r="O1131" s="58"/>
      <c r="P1131" s="58">
        <v>392934.99</v>
      </c>
      <c r="Q1131" t="s">
        <v>118</v>
      </c>
      <c r="R1131" s="1" t="s">
        <v>158</v>
      </c>
    </row>
    <row r="1132" spans="3:18" x14ac:dyDescent="0.35">
      <c r="C1132" t="s">
        <v>51</v>
      </c>
      <c r="D1132" t="s">
        <v>91</v>
      </c>
      <c r="E1132" t="s">
        <v>49</v>
      </c>
      <c r="F1132" t="s">
        <v>46</v>
      </c>
      <c r="G1132" s="58">
        <v>408342</v>
      </c>
      <c r="H1132" s="1" t="s">
        <v>48</v>
      </c>
      <c r="I1132" s="1" t="s">
        <v>111</v>
      </c>
      <c r="J1132" s="58">
        <v>7758498</v>
      </c>
      <c r="K1132" s="1" t="s">
        <v>106</v>
      </c>
      <c r="L1132" s="1" t="s">
        <v>124</v>
      </c>
      <c r="M1132" s="1" t="s">
        <v>122</v>
      </c>
      <c r="N1132" s="1">
        <v>1</v>
      </c>
      <c r="O1132" s="58"/>
      <c r="P1132" s="58">
        <v>530844.6</v>
      </c>
      <c r="Q1132" t="s">
        <v>110</v>
      </c>
      <c r="R1132" s="1" t="s">
        <v>158</v>
      </c>
    </row>
    <row r="1133" spans="3:18" x14ac:dyDescent="0.35">
      <c r="C1133" t="s">
        <v>51</v>
      </c>
      <c r="D1133" t="s">
        <v>91</v>
      </c>
      <c r="E1133" t="s">
        <v>49</v>
      </c>
      <c r="F1133" t="s">
        <v>46</v>
      </c>
      <c r="G1133" s="58">
        <v>69054</v>
      </c>
      <c r="H1133" s="1" t="s">
        <v>56</v>
      </c>
      <c r="I1133" s="1" t="s">
        <v>111</v>
      </c>
      <c r="J1133" s="58">
        <v>1381080</v>
      </c>
      <c r="K1133" s="1" t="s">
        <v>106</v>
      </c>
      <c r="L1133" s="1" t="s">
        <v>124</v>
      </c>
      <c r="N1133" s="1">
        <v>1</v>
      </c>
      <c r="O1133" s="58"/>
      <c r="P1133" s="58">
        <v>41432.400000000001</v>
      </c>
      <c r="Q1133" t="s">
        <v>118</v>
      </c>
      <c r="R1133" s="1" t="s">
        <v>158</v>
      </c>
    </row>
    <row r="1134" spans="3:18" x14ac:dyDescent="0.35">
      <c r="C1134" t="s">
        <v>51</v>
      </c>
      <c r="D1134" t="s">
        <v>92</v>
      </c>
      <c r="E1134" t="s">
        <v>49</v>
      </c>
      <c r="F1134" t="s">
        <v>46</v>
      </c>
      <c r="G1134" s="58">
        <v>774552</v>
      </c>
      <c r="H1134" s="1" t="s">
        <v>48</v>
      </c>
      <c r="I1134" s="1" t="s">
        <v>108</v>
      </c>
      <c r="J1134" s="58">
        <v>24011112</v>
      </c>
      <c r="K1134" s="1" t="s">
        <v>106</v>
      </c>
      <c r="L1134" s="1" t="s">
        <v>124</v>
      </c>
      <c r="M1134" s="1" t="s">
        <v>122</v>
      </c>
      <c r="N1134" s="1">
        <v>1</v>
      </c>
      <c r="O1134" s="58"/>
      <c r="P1134" s="58">
        <v>542186.4</v>
      </c>
      <c r="Q1134" t="s">
        <v>118</v>
      </c>
      <c r="R1134" s="1" t="s">
        <v>48</v>
      </c>
    </row>
    <row r="1135" spans="3:18" x14ac:dyDescent="0.35">
      <c r="C1135" t="s">
        <v>51</v>
      </c>
      <c r="D1135" t="s">
        <v>24</v>
      </c>
      <c r="E1135" t="s">
        <v>52</v>
      </c>
      <c r="F1135" t="s">
        <v>46</v>
      </c>
      <c r="G1135" s="58">
        <v>139739</v>
      </c>
      <c r="H1135" s="1" t="s">
        <v>54</v>
      </c>
      <c r="I1135" s="1" t="s">
        <v>111</v>
      </c>
      <c r="J1135" s="58">
        <v>1816607</v>
      </c>
      <c r="K1135" s="1" t="s">
        <v>106</v>
      </c>
      <c r="L1135" s="1" t="s">
        <v>130</v>
      </c>
      <c r="N1135" s="1">
        <v>1</v>
      </c>
      <c r="O1135" s="58"/>
      <c r="P1135" s="58">
        <v>51703.43</v>
      </c>
      <c r="Q1135" t="s">
        <v>107</v>
      </c>
      <c r="R1135" s="1" t="s">
        <v>158</v>
      </c>
    </row>
    <row r="1136" spans="3:18" x14ac:dyDescent="0.35">
      <c r="C1136" t="s">
        <v>51</v>
      </c>
      <c r="D1136" t="s">
        <v>21</v>
      </c>
      <c r="E1136" t="s">
        <v>45</v>
      </c>
      <c r="F1136" t="s">
        <v>46</v>
      </c>
      <c r="G1136" s="58">
        <v>8084412</v>
      </c>
      <c r="H1136" s="1" t="s">
        <v>54</v>
      </c>
      <c r="I1136" s="1" t="s">
        <v>111</v>
      </c>
      <c r="J1136" s="58">
        <v>129350592</v>
      </c>
      <c r="K1136" s="1" t="s">
        <v>106</v>
      </c>
      <c r="L1136" s="1" t="s">
        <v>120</v>
      </c>
      <c r="N1136" s="1">
        <v>1</v>
      </c>
      <c r="O1136" s="58"/>
      <c r="P1136" s="58">
        <v>4042206</v>
      </c>
      <c r="Q1136" t="s">
        <v>113</v>
      </c>
      <c r="R1136" s="1" t="s">
        <v>158</v>
      </c>
    </row>
    <row r="1137" spans="3:18" x14ac:dyDescent="0.35">
      <c r="C1137" t="s">
        <v>51</v>
      </c>
      <c r="D1137" t="s">
        <v>22</v>
      </c>
      <c r="E1137" t="s">
        <v>49</v>
      </c>
      <c r="F1137" t="s">
        <v>46</v>
      </c>
      <c r="G1137" s="58">
        <v>521627</v>
      </c>
      <c r="H1137" s="1" t="s">
        <v>48</v>
      </c>
      <c r="I1137" s="1" t="s">
        <v>119</v>
      </c>
      <c r="J1137" s="58">
        <v>4694643</v>
      </c>
      <c r="K1137" s="1" t="s">
        <v>106</v>
      </c>
      <c r="L1137" s="1" t="s">
        <v>124</v>
      </c>
      <c r="M1137" s="1" t="s">
        <v>115</v>
      </c>
      <c r="N1137" s="1">
        <v>1</v>
      </c>
      <c r="O1137" s="58"/>
      <c r="P1137" s="58">
        <v>109541.67</v>
      </c>
      <c r="Q1137" t="s">
        <v>107</v>
      </c>
      <c r="R1137" s="1" t="s">
        <v>48</v>
      </c>
    </row>
    <row r="1138" spans="3:18" x14ac:dyDescent="0.35">
      <c r="C1138" t="s">
        <v>51</v>
      </c>
      <c r="D1138" t="s">
        <v>23</v>
      </c>
      <c r="E1138" t="s">
        <v>55</v>
      </c>
      <c r="F1138" t="s">
        <v>46</v>
      </c>
      <c r="G1138" s="58">
        <v>76466</v>
      </c>
      <c r="H1138" s="1" t="s">
        <v>47</v>
      </c>
      <c r="I1138" s="1" t="s">
        <v>105</v>
      </c>
      <c r="J1138" s="58">
        <v>305864</v>
      </c>
      <c r="K1138" s="1" t="s">
        <v>112</v>
      </c>
      <c r="N1138" s="1">
        <v>1</v>
      </c>
      <c r="O1138" s="58"/>
      <c r="P1138" s="58">
        <v>9940.58</v>
      </c>
      <c r="Q1138" t="s">
        <v>107</v>
      </c>
      <c r="R1138" s="1" t="s">
        <v>158</v>
      </c>
    </row>
    <row r="1139" spans="3:18" x14ac:dyDescent="0.35">
      <c r="C1139" t="s">
        <v>51</v>
      </c>
      <c r="D1139" t="s">
        <v>21</v>
      </c>
      <c r="E1139" t="s">
        <v>49</v>
      </c>
      <c r="F1139" t="s">
        <v>64</v>
      </c>
      <c r="G1139" s="58">
        <v>344752</v>
      </c>
      <c r="H1139" s="1" t="s">
        <v>48</v>
      </c>
      <c r="I1139" s="1" t="s">
        <v>108</v>
      </c>
      <c r="J1139" s="58">
        <v>11376816</v>
      </c>
      <c r="K1139" s="1" t="s">
        <v>106</v>
      </c>
      <c r="L1139" s="1" t="s">
        <v>124</v>
      </c>
      <c r="M1139" s="1" t="s">
        <v>126</v>
      </c>
      <c r="N1139" s="1">
        <v>1</v>
      </c>
      <c r="O1139" s="58"/>
      <c r="P1139" s="58">
        <v>282696.64</v>
      </c>
      <c r="Q1139" t="s">
        <v>127</v>
      </c>
      <c r="R1139" s="1" t="s">
        <v>48</v>
      </c>
    </row>
    <row r="1140" spans="3:18" x14ac:dyDescent="0.35">
      <c r="C1140" t="s">
        <v>53</v>
      </c>
      <c r="D1140" t="s">
        <v>21</v>
      </c>
      <c r="E1140" t="s">
        <v>45</v>
      </c>
      <c r="F1140" t="s">
        <v>46</v>
      </c>
      <c r="G1140" s="58">
        <v>2101134</v>
      </c>
      <c r="H1140" s="1" t="s">
        <v>54</v>
      </c>
      <c r="I1140" s="1" t="s">
        <v>119</v>
      </c>
      <c r="J1140" s="58">
        <v>14707938</v>
      </c>
      <c r="K1140" s="1" t="s">
        <v>106</v>
      </c>
      <c r="L1140" s="1" t="s">
        <v>120</v>
      </c>
      <c r="N1140" s="1">
        <v>1</v>
      </c>
      <c r="O1140" s="58"/>
      <c r="P1140" s="58">
        <v>1848997.92</v>
      </c>
      <c r="Q1140" t="s">
        <v>127</v>
      </c>
      <c r="R1140" s="1" t="s">
        <v>158</v>
      </c>
    </row>
    <row r="1141" spans="3:18" x14ac:dyDescent="0.35">
      <c r="C1141" t="s">
        <v>51</v>
      </c>
      <c r="D1141" t="s">
        <v>22</v>
      </c>
      <c r="E1141" t="s">
        <v>45</v>
      </c>
      <c r="F1141" t="s">
        <v>46</v>
      </c>
      <c r="G1141" s="58">
        <v>850794</v>
      </c>
      <c r="H1141" s="1" t="s">
        <v>48</v>
      </c>
      <c r="I1141" s="1" t="s">
        <v>108</v>
      </c>
      <c r="J1141" s="58">
        <v>24673026</v>
      </c>
      <c r="K1141" s="1" t="s">
        <v>106</v>
      </c>
      <c r="L1141" s="1" t="s">
        <v>120</v>
      </c>
      <c r="M1141" s="1" t="s">
        <v>125</v>
      </c>
      <c r="N1141" s="1">
        <v>1</v>
      </c>
      <c r="O1141" s="58"/>
      <c r="P1141" s="58">
        <v>706159.02</v>
      </c>
      <c r="Q1141" t="s">
        <v>127</v>
      </c>
      <c r="R1141" s="1" t="s">
        <v>158</v>
      </c>
    </row>
    <row r="1142" spans="3:18" x14ac:dyDescent="0.35">
      <c r="C1142" t="s">
        <v>51</v>
      </c>
      <c r="D1142" t="s">
        <v>23</v>
      </c>
      <c r="E1142" t="s">
        <v>45</v>
      </c>
      <c r="F1142" t="s">
        <v>64</v>
      </c>
      <c r="G1142" s="58">
        <v>1292047</v>
      </c>
      <c r="H1142" s="1" t="s">
        <v>48</v>
      </c>
      <c r="I1142" s="1" t="s">
        <v>108</v>
      </c>
      <c r="J1142" s="58">
        <v>38761410</v>
      </c>
      <c r="K1142" s="1" t="s">
        <v>112</v>
      </c>
      <c r="N1142" s="1">
        <v>1</v>
      </c>
      <c r="O1142" s="58"/>
      <c r="P1142" s="58">
        <v>607262.09</v>
      </c>
      <c r="Q1142" t="s">
        <v>113</v>
      </c>
      <c r="R1142" s="1" t="s">
        <v>158</v>
      </c>
    </row>
    <row r="1143" spans="3:18" x14ac:dyDescent="0.35">
      <c r="C1143" t="s">
        <v>51</v>
      </c>
      <c r="D1143" t="s">
        <v>24</v>
      </c>
      <c r="E1143" t="s">
        <v>50</v>
      </c>
      <c r="F1143" t="s">
        <v>46</v>
      </c>
      <c r="G1143" s="58">
        <v>3995859</v>
      </c>
      <c r="H1143" s="1" t="s">
        <v>54</v>
      </c>
      <c r="I1143" s="1" t="s">
        <v>108</v>
      </c>
      <c r="J1143" s="58">
        <v>103892334</v>
      </c>
      <c r="K1143" s="1" t="s">
        <v>106</v>
      </c>
      <c r="L1143" s="1" t="s">
        <v>109</v>
      </c>
      <c r="N1143" s="1">
        <v>1</v>
      </c>
      <c r="O1143" s="58"/>
      <c r="P1143" s="58">
        <v>2677225.5299999998</v>
      </c>
      <c r="Q1143" t="s">
        <v>118</v>
      </c>
      <c r="R1143" s="1" t="s">
        <v>158</v>
      </c>
    </row>
    <row r="1144" spans="3:18" x14ac:dyDescent="0.35">
      <c r="C1144" t="s">
        <v>51</v>
      </c>
      <c r="D1144" t="s">
        <v>22</v>
      </c>
      <c r="E1144" t="s">
        <v>50</v>
      </c>
      <c r="F1144" t="s">
        <v>46</v>
      </c>
      <c r="G1144" s="58">
        <v>311856</v>
      </c>
      <c r="H1144" s="1" t="s">
        <v>48</v>
      </c>
      <c r="I1144" s="1" t="s">
        <v>108</v>
      </c>
      <c r="J1144" s="58">
        <v>10603104</v>
      </c>
      <c r="K1144" s="1" t="s">
        <v>106</v>
      </c>
      <c r="L1144" s="1" t="s">
        <v>124</v>
      </c>
      <c r="M1144" s="1" t="s">
        <v>115</v>
      </c>
      <c r="N1144" s="1">
        <v>1</v>
      </c>
      <c r="O1144" s="58"/>
      <c r="P1144" s="58">
        <v>230773.44</v>
      </c>
      <c r="Q1144" t="s">
        <v>118</v>
      </c>
      <c r="R1144" s="1" t="s">
        <v>48</v>
      </c>
    </row>
    <row r="1145" spans="3:18" x14ac:dyDescent="0.35">
      <c r="C1145" t="s">
        <v>51</v>
      </c>
      <c r="D1145" t="s">
        <v>22</v>
      </c>
      <c r="E1145" t="s">
        <v>45</v>
      </c>
      <c r="F1145" t="s">
        <v>46</v>
      </c>
      <c r="G1145" s="58">
        <v>4680925</v>
      </c>
      <c r="H1145" s="1" t="s">
        <v>47</v>
      </c>
      <c r="I1145" s="1" t="s">
        <v>105</v>
      </c>
      <c r="J1145" s="58">
        <v>14042775</v>
      </c>
      <c r="K1145" s="1" t="s">
        <v>106</v>
      </c>
      <c r="L1145" s="1" t="s">
        <v>124</v>
      </c>
      <c r="N1145" s="1">
        <v>1</v>
      </c>
      <c r="O1145" s="58"/>
      <c r="P1145" s="58">
        <v>561711</v>
      </c>
      <c r="Q1145" t="s">
        <v>107</v>
      </c>
      <c r="R1145" s="1" t="s">
        <v>158</v>
      </c>
    </row>
    <row r="1146" spans="3:18" x14ac:dyDescent="0.35">
      <c r="C1146" t="s">
        <v>51</v>
      </c>
      <c r="D1146" t="s">
        <v>21</v>
      </c>
      <c r="E1146" t="s">
        <v>49</v>
      </c>
      <c r="F1146" t="s">
        <v>46</v>
      </c>
      <c r="G1146" s="58">
        <v>1173973</v>
      </c>
      <c r="H1146" s="1" t="s">
        <v>48</v>
      </c>
      <c r="I1146" s="1" t="s">
        <v>108</v>
      </c>
      <c r="J1146" s="58">
        <v>27001379</v>
      </c>
      <c r="K1146" s="1" t="s">
        <v>106</v>
      </c>
      <c r="L1146" s="1" t="s">
        <v>124</v>
      </c>
      <c r="M1146" s="1" t="s">
        <v>123</v>
      </c>
      <c r="N1146" s="1">
        <v>1</v>
      </c>
      <c r="O1146" s="58"/>
      <c r="P1146" s="58">
        <v>575246.77</v>
      </c>
      <c r="Q1146" t="s">
        <v>113</v>
      </c>
      <c r="R1146" s="1" t="s">
        <v>48</v>
      </c>
    </row>
    <row r="1147" spans="3:18" x14ac:dyDescent="0.35">
      <c r="C1147" t="s">
        <v>53</v>
      </c>
      <c r="D1147" t="s">
        <v>23</v>
      </c>
      <c r="E1147" t="s">
        <v>45</v>
      </c>
      <c r="F1147" t="s">
        <v>46</v>
      </c>
      <c r="G1147" s="58">
        <v>455796</v>
      </c>
      <c r="H1147" s="1" t="s">
        <v>59</v>
      </c>
      <c r="I1147" s="1" t="s">
        <v>119</v>
      </c>
      <c r="J1147" s="58">
        <v>3190572</v>
      </c>
      <c r="K1147" s="1" t="s">
        <v>106</v>
      </c>
      <c r="L1147" s="1" t="s">
        <v>120</v>
      </c>
      <c r="N1147" s="1">
        <v>1</v>
      </c>
      <c r="O1147" s="58"/>
      <c r="P1147" s="58">
        <v>278035.56</v>
      </c>
      <c r="Q1147" t="s">
        <v>118</v>
      </c>
      <c r="R1147" s="1" t="s">
        <v>158</v>
      </c>
    </row>
    <row r="1148" spans="3:18" x14ac:dyDescent="0.35">
      <c r="C1148" t="s">
        <v>53</v>
      </c>
      <c r="D1148" t="s">
        <v>24</v>
      </c>
      <c r="E1148" t="s">
        <v>55</v>
      </c>
      <c r="F1148" t="s">
        <v>46</v>
      </c>
      <c r="G1148" s="58">
        <v>1477364</v>
      </c>
      <c r="H1148" s="1" t="s">
        <v>48</v>
      </c>
      <c r="I1148" s="1" t="s">
        <v>105</v>
      </c>
      <c r="J1148" s="58">
        <v>7386820</v>
      </c>
      <c r="K1148" s="1" t="s">
        <v>106</v>
      </c>
      <c r="L1148" s="1" t="s">
        <v>114</v>
      </c>
      <c r="M1148" s="1" t="s">
        <v>121</v>
      </c>
      <c r="N1148" s="1">
        <v>1</v>
      </c>
      <c r="O1148" s="58"/>
      <c r="P1148" s="58">
        <v>605719.24</v>
      </c>
      <c r="Q1148" t="s">
        <v>113</v>
      </c>
      <c r="R1148" s="1" t="s">
        <v>158</v>
      </c>
    </row>
    <row r="1149" spans="3:18" x14ac:dyDescent="0.35">
      <c r="C1149" t="s">
        <v>53</v>
      </c>
      <c r="D1149" t="s">
        <v>24</v>
      </c>
      <c r="E1149" t="s">
        <v>55</v>
      </c>
      <c r="F1149" t="s">
        <v>46</v>
      </c>
      <c r="G1149" s="58">
        <v>1153014</v>
      </c>
      <c r="H1149" s="1" t="s">
        <v>59</v>
      </c>
      <c r="I1149" s="1" t="s">
        <v>128</v>
      </c>
      <c r="J1149" s="58"/>
      <c r="K1149" s="1" t="s">
        <v>106</v>
      </c>
      <c r="L1149" s="1" t="s">
        <v>114</v>
      </c>
      <c r="N1149" s="1">
        <v>0</v>
      </c>
      <c r="O1149" s="58"/>
      <c r="P1149" s="58">
        <v>219072.66</v>
      </c>
      <c r="Q1149" t="s">
        <v>107</v>
      </c>
      <c r="R1149" s="1" t="s">
        <v>158</v>
      </c>
    </row>
    <row r="1150" spans="3:18" x14ac:dyDescent="0.35">
      <c r="C1150" t="s">
        <v>51</v>
      </c>
      <c r="D1150" t="s">
        <v>22</v>
      </c>
      <c r="E1150" t="s">
        <v>45</v>
      </c>
      <c r="F1150" t="s">
        <v>46</v>
      </c>
      <c r="G1150" s="58">
        <v>149363</v>
      </c>
      <c r="H1150" s="1" t="s">
        <v>48</v>
      </c>
      <c r="I1150" s="1" t="s">
        <v>111</v>
      </c>
      <c r="J1150" s="58">
        <v>2837897</v>
      </c>
      <c r="K1150" s="1" t="s">
        <v>106</v>
      </c>
      <c r="L1150" s="1" t="s">
        <v>124</v>
      </c>
      <c r="M1150" s="1" t="s">
        <v>115</v>
      </c>
      <c r="N1150" s="1">
        <v>1</v>
      </c>
      <c r="O1150" s="58"/>
      <c r="P1150" s="58">
        <v>103060.47</v>
      </c>
      <c r="Q1150" t="s">
        <v>118</v>
      </c>
      <c r="R1150" s="1" t="s">
        <v>158</v>
      </c>
    </row>
    <row r="1151" spans="3:18" x14ac:dyDescent="0.35">
      <c r="C1151" t="s">
        <v>51</v>
      </c>
      <c r="D1151" t="s">
        <v>23</v>
      </c>
      <c r="E1151" t="s">
        <v>45</v>
      </c>
      <c r="F1151" t="s">
        <v>46</v>
      </c>
      <c r="G1151" s="58">
        <v>40880293</v>
      </c>
      <c r="H1151" s="1" t="s">
        <v>54</v>
      </c>
      <c r="I1151" s="1" t="s">
        <v>108</v>
      </c>
      <c r="J1151" s="58">
        <v>1022007325</v>
      </c>
      <c r="K1151" s="1" t="s">
        <v>106</v>
      </c>
      <c r="L1151" s="1" t="s">
        <v>120</v>
      </c>
      <c r="N1151" s="1">
        <v>1</v>
      </c>
      <c r="O1151" s="58"/>
      <c r="P1151" s="58">
        <v>21257752.359999999</v>
      </c>
      <c r="Q1151" t="s">
        <v>113</v>
      </c>
      <c r="R1151" s="1" t="s">
        <v>158</v>
      </c>
    </row>
    <row r="1152" spans="3:18" x14ac:dyDescent="0.35">
      <c r="C1152" t="s">
        <v>51</v>
      </c>
      <c r="D1152" t="s">
        <v>24</v>
      </c>
      <c r="E1152" t="s">
        <v>55</v>
      </c>
      <c r="F1152" t="s">
        <v>46</v>
      </c>
      <c r="G1152" s="58">
        <v>372962</v>
      </c>
      <c r="H1152" s="1" t="s">
        <v>54</v>
      </c>
      <c r="I1152" s="1" t="s">
        <v>108</v>
      </c>
      <c r="J1152" s="58">
        <v>13053670</v>
      </c>
      <c r="K1152" s="1" t="s">
        <v>112</v>
      </c>
      <c r="N1152" s="1">
        <v>1</v>
      </c>
      <c r="O1152" s="58"/>
      <c r="P1152" s="58">
        <v>63403.54</v>
      </c>
      <c r="Q1152" t="s">
        <v>107</v>
      </c>
      <c r="R1152" s="1" t="s">
        <v>158</v>
      </c>
    </row>
    <row r="1153" spans="3:18" x14ac:dyDescent="0.35">
      <c r="C1153" t="s">
        <v>51</v>
      </c>
      <c r="D1153" t="s">
        <v>20</v>
      </c>
      <c r="E1153" t="s">
        <v>49</v>
      </c>
      <c r="F1153" t="s">
        <v>46</v>
      </c>
      <c r="G1153" s="58">
        <v>1147302</v>
      </c>
      <c r="H1153" s="1" t="s">
        <v>47</v>
      </c>
      <c r="I1153" s="1" t="s">
        <v>108</v>
      </c>
      <c r="J1153" s="58">
        <v>30977154</v>
      </c>
      <c r="K1153" s="1" t="s">
        <v>106</v>
      </c>
      <c r="L1153" s="1" t="s">
        <v>114</v>
      </c>
      <c r="N1153" s="1">
        <v>1</v>
      </c>
      <c r="O1153" s="58"/>
      <c r="P1153" s="58">
        <v>275352.48</v>
      </c>
      <c r="Q1153" t="s">
        <v>107</v>
      </c>
      <c r="R1153" s="1" t="s">
        <v>158</v>
      </c>
    </row>
    <row r="1154" spans="3:18" x14ac:dyDescent="0.35">
      <c r="C1154" t="s">
        <v>51</v>
      </c>
      <c r="D1154" t="s">
        <v>22</v>
      </c>
      <c r="E1154" t="s">
        <v>45</v>
      </c>
      <c r="F1154" t="s">
        <v>46</v>
      </c>
      <c r="G1154" s="58">
        <v>1561466</v>
      </c>
      <c r="H1154" s="1" t="s">
        <v>54</v>
      </c>
      <c r="I1154" s="1" t="s">
        <v>105</v>
      </c>
      <c r="J1154" s="58"/>
      <c r="K1154" s="1" t="s">
        <v>106</v>
      </c>
      <c r="L1154" s="1" t="s">
        <v>120</v>
      </c>
      <c r="N1154" s="1">
        <v>0</v>
      </c>
      <c r="O1154" s="58"/>
      <c r="P1154" s="58">
        <v>983723.58</v>
      </c>
      <c r="Q1154" t="s">
        <v>118</v>
      </c>
      <c r="R1154" s="1" t="s">
        <v>158</v>
      </c>
    </row>
    <row r="1155" spans="3:18" x14ac:dyDescent="0.35">
      <c r="C1155" t="s">
        <v>51</v>
      </c>
      <c r="D1155" t="s">
        <v>92</v>
      </c>
      <c r="E1155" t="s">
        <v>49</v>
      </c>
      <c r="F1155" t="s">
        <v>46</v>
      </c>
      <c r="G1155" s="58">
        <v>12992</v>
      </c>
      <c r="H1155" s="1" t="s">
        <v>48</v>
      </c>
      <c r="I1155" s="1" t="s">
        <v>105</v>
      </c>
      <c r="J1155" s="58">
        <v>38976</v>
      </c>
      <c r="K1155" s="1" t="s">
        <v>106</v>
      </c>
      <c r="L1155" s="1" t="s">
        <v>124</v>
      </c>
      <c r="M1155" s="1" t="s">
        <v>123</v>
      </c>
      <c r="N1155" s="1">
        <v>1</v>
      </c>
      <c r="O1155" s="58"/>
      <c r="P1155" s="58">
        <v>5846.4</v>
      </c>
      <c r="Q1155" t="s">
        <v>113</v>
      </c>
      <c r="R1155" s="1" t="s">
        <v>158</v>
      </c>
    </row>
    <row r="1156" spans="3:18" x14ac:dyDescent="0.35">
      <c r="C1156" t="s">
        <v>51</v>
      </c>
      <c r="D1156" t="s">
        <v>22</v>
      </c>
      <c r="E1156" t="s">
        <v>45</v>
      </c>
      <c r="F1156" t="s">
        <v>64</v>
      </c>
      <c r="G1156" s="58">
        <v>385575</v>
      </c>
      <c r="H1156" s="1" t="s">
        <v>59</v>
      </c>
      <c r="I1156" s="1" t="s">
        <v>111</v>
      </c>
      <c r="J1156" s="58">
        <v>7325925</v>
      </c>
      <c r="K1156" s="1" t="s">
        <v>112</v>
      </c>
      <c r="N1156" s="1">
        <v>1</v>
      </c>
      <c r="O1156" s="58"/>
      <c r="P1156" s="58">
        <v>150374.25</v>
      </c>
      <c r="Q1156" t="s">
        <v>107</v>
      </c>
      <c r="R1156" s="1" t="s">
        <v>158</v>
      </c>
    </row>
    <row r="1157" spans="3:18" x14ac:dyDescent="0.35">
      <c r="C1157" t="s">
        <v>51</v>
      </c>
      <c r="D1157" t="s">
        <v>22</v>
      </c>
      <c r="E1157" t="s">
        <v>55</v>
      </c>
      <c r="F1157" t="s">
        <v>46</v>
      </c>
      <c r="G1157" s="58">
        <v>8385895</v>
      </c>
      <c r="H1157" s="1" t="s">
        <v>48</v>
      </c>
      <c r="I1157" s="1" t="s">
        <v>108</v>
      </c>
      <c r="J1157" s="58">
        <v>285120430</v>
      </c>
      <c r="K1157" s="1" t="s">
        <v>106</v>
      </c>
      <c r="L1157" s="1" t="s">
        <v>114</v>
      </c>
      <c r="M1157" s="1" t="s">
        <v>115</v>
      </c>
      <c r="N1157" s="1">
        <v>1</v>
      </c>
      <c r="O1157" s="58"/>
      <c r="P1157" s="58">
        <v>6876433.9000000004</v>
      </c>
      <c r="Q1157" t="s">
        <v>127</v>
      </c>
      <c r="R1157" s="1" t="s">
        <v>158</v>
      </c>
    </row>
    <row r="1158" spans="3:18" x14ac:dyDescent="0.35">
      <c r="C1158" t="s">
        <v>51</v>
      </c>
      <c r="D1158" t="s">
        <v>23</v>
      </c>
      <c r="E1158" t="s">
        <v>55</v>
      </c>
      <c r="F1158" t="s">
        <v>46</v>
      </c>
      <c r="G1158" s="58">
        <v>6803</v>
      </c>
      <c r="H1158" s="1" t="s">
        <v>56</v>
      </c>
      <c r="I1158" s="1" t="s">
        <v>105</v>
      </c>
      <c r="J1158" s="58">
        <v>27212</v>
      </c>
      <c r="K1158" s="1" t="s">
        <v>106</v>
      </c>
      <c r="L1158" s="1" t="s">
        <v>114</v>
      </c>
      <c r="N1158" s="1">
        <v>1</v>
      </c>
      <c r="O1158" s="58"/>
      <c r="P1158" s="58">
        <v>5510.43</v>
      </c>
      <c r="Q1158" t="s">
        <v>127</v>
      </c>
      <c r="R1158" s="1" t="s">
        <v>158</v>
      </c>
    </row>
    <row r="1159" spans="3:18" x14ac:dyDescent="0.35">
      <c r="C1159" t="s">
        <v>51</v>
      </c>
      <c r="D1159" t="s">
        <v>22</v>
      </c>
      <c r="E1159" t="s">
        <v>49</v>
      </c>
      <c r="F1159" t="s">
        <v>46</v>
      </c>
      <c r="G1159" s="58">
        <v>369189</v>
      </c>
      <c r="H1159" s="1" t="s">
        <v>56</v>
      </c>
      <c r="I1159" s="1" t="s">
        <v>111</v>
      </c>
      <c r="J1159" s="58">
        <v>4430268</v>
      </c>
      <c r="K1159" s="1" t="s">
        <v>112</v>
      </c>
      <c r="N1159" s="1">
        <v>1</v>
      </c>
      <c r="O1159" s="58"/>
      <c r="P1159" s="58">
        <v>254740.41</v>
      </c>
      <c r="Q1159" t="s">
        <v>118</v>
      </c>
      <c r="R1159" s="1" t="s">
        <v>158</v>
      </c>
    </row>
    <row r="1160" spans="3:18" x14ac:dyDescent="0.35">
      <c r="C1160" t="s">
        <v>51</v>
      </c>
      <c r="D1160" t="s">
        <v>20</v>
      </c>
      <c r="E1160" t="s">
        <v>49</v>
      </c>
      <c r="F1160" t="s">
        <v>64</v>
      </c>
      <c r="G1160" s="58">
        <v>3278764</v>
      </c>
      <c r="H1160" s="1" t="s">
        <v>48</v>
      </c>
      <c r="I1160" s="1" t="s">
        <v>111</v>
      </c>
      <c r="J1160" s="58">
        <v>42623932</v>
      </c>
      <c r="K1160" s="1" t="s">
        <v>112</v>
      </c>
      <c r="N1160" s="1">
        <v>1</v>
      </c>
      <c r="O1160" s="58"/>
      <c r="P1160" s="58">
        <v>2262347.16</v>
      </c>
      <c r="Q1160" t="s">
        <v>118</v>
      </c>
      <c r="R1160" s="1" t="s">
        <v>48</v>
      </c>
    </row>
    <row r="1161" spans="3:18" x14ac:dyDescent="0.35">
      <c r="C1161" t="s">
        <v>53</v>
      </c>
      <c r="D1161" t="s">
        <v>92</v>
      </c>
      <c r="E1161" t="s">
        <v>45</v>
      </c>
      <c r="F1161" t="s">
        <v>46</v>
      </c>
      <c r="G1161" s="58">
        <v>2300736</v>
      </c>
      <c r="H1161" s="1" t="s">
        <v>48</v>
      </c>
      <c r="I1161" s="1" t="s">
        <v>128</v>
      </c>
      <c r="J1161" s="58"/>
      <c r="K1161" s="1" t="s">
        <v>106</v>
      </c>
      <c r="L1161" s="1" t="s">
        <v>120</v>
      </c>
      <c r="M1161" s="1" t="s">
        <v>123</v>
      </c>
      <c r="N1161" s="1">
        <v>0</v>
      </c>
      <c r="O1161" s="58"/>
      <c r="P1161" s="58">
        <v>483154.56</v>
      </c>
      <c r="Q1161" t="s">
        <v>107</v>
      </c>
      <c r="R1161" s="1" t="s">
        <v>158</v>
      </c>
    </row>
    <row r="1162" spans="3:18" x14ac:dyDescent="0.35">
      <c r="C1162" t="s">
        <v>51</v>
      </c>
      <c r="D1162" t="s">
        <v>22</v>
      </c>
      <c r="E1162" t="s">
        <v>45</v>
      </c>
      <c r="F1162" t="s">
        <v>46</v>
      </c>
      <c r="G1162" s="58">
        <v>1346919</v>
      </c>
      <c r="H1162" s="1" t="s">
        <v>47</v>
      </c>
      <c r="I1162" s="1" t="s">
        <v>111</v>
      </c>
      <c r="J1162" s="58">
        <v>21550704</v>
      </c>
      <c r="K1162" s="1" t="s">
        <v>112</v>
      </c>
      <c r="N1162" s="1">
        <v>1</v>
      </c>
      <c r="O1162" s="58"/>
      <c r="P1162" s="58">
        <v>1117942.77</v>
      </c>
      <c r="Q1162" t="s">
        <v>127</v>
      </c>
      <c r="R1162" s="1" t="s">
        <v>158</v>
      </c>
    </row>
    <row r="1163" spans="3:18" x14ac:dyDescent="0.35">
      <c r="C1163" t="s">
        <v>51</v>
      </c>
      <c r="D1163" t="s">
        <v>20</v>
      </c>
      <c r="E1163" t="s">
        <v>49</v>
      </c>
      <c r="F1163" t="s">
        <v>46</v>
      </c>
      <c r="G1163" s="58">
        <v>2111966</v>
      </c>
      <c r="H1163" s="1" t="s">
        <v>54</v>
      </c>
      <c r="I1163" s="1" t="s">
        <v>108</v>
      </c>
      <c r="J1163" s="58">
        <v>61247014</v>
      </c>
      <c r="K1163" s="1" t="s">
        <v>106</v>
      </c>
      <c r="L1163" s="1" t="s">
        <v>124</v>
      </c>
      <c r="N1163" s="1">
        <v>1</v>
      </c>
      <c r="O1163" s="58"/>
      <c r="P1163" s="58">
        <v>2407641.2400000002</v>
      </c>
      <c r="Q1163" t="s">
        <v>110</v>
      </c>
      <c r="R1163" s="1" t="s">
        <v>158</v>
      </c>
    </row>
    <row r="1164" spans="3:18" x14ac:dyDescent="0.35">
      <c r="C1164" t="s">
        <v>51</v>
      </c>
      <c r="D1164" t="s">
        <v>24</v>
      </c>
      <c r="E1164" t="s">
        <v>50</v>
      </c>
      <c r="F1164" t="s">
        <v>46</v>
      </c>
      <c r="G1164" s="58">
        <v>4668319</v>
      </c>
      <c r="H1164" s="1" t="s">
        <v>48</v>
      </c>
      <c r="I1164" s="1" t="s">
        <v>111</v>
      </c>
      <c r="J1164" s="58">
        <v>74693104</v>
      </c>
      <c r="K1164" s="1" t="s">
        <v>106</v>
      </c>
      <c r="L1164" s="1" t="s">
        <v>109</v>
      </c>
      <c r="M1164" s="1" t="s">
        <v>121</v>
      </c>
      <c r="N1164" s="1">
        <v>1</v>
      </c>
      <c r="O1164" s="58"/>
      <c r="P1164" s="58">
        <v>3221140.11</v>
      </c>
      <c r="Q1164" t="s">
        <v>118</v>
      </c>
      <c r="R1164" s="1" t="s">
        <v>158</v>
      </c>
    </row>
    <row r="1165" spans="3:18" x14ac:dyDescent="0.35">
      <c r="C1165" t="s">
        <v>51</v>
      </c>
      <c r="D1165" t="s">
        <v>24</v>
      </c>
      <c r="E1165" t="s">
        <v>52</v>
      </c>
      <c r="F1165" t="s">
        <v>46</v>
      </c>
      <c r="G1165" s="58">
        <v>1620756</v>
      </c>
      <c r="H1165" s="1" t="s">
        <v>48</v>
      </c>
      <c r="I1165" s="1" t="s">
        <v>108</v>
      </c>
      <c r="J1165" s="58">
        <v>50243436</v>
      </c>
      <c r="K1165" s="1" t="s">
        <v>112</v>
      </c>
      <c r="N1165" s="1">
        <v>1</v>
      </c>
      <c r="O1165" s="58"/>
      <c r="P1165" s="58">
        <v>388981.44</v>
      </c>
      <c r="Q1165" t="s">
        <v>107</v>
      </c>
      <c r="R1165" s="1" t="s">
        <v>48</v>
      </c>
    </row>
    <row r="1166" spans="3:18" x14ac:dyDescent="0.35">
      <c r="C1166" t="s">
        <v>51</v>
      </c>
      <c r="D1166" t="s">
        <v>92</v>
      </c>
      <c r="E1166" t="s">
        <v>50</v>
      </c>
      <c r="F1166" t="s">
        <v>46</v>
      </c>
      <c r="G1166" s="58">
        <v>214494</v>
      </c>
      <c r="H1166" s="1" t="s">
        <v>48</v>
      </c>
      <c r="I1166" s="1" t="s">
        <v>108</v>
      </c>
      <c r="J1166" s="58">
        <v>5362350</v>
      </c>
      <c r="K1166" s="1" t="s">
        <v>106</v>
      </c>
      <c r="L1166" s="1" t="s">
        <v>109</v>
      </c>
      <c r="M1166" s="1" t="s">
        <v>123</v>
      </c>
      <c r="N1166" s="1">
        <v>1</v>
      </c>
      <c r="O1166" s="58"/>
      <c r="P1166" s="58">
        <v>135131.22</v>
      </c>
      <c r="Q1166" t="s">
        <v>118</v>
      </c>
      <c r="R1166" s="1" t="s">
        <v>158</v>
      </c>
    </row>
    <row r="1167" spans="3:18" x14ac:dyDescent="0.35">
      <c r="C1167" t="s">
        <v>51</v>
      </c>
      <c r="D1167" t="s">
        <v>22</v>
      </c>
      <c r="E1167" t="s">
        <v>49</v>
      </c>
      <c r="F1167" t="s">
        <v>46</v>
      </c>
      <c r="G1167" s="58">
        <v>873940</v>
      </c>
      <c r="H1167" s="1" t="s">
        <v>56</v>
      </c>
      <c r="I1167" s="1" t="s">
        <v>119</v>
      </c>
      <c r="J1167" s="58">
        <v>6991520</v>
      </c>
      <c r="K1167" s="1" t="s">
        <v>106</v>
      </c>
      <c r="L1167" s="1" t="s">
        <v>124</v>
      </c>
      <c r="N1167" s="1">
        <v>1</v>
      </c>
      <c r="O1167" s="58"/>
      <c r="P1167" s="58">
        <v>428230.6</v>
      </c>
      <c r="Q1167" t="s">
        <v>113</v>
      </c>
      <c r="R1167" s="1" t="s">
        <v>158</v>
      </c>
    </row>
    <row r="1168" spans="3:18" x14ac:dyDescent="0.35">
      <c r="C1168" t="s">
        <v>51</v>
      </c>
      <c r="D1168" t="s">
        <v>22</v>
      </c>
      <c r="E1168" t="s">
        <v>49</v>
      </c>
      <c r="F1168" t="s">
        <v>46</v>
      </c>
      <c r="G1168" s="58">
        <v>527225353</v>
      </c>
      <c r="H1168" s="1" t="s">
        <v>48</v>
      </c>
      <c r="I1168" s="1" t="s">
        <v>108</v>
      </c>
      <c r="J1168" s="58">
        <v>16871211296</v>
      </c>
      <c r="K1168" s="1" t="s">
        <v>106</v>
      </c>
      <c r="L1168" s="1" t="s">
        <v>124</v>
      </c>
      <c r="M1168" s="1" t="s">
        <v>115</v>
      </c>
      <c r="N1168" s="1">
        <v>1</v>
      </c>
      <c r="O1168" s="58"/>
      <c r="P1168" s="58">
        <v>374330000.63</v>
      </c>
      <c r="Q1168" t="s">
        <v>118</v>
      </c>
      <c r="R1168" s="1" t="s">
        <v>158</v>
      </c>
    </row>
    <row r="1169" spans="3:18" x14ac:dyDescent="0.35">
      <c r="C1169" t="s">
        <v>51</v>
      </c>
      <c r="D1169" t="s">
        <v>22</v>
      </c>
      <c r="E1169" t="s">
        <v>49</v>
      </c>
      <c r="F1169" t="s">
        <v>46</v>
      </c>
      <c r="G1169" s="58">
        <v>9852911</v>
      </c>
      <c r="H1169" s="1" t="s">
        <v>54</v>
      </c>
      <c r="I1169" s="1" t="s">
        <v>111</v>
      </c>
      <c r="J1169" s="58">
        <v>157646576</v>
      </c>
      <c r="K1169" s="1" t="s">
        <v>106</v>
      </c>
      <c r="L1169" s="1" t="s">
        <v>124</v>
      </c>
      <c r="N1169" s="1">
        <v>1</v>
      </c>
      <c r="O1169" s="58"/>
      <c r="P1169" s="58">
        <v>6601450.3700000001</v>
      </c>
      <c r="Q1169" t="s">
        <v>118</v>
      </c>
      <c r="R1169" s="1" t="s">
        <v>158</v>
      </c>
    </row>
    <row r="1170" spans="3:18" x14ac:dyDescent="0.35">
      <c r="C1170" t="s">
        <v>51</v>
      </c>
      <c r="D1170" t="s">
        <v>24</v>
      </c>
      <c r="E1170" t="s">
        <v>55</v>
      </c>
      <c r="F1170" t="s">
        <v>46</v>
      </c>
      <c r="G1170" s="58">
        <v>354115</v>
      </c>
      <c r="H1170" s="1" t="s">
        <v>56</v>
      </c>
      <c r="I1170" s="1" t="s">
        <v>119</v>
      </c>
      <c r="J1170" s="58">
        <v>2832920</v>
      </c>
      <c r="K1170" s="1" t="s">
        <v>106</v>
      </c>
      <c r="L1170" s="1" t="s">
        <v>114</v>
      </c>
      <c r="N1170" s="1">
        <v>1</v>
      </c>
      <c r="O1170" s="58"/>
      <c r="P1170" s="58">
        <v>162892.9</v>
      </c>
      <c r="Q1170" t="s">
        <v>113</v>
      </c>
      <c r="R1170" s="1" t="s">
        <v>158</v>
      </c>
    </row>
    <row r="1171" spans="3:18" x14ac:dyDescent="0.35">
      <c r="C1171" t="s">
        <v>51</v>
      </c>
      <c r="D1171" t="s">
        <v>24</v>
      </c>
      <c r="E1171" t="s">
        <v>45</v>
      </c>
      <c r="F1171" t="s">
        <v>46</v>
      </c>
      <c r="G1171" s="58">
        <v>1842735</v>
      </c>
      <c r="H1171" s="1" t="s">
        <v>47</v>
      </c>
      <c r="I1171" s="1" t="s">
        <v>111</v>
      </c>
      <c r="J1171" s="58">
        <v>27641025</v>
      </c>
      <c r="K1171" s="1" t="s">
        <v>106</v>
      </c>
      <c r="L1171" s="1" t="s">
        <v>120</v>
      </c>
      <c r="N1171" s="1">
        <v>1</v>
      </c>
      <c r="O1171" s="58"/>
      <c r="P1171" s="58">
        <v>866085.45</v>
      </c>
      <c r="Q1171" t="s">
        <v>113</v>
      </c>
      <c r="R1171" s="1" t="s">
        <v>158</v>
      </c>
    </row>
    <row r="1172" spans="3:18" x14ac:dyDescent="0.35">
      <c r="C1172" t="s">
        <v>53</v>
      </c>
      <c r="D1172" t="s">
        <v>22</v>
      </c>
      <c r="E1172" t="s">
        <v>55</v>
      </c>
      <c r="F1172" t="s">
        <v>46</v>
      </c>
      <c r="G1172" s="58">
        <v>108069</v>
      </c>
      <c r="H1172" s="1" t="s">
        <v>47</v>
      </c>
      <c r="I1172" s="1" t="s">
        <v>119</v>
      </c>
      <c r="J1172" s="58">
        <v>648414</v>
      </c>
      <c r="K1172" s="1" t="s">
        <v>106</v>
      </c>
      <c r="L1172" s="1" t="s">
        <v>114</v>
      </c>
      <c r="N1172" s="1">
        <v>1</v>
      </c>
      <c r="O1172" s="58"/>
      <c r="P1172" s="58">
        <v>41066.22</v>
      </c>
      <c r="Q1172" t="s">
        <v>107</v>
      </c>
      <c r="R1172" s="1" t="s">
        <v>158</v>
      </c>
    </row>
    <row r="1173" spans="3:18" x14ac:dyDescent="0.35">
      <c r="C1173" t="s">
        <v>53</v>
      </c>
      <c r="D1173" t="s">
        <v>21</v>
      </c>
      <c r="E1173" t="s">
        <v>49</v>
      </c>
      <c r="F1173" t="s">
        <v>46</v>
      </c>
      <c r="G1173" s="58">
        <v>227672</v>
      </c>
      <c r="H1173" s="1" t="s">
        <v>48</v>
      </c>
      <c r="I1173" s="1" t="s">
        <v>128</v>
      </c>
      <c r="J1173" s="58"/>
      <c r="K1173" s="1" t="s">
        <v>106</v>
      </c>
      <c r="L1173" s="1" t="s">
        <v>124</v>
      </c>
      <c r="M1173" s="1" t="s">
        <v>126</v>
      </c>
      <c r="N1173" s="1">
        <v>0</v>
      </c>
      <c r="O1173" s="58"/>
      <c r="P1173" s="58">
        <v>93345.52</v>
      </c>
      <c r="Q1173" t="s">
        <v>113</v>
      </c>
      <c r="R1173" s="1" t="s">
        <v>158</v>
      </c>
    </row>
    <row r="1174" spans="3:18" x14ac:dyDescent="0.35">
      <c r="C1174" t="s">
        <v>51</v>
      </c>
      <c r="D1174" t="s">
        <v>91</v>
      </c>
      <c r="E1174" t="s">
        <v>49</v>
      </c>
      <c r="F1174" t="s">
        <v>46</v>
      </c>
      <c r="G1174" s="58">
        <v>1988370</v>
      </c>
      <c r="H1174" s="1" t="s">
        <v>48</v>
      </c>
      <c r="I1174" s="1" t="s">
        <v>111</v>
      </c>
      <c r="J1174" s="58">
        <v>31813920</v>
      </c>
      <c r="K1174" s="1" t="s">
        <v>106</v>
      </c>
      <c r="L1174" s="1" t="s">
        <v>124</v>
      </c>
      <c r="M1174" s="1" t="s">
        <v>122</v>
      </c>
      <c r="N1174" s="1">
        <v>1</v>
      </c>
      <c r="O1174" s="58"/>
      <c r="P1174" s="58">
        <v>477208.8</v>
      </c>
      <c r="Q1174" t="s">
        <v>107</v>
      </c>
      <c r="R1174" s="1" t="s">
        <v>48</v>
      </c>
    </row>
    <row r="1175" spans="3:18" x14ac:dyDescent="0.35">
      <c r="C1175" t="s">
        <v>53</v>
      </c>
      <c r="D1175" t="s">
        <v>22</v>
      </c>
      <c r="E1175" t="s">
        <v>45</v>
      </c>
      <c r="F1175" t="s">
        <v>46</v>
      </c>
      <c r="G1175" s="58">
        <v>10496600</v>
      </c>
      <c r="H1175" s="1" t="s">
        <v>47</v>
      </c>
      <c r="I1175" s="1" t="s">
        <v>111</v>
      </c>
      <c r="J1175" s="58">
        <v>146952400</v>
      </c>
      <c r="K1175" s="1" t="s">
        <v>106</v>
      </c>
      <c r="L1175" s="1" t="s">
        <v>124</v>
      </c>
      <c r="N1175" s="1">
        <v>1</v>
      </c>
      <c r="O1175" s="58"/>
      <c r="P1175" s="58">
        <v>6192994</v>
      </c>
      <c r="Q1175" t="s">
        <v>113</v>
      </c>
      <c r="R1175" s="1" t="s">
        <v>158</v>
      </c>
    </row>
    <row r="1176" spans="3:18" x14ac:dyDescent="0.35">
      <c r="C1176" t="s">
        <v>51</v>
      </c>
      <c r="D1176" t="s">
        <v>24</v>
      </c>
      <c r="E1176" t="s">
        <v>50</v>
      </c>
      <c r="F1176" t="s">
        <v>46</v>
      </c>
      <c r="G1176" s="58">
        <v>160991</v>
      </c>
      <c r="H1176" s="1" t="s">
        <v>47</v>
      </c>
      <c r="I1176" s="1" t="s">
        <v>105</v>
      </c>
      <c r="J1176" s="58">
        <v>643964</v>
      </c>
      <c r="K1176" s="1" t="s">
        <v>106</v>
      </c>
      <c r="L1176" s="1" t="s">
        <v>114</v>
      </c>
      <c r="N1176" s="1">
        <v>1</v>
      </c>
      <c r="O1176" s="58"/>
      <c r="P1176" s="58">
        <v>28978.38</v>
      </c>
      <c r="Q1176" t="s">
        <v>107</v>
      </c>
      <c r="R1176" s="1" t="s">
        <v>158</v>
      </c>
    </row>
    <row r="1177" spans="3:18" x14ac:dyDescent="0.35">
      <c r="C1177" t="s">
        <v>51</v>
      </c>
      <c r="D1177" t="s">
        <v>21</v>
      </c>
      <c r="E1177" t="s">
        <v>49</v>
      </c>
      <c r="F1177" t="s">
        <v>46</v>
      </c>
      <c r="G1177" s="58">
        <v>162875</v>
      </c>
      <c r="H1177" s="1" t="s">
        <v>59</v>
      </c>
      <c r="I1177" s="1" t="s">
        <v>111</v>
      </c>
      <c r="J1177" s="58">
        <v>2768875</v>
      </c>
      <c r="K1177" s="1" t="s">
        <v>106</v>
      </c>
      <c r="L1177" s="1" t="s">
        <v>120</v>
      </c>
      <c r="N1177" s="1">
        <v>1</v>
      </c>
      <c r="O1177" s="58"/>
      <c r="P1177" s="58">
        <v>104240</v>
      </c>
      <c r="Q1177" t="s">
        <v>118</v>
      </c>
      <c r="R1177" s="1" t="s">
        <v>158</v>
      </c>
    </row>
    <row r="1178" spans="3:18" x14ac:dyDescent="0.35">
      <c r="C1178" t="s">
        <v>51</v>
      </c>
      <c r="D1178" t="s">
        <v>24</v>
      </c>
      <c r="E1178" t="s">
        <v>55</v>
      </c>
      <c r="F1178" t="s">
        <v>46</v>
      </c>
      <c r="G1178" s="58">
        <v>208078</v>
      </c>
      <c r="H1178" s="1" t="s">
        <v>59</v>
      </c>
      <c r="I1178" s="1" t="s">
        <v>111</v>
      </c>
      <c r="J1178" s="58">
        <v>3121170</v>
      </c>
      <c r="K1178" s="1" t="s">
        <v>112</v>
      </c>
      <c r="N1178" s="1">
        <v>1</v>
      </c>
      <c r="O1178" s="58"/>
      <c r="P1178" s="58">
        <v>97796.66</v>
      </c>
      <c r="Q1178" t="s">
        <v>113</v>
      </c>
      <c r="R1178" s="1" t="s">
        <v>158</v>
      </c>
    </row>
    <row r="1179" spans="3:18" x14ac:dyDescent="0.35">
      <c r="C1179" t="s">
        <v>53</v>
      </c>
      <c r="D1179" t="s">
        <v>21</v>
      </c>
      <c r="E1179" t="s">
        <v>45</v>
      </c>
      <c r="F1179" t="s">
        <v>46</v>
      </c>
      <c r="G1179" s="58">
        <v>56481099</v>
      </c>
      <c r="H1179" s="1" t="s">
        <v>47</v>
      </c>
      <c r="I1179" s="1" t="s">
        <v>111</v>
      </c>
      <c r="J1179" s="58">
        <v>677773188</v>
      </c>
      <c r="K1179" s="1" t="s">
        <v>106</v>
      </c>
      <c r="L1179" s="1" t="s">
        <v>120</v>
      </c>
      <c r="N1179" s="1">
        <v>1</v>
      </c>
      <c r="O1179" s="58"/>
      <c r="P1179" s="58">
        <v>29370171.48</v>
      </c>
      <c r="Q1179" t="s">
        <v>113</v>
      </c>
      <c r="R1179" s="1" t="s">
        <v>158</v>
      </c>
    </row>
    <row r="1180" spans="3:18" x14ac:dyDescent="0.35">
      <c r="C1180" t="s">
        <v>51</v>
      </c>
      <c r="D1180" t="s">
        <v>21</v>
      </c>
      <c r="E1180" t="s">
        <v>49</v>
      </c>
      <c r="F1180" t="s">
        <v>46</v>
      </c>
      <c r="G1180" s="58">
        <v>1361790</v>
      </c>
      <c r="H1180" s="1" t="s">
        <v>47</v>
      </c>
      <c r="I1180" s="1" t="s">
        <v>119</v>
      </c>
      <c r="J1180" s="58">
        <v>13617900</v>
      </c>
      <c r="K1180" s="1" t="s">
        <v>112</v>
      </c>
      <c r="N1180" s="1">
        <v>1</v>
      </c>
      <c r="O1180" s="58"/>
      <c r="P1180" s="58">
        <v>885163.5</v>
      </c>
      <c r="Q1180" t="s">
        <v>118</v>
      </c>
      <c r="R1180" s="1" t="s">
        <v>158</v>
      </c>
    </row>
    <row r="1181" spans="3:18" x14ac:dyDescent="0.35">
      <c r="C1181" t="s">
        <v>51</v>
      </c>
      <c r="D1181" t="s">
        <v>23</v>
      </c>
      <c r="E1181" t="s">
        <v>55</v>
      </c>
      <c r="F1181" t="s">
        <v>46</v>
      </c>
      <c r="G1181" s="58">
        <v>975126</v>
      </c>
      <c r="H1181" s="1" t="s">
        <v>59</v>
      </c>
      <c r="I1181" s="1" t="s">
        <v>108</v>
      </c>
      <c r="J1181" s="58">
        <v>27303528</v>
      </c>
      <c r="K1181" s="1" t="s">
        <v>112</v>
      </c>
      <c r="N1181" s="1">
        <v>1</v>
      </c>
      <c r="O1181" s="58"/>
      <c r="P1181" s="58">
        <v>458309.22</v>
      </c>
      <c r="Q1181" t="s">
        <v>113</v>
      </c>
      <c r="R1181" s="1" t="s">
        <v>158</v>
      </c>
    </row>
    <row r="1182" spans="3:18" x14ac:dyDescent="0.35">
      <c r="C1182" t="s">
        <v>53</v>
      </c>
      <c r="D1182" t="s">
        <v>21</v>
      </c>
      <c r="E1182" t="s">
        <v>45</v>
      </c>
      <c r="F1182" t="s">
        <v>46</v>
      </c>
      <c r="G1182" s="58">
        <v>891478</v>
      </c>
      <c r="H1182" s="1" t="s">
        <v>47</v>
      </c>
      <c r="I1182" s="1" t="s">
        <v>105</v>
      </c>
      <c r="J1182" s="58"/>
      <c r="K1182" s="1" t="s">
        <v>106</v>
      </c>
      <c r="L1182" s="1" t="s">
        <v>120</v>
      </c>
      <c r="N1182" s="1">
        <v>0</v>
      </c>
      <c r="O1182" s="58"/>
      <c r="P1182" s="58">
        <v>632949.38</v>
      </c>
      <c r="Q1182" t="s">
        <v>118</v>
      </c>
      <c r="R1182" s="1" t="s">
        <v>158</v>
      </c>
    </row>
    <row r="1183" spans="3:18" x14ac:dyDescent="0.35">
      <c r="C1183" t="s">
        <v>51</v>
      </c>
      <c r="D1183" t="s">
        <v>21</v>
      </c>
      <c r="E1183" t="s">
        <v>45</v>
      </c>
      <c r="F1183" t="s">
        <v>64</v>
      </c>
      <c r="G1183" s="58">
        <v>169427</v>
      </c>
      <c r="H1183" s="1" t="s">
        <v>54</v>
      </c>
      <c r="I1183" s="1" t="s">
        <v>108</v>
      </c>
      <c r="J1183" s="58">
        <v>3557967</v>
      </c>
      <c r="K1183" s="1" t="s">
        <v>112</v>
      </c>
      <c r="N1183" s="1">
        <v>1</v>
      </c>
      <c r="O1183" s="58"/>
      <c r="P1183" s="58">
        <v>71159.34</v>
      </c>
      <c r="Q1183" t="s">
        <v>113</v>
      </c>
      <c r="R1183" s="1" t="s">
        <v>158</v>
      </c>
    </row>
    <row r="1184" spans="3:18" x14ac:dyDescent="0.35">
      <c r="C1184" t="s">
        <v>51</v>
      </c>
      <c r="D1184" t="s">
        <v>21</v>
      </c>
      <c r="E1184" t="s">
        <v>49</v>
      </c>
      <c r="F1184" t="s">
        <v>46</v>
      </c>
      <c r="G1184" s="58">
        <v>90642</v>
      </c>
      <c r="H1184" s="1" t="s">
        <v>56</v>
      </c>
      <c r="I1184" s="1" t="s">
        <v>119</v>
      </c>
      <c r="J1184" s="58">
        <v>906420</v>
      </c>
      <c r="K1184" s="1" t="s">
        <v>106</v>
      </c>
      <c r="L1184" s="1" t="s">
        <v>116</v>
      </c>
      <c r="N1184" s="1">
        <v>1</v>
      </c>
      <c r="O1184" s="58"/>
      <c r="P1184" s="58">
        <v>33537.54</v>
      </c>
      <c r="Q1184" t="s">
        <v>107</v>
      </c>
      <c r="R1184" s="1" t="s">
        <v>158</v>
      </c>
    </row>
    <row r="1185" spans="3:18" x14ac:dyDescent="0.35">
      <c r="C1185" t="s">
        <v>51</v>
      </c>
      <c r="D1185" t="s">
        <v>22</v>
      </c>
      <c r="E1185" t="s">
        <v>49</v>
      </c>
      <c r="F1185" t="s">
        <v>64</v>
      </c>
      <c r="G1185" s="58">
        <v>159314</v>
      </c>
      <c r="H1185" s="1" t="s">
        <v>54</v>
      </c>
      <c r="I1185" s="1" t="s">
        <v>111</v>
      </c>
      <c r="J1185" s="58">
        <v>3186280</v>
      </c>
      <c r="K1185" s="1" t="s">
        <v>112</v>
      </c>
      <c r="N1185" s="1">
        <v>1</v>
      </c>
      <c r="O1185" s="58"/>
      <c r="P1185" s="58">
        <v>70098.16</v>
      </c>
      <c r="Q1185" t="s">
        <v>113</v>
      </c>
      <c r="R1185" s="1" t="s">
        <v>158</v>
      </c>
    </row>
    <row r="1186" spans="3:18" x14ac:dyDescent="0.35">
      <c r="C1186" t="s">
        <v>51</v>
      </c>
      <c r="D1186" t="s">
        <v>23</v>
      </c>
      <c r="E1186" t="s">
        <v>45</v>
      </c>
      <c r="F1186" t="s">
        <v>46</v>
      </c>
      <c r="G1186" s="58">
        <v>213000</v>
      </c>
      <c r="H1186" s="1" t="s">
        <v>59</v>
      </c>
      <c r="I1186" s="1" t="s">
        <v>111</v>
      </c>
      <c r="J1186" s="58">
        <v>3621000</v>
      </c>
      <c r="K1186" s="1" t="s">
        <v>112</v>
      </c>
      <c r="N1186" s="1">
        <v>1</v>
      </c>
      <c r="O1186" s="58"/>
      <c r="P1186" s="58">
        <v>155490</v>
      </c>
      <c r="Q1186" t="s">
        <v>118</v>
      </c>
      <c r="R1186" s="1" t="s">
        <v>158</v>
      </c>
    </row>
    <row r="1187" spans="3:18" x14ac:dyDescent="0.35">
      <c r="C1187" t="s">
        <v>51</v>
      </c>
      <c r="D1187" t="s">
        <v>22</v>
      </c>
      <c r="E1187" t="s">
        <v>45</v>
      </c>
      <c r="F1187" t="s">
        <v>46</v>
      </c>
      <c r="G1187" s="58">
        <v>1349481</v>
      </c>
      <c r="H1187" s="1" t="s">
        <v>59</v>
      </c>
      <c r="I1187" s="1" t="s">
        <v>119</v>
      </c>
      <c r="J1187" s="58">
        <v>10795848</v>
      </c>
      <c r="K1187" s="1" t="s">
        <v>106</v>
      </c>
      <c r="L1187" s="1" t="s">
        <v>120</v>
      </c>
      <c r="N1187" s="1">
        <v>1</v>
      </c>
      <c r="O1187" s="58"/>
      <c r="P1187" s="58">
        <v>917647.08</v>
      </c>
      <c r="Q1187" t="s">
        <v>118</v>
      </c>
      <c r="R1187" s="1" t="s">
        <v>158</v>
      </c>
    </row>
    <row r="1188" spans="3:18" x14ac:dyDescent="0.35">
      <c r="C1188" t="s">
        <v>51</v>
      </c>
      <c r="D1188" t="s">
        <v>24</v>
      </c>
      <c r="E1188" t="s">
        <v>55</v>
      </c>
      <c r="F1188" t="s">
        <v>46</v>
      </c>
      <c r="G1188" s="58">
        <v>1285493</v>
      </c>
      <c r="H1188" s="1" t="s">
        <v>56</v>
      </c>
      <c r="I1188" s="1" t="s">
        <v>105</v>
      </c>
      <c r="J1188" s="58">
        <v>3856479</v>
      </c>
      <c r="K1188" s="1" t="s">
        <v>106</v>
      </c>
      <c r="L1188" s="1" t="s">
        <v>114</v>
      </c>
      <c r="N1188" s="1">
        <v>1</v>
      </c>
      <c r="O1188" s="58"/>
      <c r="P1188" s="58">
        <v>167114.09</v>
      </c>
      <c r="Q1188" t="s">
        <v>107</v>
      </c>
      <c r="R1188" s="1" t="s">
        <v>158</v>
      </c>
    </row>
    <row r="1189" spans="3:18" x14ac:dyDescent="0.35">
      <c r="C1189" t="s">
        <v>53</v>
      </c>
      <c r="D1189" t="s">
        <v>20</v>
      </c>
      <c r="E1189" t="s">
        <v>49</v>
      </c>
      <c r="F1189" t="s">
        <v>46</v>
      </c>
      <c r="G1189" s="58">
        <v>56762</v>
      </c>
      <c r="H1189" s="1" t="s">
        <v>59</v>
      </c>
      <c r="I1189" s="1" t="s">
        <v>111</v>
      </c>
      <c r="J1189" s="58">
        <v>737906</v>
      </c>
      <c r="K1189" s="1" t="s">
        <v>106</v>
      </c>
      <c r="L1189" s="1" t="s">
        <v>124</v>
      </c>
      <c r="N1189" s="1">
        <v>1</v>
      </c>
      <c r="O1189" s="58"/>
      <c r="P1189" s="58">
        <v>10217.16</v>
      </c>
      <c r="Q1189" t="s">
        <v>107</v>
      </c>
      <c r="R1189" s="1" t="s">
        <v>158</v>
      </c>
    </row>
    <row r="1190" spans="3:18" x14ac:dyDescent="0.35">
      <c r="C1190" t="s">
        <v>51</v>
      </c>
      <c r="D1190" t="s">
        <v>22</v>
      </c>
      <c r="E1190" t="s">
        <v>45</v>
      </c>
      <c r="F1190" t="s">
        <v>46</v>
      </c>
      <c r="G1190" s="58">
        <v>1893792</v>
      </c>
      <c r="H1190" s="1" t="s">
        <v>59</v>
      </c>
      <c r="I1190" s="1" t="s">
        <v>111</v>
      </c>
      <c r="J1190" s="58">
        <v>30300672</v>
      </c>
      <c r="K1190" s="1" t="s">
        <v>112</v>
      </c>
      <c r="N1190" s="1">
        <v>1</v>
      </c>
      <c r="O1190" s="58"/>
      <c r="P1190" s="58">
        <v>909020.16000000003</v>
      </c>
      <c r="Q1190" t="s">
        <v>113</v>
      </c>
      <c r="R1190" s="1" t="s">
        <v>158</v>
      </c>
    </row>
    <row r="1191" spans="3:18" x14ac:dyDescent="0.35">
      <c r="C1191" t="s">
        <v>51</v>
      </c>
      <c r="D1191" t="s">
        <v>23</v>
      </c>
      <c r="E1191" t="s">
        <v>62</v>
      </c>
      <c r="F1191" t="s">
        <v>46</v>
      </c>
      <c r="G1191" s="58">
        <v>24471279</v>
      </c>
      <c r="H1191" s="1" t="s">
        <v>48</v>
      </c>
      <c r="I1191" s="1" t="s">
        <v>108</v>
      </c>
      <c r="J1191" s="58">
        <v>783080928</v>
      </c>
      <c r="K1191" s="1" t="s">
        <v>106</v>
      </c>
      <c r="L1191" s="1" t="s">
        <v>131</v>
      </c>
      <c r="M1191" s="1" t="s">
        <v>125</v>
      </c>
      <c r="N1191" s="1">
        <v>1</v>
      </c>
      <c r="O1191" s="58"/>
      <c r="P1191" s="58">
        <v>17374608.09</v>
      </c>
      <c r="Q1191" t="s">
        <v>118</v>
      </c>
      <c r="R1191" s="1" t="s">
        <v>48</v>
      </c>
    </row>
    <row r="1192" spans="3:18" x14ac:dyDescent="0.35">
      <c r="C1192" t="s">
        <v>51</v>
      </c>
      <c r="D1192" t="s">
        <v>24</v>
      </c>
      <c r="E1192" t="s">
        <v>62</v>
      </c>
      <c r="F1192" t="s">
        <v>46</v>
      </c>
      <c r="G1192" s="58">
        <v>5915101</v>
      </c>
      <c r="H1192" s="1" t="s">
        <v>48</v>
      </c>
      <c r="I1192" s="1" t="s">
        <v>108</v>
      </c>
      <c r="J1192" s="58">
        <v>177453030</v>
      </c>
      <c r="K1192" s="1" t="s">
        <v>106</v>
      </c>
      <c r="L1192" s="1" t="s">
        <v>131</v>
      </c>
      <c r="M1192" s="1" t="s">
        <v>121</v>
      </c>
      <c r="N1192" s="1">
        <v>1</v>
      </c>
      <c r="O1192" s="58"/>
      <c r="P1192" s="58">
        <v>1656228.28</v>
      </c>
      <c r="Q1192" t="s">
        <v>107</v>
      </c>
      <c r="R1192" s="1" t="s">
        <v>48</v>
      </c>
    </row>
    <row r="1193" spans="3:18" x14ac:dyDescent="0.35">
      <c r="C1193" t="s">
        <v>51</v>
      </c>
      <c r="D1193" t="s">
        <v>22</v>
      </c>
      <c r="E1193" t="s">
        <v>55</v>
      </c>
      <c r="F1193" t="s">
        <v>46</v>
      </c>
      <c r="G1193" s="58">
        <v>118635</v>
      </c>
      <c r="H1193" s="1" t="s">
        <v>47</v>
      </c>
      <c r="I1193" s="1" t="s">
        <v>108</v>
      </c>
      <c r="J1193" s="58">
        <v>3084510</v>
      </c>
      <c r="K1193" s="1" t="s">
        <v>106</v>
      </c>
      <c r="L1193" s="1" t="s">
        <v>109</v>
      </c>
      <c r="N1193" s="1">
        <v>1</v>
      </c>
      <c r="O1193" s="58"/>
      <c r="P1193" s="58">
        <v>72367.350000000006</v>
      </c>
      <c r="Q1193" t="s">
        <v>118</v>
      </c>
      <c r="R1193" s="1" t="s">
        <v>158</v>
      </c>
    </row>
    <row r="1194" spans="3:18" x14ac:dyDescent="0.35">
      <c r="C1194" t="s">
        <v>51</v>
      </c>
      <c r="D1194" t="s">
        <v>23</v>
      </c>
      <c r="E1194" t="s">
        <v>49</v>
      </c>
      <c r="F1194" t="s">
        <v>46</v>
      </c>
      <c r="G1194" s="58">
        <v>1959434</v>
      </c>
      <c r="H1194" s="1" t="s">
        <v>48</v>
      </c>
      <c r="I1194" s="1" t="s">
        <v>108</v>
      </c>
      <c r="J1194" s="58">
        <v>70539624</v>
      </c>
      <c r="K1194" s="1" t="s">
        <v>112</v>
      </c>
      <c r="N1194" s="1">
        <v>1</v>
      </c>
      <c r="O1194" s="58"/>
      <c r="P1194" s="58">
        <v>1626330.22</v>
      </c>
      <c r="Q1194" t="s">
        <v>127</v>
      </c>
      <c r="R1194" s="1" t="s">
        <v>158</v>
      </c>
    </row>
    <row r="1195" spans="3:18" x14ac:dyDescent="0.35">
      <c r="C1195" t="s">
        <v>51</v>
      </c>
      <c r="D1195" t="s">
        <v>92</v>
      </c>
      <c r="E1195" t="s">
        <v>45</v>
      </c>
      <c r="F1195" t="s">
        <v>46</v>
      </c>
      <c r="G1195" s="58">
        <v>471323</v>
      </c>
      <c r="H1195" s="1" t="s">
        <v>48</v>
      </c>
      <c r="I1195" s="1" t="s">
        <v>105</v>
      </c>
      <c r="J1195" s="58">
        <v>1413969</v>
      </c>
      <c r="K1195" s="1" t="s">
        <v>106</v>
      </c>
      <c r="L1195" s="1" t="s">
        <v>120</v>
      </c>
      <c r="M1195" s="1" t="s">
        <v>123</v>
      </c>
      <c r="N1195" s="1">
        <v>1</v>
      </c>
      <c r="O1195" s="58"/>
      <c r="P1195" s="58">
        <v>216808.58</v>
      </c>
      <c r="Q1195" t="s">
        <v>113</v>
      </c>
      <c r="R1195" s="1" t="s">
        <v>158</v>
      </c>
    </row>
    <row r="1196" spans="3:18" x14ac:dyDescent="0.35">
      <c r="C1196" t="s">
        <v>51</v>
      </c>
      <c r="D1196" t="s">
        <v>21</v>
      </c>
      <c r="E1196" t="s">
        <v>49</v>
      </c>
      <c r="F1196" t="s">
        <v>46</v>
      </c>
      <c r="G1196" s="58">
        <v>270817</v>
      </c>
      <c r="H1196" s="1" t="s">
        <v>48</v>
      </c>
      <c r="I1196" s="1" t="s">
        <v>111</v>
      </c>
      <c r="J1196" s="58">
        <v>5145523</v>
      </c>
      <c r="K1196" s="1" t="s">
        <v>112</v>
      </c>
      <c r="N1196" s="1">
        <v>1</v>
      </c>
      <c r="O1196" s="58"/>
      <c r="P1196" s="58">
        <v>119159.48</v>
      </c>
      <c r="Q1196" t="s">
        <v>113</v>
      </c>
      <c r="R1196" s="1" t="s">
        <v>48</v>
      </c>
    </row>
    <row r="1197" spans="3:18" x14ac:dyDescent="0.35">
      <c r="C1197" t="s">
        <v>51</v>
      </c>
      <c r="D1197" t="s">
        <v>21</v>
      </c>
      <c r="E1197" t="s">
        <v>49</v>
      </c>
      <c r="F1197" t="s">
        <v>46</v>
      </c>
      <c r="G1197" s="58">
        <v>400159</v>
      </c>
      <c r="H1197" s="1" t="s">
        <v>47</v>
      </c>
      <c r="I1197" s="1" t="s">
        <v>108</v>
      </c>
      <c r="J1197" s="58">
        <v>10003975</v>
      </c>
      <c r="K1197" s="1" t="s">
        <v>106</v>
      </c>
      <c r="L1197" s="1" t="s">
        <v>116</v>
      </c>
      <c r="N1197" s="1">
        <v>1</v>
      </c>
      <c r="O1197" s="58"/>
      <c r="P1197" s="58">
        <v>276109.71000000002</v>
      </c>
      <c r="Q1197" t="s">
        <v>118</v>
      </c>
      <c r="R1197" s="1" t="s">
        <v>158</v>
      </c>
    </row>
    <row r="1198" spans="3:18" x14ac:dyDescent="0.35">
      <c r="C1198" t="s">
        <v>51</v>
      </c>
      <c r="D1198" t="s">
        <v>23</v>
      </c>
      <c r="E1198" t="s">
        <v>50</v>
      </c>
      <c r="F1198" t="s">
        <v>46</v>
      </c>
      <c r="G1198" s="58">
        <v>150367</v>
      </c>
      <c r="H1198" s="1" t="s">
        <v>48</v>
      </c>
      <c r="I1198" s="1" t="s">
        <v>111</v>
      </c>
      <c r="J1198" s="58">
        <v>2856973</v>
      </c>
      <c r="K1198" s="1" t="s">
        <v>106</v>
      </c>
      <c r="L1198" s="1" t="s">
        <v>109</v>
      </c>
      <c r="M1198" s="1" t="s">
        <v>125</v>
      </c>
      <c r="N1198" s="1">
        <v>1</v>
      </c>
      <c r="O1198" s="58"/>
      <c r="P1198" s="58">
        <v>102249.56</v>
      </c>
      <c r="Q1198" t="s">
        <v>118</v>
      </c>
      <c r="R1198" s="1" t="s">
        <v>158</v>
      </c>
    </row>
    <row r="1199" spans="3:18" x14ac:dyDescent="0.35">
      <c r="C1199" t="s">
        <v>51</v>
      </c>
      <c r="D1199" t="s">
        <v>25</v>
      </c>
      <c r="E1199" t="s">
        <v>50</v>
      </c>
      <c r="F1199" t="s">
        <v>46</v>
      </c>
      <c r="G1199" s="58">
        <v>42867</v>
      </c>
      <c r="H1199" s="1" t="s">
        <v>47</v>
      </c>
      <c r="I1199" s="1" t="s">
        <v>119</v>
      </c>
      <c r="J1199" s="58">
        <v>257202</v>
      </c>
      <c r="K1199" s="1" t="s">
        <v>106</v>
      </c>
      <c r="L1199" s="1" t="s">
        <v>109</v>
      </c>
      <c r="N1199" s="1">
        <v>1</v>
      </c>
      <c r="O1199" s="58"/>
      <c r="P1199" s="58">
        <v>20147.490000000002</v>
      </c>
      <c r="Q1199" t="s">
        <v>113</v>
      </c>
      <c r="R1199" s="1" t="s">
        <v>158</v>
      </c>
    </row>
    <row r="1200" spans="3:18" x14ac:dyDescent="0.35">
      <c r="C1200" t="s">
        <v>51</v>
      </c>
      <c r="D1200" t="s">
        <v>24</v>
      </c>
      <c r="E1200" t="s">
        <v>49</v>
      </c>
      <c r="F1200" t="s">
        <v>46</v>
      </c>
      <c r="G1200" s="58">
        <v>88810</v>
      </c>
      <c r="H1200" s="1" t="s">
        <v>48</v>
      </c>
      <c r="I1200" s="1" t="s">
        <v>108</v>
      </c>
      <c r="J1200" s="58">
        <v>3019540</v>
      </c>
      <c r="K1200" s="1" t="s">
        <v>106</v>
      </c>
      <c r="L1200" s="1" t="s">
        <v>120</v>
      </c>
      <c r="M1200" s="1" t="s">
        <v>121</v>
      </c>
      <c r="N1200" s="1">
        <v>1</v>
      </c>
      <c r="O1200" s="58"/>
      <c r="P1200" s="58">
        <v>69271.8</v>
      </c>
      <c r="Q1200" t="s">
        <v>118</v>
      </c>
      <c r="R1200" s="1" t="s">
        <v>48</v>
      </c>
    </row>
    <row r="1201" spans="3:18" x14ac:dyDescent="0.35">
      <c r="C1201" t="s">
        <v>51</v>
      </c>
      <c r="D1201" t="s">
        <v>20</v>
      </c>
      <c r="E1201" t="s">
        <v>45</v>
      </c>
      <c r="F1201" t="s">
        <v>46</v>
      </c>
      <c r="G1201" s="58">
        <v>161235</v>
      </c>
      <c r="H1201" s="1" t="s">
        <v>48</v>
      </c>
      <c r="I1201" s="1" t="s">
        <v>108</v>
      </c>
      <c r="J1201" s="58">
        <v>5804460</v>
      </c>
      <c r="K1201" s="1" t="s">
        <v>106</v>
      </c>
      <c r="L1201" s="1" t="s">
        <v>124</v>
      </c>
      <c r="M1201" s="1" t="s">
        <v>126</v>
      </c>
      <c r="N1201" s="1">
        <v>1</v>
      </c>
      <c r="O1201" s="58"/>
      <c r="P1201" s="58">
        <v>128988</v>
      </c>
      <c r="Q1201" t="s">
        <v>127</v>
      </c>
      <c r="R1201" s="1" t="s">
        <v>48</v>
      </c>
    </row>
    <row r="1202" spans="3:18" x14ac:dyDescent="0.35">
      <c r="C1202" t="s">
        <v>51</v>
      </c>
      <c r="D1202" t="s">
        <v>21</v>
      </c>
      <c r="E1202" t="s">
        <v>49</v>
      </c>
      <c r="F1202" t="s">
        <v>46</v>
      </c>
      <c r="G1202" s="58">
        <v>7514279</v>
      </c>
      <c r="H1202" s="1" t="s">
        <v>47</v>
      </c>
      <c r="I1202" s="1" t="s">
        <v>111</v>
      </c>
      <c r="J1202" s="58">
        <v>127742743</v>
      </c>
      <c r="K1202" s="1" t="s">
        <v>106</v>
      </c>
      <c r="L1202" s="1" t="s">
        <v>120</v>
      </c>
      <c r="N1202" s="1">
        <v>1</v>
      </c>
      <c r="O1202" s="58"/>
      <c r="P1202" s="58">
        <v>3681996.71</v>
      </c>
      <c r="Q1202" t="s">
        <v>113</v>
      </c>
      <c r="R1202" s="1" t="s">
        <v>158</v>
      </c>
    </row>
    <row r="1203" spans="3:18" x14ac:dyDescent="0.35">
      <c r="C1203" t="s">
        <v>51</v>
      </c>
      <c r="D1203" t="s">
        <v>23</v>
      </c>
      <c r="E1203" t="s">
        <v>45</v>
      </c>
      <c r="F1203" t="s">
        <v>46</v>
      </c>
      <c r="G1203" s="58">
        <v>2065267</v>
      </c>
      <c r="H1203" s="1" t="s">
        <v>59</v>
      </c>
      <c r="I1203" s="1" t="s">
        <v>108</v>
      </c>
      <c r="J1203" s="58">
        <v>57827476</v>
      </c>
      <c r="K1203" s="1" t="s">
        <v>106</v>
      </c>
      <c r="L1203" s="1" t="s">
        <v>120</v>
      </c>
      <c r="N1203" s="1">
        <v>1</v>
      </c>
      <c r="O1203" s="58"/>
      <c r="P1203" s="58">
        <v>2375057.0499999998</v>
      </c>
      <c r="Q1203" t="s">
        <v>110</v>
      </c>
      <c r="R1203" s="1" t="s">
        <v>158</v>
      </c>
    </row>
    <row r="1204" spans="3:18" x14ac:dyDescent="0.35">
      <c r="C1204" t="s">
        <v>53</v>
      </c>
      <c r="D1204" t="s">
        <v>25</v>
      </c>
      <c r="E1204" t="s">
        <v>55</v>
      </c>
      <c r="F1204" t="s">
        <v>46</v>
      </c>
      <c r="G1204" s="58">
        <v>54280</v>
      </c>
      <c r="H1204" s="1" t="s">
        <v>59</v>
      </c>
      <c r="I1204" s="1" t="s">
        <v>105</v>
      </c>
      <c r="J1204" s="58">
        <v>0</v>
      </c>
      <c r="K1204" s="1" t="s">
        <v>106</v>
      </c>
      <c r="L1204" s="1" t="s">
        <v>120</v>
      </c>
      <c r="N1204" s="1">
        <v>1</v>
      </c>
      <c r="O1204" s="58"/>
      <c r="P1204" s="58">
        <v>1085.5999999999999</v>
      </c>
      <c r="Q1204" t="s">
        <v>107</v>
      </c>
      <c r="R1204" s="1" t="s">
        <v>158</v>
      </c>
    </row>
    <row r="1205" spans="3:18" x14ac:dyDescent="0.35">
      <c r="C1205" t="s">
        <v>51</v>
      </c>
      <c r="D1205" t="s">
        <v>20</v>
      </c>
      <c r="E1205" t="s">
        <v>50</v>
      </c>
      <c r="F1205" t="s">
        <v>46</v>
      </c>
      <c r="G1205" s="58">
        <v>228931</v>
      </c>
      <c r="H1205" s="1" t="s">
        <v>48</v>
      </c>
      <c r="I1205" s="1" t="s">
        <v>108</v>
      </c>
      <c r="J1205" s="58">
        <v>9615102</v>
      </c>
      <c r="K1205" s="1" t="s">
        <v>106</v>
      </c>
      <c r="L1205" s="1" t="s">
        <v>109</v>
      </c>
      <c r="M1205" s="1" t="s">
        <v>123</v>
      </c>
      <c r="N1205" s="1">
        <v>1</v>
      </c>
      <c r="O1205" s="58"/>
      <c r="P1205" s="58">
        <v>173987.56</v>
      </c>
      <c r="Q1205" t="s">
        <v>118</v>
      </c>
      <c r="R1205" s="1" t="s">
        <v>48</v>
      </c>
    </row>
    <row r="1206" spans="3:18" x14ac:dyDescent="0.35">
      <c r="C1206" t="s">
        <v>51</v>
      </c>
      <c r="D1206" t="s">
        <v>22</v>
      </c>
      <c r="E1206" t="s">
        <v>49</v>
      </c>
      <c r="F1206" t="s">
        <v>46</v>
      </c>
      <c r="G1206" s="58">
        <v>254260</v>
      </c>
      <c r="H1206" s="1" t="s">
        <v>48</v>
      </c>
      <c r="I1206" s="1" t="s">
        <v>111</v>
      </c>
      <c r="J1206" s="58">
        <v>4830940</v>
      </c>
      <c r="K1206" s="1" t="s">
        <v>112</v>
      </c>
      <c r="N1206" s="1">
        <v>1</v>
      </c>
      <c r="O1206" s="58"/>
      <c r="P1206" s="58">
        <v>63565</v>
      </c>
      <c r="Q1206" t="s">
        <v>107</v>
      </c>
      <c r="R1206" s="1" t="s">
        <v>158</v>
      </c>
    </row>
    <row r="1207" spans="3:18" x14ac:dyDescent="0.35">
      <c r="C1207" t="s">
        <v>51</v>
      </c>
      <c r="D1207" t="s">
        <v>19</v>
      </c>
      <c r="E1207" t="s">
        <v>49</v>
      </c>
      <c r="F1207" t="s">
        <v>46</v>
      </c>
      <c r="G1207" s="58">
        <v>7281683</v>
      </c>
      <c r="H1207" s="1" t="s">
        <v>54</v>
      </c>
      <c r="I1207" s="1" t="s">
        <v>119</v>
      </c>
      <c r="J1207" s="58">
        <v>50971781</v>
      </c>
      <c r="K1207" s="1" t="s">
        <v>106</v>
      </c>
      <c r="L1207" s="1" t="s">
        <v>124</v>
      </c>
      <c r="N1207" s="1">
        <v>1</v>
      </c>
      <c r="O1207" s="58"/>
      <c r="P1207" s="58">
        <v>1601970.26</v>
      </c>
      <c r="Q1207" t="s">
        <v>107</v>
      </c>
      <c r="R1207" s="1" t="s">
        <v>158</v>
      </c>
    </row>
    <row r="1208" spans="3:18" x14ac:dyDescent="0.35">
      <c r="C1208" t="s">
        <v>53</v>
      </c>
      <c r="D1208" t="s">
        <v>24</v>
      </c>
      <c r="E1208" t="s">
        <v>49</v>
      </c>
      <c r="F1208" t="s">
        <v>46</v>
      </c>
      <c r="G1208" s="58">
        <v>720815</v>
      </c>
      <c r="H1208" s="1" t="s">
        <v>48</v>
      </c>
      <c r="I1208" s="1" t="s">
        <v>119</v>
      </c>
      <c r="J1208" s="58">
        <v>6487335</v>
      </c>
      <c r="K1208" s="1" t="s">
        <v>106</v>
      </c>
      <c r="L1208" s="1" t="s">
        <v>124</v>
      </c>
      <c r="M1208" s="1" t="s">
        <v>121</v>
      </c>
      <c r="N1208" s="1">
        <v>1</v>
      </c>
      <c r="O1208" s="58"/>
      <c r="P1208" s="58">
        <v>331574.90000000002</v>
      </c>
      <c r="Q1208" t="s">
        <v>113</v>
      </c>
      <c r="R1208" s="1" t="s">
        <v>48</v>
      </c>
    </row>
    <row r="1209" spans="3:18" x14ac:dyDescent="0.35">
      <c r="C1209" t="s">
        <v>53</v>
      </c>
      <c r="D1209" t="s">
        <v>25</v>
      </c>
      <c r="E1209" t="s">
        <v>52</v>
      </c>
      <c r="F1209" t="s">
        <v>46</v>
      </c>
      <c r="G1209" s="58">
        <v>41206</v>
      </c>
      <c r="H1209" s="1" t="s">
        <v>47</v>
      </c>
      <c r="I1209" s="1" t="s">
        <v>119</v>
      </c>
      <c r="J1209" s="58">
        <v>247236</v>
      </c>
      <c r="K1209" s="1" t="s">
        <v>106</v>
      </c>
      <c r="L1209" s="1" t="s">
        <v>120</v>
      </c>
      <c r="N1209" s="1">
        <v>1</v>
      </c>
      <c r="O1209" s="58"/>
      <c r="P1209" s="58">
        <v>18954.759999999998</v>
      </c>
      <c r="Q1209" t="s">
        <v>113</v>
      </c>
      <c r="R1209" s="1" t="s">
        <v>158</v>
      </c>
    </row>
    <row r="1210" spans="3:18" x14ac:dyDescent="0.35">
      <c r="C1210" t="s">
        <v>51</v>
      </c>
      <c r="D1210" t="s">
        <v>23</v>
      </c>
      <c r="E1210" t="s">
        <v>45</v>
      </c>
      <c r="F1210" t="s">
        <v>46</v>
      </c>
      <c r="G1210" s="58">
        <v>362311</v>
      </c>
      <c r="H1210" s="1" t="s">
        <v>47</v>
      </c>
      <c r="I1210" s="1" t="s">
        <v>108</v>
      </c>
      <c r="J1210" s="58">
        <v>12680885</v>
      </c>
      <c r="K1210" s="1" t="s">
        <v>112</v>
      </c>
      <c r="N1210" s="1">
        <v>1</v>
      </c>
      <c r="O1210" s="58"/>
      <c r="P1210" s="58">
        <v>297095.02</v>
      </c>
      <c r="Q1210" t="s">
        <v>127</v>
      </c>
      <c r="R1210" s="1" t="s">
        <v>158</v>
      </c>
    </row>
    <row r="1211" spans="3:18" x14ac:dyDescent="0.35">
      <c r="C1211" t="s">
        <v>51</v>
      </c>
      <c r="D1211" t="s">
        <v>92</v>
      </c>
      <c r="E1211" t="s">
        <v>45</v>
      </c>
      <c r="F1211" t="s">
        <v>46</v>
      </c>
      <c r="G1211" s="58">
        <v>394895</v>
      </c>
      <c r="H1211" s="1" t="s">
        <v>47</v>
      </c>
      <c r="I1211" s="1" t="s">
        <v>108</v>
      </c>
      <c r="J1211" s="58">
        <v>13821325</v>
      </c>
      <c r="K1211" s="1" t="s">
        <v>112</v>
      </c>
      <c r="N1211" s="1">
        <v>1</v>
      </c>
      <c r="O1211" s="58"/>
      <c r="P1211" s="58">
        <v>221141.2</v>
      </c>
      <c r="Q1211" t="s">
        <v>113</v>
      </c>
      <c r="R1211" s="1" t="s">
        <v>158</v>
      </c>
    </row>
    <row r="1212" spans="3:18" x14ac:dyDescent="0.35">
      <c r="C1212" t="s">
        <v>51</v>
      </c>
      <c r="D1212" t="s">
        <v>92</v>
      </c>
      <c r="E1212" t="s">
        <v>49</v>
      </c>
      <c r="F1212" t="s">
        <v>46</v>
      </c>
      <c r="G1212" s="58">
        <v>604159</v>
      </c>
      <c r="H1212" s="1" t="s">
        <v>56</v>
      </c>
      <c r="I1212" s="1" t="s">
        <v>111</v>
      </c>
      <c r="J1212" s="58">
        <v>6645749</v>
      </c>
      <c r="K1212" s="1" t="s">
        <v>106</v>
      </c>
      <c r="L1212" s="1" t="s">
        <v>120</v>
      </c>
      <c r="N1212" s="1">
        <v>1</v>
      </c>
      <c r="O1212" s="58"/>
      <c r="P1212" s="58">
        <v>302079.5</v>
      </c>
      <c r="Q1212" t="s">
        <v>113</v>
      </c>
      <c r="R1212" s="1" t="s">
        <v>158</v>
      </c>
    </row>
    <row r="1213" spans="3:18" x14ac:dyDescent="0.35">
      <c r="C1213" t="s">
        <v>51</v>
      </c>
      <c r="D1213" t="s">
        <v>23</v>
      </c>
      <c r="E1213" t="s">
        <v>49</v>
      </c>
      <c r="F1213" t="s">
        <v>46</v>
      </c>
      <c r="G1213" s="58">
        <v>140129</v>
      </c>
      <c r="H1213" s="1" t="s">
        <v>48</v>
      </c>
      <c r="I1213" s="1" t="s">
        <v>108</v>
      </c>
      <c r="J1213" s="58">
        <v>5044644</v>
      </c>
      <c r="K1213" s="1" t="s">
        <v>112</v>
      </c>
      <c r="N1213" s="1">
        <v>1</v>
      </c>
      <c r="O1213" s="58"/>
      <c r="P1213" s="58">
        <v>68663.210000000006</v>
      </c>
      <c r="Q1213" t="s">
        <v>113</v>
      </c>
      <c r="R1213" s="1" t="s">
        <v>48</v>
      </c>
    </row>
    <row r="1214" spans="3:18" x14ac:dyDescent="0.35">
      <c r="C1214" t="s">
        <v>51</v>
      </c>
      <c r="D1214" t="s">
        <v>19</v>
      </c>
      <c r="E1214" t="s">
        <v>49</v>
      </c>
      <c r="F1214" t="s">
        <v>46</v>
      </c>
      <c r="G1214" s="58">
        <v>468478</v>
      </c>
      <c r="H1214" s="1" t="s">
        <v>48</v>
      </c>
      <c r="I1214" s="1" t="s">
        <v>111</v>
      </c>
      <c r="J1214" s="58">
        <v>7964126</v>
      </c>
      <c r="K1214" s="1" t="s">
        <v>106</v>
      </c>
      <c r="L1214" s="1" t="s">
        <v>124</v>
      </c>
      <c r="M1214" s="1" t="s">
        <v>126</v>
      </c>
      <c r="N1214" s="1">
        <v>1</v>
      </c>
      <c r="O1214" s="58"/>
      <c r="P1214" s="58">
        <v>313880.26</v>
      </c>
      <c r="Q1214" t="s">
        <v>118</v>
      </c>
      <c r="R1214" s="1" t="s">
        <v>48</v>
      </c>
    </row>
    <row r="1215" spans="3:18" x14ac:dyDescent="0.35">
      <c r="C1215" t="s">
        <v>51</v>
      </c>
      <c r="D1215" t="s">
        <v>23</v>
      </c>
      <c r="E1215" t="s">
        <v>55</v>
      </c>
      <c r="F1215" t="s">
        <v>46</v>
      </c>
      <c r="G1215" s="58">
        <v>292027</v>
      </c>
      <c r="H1215" s="1" t="s">
        <v>48</v>
      </c>
      <c r="I1215" s="1" t="s">
        <v>119</v>
      </c>
      <c r="J1215" s="58">
        <v>2628243</v>
      </c>
      <c r="K1215" s="1" t="s">
        <v>106</v>
      </c>
      <c r="L1215" s="1" t="s">
        <v>114</v>
      </c>
      <c r="M1215" s="1" t="s">
        <v>125</v>
      </c>
      <c r="N1215" s="1">
        <v>1</v>
      </c>
      <c r="O1215" s="58"/>
      <c r="P1215" s="58">
        <v>140172.96</v>
      </c>
      <c r="Q1215" t="s">
        <v>113</v>
      </c>
      <c r="R1215" s="1" t="s">
        <v>48</v>
      </c>
    </row>
    <row r="1216" spans="3:18" x14ac:dyDescent="0.35">
      <c r="C1216" t="s">
        <v>53</v>
      </c>
      <c r="D1216" t="s">
        <v>22</v>
      </c>
      <c r="E1216" t="s">
        <v>49</v>
      </c>
      <c r="F1216" t="s">
        <v>46</v>
      </c>
      <c r="G1216" s="58">
        <v>199030</v>
      </c>
      <c r="H1216" s="1" t="s">
        <v>56</v>
      </c>
      <c r="I1216" s="1" t="s">
        <v>105</v>
      </c>
      <c r="J1216" s="58"/>
      <c r="K1216" s="1" t="s">
        <v>106</v>
      </c>
      <c r="L1216" s="1" t="s">
        <v>124</v>
      </c>
      <c r="N1216" s="1">
        <v>0</v>
      </c>
      <c r="O1216" s="58"/>
      <c r="P1216" s="58">
        <v>27864.2</v>
      </c>
      <c r="Q1216" t="s">
        <v>107</v>
      </c>
      <c r="R1216" s="1" t="s">
        <v>158</v>
      </c>
    </row>
    <row r="1217" spans="3:18" x14ac:dyDescent="0.35">
      <c r="C1217" t="s">
        <v>51</v>
      </c>
      <c r="D1217" t="s">
        <v>23</v>
      </c>
      <c r="E1217" t="s">
        <v>62</v>
      </c>
      <c r="F1217" t="s">
        <v>46</v>
      </c>
      <c r="G1217" s="58">
        <v>5873342</v>
      </c>
      <c r="H1217" s="1" t="s">
        <v>48</v>
      </c>
      <c r="I1217" s="1" t="s">
        <v>108</v>
      </c>
      <c r="J1217" s="58">
        <v>193820286</v>
      </c>
      <c r="K1217" s="1" t="s">
        <v>112</v>
      </c>
      <c r="N1217" s="1">
        <v>1</v>
      </c>
      <c r="O1217" s="58"/>
      <c r="P1217" s="58">
        <v>3054137.84</v>
      </c>
      <c r="Q1217" t="s">
        <v>113</v>
      </c>
      <c r="R1217" s="1" t="s">
        <v>48</v>
      </c>
    </row>
    <row r="1218" spans="3:18" x14ac:dyDescent="0.35">
      <c r="C1218" t="s">
        <v>51</v>
      </c>
      <c r="D1218" t="s">
        <v>24</v>
      </c>
      <c r="E1218" t="s">
        <v>49</v>
      </c>
      <c r="F1218" t="s">
        <v>46</v>
      </c>
      <c r="G1218" s="58">
        <v>121594</v>
      </c>
      <c r="H1218" s="1" t="s">
        <v>59</v>
      </c>
      <c r="I1218" s="1" t="s">
        <v>108</v>
      </c>
      <c r="J1218" s="58">
        <v>3647820</v>
      </c>
      <c r="K1218" s="1" t="s">
        <v>106</v>
      </c>
      <c r="L1218" s="1" t="s">
        <v>124</v>
      </c>
      <c r="N1218" s="1">
        <v>1</v>
      </c>
      <c r="O1218" s="58"/>
      <c r="P1218" s="58">
        <v>51069.48</v>
      </c>
      <c r="Q1218" t="s">
        <v>113</v>
      </c>
      <c r="R1218" s="1" t="s">
        <v>158</v>
      </c>
    </row>
    <row r="1219" spans="3:18" x14ac:dyDescent="0.35">
      <c r="C1219" t="s">
        <v>51</v>
      </c>
      <c r="D1219" t="s">
        <v>20</v>
      </c>
      <c r="E1219" t="s">
        <v>49</v>
      </c>
      <c r="F1219" t="s">
        <v>64</v>
      </c>
      <c r="G1219" s="58">
        <v>268647</v>
      </c>
      <c r="H1219" s="1" t="s">
        <v>59</v>
      </c>
      <c r="I1219" s="1" t="s">
        <v>108</v>
      </c>
      <c r="J1219" s="58">
        <v>9402645</v>
      </c>
      <c r="K1219" s="1" t="s">
        <v>112</v>
      </c>
      <c r="N1219" s="1">
        <v>1</v>
      </c>
      <c r="O1219" s="58"/>
      <c r="P1219" s="58">
        <v>104772.33</v>
      </c>
      <c r="Q1219" t="s">
        <v>107</v>
      </c>
      <c r="R1219" s="1" t="s">
        <v>158</v>
      </c>
    </row>
    <row r="1220" spans="3:18" x14ac:dyDescent="0.35">
      <c r="C1220" t="s">
        <v>51</v>
      </c>
      <c r="D1220" t="s">
        <v>25</v>
      </c>
      <c r="E1220" t="s">
        <v>45</v>
      </c>
      <c r="F1220" t="s">
        <v>46</v>
      </c>
      <c r="G1220" s="58">
        <v>103576</v>
      </c>
      <c r="H1220" s="1" t="s">
        <v>47</v>
      </c>
      <c r="I1220" s="1" t="s">
        <v>119</v>
      </c>
      <c r="J1220" s="58">
        <v>621456</v>
      </c>
      <c r="K1220" s="1" t="s">
        <v>106</v>
      </c>
      <c r="L1220" s="1" t="s">
        <v>124</v>
      </c>
      <c r="N1220" s="1">
        <v>1</v>
      </c>
      <c r="O1220" s="58"/>
      <c r="P1220" s="58">
        <v>24858.240000000002</v>
      </c>
      <c r="Q1220" t="s">
        <v>107</v>
      </c>
      <c r="R1220" s="1" t="s">
        <v>158</v>
      </c>
    </row>
    <row r="1221" spans="3:18" x14ac:dyDescent="0.35">
      <c r="C1221" t="s">
        <v>51</v>
      </c>
      <c r="D1221" t="s">
        <v>23</v>
      </c>
      <c r="E1221" t="s">
        <v>45</v>
      </c>
      <c r="F1221" t="s">
        <v>46</v>
      </c>
      <c r="G1221" s="58">
        <v>13407445</v>
      </c>
      <c r="H1221" s="1" t="s">
        <v>56</v>
      </c>
      <c r="I1221" s="1" t="s">
        <v>111</v>
      </c>
      <c r="J1221" s="58">
        <v>227926565</v>
      </c>
      <c r="K1221" s="1" t="s">
        <v>106</v>
      </c>
      <c r="L1221" s="1" t="s">
        <v>120</v>
      </c>
      <c r="N1221" s="1">
        <v>1</v>
      </c>
      <c r="O1221" s="58"/>
      <c r="P1221" s="58">
        <v>8982988.1500000004</v>
      </c>
      <c r="Q1221" t="s">
        <v>118</v>
      </c>
      <c r="R1221" s="1" t="s">
        <v>158</v>
      </c>
    </row>
    <row r="1222" spans="3:18" x14ac:dyDescent="0.35">
      <c r="C1222" t="s">
        <v>51</v>
      </c>
      <c r="D1222" t="s">
        <v>23</v>
      </c>
      <c r="E1222" t="s">
        <v>55</v>
      </c>
      <c r="F1222" t="s">
        <v>46</v>
      </c>
      <c r="G1222" s="58">
        <v>77414</v>
      </c>
      <c r="H1222" s="1" t="s">
        <v>47</v>
      </c>
      <c r="I1222" s="1" t="s">
        <v>105</v>
      </c>
      <c r="J1222" s="58">
        <v>232242</v>
      </c>
      <c r="K1222" s="1" t="s">
        <v>106</v>
      </c>
      <c r="L1222" s="1" t="s">
        <v>114</v>
      </c>
      <c r="N1222" s="1">
        <v>1</v>
      </c>
      <c r="O1222" s="58"/>
      <c r="P1222" s="58">
        <v>51867.38</v>
      </c>
      <c r="Q1222" t="s">
        <v>118</v>
      </c>
      <c r="R1222" s="1" t="s">
        <v>158</v>
      </c>
    </row>
    <row r="1223" spans="3:18" x14ac:dyDescent="0.35">
      <c r="C1223" t="s">
        <v>51</v>
      </c>
      <c r="D1223" t="s">
        <v>19</v>
      </c>
      <c r="E1223" t="s">
        <v>49</v>
      </c>
      <c r="F1223" t="s">
        <v>46</v>
      </c>
      <c r="G1223" s="58">
        <v>303820</v>
      </c>
      <c r="H1223" s="1" t="s">
        <v>54</v>
      </c>
      <c r="I1223" s="1" t="s">
        <v>111</v>
      </c>
      <c r="J1223" s="58">
        <v>5164940</v>
      </c>
      <c r="K1223" s="1" t="s">
        <v>106</v>
      </c>
      <c r="L1223" s="1" t="s">
        <v>120</v>
      </c>
      <c r="N1223" s="1">
        <v>1</v>
      </c>
      <c r="O1223" s="58"/>
      <c r="P1223" s="58">
        <v>191406.6</v>
      </c>
      <c r="Q1223" t="s">
        <v>118</v>
      </c>
      <c r="R1223" s="1" t="s">
        <v>158</v>
      </c>
    </row>
    <row r="1224" spans="3:18" x14ac:dyDescent="0.35">
      <c r="C1224" t="s">
        <v>51</v>
      </c>
      <c r="D1224" t="s">
        <v>23</v>
      </c>
      <c r="E1224" t="s">
        <v>55</v>
      </c>
      <c r="F1224" t="s">
        <v>46</v>
      </c>
      <c r="G1224" s="58">
        <v>736852</v>
      </c>
      <c r="H1224" s="1" t="s">
        <v>54</v>
      </c>
      <c r="I1224" s="1" t="s">
        <v>119</v>
      </c>
      <c r="J1224" s="58">
        <v>5157964</v>
      </c>
      <c r="K1224" s="1" t="s">
        <v>106</v>
      </c>
      <c r="L1224" s="1" t="s">
        <v>120</v>
      </c>
      <c r="N1224" s="1">
        <v>1</v>
      </c>
      <c r="O1224" s="58"/>
      <c r="P1224" s="58">
        <v>162107.44</v>
      </c>
      <c r="Q1224" t="s">
        <v>107</v>
      </c>
      <c r="R1224" s="1" t="s">
        <v>158</v>
      </c>
    </row>
    <row r="1225" spans="3:18" x14ac:dyDescent="0.35">
      <c r="C1225" t="s">
        <v>51</v>
      </c>
      <c r="D1225" t="s">
        <v>19</v>
      </c>
      <c r="E1225" t="s">
        <v>49</v>
      </c>
      <c r="F1225" t="s">
        <v>46</v>
      </c>
      <c r="G1225" s="58">
        <v>444138</v>
      </c>
      <c r="H1225" s="1" t="s">
        <v>48</v>
      </c>
      <c r="I1225" s="1" t="s">
        <v>108</v>
      </c>
      <c r="J1225" s="58">
        <v>15100692</v>
      </c>
      <c r="K1225" s="1" t="s">
        <v>106</v>
      </c>
      <c r="L1225" s="1" t="s">
        <v>114</v>
      </c>
      <c r="M1225" s="1" t="s">
        <v>122</v>
      </c>
      <c r="N1225" s="1">
        <v>1</v>
      </c>
      <c r="O1225" s="58"/>
      <c r="P1225" s="58">
        <v>350869.02</v>
      </c>
      <c r="Q1225" t="s">
        <v>118</v>
      </c>
      <c r="R1225" s="1" t="s">
        <v>48</v>
      </c>
    </row>
    <row r="1226" spans="3:18" x14ac:dyDescent="0.35">
      <c r="C1226" t="s">
        <v>51</v>
      </c>
      <c r="D1226" t="s">
        <v>92</v>
      </c>
      <c r="E1226" t="s">
        <v>49</v>
      </c>
      <c r="F1226" t="s">
        <v>46</v>
      </c>
      <c r="G1226" s="58">
        <v>320410</v>
      </c>
      <c r="H1226" s="1" t="s">
        <v>47</v>
      </c>
      <c r="I1226" s="1" t="s">
        <v>119</v>
      </c>
      <c r="J1226" s="58">
        <v>2563280</v>
      </c>
      <c r="K1226" s="1" t="s">
        <v>106</v>
      </c>
      <c r="L1226" s="1" t="s">
        <v>120</v>
      </c>
      <c r="N1226" s="1">
        <v>1</v>
      </c>
      <c r="O1226" s="58"/>
      <c r="P1226" s="58">
        <v>67286.100000000006</v>
      </c>
      <c r="Q1226" t="s">
        <v>107</v>
      </c>
      <c r="R1226" s="1" t="s">
        <v>158</v>
      </c>
    </row>
    <row r="1227" spans="3:18" x14ac:dyDescent="0.35">
      <c r="C1227" t="s">
        <v>53</v>
      </c>
      <c r="D1227" t="s">
        <v>23</v>
      </c>
      <c r="E1227" t="s">
        <v>45</v>
      </c>
      <c r="F1227" t="s">
        <v>46</v>
      </c>
      <c r="G1227" s="58">
        <v>776805</v>
      </c>
      <c r="H1227" s="1" t="s">
        <v>47</v>
      </c>
      <c r="I1227" s="1" t="s">
        <v>119</v>
      </c>
      <c r="J1227" s="58">
        <v>5437635</v>
      </c>
      <c r="K1227" s="1" t="s">
        <v>106</v>
      </c>
      <c r="L1227" s="1" t="s">
        <v>120</v>
      </c>
      <c r="N1227" s="1">
        <v>1</v>
      </c>
      <c r="O1227" s="58"/>
      <c r="P1227" s="58">
        <v>240809.55</v>
      </c>
      <c r="Q1227" t="s">
        <v>107</v>
      </c>
      <c r="R1227" s="1" t="s">
        <v>158</v>
      </c>
    </row>
    <row r="1228" spans="3:18" x14ac:dyDescent="0.35">
      <c r="C1228" t="s">
        <v>51</v>
      </c>
      <c r="D1228" t="s">
        <v>19</v>
      </c>
      <c r="E1228" t="s">
        <v>49</v>
      </c>
      <c r="F1228" t="s">
        <v>46</v>
      </c>
      <c r="G1228" s="58">
        <v>585242</v>
      </c>
      <c r="H1228" s="1" t="s">
        <v>48</v>
      </c>
      <c r="I1228" s="1" t="s">
        <v>108</v>
      </c>
      <c r="J1228" s="58">
        <v>16972018</v>
      </c>
      <c r="K1228" s="1" t="s">
        <v>106</v>
      </c>
      <c r="L1228" s="1" t="s">
        <v>124</v>
      </c>
      <c r="M1228" s="1" t="s">
        <v>123</v>
      </c>
      <c r="N1228" s="1">
        <v>1</v>
      </c>
      <c r="O1228" s="58"/>
      <c r="P1228" s="58">
        <v>298473.42</v>
      </c>
      <c r="Q1228" t="s">
        <v>113</v>
      </c>
      <c r="R1228" s="1" t="s">
        <v>158</v>
      </c>
    </row>
    <row r="1229" spans="3:18" x14ac:dyDescent="0.35">
      <c r="C1229" t="s">
        <v>53</v>
      </c>
      <c r="D1229" t="s">
        <v>21</v>
      </c>
      <c r="E1229" t="s">
        <v>45</v>
      </c>
      <c r="F1229" t="s">
        <v>46</v>
      </c>
      <c r="G1229" s="58">
        <v>70989</v>
      </c>
      <c r="H1229" s="1" t="s">
        <v>59</v>
      </c>
      <c r="I1229" s="1" t="s">
        <v>119</v>
      </c>
      <c r="J1229" s="58">
        <v>496923</v>
      </c>
      <c r="K1229" s="1" t="s">
        <v>106</v>
      </c>
      <c r="L1229" s="1" t="s">
        <v>120</v>
      </c>
      <c r="N1229" s="1">
        <v>1</v>
      </c>
      <c r="O1229" s="58"/>
      <c r="P1229" s="58">
        <v>61050.54</v>
      </c>
      <c r="Q1229" t="s">
        <v>127</v>
      </c>
      <c r="R1229" s="1" t="s">
        <v>158</v>
      </c>
    </row>
    <row r="1230" spans="3:18" x14ac:dyDescent="0.35">
      <c r="C1230" t="s">
        <v>51</v>
      </c>
      <c r="D1230" t="s">
        <v>25</v>
      </c>
      <c r="E1230" t="s">
        <v>45</v>
      </c>
      <c r="F1230" t="s">
        <v>46</v>
      </c>
      <c r="G1230" s="58">
        <v>194695</v>
      </c>
      <c r="H1230" s="1" t="s">
        <v>56</v>
      </c>
      <c r="I1230" s="1" t="s">
        <v>108</v>
      </c>
      <c r="J1230" s="58">
        <v>4672680</v>
      </c>
      <c r="K1230" s="1" t="s">
        <v>106</v>
      </c>
      <c r="L1230" s="1" t="s">
        <v>120</v>
      </c>
      <c r="N1230" s="1">
        <v>1</v>
      </c>
      <c r="O1230" s="58"/>
      <c r="P1230" s="58">
        <v>40885.949999999997</v>
      </c>
      <c r="Q1230" t="s">
        <v>107</v>
      </c>
      <c r="R1230" s="1" t="s">
        <v>158</v>
      </c>
    </row>
    <row r="1231" spans="3:18" x14ac:dyDescent="0.35">
      <c r="C1231" t="s">
        <v>51</v>
      </c>
      <c r="D1231" t="s">
        <v>23</v>
      </c>
      <c r="E1231" t="s">
        <v>45</v>
      </c>
      <c r="F1231" t="s">
        <v>46</v>
      </c>
      <c r="G1231" s="58">
        <v>132487166</v>
      </c>
      <c r="H1231" s="1" t="s">
        <v>56</v>
      </c>
      <c r="I1231" s="1" t="s">
        <v>108</v>
      </c>
      <c r="J1231" s="58">
        <v>3709640648</v>
      </c>
      <c r="K1231" s="1" t="s">
        <v>106</v>
      </c>
      <c r="L1231" s="1" t="s">
        <v>120</v>
      </c>
      <c r="N1231" s="1">
        <v>1</v>
      </c>
      <c r="O1231" s="58"/>
      <c r="P1231" s="58">
        <v>91416144.540000007</v>
      </c>
      <c r="Q1231" t="s">
        <v>118</v>
      </c>
      <c r="R1231" s="1" t="s">
        <v>158</v>
      </c>
    </row>
    <row r="1232" spans="3:18" x14ac:dyDescent="0.35">
      <c r="C1232" t="s">
        <v>51</v>
      </c>
      <c r="D1232" t="s">
        <v>91</v>
      </c>
      <c r="E1232" t="s">
        <v>49</v>
      </c>
      <c r="F1232" t="s">
        <v>46</v>
      </c>
      <c r="G1232" s="58">
        <v>489031</v>
      </c>
      <c r="H1232" s="1" t="s">
        <v>56</v>
      </c>
      <c r="I1232" s="1" t="s">
        <v>108</v>
      </c>
      <c r="J1232" s="58">
        <v>12225775</v>
      </c>
      <c r="K1232" s="1" t="s">
        <v>112</v>
      </c>
      <c r="N1232" s="1">
        <v>1</v>
      </c>
      <c r="O1232" s="58"/>
      <c r="P1232" s="58">
        <v>107586.82</v>
      </c>
      <c r="Q1232" t="s">
        <v>107</v>
      </c>
      <c r="R1232" s="1" t="s">
        <v>158</v>
      </c>
    </row>
    <row r="1233" spans="3:18" x14ac:dyDescent="0.35">
      <c r="C1233" t="s">
        <v>53</v>
      </c>
      <c r="D1233" t="s">
        <v>21</v>
      </c>
      <c r="E1233" t="s">
        <v>49</v>
      </c>
      <c r="F1233" t="s">
        <v>46</v>
      </c>
      <c r="G1233" s="58">
        <v>1340975</v>
      </c>
      <c r="H1233" s="1" t="s">
        <v>48</v>
      </c>
      <c r="I1233" s="1" t="s">
        <v>105</v>
      </c>
      <c r="J1233" s="58">
        <v>5363900</v>
      </c>
      <c r="K1233" s="1" t="s">
        <v>106</v>
      </c>
      <c r="L1233" s="1" t="s">
        <v>124</v>
      </c>
      <c r="M1233" s="1" t="s">
        <v>126</v>
      </c>
      <c r="N1233" s="1">
        <v>1</v>
      </c>
      <c r="O1233" s="58"/>
      <c r="P1233" s="58">
        <v>724126.5</v>
      </c>
      <c r="Q1233" t="s">
        <v>113</v>
      </c>
      <c r="R1233" s="1" t="s">
        <v>48</v>
      </c>
    </row>
    <row r="1234" spans="3:18" x14ac:dyDescent="0.35">
      <c r="C1234" t="s">
        <v>51</v>
      </c>
      <c r="D1234" t="s">
        <v>20</v>
      </c>
      <c r="E1234" t="s">
        <v>49</v>
      </c>
      <c r="F1234" t="s">
        <v>46</v>
      </c>
      <c r="G1234" s="58">
        <v>5000477</v>
      </c>
      <c r="H1234" s="1" t="s">
        <v>59</v>
      </c>
      <c r="I1234" s="1" t="s">
        <v>111</v>
      </c>
      <c r="J1234" s="58">
        <v>60005724</v>
      </c>
      <c r="K1234" s="1" t="s">
        <v>112</v>
      </c>
      <c r="N1234" s="1">
        <v>1</v>
      </c>
      <c r="O1234" s="58"/>
      <c r="P1234" s="58">
        <v>4350414.99</v>
      </c>
      <c r="Q1234" t="s">
        <v>127</v>
      </c>
      <c r="R1234" s="1" t="s">
        <v>158</v>
      </c>
    </row>
    <row r="1235" spans="3:18" x14ac:dyDescent="0.35">
      <c r="C1235" t="s">
        <v>51</v>
      </c>
      <c r="D1235" t="s">
        <v>24</v>
      </c>
      <c r="E1235" t="s">
        <v>55</v>
      </c>
      <c r="F1235" t="s">
        <v>46</v>
      </c>
      <c r="G1235" s="58">
        <v>92954</v>
      </c>
      <c r="H1235" s="1" t="s">
        <v>48</v>
      </c>
      <c r="I1235" s="1" t="s">
        <v>108</v>
      </c>
      <c r="J1235" s="58">
        <v>3253390</v>
      </c>
      <c r="K1235" s="1" t="s">
        <v>106</v>
      </c>
      <c r="L1235" s="1" t="s">
        <v>120</v>
      </c>
      <c r="M1235" s="1" t="s">
        <v>121</v>
      </c>
      <c r="N1235" s="1">
        <v>1</v>
      </c>
      <c r="O1235" s="58"/>
      <c r="P1235" s="58">
        <v>96672.16</v>
      </c>
      <c r="Q1235" t="s">
        <v>110</v>
      </c>
      <c r="R1235" s="1" t="s">
        <v>158</v>
      </c>
    </row>
    <row r="1236" spans="3:18" x14ac:dyDescent="0.35">
      <c r="C1236" t="s">
        <v>51</v>
      </c>
      <c r="D1236" t="s">
        <v>20</v>
      </c>
      <c r="E1236" t="s">
        <v>49</v>
      </c>
      <c r="F1236" t="s">
        <v>46</v>
      </c>
      <c r="G1236" s="58">
        <v>450033</v>
      </c>
      <c r="H1236" s="1" t="s">
        <v>54</v>
      </c>
      <c r="I1236" s="1" t="s">
        <v>111</v>
      </c>
      <c r="J1236" s="58">
        <v>7650561</v>
      </c>
      <c r="K1236" s="1" t="s">
        <v>112</v>
      </c>
      <c r="N1236" s="1">
        <v>1</v>
      </c>
      <c r="O1236" s="58"/>
      <c r="P1236" s="58">
        <v>126009.24</v>
      </c>
      <c r="Q1236" t="s">
        <v>107</v>
      </c>
      <c r="R1236" s="1" t="s">
        <v>158</v>
      </c>
    </row>
    <row r="1237" spans="3:18" x14ac:dyDescent="0.35">
      <c r="C1237" t="s">
        <v>51</v>
      </c>
      <c r="D1237" t="s">
        <v>21</v>
      </c>
      <c r="E1237" t="s">
        <v>49</v>
      </c>
      <c r="F1237" t="s">
        <v>46</v>
      </c>
      <c r="G1237" s="58">
        <v>53972</v>
      </c>
      <c r="H1237" s="1" t="s">
        <v>47</v>
      </c>
      <c r="I1237" s="1" t="s">
        <v>119</v>
      </c>
      <c r="J1237" s="58">
        <v>431776</v>
      </c>
      <c r="K1237" s="1" t="s">
        <v>106</v>
      </c>
      <c r="L1237" s="1" t="s">
        <v>109</v>
      </c>
      <c r="N1237" s="1">
        <v>1</v>
      </c>
      <c r="O1237" s="58"/>
      <c r="P1237" s="58">
        <v>17810.759999999998</v>
      </c>
      <c r="Q1237" t="s">
        <v>107</v>
      </c>
      <c r="R1237" s="1" t="s">
        <v>158</v>
      </c>
    </row>
    <row r="1238" spans="3:18" x14ac:dyDescent="0.35">
      <c r="C1238" t="s">
        <v>51</v>
      </c>
      <c r="D1238" t="s">
        <v>60</v>
      </c>
      <c r="E1238" t="s">
        <v>60</v>
      </c>
      <c r="F1238" t="s">
        <v>64</v>
      </c>
      <c r="G1238" s="58">
        <v>2956</v>
      </c>
      <c r="H1238" s="1" t="s">
        <v>90</v>
      </c>
      <c r="I1238" s="1" t="s">
        <v>108</v>
      </c>
      <c r="J1238" s="58">
        <v>59120</v>
      </c>
      <c r="K1238" s="1" t="s">
        <v>106</v>
      </c>
      <c r="N1238" s="1">
        <v>1</v>
      </c>
      <c r="O1238" s="58"/>
      <c r="P1238" s="58">
        <v>2630.84</v>
      </c>
      <c r="Q1238" t="s">
        <v>127</v>
      </c>
      <c r="R1238" s="1" t="s">
        <v>90</v>
      </c>
    </row>
    <row r="1239" spans="3:18" x14ac:dyDescent="0.35">
      <c r="C1239" t="s">
        <v>51</v>
      </c>
      <c r="D1239" t="s">
        <v>22</v>
      </c>
      <c r="E1239" t="s">
        <v>49</v>
      </c>
      <c r="F1239" t="s">
        <v>46</v>
      </c>
      <c r="G1239" s="58">
        <v>65835503</v>
      </c>
      <c r="H1239" s="1" t="s">
        <v>47</v>
      </c>
      <c r="I1239" s="1" t="s">
        <v>108</v>
      </c>
      <c r="J1239" s="58">
        <v>1711723078</v>
      </c>
      <c r="K1239" s="1" t="s">
        <v>106</v>
      </c>
      <c r="L1239" s="1" t="s">
        <v>124</v>
      </c>
      <c r="N1239" s="1">
        <v>1</v>
      </c>
      <c r="O1239" s="58"/>
      <c r="P1239" s="58">
        <v>33576106.530000001</v>
      </c>
      <c r="Q1239" t="s">
        <v>113</v>
      </c>
      <c r="R1239" s="1" t="s">
        <v>158</v>
      </c>
    </row>
    <row r="1240" spans="3:18" x14ac:dyDescent="0.35">
      <c r="C1240" t="s">
        <v>51</v>
      </c>
      <c r="D1240" t="s">
        <v>23</v>
      </c>
      <c r="E1240" t="s">
        <v>55</v>
      </c>
      <c r="F1240" t="s">
        <v>46</v>
      </c>
      <c r="G1240" s="58">
        <v>407953</v>
      </c>
      <c r="H1240" s="1" t="s">
        <v>54</v>
      </c>
      <c r="I1240" s="1" t="s">
        <v>108</v>
      </c>
      <c r="J1240" s="58">
        <v>12646543</v>
      </c>
      <c r="K1240" s="1" t="s">
        <v>112</v>
      </c>
      <c r="N1240" s="1">
        <v>1</v>
      </c>
      <c r="O1240" s="58"/>
      <c r="P1240" s="58">
        <v>155022.14000000001</v>
      </c>
      <c r="Q1240" t="s">
        <v>107</v>
      </c>
      <c r="R1240" s="1" t="s">
        <v>158</v>
      </c>
    </row>
    <row r="1241" spans="3:18" x14ac:dyDescent="0.35">
      <c r="C1241" t="s">
        <v>51</v>
      </c>
      <c r="D1241" t="s">
        <v>91</v>
      </c>
      <c r="E1241" t="s">
        <v>49</v>
      </c>
      <c r="F1241" t="s">
        <v>46</v>
      </c>
      <c r="G1241" s="58">
        <v>19827</v>
      </c>
      <c r="H1241" s="1" t="s">
        <v>47</v>
      </c>
      <c r="I1241" s="1" t="s">
        <v>108</v>
      </c>
      <c r="J1241" s="58">
        <v>416367</v>
      </c>
      <c r="K1241" s="1" t="s">
        <v>106</v>
      </c>
      <c r="L1241" s="1" t="s">
        <v>114</v>
      </c>
      <c r="N1241" s="1">
        <v>1</v>
      </c>
      <c r="O1241" s="58"/>
      <c r="P1241" s="58">
        <v>29740.5</v>
      </c>
      <c r="Q1241" t="s">
        <v>110</v>
      </c>
      <c r="R1241" s="1" t="s">
        <v>158</v>
      </c>
    </row>
    <row r="1242" spans="3:18" x14ac:dyDescent="0.35">
      <c r="C1242" t="s">
        <v>51</v>
      </c>
      <c r="D1242" t="s">
        <v>23</v>
      </c>
      <c r="E1242" t="s">
        <v>55</v>
      </c>
      <c r="F1242" t="s">
        <v>46</v>
      </c>
      <c r="G1242" s="58">
        <v>7028305</v>
      </c>
      <c r="H1242" s="1" t="s">
        <v>48</v>
      </c>
      <c r="I1242" s="1" t="s">
        <v>108</v>
      </c>
      <c r="J1242" s="58">
        <v>224905760</v>
      </c>
      <c r="K1242" s="1" t="s">
        <v>112</v>
      </c>
      <c r="N1242" s="1">
        <v>1</v>
      </c>
      <c r="O1242" s="58"/>
      <c r="P1242" s="58">
        <v>4849530.45</v>
      </c>
      <c r="Q1242" t="s">
        <v>118</v>
      </c>
      <c r="R1242" s="1" t="s">
        <v>158</v>
      </c>
    </row>
    <row r="1243" spans="3:18" x14ac:dyDescent="0.35">
      <c r="C1243" t="s">
        <v>53</v>
      </c>
      <c r="D1243" t="s">
        <v>20</v>
      </c>
      <c r="E1243" t="s">
        <v>45</v>
      </c>
      <c r="F1243" t="s">
        <v>46</v>
      </c>
      <c r="G1243" s="58">
        <v>914820</v>
      </c>
      <c r="H1243" s="1" t="s">
        <v>59</v>
      </c>
      <c r="I1243" s="1" t="s">
        <v>119</v>
      </c>
      <c r="J1243" s="58">
        <v>8233380</v>
      </c>
      <c r="K1243" s="1" t="s">
        <v>106</v>
      </c>
      <c r="L1243" s="1" t="s">
        <v>120</v>
      </c>
      <c r="N1243" s="1">
        <v>1</v>
      </c>
      <c r="O1243" s="58"/>
      <c r="P1243" s="58">
        <v>750152.4</v>
      </c>
      <c r="Q1243" t="s">
        <v>127</v>
      </c>
      <c r="R1243" s="1" t="s">
        <v>158</v>
      </c>
    </row>
    <row r="1244" spans="3:18" x14ac:dyDescent="0.35">
      <c r="C1244" t="s">
        <v>53</v>
      </c>
      <c r="D1244" t="s">
        <v>21</v>
      </c>
      <c r="E1244" t="s">
        <v>49</v>
      </c>
      <c r="F1244" t="s">
        <v>46</v>
      </c>
      <c r="G1244" s="58">
        <v>31960</v>
      </c>
      <c r="H1244" s="1" t="s">
        <v>56</v>
      </c>
      <c r="I1244" s="1" t="s">
        <v>111</v>
      </c>
      <c r="J1244" s="58">
        <v>511360</v>
      </c>
      <c r="K1244" s="1" t="s">
        <v>106</v>
      </c>
      <c r="L1244" s="1" t="s">
        <v>124</v>
      </c>
      <c r="N1244" s="1">
        <v>1</v>
      </c>
      <c r="O1244" s="58"/>
      <c r="P1244" s="58">
        <v>47940</v>
      </c>
      <c r="Q1244" t="s">
        <v>110</v>
      </c>
      <c r="R1244" s="1" t="s">
        <v>158</v>
      </c>
    </row>
    <row r="1245" spans="3:18" x14ac:dyDescent="0.35">
      <c r="C1245" t="s">
        <v>53</v>
      </c>
      <c r="D1245" t="s">
        <v>23</v>
      </c>
      <c r="E1245" t="s">
        <v>55</v>
      </c>
      <c r="F1245" t="s">
        <v>46</v>
      </c>
      <c r="G1245" s="58">
        <v>3679</v>
      </c>
      <c r="H1245" s="1" t="s">
        <v>54</v>
      </c>
      <c r="I1245" s="1" t="s">
        <v>111</v>
      </c>
      <c r="J1245" s="58">
        <v>66222</v>
      </c>
      <c r="K1245" s="1" t="s">
        <v>106</v>
      </c>
      <c r="L1245" s="1" t="s">
        <v>114</v>
      </c>
      <c r="N1245" s="1">
        <v>1</v>
      </c>
      <c r="O1245" s="58"/>
      <c r="P1245" s="58">
        <v>2685.67</v>
      </c>
      <c r="Q1245" t="s">
        <v>118</v>
      </c>
      <c r="R1245" s="1" t="s">
        <v>158</v>
      </c>
    </row>
    <row r="1246" spans="3:18" x14ac:dyDescent="0.35">
      <c r="C1246" t="s">
        <v>51</v>
      </c>
      <c r="D1246" t="s">
        <v>92</v>
      </c>
      <c r="E1246" t="s">
        <v>49</v>
      </c>
      <c r="F1246" t="s">
        <v>46</v>
      </c>
      <c r="G1246" s="58">
        <v>566896</v>
      </c>
      <c r="H1246" s="1" t="s">
        <v>48</v>
      </c>
      <c r="I1246" s="1" t="s">
        <v>108</v>
      </c>
      <c r="J1246" s="58">
        <v>22108944</v>
      </c>
      <c r="K1246" s="1" t="s">
        <v>106</v>
      </c>
      <c r="L1246" s="1" t="s">
        <v>120</v>
      </c>
      <c r="M1246" s="1" t="s">
        <v>123</v>
      </c>
      <c r="N1246" s="1">
        <v>1</v>
      </c>
      <c r="O1246" s="58"/>
      <c r="P1246" s="58">
        <v>476192.64</v>
      </c>
      <c r="Q1246" t="s">
        <v>127</v>
      </c>
      <c r="R1246" s="1" t="s">
        <v>48</v>
      </c>
    </row>
    <row r="1247" spans="3:18" x14ac:dyDescent="0.35">
      <c r="C1247" t="s">
        <v>53</v>
      </c>
      <c r="D1247" t="s">
        <v>21</v>
      </c>
      <c r="E1247" t="s">
        <v>49</v>
      </c>
      <c r="F1247" t="s">
        <v>46</v>
      </c>
      <c r="G1247" s="58">
        <v>791161</v>
      </c>
      <c r="H1247" s="1" t="s">
        <v>54</v>
      </c>
      <c r="I1247" s="1" t="s">
        <v>119</v>
      </c>
      <c r="J1247" s="58">
        <v>7911610</v>
      </c>
      <c r="K1247" s="1" t="s">
        <v>112</v>
      </c>
      <c r="N1247" s="1">
        <v>1</v>
      </c>
      <c r="O1247" s="58"/>
      <c r="P1247" s="58">
        <v>356022.45</v>
      </c>
      <c r="Q1247" t="s">
        <v>113</v>
      </c>
      <c r="R1247" s="1" t="s">
        <v>158</v>
      </c>
    </row>
    <row r="1248" spans="3:18" x14ac:dyDescent="0.35">
      <c r="C1248" t="s">
        <v>53</v>
      </c>
      <c r="D1248" t="s">
        <v>21</v>
      </c>
      <c r="E1248" t="s">
        <v>49</v>
      </c>
      <c r="F1248" t="s">
        <v>46</v>
      </c>
      <c r="G1248" s="58">
        <v>961333</v>
      </c>
      <c r="H1248" s="1" t="s">
        <v>47</v>
      </c>
      <c r="I1248" s="1" t="s">
        <v>119</v>
      </c>
      <c r="J1248" s="58">
        <v>6729331</v>
      </c>
      <c r="K1248" s="1" t="s">
        <v>106</v>
      </c>
      <c r="L1248" s="1" t="s">
        <v>120</v>
      </c>
      <c r="N1248" s="1">
        <v>1</v>
      </c>
      <c r="O1248" s="58"/>
      <c r="P1248" s="58">
        <v>269173.24</v>
      </c>
      <c r="Q1248" t="s">
        <v>107</v>
      </c>
      <c r="R1248" s="1" t="s">
        <v>158</v>
      </c>
    </row>
    <row r="1249" spans="3:18" x14ac:dyDescent="0.35">
      <c r="C1249" t="s">
        <v>51</v>
      </c>
      <c r="D1249" t="s">
        <v>92</v>
      </c>
      <c r="E1249" t="s">
        <v>45</v>
      </c>
      <c r="F1249" t="s">
        <v>46</v>
      </c>
      <c r="G1249" s="58">
        <v>145495</v>
      </c>
      <c r="H1249" s="1" t="s">
        <v>48</v>
      </c>
      <c r="I1249" s="1" t="s">
        <v>108</v>
      </c>
      <c r="J1249" s="58">
        <v>4510345</v>
      </c>
      <c r="K1249" s="1" t="s">
        <v>106</v>
      </c>
      <c r="L1249" s="1" t="s">
        <v>120</v>
      </c>
      <c r="M1249" s="1" t="s">
        <v>115</v>
      </c>
      <c r="N1249" s="1">
        <v>1</v>
      </c>
      <c r="O1249" s="58"/>
      <c r="P1249" s="58">
        <v>85842.05</v>
      </c>
      <c r="Q1249" t="s">
        <v>113</v>
      </c>
      <c r="R1249" s="1" t="s">
        <v>48</v>
      </c>
    </row>
    <row r="1250" spans="3:18" x14ac:dyDescent="0.35">
      <c r="C1250" t="s">
        <v>53</v>
      </c>
      <c r="D1250" t="s">
        <v>20</v>
      </c>
      <c r="E1250" t="s">
        <v>45</v>
      </c>
      <c r="F1250" t="s">
        <v>46</v>
      </c>
      <c r="G1250" s="58">
        <v>902145</v>
      </c>
      <c r="H1250" s="1" t="s">
        <v>47</v>
      </c>
      <c r="I1250" s="1" t="s">
        <v>128</v>
      </c>
      <c r="J1250" s="58"/>
      <c r="K1250" s="1" t="s">
        <v>106</v>
      </c>
      <c r="L1250" s="1" t="s">
        <v>120</v>
      </c>
      <c r="N1250" s="1">
        <v>0</v>
      </c>
      <c r="O1250" s="58"/>
      <c r="P1250" s="58">
        <v>36085.800000000003</v>
      </c>
      <c r="Q1250" t="s">
        <v>107</v>
      </c>
      <c r="R1250" s="1" t="s">
        <v>158</v>
      </c>
    </row>
    <row r="1251" spans="3:18" x14ac:dyDescent="0.35">
      <c r="C1251" t="s">
        <v>51</v>
      </c>
      <c r="D1251" t="s">
        <v>23</v>
      </c>
      <c r="E1251" t="s">
        <v>45</v>
      </c>
      <c r="F1251" t="s">
        <v>46</v>
      </c>
      <c r="G1251" s="58">
        <v>348253</v>
      </c>
      <c r="H1251" s="1" t="s">
        <v>48</v>
      </c>
      <c r="I1251" s="1" t="s">
        <v>111</v>
      </c>
      <c r="J1251" s="58">
        <v>5572048</v>
      </c>
      <c r="K1251" s="1" t="s">
        <v>112</v>
      </c>
      <c r="N1251" s="1">
        <v>1</v>
      </c>
      <c r="O1251" s="58"/>
      <c r="P1251" s="58">
        <v>174126.5</v>
      </c>
      <c r="Q1251" t="s">
        <v>113</v>
      </c>
      <c r="R1251" s="1" t="s">
        <v>158</v>
      </c>
    </row>
    <row r="1252" spans="3:18" x14ac:dyDescent="0.35">
      <c r="C1252" t="s">
        <v>51</v>
      </c>
      <c r="D1252" t="s">
        <v>21</v>
      </c>
      <c r="E1252" t="s">
        <v>45</v>
      </c>
      <c r="F1252" t="s">
        <v>46</v>
      </c>
      <c r="G1252" s="58">
        <v>258377</v>
      </c>
      <c r="H1252" s="1" t="s">
        <v>56</v>
      </c>
      <c r="I1252" s="1" t="s">
        <v>111</v>
      </c>
      <c r="J1252" s="58">
        <v>4650786</v>
      </c>
      <c r="K1252" s="1" t="s">
        <v>112</v>
      </c>
      <c r="N1252" s="1">
        <v>1</v>
      </c>
      <c r="O1252" s="58"/>
      <c r="P1252" s="58">
        <v>82680.639999999999</v>
      </c>
      <c r="Q1252" t="s">
        <v>107</v>
      </c>
      <c r="R1252" s="1" t="s">
        <v>158</v>
      </c>
    </row>
    <row r="1253" spans="3:18" x14ac:dyDescent="0.35">
      <c r="C1253" t="s">
        <v>53</v>
      </c>
      <c r="D1253" t="s">
        <v>20</v>
      </c>
      <c r="E1253" t="s">
        <v>45</v>
      </c>
      <c r="F1253" t="s">
        <v>46</v>
      </c>
      <c r="G1253" s="58">
        <v>243840</v>
      </c>
      <c r="H1253" s="1" t="s">
        <v>47</v>
      </c>
      <c r="I1253" s="1" t="s">
        <v>105</v>
      </c>
      <c r="J1253" s="58">
        <v>731520</v>
      </c>
      <c r="K1253" s="1" t="s">
        <v>106</v>
      </c>
      <c r="L1253" s="1" t="s">
        <v>120</v>
      </c>
      <c r="N1253" s="1">
        <v>1</v>
      </c>
      <c r="O1253" s="58"/>
      <c r="P1253" s="58">
        <v>153619.20000000001</v>
      </c>
      <c r="Q1253" t="s">
        <v>118</v>
      </c>
      <c r="R1253" s="1" t="s">
        <v>158</v>
      </c>
    </row>
    <row r="1254" spans="3:18" x14ac:dyDescent="0.35">
      <c r="C1254" t="s">
        <v>53</v>
      </c>
      <c r="D1254" t="s">
        <v>92</v>
      </c>
      <c r="E1254" t="s">
        <v>49</v>
      </c>
      <c r="F1254" t="s">
        <v>46</v>
      </c>
      <c r="G1254" s="58">
        <v>3899094</v>
      </c>
      <c r="H1254" s="1" t="s">
        <v>54</v>
      </c>
      <c r="I1254" s="1" t="s">
        <v>119</v>
      </c>
      <c r="J1254" s="58">
        <v>27293658</v>
      </c>
      <c r="K1254" s="1" t="s">
        <v>106</v>
      </c>
      <c r="L1254" s="1" t="s">
        <v>124</v>
      </c>
      <c r="N1254" s="1">
        <v>1</v>
      </c>
      <c r="O1254" s="58"/>
      <c r="P1254" s="58">
        <v>857800.68</v>
      </c>
      <c r="Q1254" t="s">
        <v>107</v>
      </c>
      <c r="R1254" s="1" t="s">
        <v>158</v>
      </c>
    </row>
    <row r="1255" spans="3:18" x14ac:dyDescent="0.35">
      <c r="C1255" t="s">
        <v>51</v>
      </c>
      <c r="D1255" t="s">
        <v>24</v>
      </c>
      <c r="E1255" t="s">
        <v>55</v>
      </c>
      <c r="F1255" t="s">
        <v>46</v>
      </c>
      <c r="G1255" s="58">
        <v>8814</v>
      </c>
      <c r="H1255" s="1" t="s">
        <v>59</v>
      </c>
      <c r="I1255" s="1" t="s">
        <v>105</v>
      </c>
      <c r="J1255" s="58">
        <v>35256</v>
      </c>
      <c r="K1255" s="1" t="s">
        <v>106</v>
      </c>
      <c r="L1255" s="1" t="s">
        <v>114</v>
      </c>
      <c r="N1255" s="1">
        <v>1</v>
      </c>
      <c r="O1255" s="58"/>
      <c r="P1255" s="58">
        <v>6786.78</v>
      </c>
      <c r="Q1255" t="s">
        <v>118</v>
      </c>
      <c r="R1255" s="1" t="s">
        <v>158</v>
      </c>
    </row>
    <row r="1256" spans="3:18" x14ac:dyDescent="0.35">
      <c r="C1256" t="s">
        <v>51</v>
      </c>
      <c r="D1256" t="s">
        <v>21</v>
      </c>
      <c r="E1256" t="s">
        <v>49</v>
      </c>
      <c r="F1256" t="s">
        <v>46</v>
      </c>
      <c r="G1256" s="58">
        <v>550767</v>
      </c>
      <c r="H1256" s="1" t="s">
        <v>48</v>
      </c>
      <c r="I1256" s="1" t="s">
        <v>128</v>
      </c>
      <c r="J1256" s="58"/>
      <c r="K1256" s="1" t="s">
        <v>106</v>
      </c>
      <c r="L1256" s="1" t="s">
        <v>124</v>
      </c>
      <c r="M1256" s="1" t="s">
        <v>126</v>
      </c>
      <c r="N1256" s="1">
        <v>0</v>
      </c>
      <c r="O1256" s="58"/>
      <c r="P1256" s="58">
        <v>385536.9</v>
      </c>
      <c r="Q1256" t="s">
        <v>118</v>
      </c>
      <c r="R1256" s="1" t="s">
        <v>158</v>
      </c>
    </row>
    <row r="1257" spans="3:18" x14ac:dyDescent="0.35">
      <c r="C1257" t="s">
        <v>51</v>
      </c>
      <c r="D1257" t="s">
        <v>20</v>
      </c>
      <c r="E1257" t="s">
        <v>49</v>
      </c>
      <c r="F1257" t="s">
        <v>46</v>
      </c>
      <c r="G1257" s="58">
        <v>481256</v>
      </c>
      <c r="H1257" s="1" t="s">
        <v>48</v>
      </c>
      <c r="I1257" s="1" t="s">
        <v>119</v>
      </c>
      <c r="J1257" s="58">
        <v>4812560</v>
      </c>
      <c r="K1257" s="1" t="s">
        <v>112</v>
      </c>
      <c r="N1257" s="1">
        <v>1</v>
      </c>
      <c r="O1257" s="58"/>
      <c r="P1257" s="58">
        <v>240628</v>
      </c>
      <c r="Q1257" t="s">
        <v>113</v>
      </c>
      <c r="R1257" s="1" t="s">
        <v>48</v>
      </c>
    </row>
    <row r="1258" spans="3:18" x14ac:dyDescent="0.35">
      <c r="C1258" t="s">
        <v>51</v>
      </c>
      <c r="D1258" t="s">
        <v>20</v>
      </c>
      <c r="E1258" t="s">
        <v>49</v>
      </c>
      <c r="F1258" t="s">
        <v>46</v>
      </c>
      <c r="G1258" s="58">
        <v>620142</v>
      </c>
      <c r="H1258" s="1" t="s">
        <v>48</v>
      </c>
      <c r="I1258" s="1" t="s">
        <v>108</v>
      </c>
      <c r="J1258" s="58">
        <v>24185538</v>
      </c>
      <c r="K1258" s="1" t="s">
        <v>106</v>
      </c>
      <c r="L1258" s="1" t="s">
        <v>120</v>
      </c>
      <c r="M1258" s="1" t="s">
        <v>123</v>
      </c>
      <c r="N1258" s="1">
        <v>1</v>
      </c>
      <c r="O1258" s="58"/>
      <c r="P1258" s="58">
        <v>477509.34</v>
      </c>
      <c r="Q1258" t="s">
        <v>118</v>
      </c>
      <c r="R1258" s="1" t="s">
        <v>48</v>
      </c>
    </row>
    <row r="1259" spans="3:18" x14ac:dyDescent="0.35">
      <c r="C1259" t="s">
        <v>53</v>
      </c>
      <c r="D1259" t="s">
        <v>91</v>
      </c>
      <c r="E1259" t="s">
        <v>49</v>
      </c>
      <c r="F1259" t="s">
        <v>46</v>
      </c>
      <c r="G1259" s="58">
        <v>1030273</v>
      </c>
      <c r="H1259" s="1" t="s">
        <v>47</v>
      </c>
      <c r="I1259" s="1" t="s">
        <v>119</v>
      </c>
      <c r="J1259" s="58">
        <v>9272457</v>
      </c>
      <c r="K1259" s="1" t="s">
        <v>106</v>
      </c>
      <c r="L1259" s="1" t="s">
        <v>124</v>
      </c>
      <c r="N1259" s="1">
        <v>1</v>
      </c>
      <c r="O1259" s="58"/>
      <c r="P1259" s="58">
        <v>772704.75</v>
      </c>
      <c r="Q1259" t="s">
        <v>118</v>
      </c>
      <c r="R1259" s="1" t="s">
        <v>158</v>
      </c>
    </row>
    <row r="1260" spans="3:18" x14ac:dyDescent="0.35">
      <c r="C1260" t="s">
        <v>51</v>
      </c>
      <c r="D1260" t="s">
        <v>24</v>
      </c>
      <c r="E1260" t="s">
        <v>45</v>
      </c>
      <c r="F1260" t="s">
        <v>46</v>
      </c>
      <c r="G1260" s="58">
        <v>2729517</v>
      </c>
      <c r="H1260" s="1" t="s">
        <v>47</v>
      </c>
      <c r="I1260" s="1" t="s">
        <v>111</v>
      </c>
      <c r="J1260" s="58">
        <v>38213238</v>
      </c>
      <c r="K1260" s="1" t="s">
        <v>106</v>
      </c>
      <c r="L1260" s="1" t="s">
        <v>120</v>
      </c>
      <c r="N1260" s="1">
        <v>1</v>
      </c>
      <c r="O1260" s="58"/>
      <c r="P1260" s="58">
        <v>627788.91</v>
      </c>
      <c r="Q1260" t="s">
        <v>107</v>
      </c>
      <c r="R1260" s="1" t="s">
        <v>158</v>
      </c>
    </row>
    <row r="1261" spans="3:18" x14ac:dyDescent="0.35">
      <c r="C1261" t="s">
        <v>51</v>
      </c>
      <c r="D1261" t="s">
        <v>21</v>
      </c>
      <c r="E1261" t="s">
        <v>55</v>
      </c>
      <c r="F1261" t="s">
        <v>46</v>
      </c>
      <c r="G1261" s="58">
        <v>17678916</v>
      </c>
      <c r="H1261" s="1" t="s">
        <v>48</v>
      </c>
      <c r="I1261" s="1" t="s">
        <v>108</v>
      </c>
      <c r="J1261" s="58">
        <v>636440976</v>
      </c>
      <c r="K1261" s="1" t="s">
        <v>106</v>
      </c>
      <c r="L1261" s="1" t="s">
        <v>114</v>
      </c>
      <c r="M1261" s="1" t="s">
        <v>126</v>
      </c>
      <c r="N1261" s="1">
        <v>1</v>
      </c>
      <c r="O1261" s="58"/>
      <c r="P1261" s="58">
        <v>14850289.439999999</v>
      </c>
      <c r="Q1261" t="s">
        <v>127</v>
      </c>
      <c r="R1261" s="1" t="s">
        <v>48</v>
      </c>
    </row>
    <row r="1262" spans="3:18" x14ac:dyDescent="0.35">
      <c r="C1262" t="s">
        <v>53</v>
      </c>
      <c r="D1262" t="s">
        <v>20</v>
      </c>
      <c r="E1262" t="s">
        <v>49</v>
      </c>
      <c r="F1262" t="s">
        <v>46</v>
      </c>
      <c r="G1262" s="58">
        <v>11550741</v>
      </c>
      <c r="H1262" s="1" t="s">
        <v>47</v>
      </c>
      <c r="I1262" s="1" t="s">
        <v>105</v>
      </c>
      <c r="J1262" s="58">
        <v>23101482</v>
      </c>
      <c r="K1262" s="1" t="s">
        <v>106</v>
      </c>
      <c r="L1262" s="1" t="s">
        <v>124</v>
      </c>
      <c r="N1262" s="1">
        <v>1</v>
      </c>
      <c r="O1262" s="58"/>
      <c r="P1262" s="58">
        <v>1732611.15</v>
      </c>
      <c r="Q1262" t="s">
        <v>107</v>
      </c>
      <c r="R1262" s="1" t="s">
        <v>158</v>
      </c>
    </row>
    <row r="1263" spans="3:18" x14ac:dyDescent="0.35">
      <c r="C1263" t="s">
        <v>53</v>
      </c>
      <c r="D1263" t="s">
        <v>21</v>
      </c>
      <c r="E1263" t="s">
        <v>49</v>
      </c>
      <c r="F1263" t="s">
        <v>46</v>
      </c>
      <c r="G1263" s="58">
        <v>808177</v>
      </c>
      <c r="H1263" s="1" t="s">
        <v>59</v>
      </c>
      <c r="I1263" s="1" t="s">
        <v>119</v>
      </c>
      <c r="J1263" s="58">
        <v>5657239</v>
      </c>
      <c r="K1263" s="1" t="s">
        <v>106</v>
      </c>
      <c r="L1263" s="1" t="s">
        <v>124</v>
      </c>
      <c r="N1263" s="1">
        <v>1</v>
      </c>
      <c r="O1263" s="58"/>
      <c r="P1263" s="58">
        <v>129308.32</v>
      </c>
      <c r="Q1263" t="s">
        <v>107</v>
      </c>
      <c r="R1263" s="1" t="s">
        <v>158</v>
      </c>
    </row>
    <row r="1264" spans="3:18" x14ac:dyDescent="0.35">
      <c r="C1264" t="s">
        <v>53</v>
      </c>
      <c r="D1264" t="s">
        <v>21</v>
      </c>
      <c r="E1264" t="s">
        <v>49</v>
      </c>
      <c r="F1264" t="s">
        <v>46</v>
      </c>
      <c r="G1264" s="58">
        <v>474116</v>
      </c>
      <c r="H1264" s="1" t="s">
        <v>56</v>
      </c>
      <c r="I1264" s="1" t="s">
        <v>111</v>
      </c>
      <c r="J1264" s="58">
        <v>5689392</v>
      </c>
      <c r="K1264" s="1" t="s">
        <v>106</v>
      </c>
      <c r="L1264" s="1" t="s">
        <v>124</v>
      </c>
      <c r="N1264" s="1">
        <v>1</v>
      </c>
      <c r="O1264" s="58"/>
      <c r="P1264" s="58">
        <v>341363.52</v>
      </c>
      <c r="Q1264" t="s">
        <v>118</v>
      </c>
      <c r="R1264" s="1" t="s">
        <v>158</v>
      </c>
    </row>
    <row r="1265" spans="3:18" x14ac:dyDescent="0.35">
      <c r="C1265" t="s">
        <v>51</v>
      </c>
      <c r="D1265" t="s">
        <v>20</v>
      </c>
      <c r="E1265" t="s">
        <v>49</v>
      </c>
      <c r="F1265" t="s">
        <v>46</v>
      </c>
      <c r="G1265" s="58">
        <v>111175</v>
      </c>
      <c r="H1265" s="1" t="s">
        <v>54</v>
      </c>
      <c r="I1265" s="1" t="s">
        <v>111</v>
      </c>
      <c r="J1265" s="58">
        <v>1778800</v>
      </c>
      <c r="K1265" s="1" t="s">
        <v>106</v>
      </c>
      <c r="L1265" s="1" t="s">
        <v>124</v>
      </c>
      <c r="N1265" s="1">
        <v>1</v>
      </c>
      <c r="O1265" s="58"/>
      <c r="P1265" s="58">
        <v>128963</v>
      </c>
      <c r="Q1265" t="s">
        <v>110</v>
      </c>
      <c r="R1265" s="1" t="s">
        <v>158</v>
      </c>
    </row>
    <row r="1266" spans="3:18" x14ac:dyDescent="0.35">
      <c r="C1266" t="s">
        <v>51</v>
      </c>
      <c r="D1266" t="s">
        <v>24</v>
      </c>
      <c r="E1266" t="s">
        <v>55</v>
      </c>
      <c r="F1266" t="s">
        <v>46</v>
      </c>
      <c r="G1266" s="58">
        <v>3657350</v>
      </c>
      <c r="H1266" s="1" t="s">
        <v>48</v>
      </c>
      <c r="I1266" s="1" t="s">
        <v>108</v>
      </c>
      <c r="J1266" s="58">
        <v>106063150</v>
      </c>
      <c r="K1266" s="1" t="s">
        <v>106</v>
      </c>
      <c r="L1266" s="1" t="s">
        <v>114</v>
      </c>
      <c r="M1266" s="1" t="s">
        <v>121</v>
      </c>
      <c r="N1266" s="1">
        <v>1</v>
      </c>
      <c r="O1266" s="58"/>
      <c r="P1266" s="58">
        <v>1938395.5</v>
      </c>
      <c r="Q1266" t="s">
        <v>113</v>
      </c>
      <c r="R1266" s="1" t="s">
        <v>48</v>
      </c>
    </row>
    <row r="1267" spans="3:18" x14ac:dyDescent="0.35">
      <c r="C1267" t="s">
        <v>53</v>
      </c>
      <c r="D1267" t="s">
        <v>22</v>
      </c>
      <c r="E1267" t="s">
        <v>45</v>
      </c>
      <c r="F1267" t="s">
        <v>46</v>
      </c>
      <c r="G1267" s="58">
        <v>58212</v>
      </c>
      <c r="H1267" s="1" t="s">
        <v>47</v>
      </c>
      <c r="I1267" s="1" t="s">
        <v>111</v>
      </c>
      <c r="J1267" s="58">
        <v>756756</v>
      </c>
      <c r="K1267" s="1" t="s">
        <v>106</v>
      </c>
      <c r="L1267" s="1" t="s">
        <v>124</v>
      </c>
      <c r="N1267" s="1">
        <v>1</v>
      </c>
      <c r="O1267" s="58"/>
      <c r="P1267" s="58">
        <v>5239.08</v>
      </c>
      <c r="Q1267" t="s">
        <v>107</v>
      </c>
      <c r="R1267" s="1" t="s">
        <v>158</v>
      </c>
    </row>
    <row r="1268" spans="3:18" x14ac:dyDescent="0.35">
      <c r="C1268" t="s">
        <v>53</v>
      </c>
      <c r="D1268" t="s">
        <v>21</v>
      </c>
      <c r="E1268" t="s">
        <v>45</v>
      </c>
      <c r="F1268" t="s">
        <v>46</v>
      </c>
      <c r="G1268" s="58">
        <v>11778103</v>
      </c>
      <c r="H1268" s="1" t="s">
        <v>48</v>
      </c>
      <c r="I1268" s="1" t="s">
        <v>105</v>
      </c>
      <c r="J1268" s="58">
        <v>35334309</v>
      </c>
      <c r="K1268" s="1" t="s">
        <v>106</v>
      </c>
      <c r="L1268" s="1" t="s">
        <v>120</v>
      </c>
      <c r="M1268" s="1" t="s">
        <v>126</v>
      </c>
      <c r="N1268" s="1">
        <v>1</v>
      </c>
      <c r="O1268" s="58"/>
      <c r="P1268" s="58">
        <v>2473401.63</v>
      </c>
      <c r="Q1268" t="s">
        <v>107</v>
      </c>
      <c r="R1268" s="1" t="s">
        <v>158</v>
      </c>
    </row>
    <row r="1269" spans="3:18" x14ac:dyDescent="0.35">
      <c r="C1269" t="s">
        <v>53</v>
      </c>
      <c r="D1269" t="s">
        <v>22</v>
      </c>
      <c r="E1269" t="s">
        <v>45</v>
      </c>
      <c r="F1269" t="s">
        <v>46</v>
      </c>
      <c r="G1269" s="58">
        <v>385</v>
      </c>
      <c r="H1269" s="1" t="s">
        <v>48</v>
      </c>
      <c r="I1269" s="1" t="s">
        <v>105</v>
      </c>
      <c r="J1269" s="58"/>
      <c r="K1269" s="1" t="s">
        <v>106</v>
      </c>
      <c r="L1269" s="1" t="s">
        <v>120</v>
      </c>
      <c r="M1269" s="1" t="s">
        <v>115</v>
      </c>
      <c r="N1269" s="1">
        <v>0</v>
      </c>
      <c r="O1269" s="58"/>
      <c r="P1269" s="58">
        <v>0</v>
      </c>
      <c r="Q1269" t="s">
        <v>107</v>
      </c>
      <c r="R1269" s="1" t="s">
        <v>158</v>
      </c>
    </row>
    <row r="1270" spans="3:18" x14ac:dyDescent="0.35">
      <c r="C1270" t="s">
        <v>51</v>
      </c>
      <c r="D1270" t="s">
        <v>20</v>
      </c>
      <c r="E1270" t="s">
        <v>49</v>
      </c>
      <c r="F1270" t="s">
        <v>46</v>
      </c>
      <c r="G1270" s="58">
        <v>803185</v>
      </c>
      <c r="H1270" s="1" t="s">
        <v>47</v>
      </c>
      <c r="I1270" s="1" t="s">
        <v>111</v>
      </c>
      <c r="J1270" s="58">
        <v>11244590</v>
      </c>
      <c r="K1270" s="1" t="s">
        <v>106</v>
      </c>
      <c r="L1270" s="1" t="s">
        <v>114</v>
      </c>
      <c r="N1270" s="1">
        <v>1</v>
      </c>
      <c r="O1270" s="58"/>
      <c r="P1270" s="58">
        <v>216859.95</v>
      </c>
      <c r="Q1270" t="s">
        <v>107</v>
      </c>
      <c r="R1270" s="1" t="s">
        <v>158</v>
      </c>
    </row>
    <row r="1271" spans="3:18" x14ac:dyDescent="0.35">
      <c r="C1271" t="s">
        <v>51</v>
      </c>
      <c r="D1271" t="s">
        <v>24</v>
      </c>
      <c r="E1271" t="s">
        <v>55</v>
      </c>
      <c r="F1271" t="s">
        <v>46</v>
      </c>
      <c r="G1271" s="58">
        <v>208566</v>
      </c>
      <c r="H1271" s="1" t="s">
        <v>56</v>
      </c>
      <c r="I1271" s="1" t="s">
        <v>108</v>
      </c>
      <c r="J1271" s="58">
        <v>7508376</v>
      </c>
      <c r="K1271" s="1" t="s">
        <v>106</v>
      </c>
      <c r="L1271" s="1" t="s">
        <v>120</v>
      </c>
      <c r="N1271" s="1">
        <v>1</v>
      </c>
      <c r="O1271" s="58"/>
      <c r="P1271" s="58">
        <v>150167.51999999999</v>
      </c>
      <c r="Q1271" t="s">
        <v>118</v>
      </c>
      <c r="R1271" s="1" t="s">
        <v>158</v>
      </c>
    </row>
    <row r="1272" spans="3:18" x14ac:dyDescent="0.35">
      <c r="C1272" t="s">
        <v>51</v>
      </c>
      <c r="D1272" t="s">
        <v>22</v>
      </c>
      <c r="E1272" t="s">
        <v>45</v>
      </c>
      <c r="F1272" t="s">
        <v>46</v>
      </c>
      <c r="G1272" s="58">
        <v>98510</v>
      </c>
      <c r="H1272" s="1" t="s">
        <v>48</v>
      </c>
      <c r="I1272" s="1" t="s">
        <v>111</v>
      </c>
      <c r="J1272" s="58">
        <v>1773180</v>
      </c>
      <c r="K1272" s="1" t="s">
        <v>106</v>
      </c>
      <c r="L1272" s="1" t="s">
        <v>124</v>
      </c>
      <c r="M1272" s="1" t="s">
        <v>126</v>
      </c>
      <c r="N1272" s="1">
        <v>1</v>
      </c>
      <c r="O1272" s="58"/>
      <c r="P1272" s="58">
        <v>64031.5</v>
      </c>
      <c r="Q1272" t="s">
        <v>118</v>
      </c>
      <c r="R1272" s="1" t="s">
        <v>48</v>
      </c>
    </row>
    <row r="1273" spans="3:18" x14ac:dyDescent="0.35">
      <c r="C1273" t="s">
        <v>51</v>
      </c>
      <c r="D1273" t="s">
        <v>23</v>
      </c>
      <c r="E1273" t="s">
        <v>55</v>
      </c>
      <c r="F1273" t="s">
        <v>46</v>
      </c>
      <c r="G1273" s="58">
        <v>208593</v>
      </c>
      <c r="H1273" s="1" t="s">
        <v>48</v>
      </c>
      <c r="I1273" s="1" t="s">
        <v>111</v>
      </c>
      <c r="J1273" s="58">
        <v>3546081</v>
      </c>
      <c r="K1273" s="1" t="s">
        <v>112</v>
      </c>
      <c r="N1273" s="1">
        <v>1</v>
      </c>
      <c r="O1273" s="58"/>
      <c r="P1273" s="58">
        <v>58406.04</v>
      </c>
      <c r="Q1273" t="s">
        <v>107</v>
      </c>
      <c r="R1273" s="1" t="s">
        <v>158</v>
      </c>
    </row>
    <row r="1274" spans="3:18" x14ac:dyDescent="0.35">
      <c r="C1274" t="s">
        <v>53</v>
      </c>
      <c r="D1274" t="s">
        <v>21</v>
      </c>
      <c r="E1274" t="s">
        <v>49</v>
      </c>
      <c r="F1274" t="s">
        <v>46</v>
      </c>
      <c r="G1274" s="58">
        <v>17787128</v>
      </c>
      <c r="H1274" s="1" t="s">
        <v>48</v>
      </c>
      <c r="I1274" s="1" t="s">
        <v>119</v>
      </c>
      <c r="J1274" s="58">
        <v>106722768</v>
      </c>
      <c r="K1274" s="1" t="s">
        <v>106</v>
      </c>
      <c r="L1274" s="1" t="s">
        <v>124</v>
      </c>
      <c r="M1274" s="1" t="s">
        <v>126</v>
      </c>
      <c r="N1274" s="1">
        <v>1</v>
      </c>
      <c r="O1274" s="58"/>
      <c r="P1274" s="58">
        <v>2668069.2000000002</v>
      </c>
      <c r="Q1274" t="s">
        <v>107</v>
      </c>
      <c r="R1274" s="1" t="s">
        <v>158</v>
      </c>
    </row>
    <row r="1275" spans="3:18" x14ac:dyDescent="0.35">
      <c r="C1275" t="s">
        <v>51</v>
      </c>
      <c r="D1275" t="s">
        <v>21</v>
      </c>
      <c r="E1275" t="s">
        <v>49</v>
      </c>
      <c r="F1275" t="s">
        <v>46</v>
      </c>
      <c r="G1275" s="58">
        <v>532000</v>
      </c>
      <c r="H1275" s="1" t="s">
        <v>48</v>
      </c>
      <c r="I1275" s="1" t="s">
        <v>128</v>
      </c>
      <c r="J1275" s="58"/>
      <c r="K1275" s="1" t="s">
        <v>106</v>
      </c>
      <c r="L1275" s="1" t="s">
        <v>124</v>
      </c>
      <c r="M1275" s="1" t="s">
        <v>126</v>
      </c>
      <c r="N1275" s="1">
        <v>0</v>
      </c>
      <c r="O1275" s="58"/>
      <c r="P1275" s="58">
        <v>569240</v>
      </c>
      <c r="Q1275" t="s">
        <v>110</v>
      </c>
      <c r="R1275" s="1" t="s">
        <v>158</v>
      </c>
    </row>
    <row r="1276" spans="3:18" x14ac:dyDescent="0.35">
      <c r="C1276" t="s">
        <v>51</v>
      </c>
      <c r="D1276" t="s">
        <v>92</v>
      </c>
      <c r="E1276" t="s">
        <v>45</v>
      </c>
      <c r="F1276" t="s">
        <v>46</v>
      </c>
      <c r="G1276" s="58">
        <v>1006412</v>
      </c>
      <c r="H1276" s="1" t="s">
        <v>47</v>
      </c>
      <c r="I1276" s="1" t="s">
        <v>108</v>
      </c>
      <c r="J1276" s="58">
        <v>27173124</v>
      </c>
      <c r="K1276" s="1" t="s">
        <v>106</v>
      </c>
      <c r="L1276" s="1" t="s">
        <v>120</v>
      </c>
      <c r="N1276" s="1">
        <v>1</v>
      </c>
      <c r="O1276" s="58"/>
      <c r="P1276" s="58">
        <v>271731.24</v>
      </c>
      <c r="Q1276" t="s">
        <v>107</v>
      </c>
      <c r="R1276" s="1" t="s">
        <v>158</v>
      </c>
    </row>
    <row r="1277" spans="3:18" x14ac:dyDescent="0.35">
      <c r="C1277" t="s">
        <v>51</v>
      </c>
      <c r="D1277" t="s">
        <v>24</v>
      </c>
      <c r="E1277" t="s">
        <v>55</v>
      </c>
      <c r="F1277" t="s">
        <v>46</v>
      </c>
      <c r="G1277" s="58">
        <v>2882444</v>
      </c>
      <c r="H1277" s="1" t="s">
        <v>48</v>
      </c>
      <c r="I1277" s="1" t="s">
        <v>108</v>
      </c>
      <c r="J1277" s="58">
        <v>92238208</v>
      </c>
      <c r="K1277" s="1" t="s">
        <v>112</v>
      </c>
      <c r="N1277" s="1">
        <v>1</v>
      </c>
      <c r="O1277" s="58"/>
      <c r="P1277" s="58">
        <v>835908.76</v>
      </c>
      <c r="Q1277" t="s">
        <v>107</v>
      </c>
      <c r="R1277" s="1" t="s">
        <v>158</v>
      </c>
    </row>
    <row r="1278" spans="3:18" x14ac:dyDescent="0.35">
      <c r="C1278" t="s">
        <v>51</v>
      </c>
      <c r="D1278" t="s">
        <v>24</v>
      </c>
      <c r="E1278" t="s">
        <v>55</v>
      </c>
      <c r="F1278" t="s">
        <v>46</v>
      </c>
      <c r="G1278" s="58">
        <v>511231</v>
      </c>
      <c r="H1278" s="1" t="s">
        <v>48</v>
      </c>
      <c r="I1278" s="1" t="s">
        <v>108</v>
      </c>
      <c r="J1278" s="58">
        <v>15848161</v>
      </c>
      <c r="K1278" s="1" t="s">
        <v>106</v>
      </c>
      <c r="L1278" s="1" t="s">
        <v>120</v>
      </c>
      <c r="M1278" s="1" t="s">
        <v>121</v>
      </c>
      <c r="N1278" s="1">
        <v>1</v>
      </c>
      <c r="O1278" s="58"/>
      <c r="P1278" s="58">
        <v>362974.01</v>
      </c>
      <c r="Q1278" t="s">
        <v>118</v>
      </c>
      <c r="R1278" s="1" t="s">
        <v>158</v>
      </c>
    </row>
    <row r="1279" spans="3:18" x14ac:dyDescent="0.35">
      <c r="C1279" t="s">
        <v>53</v>
      </c>
      <c r="D1279" t="s">
        <v>91</v>
      </c>
      <c r="E1279" t="s">
        <v>45</v>
      </c>
      <c r="F1279" t="s">
        <v>46</v>
      </c>
      <c r="G1279" s="58">
        <v>292341</v>
      </c>
      <c r="H1279" s="1" t="s">
        <v>47</v>
      </c>
      <c r="I1279" s="1" t="s">
        <v>111</v>
      </c>
      <c r="J1279" s="58">
        <v>3215751</v>
      </c>
      <c r="K1279" s="1" t="s">
        <v>106</v>
      </c>
      <c r="L1279" s="1" t="s">
        <v>124</v>
      </c>
      <c r="N1279" s="1">
        <v>1</v>
      </c>
      <c r="O1279" s="58"/>
      <c r="P1279" s="58">
        <v>184174.83</v>
      </c>
      <c r="Q1279" t="s">
        <v>118</v>
      </c>
      <c r="R1279" s="1" t="s">
        <v>158</v>
      </c>
    </row>
    <row r="1280" spans="3:18" x14ac:dyDescent="0.35">
      <c r="C1280" t="s">
        <v>51</v>
      </c>
      <c r="D1280" t="s">
        <v>24</v>
      </c>
      <c r="E1280" t="s">
        <v>50</v>
      </c>
      <c r="F1280" t="s">
        <v>46</v>
      </c>
      <c r="G1280" s="58">
        <v>606507</v>
      </c>
      <c r="H1280" s="1" t="s">
        <v>54</v>
      </c>
      <c r="I1280" s="1" t="s">
        <v>111</v>
      </c>
      <c r="J1280" s="58">
        <v>10917126</v>
      </c>
      <c r="K1280" s="1" t="s">
        <v>106</v>
      </c>
      <c r="L1280" s="1" t="s">
        <v>109</v>
      </c>
      <c r="N1280" s="1">
        <v>1</v>
      </c>
      <c r="O1280" s="58"/>
      <c r="P1280" s="58">
        <v>400294.62</v>
      </c>
      <c r="Q1280" t="s">
        <v>118</v>
      </c>
      <c r="R1280" s="1" t="s">
        <v>158</v>
      </c>
    </row>
    <row r="1281" spans="3:18" x14ac:dyDescent="0.35">
      <c r="C1281" t="s">
        <v>51</v>
      </c>
      <c r="D1281" t="s">
        <v>25</v>
      </c>
      <c r="E1281" t="s">
        <v>55</v>
      </c>
      <c r="F1281" t="s">
        <v>46</v>
      </c>
      <c r="G1281" s="58">
        <v>6880945</v>
      </c>
      <c r="H1281" s="1" t="s">
        <v>54</v>
      </c>
      <c r="I1281" s="1" t="s">
        <v>108</v>
      </c>
      <c r="J1281" s="58">
        <v>165142680</v>
      </c>
      <c r="K1281" s="1" t="s">
        <v>106</v>
      </c>
      <c r="L1281" s="1" t="s">
        <v>114</v>
      </c>
      <c r="N1281" s="1">
        <v>1</v>
      </c>
      <c r="O1281" s="58"/>
      <c r="P1281" s="58">
        <v>3509281.95</v>
      </c>
      <c r="Q1281" t="s">
        <v>113</v>
      </c>
      <c r="R1281" s="1" t="s">
        <v>158</v>
      </c>
    </row>
    <row r="1282" spans="3:18" x14ac:dyDescent="0.35">
      <c r="C1282" t="s">
        <v>53</v>
      </c>
      <c r="D1282" t="s">
        <v>20</v>
      </c>
      <c r="E1282" t="s">
        <v>49</v>
      </c>
      <c r="F1282" t="s">
        <v>46</v>
      </c>
      <c r="G1282" s="58">
        <v>282351</v>
      </c>
      <c r="H1282" s="1" t="s">
        <v>47</v>
      </c>
      <c r="I1282" s="1" t="s">
        <v>108</v>
      </c>
      <c r="J1282" s="58">
        <v>7623477</v>
      </c>
      <c r="K1282" s="1" t="s">
        <v>106</v>
      </c>
      <c r="L1282" s="1" t="s">
        <v>124</v>
      </c>
      <c r="N1282" s="1">
        <v>1</v>
      </c>
      <c r="O1282" s="58"/>
      <c r="P1282" s="58">
        <v>62117.22</v>
      </c>
      <c r="Q1282" t="s">
        <v>107</v>
      </c>
      <c r="R1282" s="1" t="s">
        <v>158</v>
      </c>
    </row>
    <row r="1283" spans="3:18" x14ac:dyDescent="0.35">
      <c r="C1283" t="s">
        <v>51</v>
      </c>
      <c r="D1283" t="s">
        <v>19</v>
      </c>
      <c r="E1283" t="s">
        <v>49</v>
      </c>
      <c r="F1283" t="s">
        <v>46</v>
      </c>
      <c r="G1283" s="58">
        <v>260780</v>
      </c>
      <c r="H1283" s="1" t="s">
        <v>56</v>
      </c>
      <c r="I1283" s="1" t="s">
        <v>105</v>
      </c>
      <c r="J1283" s="58">
        <v>1043120</v>
      </c>
      <c r="K1283" s="1" t="s">
        <v>106</v>
      </c>
      <c r="L1283" s="1" t="s">
        <v>124</v>
      </c>
      <c r="N1283" s="1">
        <v>1</v>
      </c>
      <c r="O1283" s="58"/>
      <c r="P1283" s="58">
        <v>208624</v>
      </c>
      <c r="Q1283" t="s">
        <v>118</v>
      </c>
      <c r="R1283" s="1" t="s">
        <v>158</v>
      </c>
    </row>
    <row r="1284" spans="3:18" x14ac:dyDescent="0.35">
      <c r="C1284" t="s">
        <v>51</v>
      </c>
      <c r="D1284" t="s">
        <v>21</v>
      </c>
      <c r="E1284" t="s">
        <v>49</v>
      </c>
      <c r="F1284" t="s">
        <v>46</v>
      </c>
      <c r="G1284" s="58">
        <v>238550</v>
      </c>
      <c r="H1284" s="1" t="s">
        <v>48</v>
      </c>
      <c r="I1284" s="1" t="s">
        <v>108</v>
      </c>
      <c r="J1284" s="58">
        <v>6440850</v>
      </c>
      <c r="K1284" s="1" t="s">
        <v>106</v>
      </c>
      <c r="L1284" s="1" t="s">
        <v>124</v>
      </c>
      <c r="M1284" s="1" t="s">
        <v>123</v>
      </c>
      <c r="N1284" s="1">
        <v>1</v>
      </c>
      <c r="O1284" s="58"/>
      <c r="P1284" s="58">
        <v>126431.5</v>
      </c>
      <c r="Q1284" t="s">
        <v>113</v>
      </c>
      <c r="R1284" s="1" t="s">
        <v>158</v>
      </c>
    </row>
    <row r="1285" spans="3:18" x14ac:dyDescent="0.35">
      <c r="C1285" t="s">
        <v>53</v>
      </c>
      <c r="D1285" t="s">
        <v>22</v>
      </c>
      <c r="E1285" t="s">
        <v>55</v>
      </c>
      <c r="F1285" t="s">
        <v>46</v>
      </c>
      <c r="G1285" s="58">
        <v>267183</v>
      </c>
      <c r="H1285" s="1" t="s">
        <v>47</v>
      </c>
      <c r="I1285" s="1" t="s">
        <v>105</v>
      </c>
      <c r="J1285" s="58">
        <v>534366</v>
      </c>
      <c r="K1285" s="1" t="s">
        <v>106</v>
      </c>
      <c r="L1285" s="1" t="s">
        <v>114</v>
      </c>
      <c r="N1285" s="1">
        <v>1</v>
      </c>
      <c r="O1285" s="58"/>
      <c r="P1285" s="58">
        <v>34733.79</v>
      </c>
      <c r="Q1285" t="s">
        <v>107</v>
      </c>
      <c r="R1285" s="1" t="s">
        <v>158</v>
      </c>
    </row>
    <row r="1286" spans="3:18" x14ac:dyDescent="0.35">
      <c r="C1286" t="s">
        <v>51</v>
      </c>
      <c r="D1286" t="s">
        <v>22</v>
      </c>
      <c r="E1286" t="s">
        <v>45</v>
      </c>
      <c r="F1286" t="s">
        <v>46</v>
      </c>
      <c r="G1286" s="58">
        <v>1081838</v>
      </c>
      <c r="H1286" s="1" t="s">
        <v>48</v>
      </c>
      <c r="I1286" s="1" t="s">
        <v>108</v>
      </c>
      <c r="J1286" s="58">
        <v>30291464</v>
      </c>
      <c r="K1286" s="1" t="s">
        <v>106</v>
      </c>
      <c r="L1286" s="1" t="s">
        <v>124</v>
      </c>
      <c r="M1286" s="1" t="s">
        <v>115</v>
      </c>
      <c r="N1286" s="1">
        <v>1</v>
      </c>
      <c r="O1286" s="58"/>
      <c r="P1286" s="58">
        <v>714013.08</v>
      </c>
      <c r="Q1286" t="s">
        <v>118</v>
      </c>
      <c r="R1286" s="1" t="s">
        <v>158</v>
      </c>
    </row>
    <row r="1287" spans="3:18" x14ac:dyDescent="0.35">
      <c r="C1287" t="s">
        <v>51</v>
      </c>
      <c r="D1287" t="s">
        <v>24</v>
      </c>
      <c r="E1287" t="s">
        <v>50</v>
      </c>
      <c r="F1287" t="s">
        <v>46</v>
      </c>
      <c r="G1287" s="58">
        <v>117157</v>
      </c>
      <c r="H1287" s="1" t="s">
        <v>48</v>
      </c>
      <c r="I1287" s="1" t="s">
        <v>111</v>
      </c>
      <c r="J1287" s="58">
        <v>1288727</v>
      </c>
      <c r="K1287" s="1" t="s">
        <v>112</v>
      </c>
      <c r="N1287" s="1">
        <v>1</v>
      </c>
      <c r="O1287" s="58"/>
      <c r="P1287" s="58">
        <v>35147.1</v>
      </c>
      <c r="Q1287" t="s">
        <v>107</v>
      </c>
      <c r="R1287" s="1" t="s">
        <v>48</v>
      </c>
    </row>
    <row r="1288" spans="3:18" x14ac:dyDescent="0.35">
      <c r="C1288" t="s">
        <v>51</v>
      </c>
      <c r="D1288" t="s">
        <v>22</v>
      </c>
      <c r="E1288" t="s">
        <v>55</v>
      </c>
      <c r="F1288" t="s">
        <v>64</v>
      </c>
      <c r="G1288" s="58">
        <v>4052193</v>
      </c>
      <c r="H1288" s="1" t="s">
        <v>48</v>
      </c>
      <c r="I1288" s="1" t="s">
        <v>108</v>
      </c>
      <c r="J1288" s="58">
        <v>145878948</v>
      </c>
      <c r="K1288" s="1" t="s">
        <v>112</v>
      </c>
      <c r="N1288" s="1">
        <v>1</v>
      </c>
      <c r="O1288" s="58"/>
      <c r="P1288" s="58">
        <v>3079666.68</v>
      </c>
      <c r="Q1288" t="s">
        <v>118</v>
      </c>
      <c r="R1288" s="1" t="s">
        <v>48</v>
      </c>
    </row>
    <row r="1289" spans="3:18" x14ac:dyDescent="0.35">
      <c r="C1289" t="s">
        <v>51</v>
      </c>
      <c r="D1289" t="s">
        <v>24</v>
      </c>
      <c r="E1289" t="s">
        <v>55</v>
      </c>
      <c r="F1289" t="s">
        <v>46</v>
      </c>
      <c r="G1289" s="58">
        <v>1638571</v>
      </c>
      <c r="H1289" s="1" t="s">
        <v>47</v>
      </c>
      <c r="I1289" s="1" t="s">
        <v>111</v>
      </c>
      <c r="J1289" s="58">
        <v>24578565</v>
      </c>
      <c r="K1289" s="1" t="s">
        <v>106</v>
      </c>
      <c r="L1289" s="1" t="s">
        <v>120</v>
      </c>
      <c r="N1289" s="1">
        <v>1</v>
      </c>
      <c r="O1289" s="58"/>
      <c r="P1289" s="58">
        <v>442414.17</v>
      </c>
      <c r="Q1289" t="s">
        <v>107</v>
      </c>
      <c r="R1289" s="1" t="s">
        <v>158</v>
      </c>
    </row>
    <row r="1290" spans="3:18" x14ac:dyDescent="0.35">
      <c r="C1290" t="s">
        <v>51</v>
      </c>
      <c r="D1290" t="s">
        <v>22</v>
      </c>
      <c r="E1290" t="s">
        <v>49</v>
      </c>
      <c r="F1290" t="s">
        <v>46</v>
      </c>
      <c r="G1290" s="58">
        <v>1517303</v>
      </c>
      <c r="H1290" s="1" t="s">
        <v>54</v>
      </c>
      <c r="I1290" s="1" t="s">
        <v>108</v>
      </c>
      <c r="J1290" s="58">
        <v>48553696</v>
      </c>
      <c r="K1290" s="1" t="s">
        <v>112</v>
      </c>
      <c r="N1290" s="1">
        <v>1</v>
      </c>
      <c r="O1290" s="58"/>
      <c r="P1290" s="58">
        <v>242768.48</v>
      </c>
      <c r="Q1290" t="s">
        <v>107</v>
      </c>
      <c r="R1290" s="1" t="s">
        <v>158</v>
      </c>
    </row>
    <row r="1291" spans="3:18" x14ac:dyDescent="0.35">
      <c r="C1291" t="s">
        <v>51</v>
      </c>
      <c r="D1291" t="s">
        <v>25</v>
      </c>
      <c r="E1291" t="s">
        <v>55</v>
      </c>
      <c r="F1291" t="s">
        <v>46</v>
      </c>
      <c r="G1291" s="58">
        <v>1345531</v>
      </c>
      <c r="H1291" s="1" t="s">
        <v>54</v>
      </c>
      <c r="I1291" s="1" t="s">
        <v>108</v>
      </c>
      <c r="J1291" s="58">
        <v>37674868</v>
      </c>
      <c r="K1291" s="1" t="s">
        <v>106</v>
      </c>
      <c r="L1291" s="1" t="s">
        <v>120</v>
      </c>
      <c r="N1291" s="1">
        <v>1</v>
      </c>
      <c r="O1291" s="58"/>
      <c r="P1291" s="58">
        <v>901505.77</v>
      </c>
      <c r="Q1291" t="s">
        <v>118</v>
      </c>
      <c r="R1291" s="1" t="s">
        <v>158</v>
      </c>
    </row>
    <row r="1292" spans="3:18" x14ac:dyDescent="0.35">
      <c r="C1292" t="s">
        <v>51</v>
      </c>
      <c r="D1292" t="s">
        <v>21</v>
      </c>
      <c r="E1292" t="s">
        <v>50</v>
      </c>
      <c r="F1292" t="s">
        <v>46</v>
      </c>
      <c r="G1292" s="58">
        <v>4446061</v>
      </c>
      <c r="H1292" s="1" t="s">
        <v>48</v>
      </c>
      <c r="I1292" s="1" t="s">
        <v>108</v>
      </c>
      <c r="J1292" s="58">
        <v>164504257</v>
      </c>
      <c r="K1292" s="1" t="s">
        <v>112</v>
      </c>
      <c r="N1292" s="1">
        <v>1</v>
      </c>
      <c r="O1292" s="58"/>
      <c r="P1292" s="58">
        <v>4045915.51</v>
      </c>
      <c r="Q1292" t="s">
        <v>127</v>
      </c>
      <c r="R1292" s="1" t="s">
        <v>48</v>
      </c>
    </row>
    <row r="1293" spans="3:18" x14ac:dyDescent="0.35">
      <c r="C1293" t="s">
        <v>53</v>
      </c>
      <c r="D1293" t="s">
        <v>23</v>
      </c>
      <c r="E1293" t="s">
        <v>49</v>
      </c>
      <c r="F1293" t="s">
        <v>46</v>
      </c>
      <c r="G1293" s="58">
        <v>174</v>
      </c>
      <c r="H1293" s="1" t="s">
        <v>47</v>
      </c>
      <c r="I1293" s="1" t="s">
        <v>105</v>
      </c>
      <c r="J1293" s="58"/>
      <c r="K1293" s="1" t="s">
        <v>106</v>
      </c>
      <c r="L1293" s="1" t="s">
        <v>124</v>
      </c>
      <c r="N1293" s="1">
        <v>0</v>
      </c>
      <c r="O1293" s="58"/>
      <c r="P1293" s="58">
        <v>0</v>
      </c>
      <c r="Q1293" t="s">
        <v>107</v>
      </c>
      <c r="R1293" s="1" t="s">
        <v>158</v>
      </c>
    </row>
    <row r="1294" spans="3:18" x14ac:dyDescent="0.35">
      <c r="C1294" t="s">
        <v>51</v>
      </c>
      <c r="D1294" t="s">
        <v>21</v>
      </c>
      <c r="E1294" t="s">
        <v>52</v>
      </c>
      <c r="F1294" t="s">
        <v>46</v>
      </c>
      <c r="G1294" s="58">
        <v>420205</v>
      </c>
      <c r="H1294" s="1" t="s">
        <v>48</v>
      </c>
      <c r="I1294" s="1" t="s">
        <v>108</v>
      </c>
      <c r="J1294" s="58">
        <v>12185945</v>
      </c>
      <c r="K1294" s="1" t="s">
        <v>112</v>
      </c>
      <c r="N1294" s="1">
        <v>1</v>
      </c>
      <c r="O1294" s="58"/>
      <c r="P1294" s="58">
        <v>294143.5</v>
      </c>
      <c r="Q1294" t="s">
        <v>118</v>
      </c>
      <c r="R1294" s="1" t="s">
        <v>48</v>
      </c>
    </row>
    <row r="1295" spans="3:18" x14ac:dyDescent="0.35">
      <c r="C1295" t="s">
        <v>51</v>
      </c>
      <c r="D1295" t="s">
        <v>23</v>
      </c>
      <c r="E1295" t="s">
        <v>52</v>
      </c>
      <c r="F1295" t="s">
        <v>46</v>
      </c>
      <c r="G1295" s="58">
        <v>2913401</v>
      </c>
      <c r="H1295" s="1" t="s">
        <v>48</v>
      </c>
      <c r="I1295" s="1" t="s">
        <v>108</v>
      </c>
      <c r="J1295" s="58">
        <v>87402030</v>
      </c>
      <c r="K1295" s="1" t="s">
        <v>106</v>
      </c>
      <c r="L1295" s="1" t="s">
        <v>130</v>
      </c>
      <c r="M1295" s="1" t="s">
        <v>125</v>
      </c>
      <c r="N1295" s="1">
        <v>1</v>
      </c>
      <c r="O1295" s="58"/>
      <c r="P1295" s="58">
        <v>757484.26</v>
      </c>
      <c r="Q1295" t="s">
        <v>107</v>
      </c>
      <c r="R1295" s="1" t="s">
        <v>48</v>
      </c>
    </row>
    <row r="1296" spans="3:18" x14ac:dyDescent="0.35">
      <c r="C1296" t="s">
        <v>51</v>
      </c>
      <c r="D1296" t="s">
        <v>20</v>
      </c>
      <c r="E1296" t="s">
        <v>49</v>
      </c>
      <c r="F1296" t="s">
        <v>46</v>
      </c>
      <c r="G1296" s="58">
        <v>1120216</v>
      </c>
      <c r="H1296" s="1" t="s">
        <v>48</v>
      </c>
      <c r="I1296" s="1" t="s">
        <v>111</v>
      </c>
      <c r="J1296" s="58">
        <v>16803240</v>
      </c>
      <c r="K1296" s="1" t="s">
        <v>106</v>
      </c>
      <c r="L1296" s="1" t="s">
        <v>120</v>
      </c>
      <c r="M1296" s="1" t="s">
        <v>123</v>
      </c>
      <c r="N1296" s="1">
        <v>1</v>
      </c>
      <c r="O1296" s="58"/>
      <c r="P1296" s="58">
        <v>459288.56</v>
      </c>
      <c r="Q1296" t="s">
        <v>113</v>
      </c>
      <c r="R1296" s="1" t="s">
        <v>158</v>
      </c>
    </row>
    <row r="1297" spans="3:18" x14ac:dyDescent="0.35">
      <c r="C1297" t="s">
        <v>51</v>
      </c>
      <c r="D1297" t="s">
        <v>22</v>
      </c>
      <c r="E1297" t="s">
        <v>45</v>
      </c>
      <c r="F1297" t="s">
        <v>46</v>
      </c>
      <c r="G1297" s="58">
        <v>418337</v>
      </c>
      <c r="H1297" s="1" t="s">
        <v>47</v>
      </c>
      <c r="I1297" s="1" t="s">
        <v>108</v>
      </c>
      <c r="J1297" s="58">
        <v>10458425</v>
      </c>
      <c r="K1297" s="1" t="s">
        <v>106</v>
      </c>
      <c r="L1297" s="1" t="s">
        <v>109</v>
      </c>
      <c r="N1297" s="1">
        <v>1</v>
      </c>
      <c r="O1297" s="58"/>
      <c r="P1297" s="58">
        <v>263552.31</v>
      </c>
      <c r="Q1297" t="s">
        <v>118</v>
      </c>
      <c r="R1297" s="1" t="s">
        <v>158</v>
      </c>
    </row>
    <row r="1298" spans="3:18" x14ac:dyDescent="0.35">
      <c r="C1298" t="s">
        <v>51</v>
      </c>
      <c r="D1298" t="s">
        <v>22</v>
      </c>
      <c r="E1298" t="s">
        <v>50</v>
      </c>
      <c r="F1298" t="s">
        <v>46</v>
      </c>
      <c r="G1298" s="58">
        <v>2315752</v>
      </c>
      <c r="H1298" s="1" t="s">
        <v>48</v>
      </c>
      <c r="I1298" s="1" t="s">
        <v>108</v>
      </c>
      <c r="J1298" s="58">
        <v>71788312</v>
      </c>
      <c r="K1298" s="1" t="s">
        <v>112</v>
      </c>
      <c r="N1298" s="1">
        <v>1</v>
      </c>
      <c r="O1298" s="58"/>
      <c r="P1298" s="58">
        <v>694725.6</v>
      </c>
      <c r="Q1298" t="s">
        <v>107</v>
      </c>
      <c r="R1298" s="1" t="s">
        <v>48</v>
      </c>
    </row>
    <row r="1299" spans="3:18" x14ac:dyDescent="0.35">
      <c r="C1299" t="s">
        <v>51</v>
      </c>
      <c r="D1299" t="s">
        <v>20</v>
      </c>
      <c r="E1299" t="s">
        <v>49</v>
      </c>
      <c r="F1299" t="s">
        <v>46</v>
      </c>
      <c r="G1299" s="58">
        <v>98855</v>
      </c>
      <c r="H1299" s="1" t="s">
        <v>59</v>
      </c>
      <c r="I1299" s="1" t="s">
        <v>105</v>
      </c>
      <c r="J1299" s="58"/>
      <c r="K1299" s="1" t="s">
        <v>106</v>
      </c>
      <c r="L1299" s="1" t="s">
        <v>124</v>
      </c>
      <c r="N1299" s="1">
        <v>0</v>
      </c>
      <c r="O1299" s="58"/>
      <c r="P1299" s="58">
        <v>0</v>
      </c>
      <c r="Q1299" t="s">
        <v>107</v>
      </c>
      <c r="R1299" s="1" t="s">
        <v>158</v>
      </c>
    </row>
    <row r="1300" spans="3:18" x14ac:dyDescent="0.35">
      <c r="C1300" t="s">
        <v>51</v>
      </c>
      <c r="D1300" t="s">
        <v>91</v>
      </c>
      <c r="E1300" t="s">
        <v>49</v>
      </c>
      <c r="F1300" t="s">
        <v>46</v>
      </c>
      <c r="G1300" s="58">
        <v>4648916</v>
      </c>
      <c r="H1300" s="1" t="s">
        <v>48</v>
      </c>
      <c r="I1300" s="1" t="s">
        <v>111</v>
      </c>
      <c r="J1300" s="58">
        <v>79031572</v>
      </c>
      <c r="K1300" s="1" t="s">
        <v>106</v>
      </c>
      <c r="L1300" s="1" t="s">
        <v>124</v>
      </c>
      <c r="M1300" s="1" t="s">
        <v>122</v>
      </c>
      <c r="N1300" s="1">
        <v>1</v>
      </c>
      <c r="O1300" s="58"/>
      <c r="P1300" s="58">
        <v>2417436.3199999998</v>
      </c>
      <c r="Q1300" t="s">
        <v>113</v>
      </c>
      <c r="R1300" s="1" t="s">
        <v>48</v>
      </c>
    </row>
    <row r="1301" spans="3:18" x14ac:dyDescent="0.35">
      <c r="C1301" t="s">
        <v>53</v>
      </c>
      <c r="D1301" t="s">
        <v>21</v>
      </c>
      <c r="E1301" t="s">
        <v>49</v>
      </c>
      <c r="F1301" t="s">
        <v>46</v>
      </c>
      <c r="G1301" s="58">
        <v>347398</v>
      </c>
      <c r="H1301" s="1" t="s">
        <v>47</v>
      </c>
      <c r="I1301" s="1" t="s">
        <v>111</v>
      </c>
      <c r="J1301" s="58">
        <v>5210970</v>
      </c>
      <c r="K1301" s="1" t="s">
        <v>112</v>
      </c>
      <c r="N1301" s="1">
        <v>1</v>
      </c>
      <c r="O1301" s="58"/>
      <c r="P1301" s="58">
        <v>257074.52</v>
      </c>
      <c r="Q1301" t="s">
        <v>118</v>
      </c>
      <c r="R1301" s="1" t="s">
        <v>158</v>
      </c>
    </row>
    <row r="1302" spans="3:18" x14ac:dyDescent="0.35">
      <c r="C1302" t="s">
        <v>51</v>
      </c>
      <c r="D1302" t="s">
        <v>22</v>
      </c>
      <c r="E1302" t="s">
        <v>45</v>
      </c>
      <c r="F1302" t="s">
        <v>46</v>
      </c>
      <c r="G1302" s="58">
        <v>26480229</v>
      </c>
      <c r="H1302" s="1" t="s">
        <v>48</v>
      </c>
      <c r="I1302" s="1" t="s">
        <v>108</v>
      </c>
      <c r="J1302" s="58">
        <v>820887099</v>
      </c>
      <c r="K1302" s="1" t="s">
        <v>112</v>
      </c>
      <c r="N1302" s="1">
        <v>1</v>
      </c>
      <c r="O1302" s="58"/>
      <c r="P1302" s="58">
        <v>13769719.08</v>
      </c>
      <c r="Q1302" t="s">
        <v>113</v>
      </c>
      <c r="R1302" s="1" t="s">
        <v>158</v>
      </c>
    </row>
    <row r="1303" spans="3:18" x14ac:dyDescent="0.35">
      <c r="C1303" t="s">
        <v>51</v>
      </c>
      <c r="D1303" t="s">
        <v>23</v>
      </c>
      <c r="E1303" t="s">
        <v>52</v>
      </c>
      <c r="F1303" t="s">
        <v>46</v>
      </c>
      <c r="G1303" s="58">
        <v>11053151</v>
      </c>
      <c r="H1303" s="1" t="s">
        <v>48</v>
      </c>
      <c r="I1303" s="1" t="s">
        <v>108</v>
      </c>
      <c r="J1303" s="58">
        <v>331594530</v>
      </c>
      <c r="K1303" s="1" t="s">
        <v>106</v>
      </c>
      <c r="L1303" s="1" t="s">
        <v>130</v>
      </c>
      <c r="M1303" s="1" t="s">
        <v>125</v>
      </c>
      <c r="N1303" s="1">
        <v>1</v>
      </c>
      <c r="O1303" s="58"/>
      <c r="P1303" s="58">
        <v>5858170.0300000003</v>
      </c>
      <c r="Q1303" t="s">
        <v>113</v>
      </c>
      <c r="R1303" s="1" t="s">
        <v>48</v>
      </c>
    </row>
    <row r="1304" spans="3:18" x14ac:dyDescent="0.35">
      <c r="C1304" t="s">
        <v>51</v>
      </c>
      <c r="D1304" t="s">
        <v>22</v>
      </c>
      <c r="E1304" t="s">
        <v>49</v>
      </c>
      <c r="F1304" t="s">
        <v>46</v>
      </c>
      <c r="G1304" s="58">
        <v>786520</v>
      </c>
      <c r="H1304" s="1" t="s">
        <v>48</v>
      </c>
      <c r="I1304" s="1" t="s">
        <v>111</v>
      </c>
      <c r="J1304" s="58">
        <v>14157360</v>
      </c>
      <c r="K1304" s="1" t="s">
        <v>106</v>
      </c>
      <c r="L1304" s="1" t="s">
        <v>120</v>
      </c>
      <c r="M1304" s="1" t="s">
        <v>121</v>
      </c>
      <c r="N1304" s="1">
        <v>1</v>
      </c>
      <c r="O1304" s="58"/>
      <c r="P1304" s="58">
        <v>408990.4</v>
      </c>
      <c r="Q1304" t="s">
        <v>113</v>
      </c>
      <c r="R1304" s="1" t="s">
        <v>48</v>
      </c>
    </row>
    <row r="1305" spans="3:18" x14ac:dyDescent="0.35">
      <c r="C1305" t="s">
        <v>51</v>
      </c>
      <c r="D1305" t="s">
        <v>24</v>
      </c>
      <c r="E1305" t="s">
        <v>55</v>
      </c>
      <c r="F1305" t="s">
        <v>46</v>
      </c>
      <c r="G1305" s="58">
        <v>3566528</v>
      </c>
      <c r="H1305" s="1" t="s">
        <v>56</v>
      </c>
      <c r="I1305" s="1" t="s">
        <v>108</v>
      </c>
      <c r="J1305" s="58">
        <v>96296256</v>
      </c>
      <c r="K1305" s="1" t="s">
        <v>106</v>
      </c>
      <c r="L1305" s="1" t="s">
        <v>114</v>
      </c>
      <c r="N1305" s="1">
        <v>1</v>
      </c>
      <c r="O1305" s="58"/>
      <c r="P1305" s="58">
        <v>998627.83999999997</v>
      </c>
      <c r="Q1305" t="s">
        <v>107</v>
      </c>
      <c r="R1305" s="1" t="s">
        <v>158</v>
      </c>
    </row>
    <row r="1306" spans="3:18" x14ac:dyDescent="0.35">
      <c r="C1306" t="s">
        <v>51</v>
      </c>
      <c r="D1306" t="s">
        <v>21</v>
      </c>
      <c r="E1306" t="s">
        <v>49</v>
      </c>
      <c r="F1306" t="s">
        <v>46</v>
      </c>
      <c r="G1306" s="58">
        <v>414311782</v>
      </c>
      <c r="H1306" s="1" t="s">
        <v>56</v>
      </c>
      <c r="I1306" s="1" t="s">
        <v>108</v>
      </c>
      <c r="J1306" s="58">
        <v>10772106332</v>
      </c>
      <c r="K1306" s="1" t="s">
        <v>106</v>
      </c>
      <c r="L1306" s="1" t="s">
        <v>124</v>
      </c>
      <c r="N1306" s="1">
        <v>1</v>
      </c>
      <c r="O1306" s="58"/>
      <c r="P1306" s="58">
        <v>215442126.63999999</v>
      </c>
      <c r="Q1306" t="s">
        <v>113</v>
      </c>
      <c r="R1306" s="1" t="s">
        <v>158</v>
      </c>
    </row>
    <row r="1307" spans="3:18" x14ac:dyDescent="0.35">
      <c r="C1307" t="s">
        <v>53</v>
      </c>
      <c r="D1307" t="s">
        <v>20</v>
      </c>
      <c r="E1307" t="s">
        <v>49</v>
      </c>
      <c r="F1307" t="s">
        <v>46</v>
      </c>
      <c r="G1307" s="58">
        <v>1271661</v>
      </c>
      <c r="H1307" s="1" t="s">
        <v>47</v>
      </c>
      <c r="I1307" s="1" t="s">
        <v>105</v>
      </c>
      <c r="J1307" s="58">
        <v>3814983</v>
      </c>
      <c r="K1307" s="1" t="s">
        <v>106</v>
      </c>
      <c r="L1307" s="1" t="s">
        <v>124</v>
      </c>
      <c r="N1307" s="1">
        <v>1</v>
      </c>
      <c r="O1307" s="58"/>
      <c r="P1307" s="58">
        <v>584964.06000000006</v>
      </c>
      <c r="Q1307" t="s">
        <v>113</v>
      </c>
      <c r="R1307" s="1" t="s">
        <v>158</v>
      </c>
    </row>
    <row r="1308" spans="3:18" x14ac:dyDescent="0.35">
      <c r="C1308" t="s">
        <v>51</v>
      </c>
      <c r="D1308" t="s">
        <v>22</v>
      </c>
      <c r="E1308" t="s">
        <v>55</v>
      </c>
      <c r="F1308" t="s">
        <v>46</v>
      </c>
      <c r="G1308" s="58">
        <v>139313</v>
      </c>
      <c r="H1308" s="1" t="s">
        <v>59</v>
      </c>
      <c r="I1308" s="1" t="s">
        <v>108</v>
      </c>
      <c r="J1308" s="58">
        <v>3622138</v>
      </c>
      <c r="K1308" s="1" t="s">
        <v>106</v>
      </c>
      <c r="L1308" s="1" t="s">
        <v>114</v>
      </c>
      <c r="N1308" s="1">
        <v>1</v>
      </c>
      <c r="O1308" s="58"/>
      <c r="P1308" s="58">
        <v>66870.240000000005</v>
      </c>
      <c r="Q1308" t="s">
        <v>113</v>
      </c>
      <c r="R1308" s="1" t="s">
        <v>158</v>
      </c>
    </row>
    <row r="1309" spans="3:18" x14ac:dyDescent="0.35">
      <c r="C1309" t="s">
        <v>53</v>
      </c>
      <c r="D1309" t="s">
        <v>24</v>
      </c>
      <c r="E1309" t="s">
        <v>55</v>
      </c>
      <c r="F1309" t="s">
        <v>46</v>
      </c>
      <c r="G1309" s="58">
        <v>164510</v>
      </c>
      <c r="H1309" s="1" t="s">
        <v>48</v>
      </c>
      <c r="I1309" s="1" t="s">
        <v>108</v>
      </c>
      <c r="J1309" s="58">
        <v>3948240</v>
      </c>
      <c r="K1309" s="1" t="s">
        <v>106</v>
      </c>
      <c r="L1309" s="1" t="s">
        <v>114</v>
      </c>
      <c r="M1309" s="1" t="s">
        <v>121</v>
      </c>
      <c r="N1309" s="1">
        <v>1</v>
      </c>
      <c r="O1309" s="58"/>
      <c r="P1309" s="58">
        <v>75674.600000000006</v>
      </c>
      <c r="Q1309" t="s">
        <v>113</v>
      </c>
      <c r="R1309" s="1" t="s">
        <v>158</v>
      </c>
    </row>
    <row r="1310" spans="3:18" x14ac:dyDescent="0.35">
      <c r="C1310" t="s">
        <v>51</v>
      </c>
      <c r="D1310" t="s">
        <v>22</v>
      </c>
      <c r="E1310" t="s">
        <v>49</v>
      </c>
      <c r="F1310" t="s">
        <v>46</v>
      </c>
      <c r="G1310" s="58">
        <v>3482043</v>
      </c>
      <c r="H1310" s="1" t="s">
        <v>47</v>
      </c>
      <c r="I1310" s="1" t="s">
        <v>108</v>
      </c>
      <c r="J1310" s="58">
        <v>107943333</v>
      </c>
      <c r="K1310" s="1" t="s">
        <v>112</v>
      </c>
      <c r="N1310" s="1">
        <v>1</v>
      </c>
      <c r="O1310" s="58"/>
      <c r="P1310" s="58">
        <v>661588.17000000004</v>
      </c>
      <c r="Q1310" t="s">
        <v>107</v>
      </c>
      <c r="R1310" s="1" t="s">
        <v>158</v>
      </c>
    </row>
    <row r="1311" spans="3:18" x14ac:dyDescent="0.35">
      <c r="C1311" t="s">
        <v>51</v>
      </c>
      <c r="D1311" t="s">
        <v>24</v>
      </c>
      <c r="E1311" t="s">
        <v>52</v>
      </c>
      <c r="F1311" t="s">
        <v>46</v>
      </c>
      <c r="G1311" s="58">
        <v>32015</v>
      </c>
      <c r="H1311" s="1" t="s">
        <v>48</v>
      </c>
      <c r="I1311" s="1" t="s">
        <v>111</v>
      </c>
      <c r="J1311" s="58">
        <v>352165</v>
      </c>
      <c r="K1311" s="1" t="s">
        <v>106</v>
      </c>
      <c r="L1311" s="1" t="s">
        <v>130</v>
      </c>
      <c r="M1311" s="1" t="s">
        <v>121</v>
      </c>
      <c r="N1311" s="1">
        <v>1</v>
      </c>
      <c r="O1311" s="58"/>
      <c r="P1311" s="58">
        <v>48022.5</v>
      </c>
      <c r="Q1311" t="s">
        <v>110</v>
      </c>
      <c r="R1311" s="1" t="s">
        <v>48</v>
      </c>
    </row>
    <row r="1312" spans="3:18" x14ac:dyDescent="0.35">
      <c r="C1312" t="s">
        <v>51</v>
      </c>
      <c r="D1312" t="s">
        <v>91</v>
      </c>
      <c r="E1312" t="s">
        <v>49</v>
      </c>
      <c r="F1312" t="s">
        <v>46</v>
      </c>
      <c r="G1312" s="58">
        <v>70668</v>
      </c>
      <c r="H1312" s="1" t="s">
        <v>47</v>
      </c>
      <c r="I1312" s="1" t="s">
        <v>105</v>
      </c>
      <c r="J1312" s="58">
        <v>282672</v>
      </c>
      <c r="K1312" s="1" t="s">
        <v>106</v>
      </c>
      <c r="L1312" s="1" t="s">
        <v>120</v>
      </c>
      <c r="N1312" s="1">
        <v>1</v>
      </c>
      <c r="O1312" s="58"/>
      <c r="P1312" s="58">
        <v>7066.8</v>
      </c>
      <c r="Q1312" t="s">
        <v>107</v>
      </c>
      <c r="R1312" s="1" t="s">
        <v>158</v>
      </c>
    </row>
    <row r="1313" spans="3:18" x14ac:dyDescent="0.35">
      <c r="C1313" t="s">
        <v>51</v>
      </c>
      <c r="D1313" t="s">
        <v>19</v>
      </c>
      <c r="E1313" t="s">
        <v>49</v>
      </c>
      <c r="F1313" t="s">
        <v>46</v>
      </c>
      <c r="G1313" s="58">
        <v>3586984</v>
      </c>
      <c r="H1313" s="1" t="s">
        <v>48</v>
      </c>
      <c r="I1313" s="1" t="s">
        <v>108</v>
      </c>
      <c r="J1313" s="58">
        <v>111196504</v>
      </c>
      <c r="K1313" s="1" t="s">
        <v>106</v>
      </c>
      <c r="L1313" s="1" t="s">
        <v>120</v>
      </c>
      <c r="M1313" s="1" t="s">
        <v>115</v>
      </c>
      <c r="N1313" s="1">
        <v>1</v>
      </c>
      <c r="O1313" s="58"/>
      <c r="P1313" s="58">
        <v>2510888.7999999998</v>
      </c>
      <c r="Q1313" t="s">
        <v>118</v>
      </c>
      <c r="R1313" s="1" t="s">
        <v>158</v>
      </c>
    </row>
    <row r="1314" spans="3:18" x14ac:dyDescent="0.35">
      <c r="C1314" t="s">
        <v>51</v>
      </c>
      <c r="D1314" t="s">
        <v>21</v>
      </c>
      <c r="E1314" t="s">
        <v>45</v>
      </c>
      <c r="F1314" t="s">
        <v>46</v>
      </c>
      <c r="G1314" s="58">
        <v>14699808</v>
      </c>
      <c r="H1314" s="1" t="s">
        <v>47</v>
      </c>
      <c r="I1314" s="1" t="s">
        <v>111</v>
      </c>
      <c r="J1314" s="58">
        <v>235196928</v>
      </c>
      <c r="K1314" s="1" t="s">
        <v>106</v>
      </c>
      <c r="L1314" s="1" t="s">
        <v>120</v>
      </c>
      <c r="N1314" s="1">
        <v>1</v>
      </c>
      <c r="O1314" s="58"/>
      <c r="P1314" s="58">
        <v>7349904</v>
      </c>
      <c r="Q1314" t="s">
        <v>113</v>
      </c>
      <c r="R1314" s="1" t="s">
        <v>158</v>
      </c>
    </row>
    <row r="1315" spans="3:18" x14ac:dyDescent="0.35">
      <c r="C1315" t="s">
        <v>51</v>
      </c>
      <c r="D1315" t="s">
        <v>22</v>
      </c>
      <c r="E1315" t="s">
        <v>55</v>
      </c>
      <c r="F1315" t="s">
        <v>46</v>
      </c>
      <c r="G1315" s="58">
        <v>2257100</v>
      </c>
      <c r="H1315" s="1" t="s">
        <v>48</v>
      </c>
      <c r="I1315" s="1" t="s">
        <v>111</v>
      </c>
      <c r="J1315" s="58">
        <v>38370700</v>
      </c>
      <c r="K1315" s="1" t="s">
        <v>112</v>
      </c>
      <c r="N1315" s="1">
        <v>1</v>
      </c>
      <c r="O1315" s="58"/>
      <c r="P1315" s="58">
        <v>1579970</v>
      </c>
      <c r="Q1315" t="s">
        <v>118</v>
      </c>
      <c r="R1315" s="1" t="s">
        <v>48</v>
      </c>
    </row>
    <row r="1316" spans="3:18" x14ac:dyDescent="0.35">
      <c r="C1316" t="s">
        <v>53</v>
      </c>
      <c r="D1316" t="s">
        <v>92</v>
      </c>
      <c r="E1316" t="s">
        <v>45</v>
      </c>
      <c r="F1316" t="s">
        <v>46</v>
      </c>
      <c r="G1316" s="58">
        <v>469110</v>
      </c>
      <c r="H1316" s="1" t="s">
        <v>47</v>
      </c>
      <c r="I1316" s="1" t="s">
        <v>128</v>
      </c>
      <c r="J1316" s="58"/>
      <c r="K1316" s="1" t="s">
        <v>106</v>
      </c>
      <c r="L1316" s="1" t="s">
        <v>120</v>
      </c>
      <c r="N1316" s="1">
        <v>0</v>
      </c>
      <c r="O1316" s="58"/>
      <c r="P1316" s="58">
        <v>403434.6</v>
      </c>
      <c r="Q1316" t="s">
        <v>127</v>
      </c>
      <c r="R1316" s="1" t="s">
        <v>158</v>
      </c>
    </row>
    <row r="1317" spans="3:18" x14ac:dyDescent="0.35">
      <c r="C1317" t="s">
        <v>51</v>
      </c>
      <c r="D1317" t="s">
        <v>21</v>
      </c>
      <c r="E1317" t="s">
        <v>49</v>
      </c>
      <c r="F1317" t="s">
        <v>46</v>
      </c>
      <c r="G1317" s="58">
        <v>844246</v>
      </c>
      <c r="H1317" s="1" t="s">
        <v>56</v>
      </c>
      <c r="I1317" s="1" t="s">
        <v>108</v>
      </c>
      <c r="J1317" s="58">
        <v>21106150</v>
      </c>
      <c r="K1317" s="1" t="s">
        <v>106</v>
      </c>
      <c r="L1317" s="1" t="s">
        <v>116</v>
      </c>
      <c r="N1317" s="1">
        <v>1</v>
      </c>
      <c r="O1317" s="58"/>
      <c r="P1317" s="58">
        <v>422123</v>
      </c>
      <c r="Q1317" t="s">
        <v>113</v>
      </c>
      <c r="R1317" s="1" t="s">
        <v>158</v>
      </c>
    </row>
    <row r="1318" spans="3:18" x14ac:dyDescent="0.35">
      <c r="C1318" t="s">
        <v>51</v>
      </c>
      <c r="D1318" t="s">
        <v>19</v>
      </c>
      <c r="E1318" t="s">
        <v>49</v>
      </c>
      <c r="F1318" t="s">
        <v>46</v>
      </c>
      <c r="G1318" s="58">
        <v>245541</v>
      </c>
      <c r="H1318" s="1" t="s">
        <v>48</v>
      </c>
      <c r="I1318" s="1" t="s">
        <v>108</v>
      </c>
      <c r="J1318" s="58">
        <v>9576099</v>
      </c>
      <c r="K1318" s="1" t="s">
        <v>106</v>
      </c>
      <c r="L1318" s="1" t="s">
        <v>109</v>
      </c>
      <c r="M1318" s="1" t="s">
        <v>121</v>
      </c>
      <c r="N1318" s="1">
        <v>1</v>
      </c>
      <c r="O1318" s="58"/>
      <c r="P1318" s="58">
        <v>203799.03</v>
      </c>
      <c r="Q1318" t="s">
        <v>127</v>
      </c>
      <c r="R1318" s="1" t="s">
        <v>158</v>
      </c>
    </row>
    <row r="1319" spans="3:18" x14ac:dyDescent="0.35">
      <c r="C1319" t="s">
        <v>51</v>
      </c>
      <c r="D1319" t="s">
        <v>23</v>
      </c>
      <c r="E1319" t="s">
        <v>55</v>
      </c>
      <c r="F1319" t="s">
        <v>46</v>
      </c>
      <c r="G1319" s="58">
        <v>71874</v>
      </c>
      <c r="H1319" s="1" t="s">
        <v>59</v>
      </c>
      <c r="I1319" s="1" t="s">
        <v>119</v>
      </c>
      <c r="J1319" s="58">
        <v>646866</v>
      </c>
      <c r="K1319" s="1" t="s">
        <v>106</v>
      </c>
      <c r="L1319" s="1" t="s">
        <v>116</v>
      </c>
      <c r="N1319" s="1">
        <v>1</v>
      </c>
      <c r="O1319" s="58"/>
      <c r="P1319" s="58">
        <v>15093.54</v>
      </c>
      <c r="Q1319" t="s">
        <v>107</v>
      </c>
      <c r="R1319" s="1" t="s">
        <v>158</v>
      </c>
    </row>
    <row r="1320" spans="3:18" x14ac:dyDescent="0.35">
      <c r="C1320" t="s">
        <v>51</v>
      </c>
      <c r="D1320" t="s">
        <v>91</v>
      </c>
      <c r="E1320" t="s">
        <v>49</v>
      </c>
      <c r="F1320" t="s">
        <v>46</v>
      </c>
      <c r="G1320" s="58">
        <v>149949</v>
      </c>
      <c r="H1320" s="1" t="s">
        <v>47</v>
      </c>
      <c r="I1320" s="1" t="s">
        <v>108</v>
      </c>
      <c r="J1320" s="58">
        <v>5848011</v>
      </c>
      <c r="K1320" s="1" t="s">
        <v>106</v>
      </c>
      <c r="L1320" s="1" t="s">
        <v>109</v>
      </c>
      <c r="N1320" s="1">
        <v>1</v>
      </c>
      <c r="O1320" s="58"/>
      <c r="P1320" s="58">
        <v>32988.78</v>
      </c>
      <c r="Q1320" t="s">
        <v>107</v>
      </c>
      <c r="R1320" s="1" t="s">
        <v>158</v>
      </c>
    </row>
    <row r="1321" spans="3:18" x14ac:dyDescent="0.35">
      <c r="C1321" t="s">
        <v>53</v>
      </c>
      <c r="D1321" t="s">
        <v>20</v>
      </c>
      <c r="E1321" t="s">
        <v>45</v>
      </c>
      <c r="F1321" t="s">
        <v>46</v>
      </c>
      <c r="G1321" s="58">
        <v>125352</v>
      </c>
      <c r="H1321" s="1" t="s">
        <v>54</v>
      </c>
      <c r="I1321" s="1" t="s">
        <v>108</v>
      </c>
      <c r="J1321" s="58">
        <v>2507040</v>
      </c>
      <c r="K1321" s="1" t="s">
        <v>106</v>
      </c>
      <c r="L1321" s="1" t="s">
        <v>120</v>
      </c>
      <c r="N1321" s="1">
        <v>1</v>
      </c>
      <c r="O1321" s="58"/>
      <c r="P1321" s="58">
        <v>56408.4</v>
      </c>
      <c r="Q1321" t="s">
        <v>113</v>
      </c>
      <c r="R1321" s="1" t="s">
        <v>158</v>
      </c>
    </row>
    <row r="1322" spans="3:18" x14ac:dyDescent="0.35">
      <c r="C1322" t="s">
        <v>51</v>
      </c>
      <c r="D1322" t="s">
        <v>20</v>
      </c>
      <c r="E1322" t="s">
        <v>49</v>
      </c>
      <c r="F1322" t="s">
        <v>46</v>
      </c>
      <c r="G1322" s="58">
        <v>845601</v>
      </c>
      <c r="H1322" s="1" t="s">
        <v>48</v>
      </c>
      <c r="I1322" s="1" t="s">
        <v>108</v>
      </c>
      <c r="J1322" s="58">
        <v>24522429</v>
      </c>
      <c r="K1322" s="1" t="s">
        <v>106</v>
      </c>
      <c r="L1322" s="1" t="s">
        <v>120</v>
      </c>
      <c r="M1322" s="1" t="s">
        <v>123</v>
      </c>
      <c r="N1322" s="1">
        <v>1</v>
      </c>
      <c r="O1322" s="58"/>
      <c r="P1322" s="58">
        <v>397432.47</v>
      </c>
      <c r="Q1322" t="s">
        <v>113</v>
      </c>
      <c r="R1322" s="1" t="s">
        <v>48</v>
      </c>
    </row>
    <row r="1323" spans="3:18" x14ac:dyDescent="0.35">
      <c r="C1323" t="s">
        <v>51</v>
      </c>
      <c r="D1323" t="s">
        <v>21</v>
      </c>
      <c r="E1323" t="s">
        <v>45</v>
      </c>
      <c r="F1323" t="s">
        <v>46</v>
      </c>
      <c r="G1323" s="58">
        <v>111315</v>
      </c>
      <c r="H1323" s="1" t="s">
        <v>47</v>
      </c>
      <c r="I1323" s="1" t="s">
        <v>111</v>
      </c>
      <c r="J1323" s="58">
        <v>1781040</v>
      </c>
      <c r="K1323" s="1" t="s">
        <v>112</v>
      </c>
      <c r="N1323" s="1">
        <v>1</v>
      </c>
      <c r="O1323" s="58"/>
      <c r="P1323" s="58">
        <v>87938.85</v>
      </c>
      <c r="Q1323" t="s">
        <v>118</v>
      </c>
      <c r="R1323" s="1" t="s">
        <v>158</v>
      </c>
    </row>
    <row r="1324" spans="3:18" x14ac:dyDescent="0.35">
      <c r="C1324" t="s">
        <v>51</v>
      </c>
      <c r="D1324" t="s">
        <v>92</v>
      </c>
      <c r="E1324" t="s">
        <v>49</v>
      </c>
      <c r="F1324" t="s">
        <v>46</v>
      </c>
      <c r="G1324" s="58">
        <v>219989</v>
      </c>
      <c r="H1324" s="1" t="s">
        <v>48</v>
      </c>
      <c r="I1324" s="1" t="s">
        <v>108</v>
      </c>
      <c r="J1324" s="58">
        <v>5719714</v>
      </c>
      <c r="K1324" s="1" t="s">
        <v>106</v>
      </c>
      <c r="L1324" s="1" t="s">
        <v>120</v>
      </c>
      <c r="M1324" s="1" t="s">
        <v>125</v>
      </c>
      <c r="N1324" s="1">
        <v>1</v>
      </c>
      <c r="O1324" s="58"/>
      <c r="P1324" s="58">
        <v>81395.929999999993</v>
      </c>
      <c r="Q1324" t="s">
        <v>107</v>
      </c>
      <c r="R1324" s="1" t="s">
        <v>48</v>
      </c>
    </row>
    <row r="1325" spans="3:18" x14ac:dyDescent="0.35">
      <c r="C1325" t="s">
        <v>51</v>
      </c>
      <c r="D1325" t="s">
        <v>21</v>
      </c>
      <c r="E1325" t="s">
        <v>49</v>
      </c>
      <c r="F1325" t="s">
        <v>46</v>
      </c>
      <c r="G1325" s="58">
        <v>17000738</v>
      </c>
      <c r="H1325" s="1" t="s">
        <v>48</v>
      </c>
      <c r="I1325" s="1" t="s">
        <v>108</v>
      </c>
      <c r="J1325" s="58">
        <v>476020664</v>
      </c>
      <c r="K1325" s="1" t="s">
        <v>106</v>
      </c>
      <c r="L1325" s="1" t="s">
        <v>124</v>
      </c>
      <c r="M1325" s="1" t="s">
        <v>126</v>
      </c>
      <c r="N1325" s="1">
        <v>1</v>
      </c>
      <c r="O1325" s="58"/>
      <c r="P1325" s="58">
        <v>4590199.26</v>
      </c>
      <c r="Q1325" t="s">
        <v>107</v>
      </c>
      <c r="R1325" s="1" t="s">
        <v>48</v>
      </c>
    </row>
    <row r="1326" spans="3:18" x14ac:dyDescent="0.35">
      <c r="C1326" t="s">
        <v>51</v>
      </c>
      <c r="D1326" t="s">
        <v>20</v>
      </c>
      <c r="E1326" t="s">
        <v>45</v>
      </c>
      <c r="F1326" t="s">
        <v>46</v>
      </c>
      <c r="G1326" s="58">
        <v>2886558</v>
      </c>
      <c r="H1326" s="1" t="s">
        <v>48</v>
      </c>
      <c r="I1326" s="1" t="s">
        <v>111</v>
      </c>
      <c r="J1326" s="58">
        <v>43298370</v>
      </c>
      <c r="K1326" s="1" t="s">
        <v>106</v>
      </c>
      <c r="L1326" s="1" t="s">
        <v>120</v>
      </c>
      <c r="M1326" s="1" t="s">
        <v>123</v>
      </c>
      <c r="N1326" s="1">
        <v>1</v>
      </c>
      <c r="O1326" s="58"/>
      <c r="P1326" s="58">
        <v>779370.66</v>
      </c>
      <c r="Q1326" t="s">
        <v>107</v>
      </c>
      <c r="R1326" s="1" t="s">
        <v>158</v>
      </c>
    </row>
    <row r="1327" spans="3:18" x14ac:dyDescent="0.35">
      <c r="C1327" t="s">
        <v>51</v>
      </c>
      <c r="D1327" t="s">
        <v>20</v>
      </c>
      <c r="E1327" t="s">
        <v>49</v>
      </c>
      <c r="F1327" t="s">
        <v>46</v>
      </c>
      <c r="G1327" s="58">
        <v>245589</v>
      </c>
      <c r="H1327" s="1" t="s">
        <v>59</v>
      </c>
      <c r="I1327" s="1" t="s">
        <v>108</v>
      </c>
      <c r="J1327" s="58">
        <v>5648547</v>
      </c>
      <c r="K1327" s="1" t="s">
        <v>106</v>
      </c>
      <c r="L1327" s="1" t="s">
        <v>120</v>
      </c>
      <c r="N1327" s="1">
        <v>1</v>
      </c>
      <c r="O1327" s="58"/>
      <c r="P1327" s="58">
        <v>169456.41</v>
      </c>
      <c r="Q1327" t="s">
        <v>118</v>
      </c>
      <c r="R1327" s="1" t="s">
        <v>158</v>
      </c>
    </row>
    <row r="1328" spans="3:18" x14ac:dyDescent="0.35">
      <c r="C1328" t="s">
        <v>51</v>
      </c>
      <c r="D1328" t="s">
        <v>23</v>
      </c>
      <c r="E1328" t="s">
        <v>55</v>
      </c>
      <c r="F1328" t="s">
        <v>46</v>
      </c>
      <c r="G1328" s="58">
        <v>1311011</v>
      </c>
      <c r="H1328" s="1" t="s">
        <v>56</v>
      </c>
      <c r="I1328" s="1" t="s">
        <v>108</v>
      </c>
      <c r="J1328" s="58">
        <v>40641341</v>
      </c>
      <c r="K1328" s="1" t="s">
        <v>112</v>
      </c>
      <c r="N1328" s="1">
        <v>1</v>
      </c>
      <c r="O1328" s="58"/>
      <c r="P1328" s="58">
        <v>681725.72</v>
      </c>
      <c r="Q1328" t="s">
        <v>113</v>
      </c>
      <c r="R1328" s="1" t="s">
        <v>158</v>
      </c>
    </row>
    <row r="1329" spans="3:18" x14ac:dyDescent="0.35">
      <c r="C1329" t="s">
        <v>53</v>
      </c>
      <c r="D1329" t="s">
        <v>21</v>
      </c>
      <c r="E1329" t="s">
        <v>45</v>
      </c>
      <c r="F1329" t="s">
        <v>46</v>
      </c>
      <c r="G1329" s="58">
        <v>2348922</v>
      </c>
      <c r="H1329" s="1" t="s">
        <v>47</v>
      </c>
      <c r="I1329" s="1" t="s">
        <v>105</v>
      </c>
      <c r="J1329" s="58">
        <v>9395688</v>
      </c>
      <c r="K1329" s="1" t="s">
        <v>112</v>
      </c>
      <c r="N1329" s="1">
        <v>1</v>
      </c>
      <c r="O1329" s="58"/>
      <c r="P1329" s="58">
        <v>1197950.22</v>
      </c>
      <c r="Q1329" t="s">
        <v>113</v>
      </c>
      <c r="R1329" s="1" t="s">
        <v>158</v>
      </c>
    </row>
    <row r="1330" spans="3:18" x14ac:dyDescent="0.35">
      <c r="C1330" t="s">
        <v>51</v>
      </c>
      <c r="D1330" t="s">
        <v>23</v>
      </c>
      <c r="E1330" t="s">
        <v>55</v>
      </c>
      <c r="F1330" t="s">
        <v>46</v>
      </c>
      <c r="G1330" s="58">
        <v>263874323</v>
      </c>
      <c r="H1330" s="1" t="s">
        <v>48</v>
      </c>
      <c r="I1330" s="1" t="s">
        <v>108</v>
      </c>
      <c r="J1330" s="58">
        <v>8443978336</v>
      </c>
      <c r="K1330" s="1" t="s">
        <v>106</v>
      </c>
      <c r="L1330" s="1" t="s">
        <v>114</v>
      </c>
      <c r="M1330" s="1" t="s">
        <v>125</v>
      </c>
      <c r="N1330" s="1">
        <v>1</v>
      </c>
      <c r="O1330" s="58"/>
      <c r="P1330" s="58">
        <v>187350769.33000001</v>
      </c>
      <c r="Q1330" t="s">
        <v>118</v>
      </c>
      <c r="R1330" s="1" t="s">
        <v>158</v>
      </c>
    </row>
    <row r="1331" spans="3:18" x14ac:dyDescent="0.35">
      <c r="C1331" t="s">
        <v>51</v>
      </c>
      <c r="D1331" t="s">
        <v>24</v>
      </c>
      <c r="E1331" t="s">
        <v>50</v>
      </c>
      <c r="F1331" t="s">
        <v>46</v>
      </c>
      <c r="G1331" s="58">
        <v>10759</v>
      </c>
      <c r="H1331" s="1" t="s">
        <v>54</v>
      </c>
      <c r="I1331" s="1" t="s">
        <v>119</v>
      </c>
      <c r="J1331" s="58">
        <v>53795</v>
      </c>
      <c r="K1331" s="1" t="s">
        <v>106</v>
      </c>
      <c r="L1331" s="1" t="s">
        <v>109</v>
      </c>
      <c r="N1331" s="1">
        <v>1</v>
      </c>
      <c r="O1331" s="58"/>
      <c r="P1331" s="58">
        <v>6670.58</v>
      </c>
      <c r="Q1331" t="s">
        <v>118</v>
      </c>
      <c r="R1331" s="1" t="s">
        <v>158</v>
      </c>
    </row>
    <row r="1332" spans="3:18" x14ac:dyDescent="0.35">
      <c r="C1332" t="s">
        <v>51</v>
      </c>
      <c r="D1332" t="s">
        <v>24</v>
      </c>
      <c r="E1332" t="s">
        <v>50</v>
      </c>
      <c r="F1332" t="s">
        <v>46</v>
      </c>
      <c r="G1332" s="58">
        <v>100817</v>
      </c>
      <c r="H1332" s="1" t="s">
        <v>48</v>
      </c>
      <c r="I1332" s="1" t="s">
        <v>111</v>
      </c>
      <c r="J1332" s="58">
        <v>1814706</v>
      </c>
      <c r="K1332" s="1" t="s">
        <v>112</v>
      </c>
      <c r="N1332" s="1">
        <v>1</v>
      </c>
      <c r="O1332" s="58"/>
      <c r="P1332" s="58">
        <v>81661.77</v>
      </c>
      <c r="Q1332" t="s">
        <v>127</v>
      </c>
      <c r="R1332" s="1" t="s">
        <v>158</v>
      </c>
    </row>
    <row r="1333" spans="3:18" x14ac:dyDescent="0.35">
      <c r="C1333" t="s">
        <v>51</v>
      </c>
      <c r="D1333" t="s">
        <v>23</v>
      </c>
      <c r="E1333" t="s">
        <v>55</v>
      </c>
      <c r="F1333" t="s">
        <v>46</v>
      </c>
      <c r="G1333" s="58">
        <v>15145836</v>
      </c>
      <c r="H1333" s="1" t="s">
        <v>59</v>
      </c>
      <c r="I1333" s="1" t="s">
        <v>108</v>
      </c>
      <c r="J1333" s="58">
        <v>393791736</v>
      </c>
      <c r="K1333" s="1" t="s">
        <v>106</v>
      </c>
      <c r="L1333" s="1" t="s">
        <v>114</v>
      </c>
      <c r="N1333" s="1">
        <v>1</v>
      </c>
      <c r="O1333" s="58"/>
      <c r="P1333" s="58">
        <v>7875834.7199999997</v>
      </c>
      <c r="Q1333" t="s">
        <v>113</v>
      </c>
      <c r="R1333" s="1" t="s">
        <v>158</v>
      </c>
    </row>
    <row r="1334" spans="3:18" x14ac:dyDescent="0.35">
      <c r="C1334" t="s">
        <v>51</v>
      </c>
      <c r="D1334" t="s">
        <v>24</v>
      </c>
      <c r="E1334" t="s">
        <v>50</v>
      </c>
      <c r="F1334" t="s">
        <v>46</v>
      </c>
      <c r="G1334" s="58">
        <v>409550</v>
      </c>
      <c r="H1334" s="1" t="s">
        <v>47</v>
      </c>
      <c r="I1334" s="1" t="s">
        <v>111</v>
      </c>
      <c r="J1334" s="58">
        <v>6962350</v>
      </c>
      <c r="K1334" s="1" t="s">
        <v>106</v>
      </c>
      <c r="L1334" s="1" t="s">
        <v>114</v>
      </c>
      <c r="N1334" s="1">
        <v>1</v>
      </c>
      <c r="O1334" s="58"/>
      <c r="P1334" s="58">
        <v>102387.5</v>
      </c>
      <c r="Q1334" t="s">
        <v>107</v>
      </c>
      <c r="R1334" s="1" t="s">
        <v>158</v>
      </c>
    </row>
    <row r="1335" spans="3:18" x14ac:dyDescent="0.35">
      <c r="C1335" t="s">
        <v>53</v>
      </c>
      <c r="D1335" t="s">
        <v>23</v>
      </c>
      <c r="E1335" t="s">
        <v>45</v>
      </c>
      <c r="F1335" t="s">
        <v>46</v>
      </c>
      <c r="G1335" s="58">
        <v>16011101</v>
      </c>
      <c r="H1335" s="1" t="s">
        <v>54</v>
      </c>
      <c r="I1335" s="1" t="s">
        <v>119</v>
      </c>
      <c r="J1335" s="58">
        <v>112077707</v>
      </c>
      <c r="K1335" s="1" t="s">
        <v>106</v>
      </c>
      <c r="L1335" s="1" t="s">
        <v>120</v>
      </c>
      <c r="N1335" s="1">
        <v>1</v>
      </c>
      <c r="O1335" s="58"/>
      <c r="P1335" s="58">
        <v>8005550.5</v>
      </c>
      <c r="Q1335" t="s">
        <v>113</v>
      </c>
      <c r="R1335" s="1" t="s">
        <v>158</v>
      </c>
    </row>
    <row r="1336" spans="3:18" x14ac:dyDescent="0.35">
      <c r="C1336" t="s">
        <v>51</v>
      </c>
      <c r="D1336" t="s">
        <v>21</v>
      </c>
      <c r="E1336" t="s">
        <v>49</v>
      </c>
      <c r="F1336" t="s">
        <v>64</v>
      </c>
      <c r="G1336" s="58">
        <v>80200</v>
      </c>
      <c r="H1336" s="1" t="s">
        <v>47</v>
      </c>
      <c r="I1336" s="1" t="s">
        <v>108</v>
      </c>
      <c r="J1336" s="58">
        <v>2406000</v>
      </c>
      <c r="K1336" s="1" t="s">
        <v>106</v>
      </c>
      <c r="L1336" s="1" t="s">
        <v>124</v>
      </c>
      <c r="N1336" s="1">
        <v>1</v>
      </c>
      <c r="O1336" s="58"/>
      <c r="P1336" s="58">
        <v>8020</v>
      </c>
      <c r="Q1336" t="s">
        <v>107</v>
      </c>
      <c r="R1336" s="1" t="s">
        <v>158</v>
      </c>
    </row>
    <row r="1337" spans="3:18" x14ac:dyDescent="0.35">
      <c r="C1337" t="s">
        <v>51</v>
      </c>
      <c r="D1337" t="s">
        <v>24</v>
      </c>
      <c r="E1337" t="s">
        <v>62</v>
      </c>
      <c r="F1337" t="s">
        <v>46</v>
      </c>
      <c r="G1337" s="58">
        <v>1099200</v>
      </c>
      <c r="H1337" s="1" t="s">
        <v>48</v>
      </c>
      <c r="I1337" s="1" t="s">
        <v>108</v>
      </c>
      <c r="J1337" s="58">
        <v>37372800</v>
      </c>
      <c r="K1337" s="1" t="s">
        <v>112</v>
      </c>
      <c r="N1337" s="1">
        <v>1</v>
      </c>
      <c r="O1337" s="58"/>
      <c r="P1337" s="58">
        <v>1099200</v>
      </c>
      <c r="Q1337" t="s">
        <v>110</v>
      </c>
      <c r="R1337" s="1" t="s">
        <v>48</v>
      </c>
    </row>
    <row r="1338" spans="3:18" x14ac:dyDescent="0.35">
      <c r="C1338" t="s">
        <v>53</v>
      </c>
      <c r="D1338" t="s">
        <v>22</v>
      </c>
      <c r="E1338" t="s">
        <v>49</v>
      </c>
      <c r="F1338" t="s">
        <v>46</v>
      </c>
      <c r="G1338" s="58">
        <v>126937</v>
      </c>
      <c r="H1338" s="1" t="s">
        <v>54</v>
      </c>
      <c r="I1338" s="1" t="s">
        <v>108</v>
      </c>
      <c r="J1338" s="58">
        <v>2919551</v>
      </c>
      <c r="K1338" s="1" t="s">
        <v>106</v>
      </c>
      <c r="L1338" s="1" t="s">
        <v>124</v>
      </c>
      <c r="N1338" s="1">
        <v>1</v>
      </c>
      <c r="O1338" s="58"/>
      <c r="P1338" s="58">
        <v>79970.31</v>
      </c>
      <c r="Q1338" t="s">
        <v>118</v>
      </c>
      <c r="R1338" s="1" t="s">
        <v>158</v>
      </c>
    </row>
    <row r="1339" spans="3:18" x14ac:dyDescent="0.35">
      <c r="C1339" t="s">
        <v>51</v>
      </c>
      <c r="D1339" t="s">
        <v>23</v>
      </c>
      <c r="E1339" t="s">
        <v>49</v>
      </c>
      <c r="F1339" t="s">
        <v>46</v>
      </c>
      <c r="G1339" s="58">
        <v>250897</v>
      </c>
      <c r="H1339" s="1" t="s">
        <v>48</v>
      </c>
      <c r="I1339" s="1" t="s">
        <v>108</v>
      </c>
      <c r="J1339" s="58">
        <v>6021528</v>
      </c>
      <c r="K1339" s="1" t="s">
        <v>106</v>
      </c>
      <c r="L1339" s="1" t="s">
        <v>120</v>
      </c>
      <c r="M1339" s="1" t="s">
        <v>125</v>
      </c>
      <c r="N1339" s="1">
        <v>1</v>
      </c>
      <c r="O1339" s="58"/>
      <c r="P1339" s="58">
        <v>150538.20000000001</v>
      </c>
      <c r="Q1339" t="s">
        <v>118</v>
      </c>
      <c r="R1339" s="1" t="s">
        <v>48</v>
      </c>
    </row>
    <row r="1340" spans="3:18" x14ac:dyDescent="0.35">
      <c r="C1340" t="s">
        <v>51</v>
      </c>
      <c r="D1340" t="s">
        <v>19</v>
      </c>
      <c r="E1340" t="s">
        <v>49</v>
      </c>
      <c r="F1340" t="s">
        <v>64</v>
      </c>
      <c r="G1340" s="58">
        <v>741441</v>
      </c>
      <c r="H1340" s="1" t="s">
        <v>48</v>
      </c>
      <c r="I1340" s="1" t="s">
        <v>108</v>
      </c>
      <c r="J1340" s="58">
        <v>18536025</v>
      </c>
      <c r="K1340" s="1" t="s">
        <v>106</v>
      </c>
      <c r="L1340" s="1" t="s">
        <v>124</v>
      </c>
      <c r="M1340" s="1" t="s">
        <v>122</v>
      </c>
      <c r="N1340" s="1">
        <v>1</v>
      </c>
      <c r="O1340" s="58"/>
      <c r="P1340" s="58">
        <v>489351.06</v>
      </c>
      <c r="Q1340" t="s">
        <v>118</v>
      </c>
      <c r="R1340" s="1" t="s">
        <v>158</v>
      </c>
    </row>
    <row r="1341" spans="3:18" x14ac:dyDescent="0.35">
      <c r="C1341" t="s">
        <v>53</v>
      </c>
      <c r="D1341" t="s">
        <v>24</v>
      </c>
      <c r="E1341" t="s">
        <v>55</v>
      </c>
      <c r="F1341" t="s">
        <v>46</v>
      </c>
      <c r="G1341" s="58">
        <v>183595</v>
      </c>
      <c r="H1341" s="1" t="s">
        <v>48</v>
      </c>
      <c r="I1341" s="1" t="s">
        <v>105</v>
      </c>
      <c r="J1341" s="58">
        <v>917975</v>
      </c>
      <c r="K1341" s="1" t="s">
        <v>106</v>
      </c>
      <c r="L1341" s="1" t="s">
        <v>114</v>
      </c>
      <c r="M1341" s="1" t="s">
        <v>121</v>
      </c>
      <c r="N1341" s="1">
        <v>1</v>
      </c>
      <c r="O1341" s="58"/>
      <c r="P1341" s="58">
        <v>49570.65</v>
      </c>
      <c r="Q1341" t="s">
        <v>107</v>
      </c>
      <c r="R1341" s="1" t="s">
        <v>158</v>
      </c>
    </row>
    <row r="1342" spans="3:18" x14ac:dyDescent="0.35">
      <c r="C1342" t="s">
        <v>51</v>
      </c>
      <c r="D1342" t="s">
        <v>23</v>
      </c>
      <c r="E1342" t="s">
        <v>50</v>
      </c>
      <c r="F1342" t="s">
        <v>46</v>
      </c>
      <c r="G1342" s="58">
        <v>98156</v>
      </c>
      <c r="H1342" s="1" t="s">
        <v>48</v>
      </c>
      <c r="I1342" s="1" t="s">
        <v>119</v>
      </c>
      <c r="J1342" s="58">
        <v>687092</v>
      </c>
      <c r="K1342" s="1" t="s">
        <v>106</v>
      </c>
      <c r="L1342" s="1" t="s">
        <v>109</v>
      </c>
      <c r="M1342" s="1" t="s">
        <v>125</v>
      </c>
      <c r="N1342" s="1">
        <v>1</v>
      </c>
      <c r="O1342" s="58"/>
      <c r="P1342" s="58">
        <v>63801.4</v>
      </c>
      <c r="Q1342" t="s">
        <v>118</v>
      </c>
      <c r="R1342" s="1" t="s">
        <v>158</v>
      </c>
    </row>
    <row r="1343" spans="3:18" x14ac:dyDescent="0.35">
      <c r="C1343" t="s">
        <v>51</v>
      </c>
      <c r="D1343" t="s">
        <v>25</v>
      </c>
      <c r="E1343" t="s">
        <v>49</v>
      </c>
      <c r="F1343" t="s">
        <v>46</v>
      </c>
      <c r="G1343" s="58">
        <v>251970</v>
      </c>
      <c r="H1343" s="1" t="s">
        <v>48</v>
      </c>
      <c r="I1343" s="1" t="s">
        <v>108</v>
      </c>
      <c r="J1343" s="58">
        <v>7559100</v>
      </c>
      <c r="K1343" s="1" t="s">
        <v>106</v>
      </c>
      <c r="L1343" s="1" t="s">
        <v>124</v>
      </c>
      <c r="M1343" s="1" t="s">
        <v>117</v>
      </c>
      <c r="N1343" s="1">
        <v>1</v>
      </c>
      <c r="O1343" s="58"/>
      <c r="P1343" s="58">
        <v>151182</v>
      </c>
      <c r="Q1343" t="s">
        <v>113</v>
      </c>
      <c r="R1343" s="1" t="s">
        <v>48</v>
      </c>
    </row>
    <row r="1344" spans="3:18" x14ac:dyDescent="0.35">
      <c r="C1344" t="s">
        <v>51</v>
      </c>
      <c r="D1344" t="s">
        <v>23</v>
      </c>
      <c r="E1344" t="s">
        <v>45</v>
      </c>
      <c r="F1344" t="s">
        <v>46</v>
      </c>
      <c r="G1344" s="58">
        <v>710056</v>
      </c>
      <c r="H1344" s="1" t="s">
        <v>48</v>
      </c>
      <c r="I1344" s="1" t="s">
        <v>108</v>
      </c>
      <c r="J1344" s="58">
        <v>15621232</v>
      </c>
      <c r="K1344" s="1" t="s">
        <v>106</v>
      </c>
      <c r="L1344" s="1" t="s">
        <v>120</v>
      </c>
      <c r="M1344" s="1" t="s">
        <v>115</v>
      </c>
      <c r="N1344" s="1">
        <v>1</v>
      </c>
      <c r="O1344" s="58"/>
      <c r="P1344" s="58">
        <v>298223.52</v>
      </c>
      <c r="Q1344" t="s">
        <v>113</v>
      </c>
      <c r="R1344" s="1" t="s">
        <v>48</v>
      </c>
    </row>
    <row r="1345" spans="3:18" x14ac:dyDescent="0.35">
      <c r="C1345" t="s">
        <v>51</v>
      </c>
      <c r="D1345" t="s">
        <v>20</v>
      </c>
      <c r="E1345" t="s">
        <v>55</v>
      </c>
      <c r="F1345" t="s">
        <v>46</v>
      </c>
      <c r="G1345" s="58">
        <v>202813</v>
      </c>
      <c r="H1345" s="1" t="s">
        <v>48</v>
      </c>
      <c r="I1345" s="1" t="s">
        <v>111</v>
      </c>
      <c r="J1345" s="58">
        <v>3447821</v>
      </c>
      <c r="K1345" s="1" t="s">
        <v>106</v>
      </c>
      <c r="L1345" s="1" t="s">
        <v>114</v>
      </c>
      <c r="M1345" s="1" t="s">
        <v>123</v>
      </c>
      <c r="N1345" s="1">
        <v>1</v>
      </c>
      <c r="O1345" s="58"/>
      <c r="P1345" s="58">
        <v>139940.97</v>
      </c>
      <c r="Q1345" t="s">
        <v>118</v>
      </c>
      <c r="R1345" s="1" t="s">
        <v>158</v>
      </c>
    </row>
    <row r="1346" spans="3:18" x14ac:dyDescent="0.35">
      <c r="C1346" t="s">
        <v>51</v>
      </c>
      <c r="D1346" t="s">
        <v>92</v>
      </c>
      <c r="E1346" t="s">
        <v>45</v>
      </c>
      <c r="F1346" t="s">
        <v>46</v>
      </c>
      <c r="G1346" s="58">
        <v>71913</v>
      </c>
      <c r="H1346" s="1" t="s">
        <v>48</v>
      </c>
      <c r="I1346" s="1" t="s">
        <v>119</v>
      </c>
      <c r="J1346" s="58">
        <v>431478</v>
      </c>
      <c r="K1346" s="1" t="s">
        <v>106</v>
      </c>
      <c r="L1346" s="1" t="s">
        <v>124</v>
      </c>
      <c r="M1346" s="1" t="s">
        <v>123</v>
      </c>
      <c r="N1346" s="1">
        <v>1</v>
      </c>
      <c r="O1346" s="58"/>
      <c r="P1346" s="58">
        <v>21573.9</v>
      </c>
      <c r="Q1346" t="s">
        <v>107</v>
      </c>
      <c r="R1346" s="1" t="s">
        <v>48</v>
      </c>
    </row>
    <row r="1347" spans="3:18" x14ac:dyDescent="0.35">
      <c r="C1347" t="s">
        <v>51</v>
      </c>
      <c r="D1347" t="s">
        <v>21</v>
      </c>
      <c r="E1347" t="s">
        <v>45</v>
      </c>
      <c r="F1347" t="s">
        <v>46</v>
      </c>
      <c r="G1347" s="58">
        <v>494805</v>
      </c>
      <c r="H1347" s="1" t="s">
        <v>56</v>
      </c>
      <c r="I1347" s="1" t="s">
        <v>105</v>
      </c>
      <c r="J1347" s="58">
        <v>1484415</v>
      </c>
      <c r="K1347" s="1" t="s">
        <v>106</v>
      </c>
      <c r="L1347" s="1" t="s">
        <v>120</v>
      </c>
      <c r="N1347" s="1">
        <v>1</v>
      </c>
      <c r="O1347" s="58"/>
      <c r="P1347" s="58">
        <v>59376.6</v>
      </c>
      <c r="Q1347" t="s">
        <v>107</v>
      </c>
      <c r="R1347" s="1" t="s">
        <v>158</v>
      </c>
    </row>
    <row r="1348" spans="3:18" x14ac:dyDescent="0.35">
      <c r="C1348" t="s">
        <v>51</v>
      </c>
      <c r="D1348" t="s">
        <v>24</v>
      </c>
      <c r="E1348" t="s">
        <v>55</v>
      </c>
      <c r="F1348" t="s">
        <v>46</v>
      </c>
      <c r="G1348" s="58">
        <v>1358947</v>
      </c>
      <c r="H1348" s="1" t="s">
        <v>47</v>
      </c>
      <c r="I1348" s="1" t="s">
        <v>119</v>
      </c>
      <c r="J1348" s="58">
        <v>9512629</v>
      </c>
      <c r="K1348" s="1" t="s">
        <v>106</v>
      </c>
      <c r="L1348" s="1" t="s">
        <v>120</v>
      </c>
      <c r="N1348" s="1">
        <v>1</v>
      </c>
      <c r="O1348" s="58"/>
      <c r="P1348" s="58">
        <v>271789.40000000002</v>
      </c>
      <c r="Q1348" t="s">
        <v>107</v>
      </c>
      <c r="R1348" s="1" t="s">
        <v>158</v>
      </c>
    </row>
    <row r="1349" spans="3:18" x14ac:dyDescent="0.35">
      <c r="C1349" t="s">
        <v>53</v>
      </c>
      <c r="D1349" t="s">
        <v>21</v>
      </c>
      <c r="E1349" t="s">
        <v>45</v>
      </c>
      <c r="F1349" t="s">
        <v>46</v>
      </c>
      <c r="G1349" s="58">
        <v>179134</v>
      </c>
      <c r="H1349" s="1" t="s">
        <v>47</v>
      </c>
      <c r="I1349" s="1" t="s">
        <v>108</v>
      </c>
      <c r="J1349" s="58">
        <v>4299216</v>
      </c>
      <c r="K1349" s="1" t="s">
        <v>106</v>
      </c>
      <c r="L1349" s="1" t="s">
        <v>120</v>
      </c>
      <c r="N1349" s="1">
        <v>1</v>
      </c>
      <c r="O1349" s="58"/>
      <c r="P1349" s="58">
        <v>84192.98</v>
      </c>
      <c r="Q1349" t="s">
        <v>113</v>
      </c>
      <c r="R1349" s="1" t="s">
        <v>158</v>
      </c>
    </row>
    <row r="1350" spans="3:18" x14ac:dyDescent="0.35">
      <c r="C1350" t="s">
        <v>51</v>
      </c>
      <c r="D1350" t="s">
        <v>22</v>
      </c>
      <c r="E1350" t="s">
        <v>52</v>
      </c>
      <c r="F1350" t="s">
        <v>46</v>
      </c>
      <c r="G1350" s="58">
        <v>951073</v>
      </c>
      <c r="H1350" s="1" t="s">
        <v>48</v>
      </c>
      <c r="I1350" s="1" t="s">
        <v>111</v>
      </c>
      <c r="J1350" s="58">
        <v>15217168</v>
      </c>
      <c r="K1350" s="1" t="s">
        <v>106</v>
      </c>
      <c r="L1350" s="1" t="s">
        <v>130</v>
      </c>
      <c r="M1350" s="1" t="s">
        <v>115</v>
      </c>
      <c r="N1350" s="1">
        <v>1</v>
      </c>
      <c r="O1350" s="58"/>
      <c r="P1350" s="58">
        <v>475536.5</v>
      </c>
      <c r="Q1350" t="s">
        <v>113</v>
      </c>
      <c r="R1350" s="1" t="s">
        <v>48</v>
      </c>
    </row>
    <row r="1351" spans="3:18" x14ac:dyDescent="0.35">
      <c r="C1351" t="s">
        <v>51</v>
      </c>
      <c r="D1351" t="s">
        <v>19</v>
      </c>
      <c r="E1351" t="s">
        <v>49</v>
      </c>
      <c r="F1351" t="s">
        <v>46</v>
      </c>
      <c r="G1351" s="58">
        <v>69422</v>
      </c>
      <c r="H1351" s="1" t="s">
        <v>58</v>
      </c>
      <c r="I1351" s="1" t="s">
        <v>111</v>
      </c>
      <c r="J1351" s="58">
        <v>1110752</v>
      </c>
      <c r="K1351" s="1" t="s">
        <v>106</v>
      </c>
      <c r="L1351" s="1" t="s">
        <v>124</v>
      </c>
      <c r="N1351" s="1">
        <v>1</v>
      </c>
      <c r="O1351" s="58"/>
      <c r="P1351" s="58">
        <v>45818.52</v>
      </c>
      <c r="Q1351" t="s">
        <v>118</v>
      </c>
      <c r="R1351" s="1" t="s">
        <v>158</v>
      </c>
    </row>
    <row r="1352" spans="3:18" x14ac:dyDescent="0.35">
      <c r="C1352" t="s">
        <v>51</v>
      </c>
      <c r="D1352" t="s">
        <v>23</v>
      </c>
      <c r="E1352" t="s">
        <v>45</v>
      </c>
      <c r="F1352" t="s">
        <v>46</v>
      </c>
      <c r="G1352" s="58">
        <v>101641</v>
      </c>
      <c r="H1352" s="1" t="s">
        <v>48</v>
      </c>
      <c r="I1352" s="1" t="s">
        <v>119</v>
      </c>
      <c r="J1352" s="58">
        <v>711487</v>
      </c>
      <c r="K1352" s="1" t="s">
        <v>106</v>
      </c>
      <c r="L1352" s="1" t="s">
        <v>120</v>
      </c>
      <c r="M1352" s="1" t="s">
        <v>125</v>
      </c>
      <c r="N1352" s="1">
        <v>1</v>
      </c>
      <c r="O1352" s="58"/>
      <c r="P1352" s="58">
        <v>42689.22</v>
      </c>
      <c r="Q1352" t="s">
        <v>113</v>
      </c>
      <c r="R1352" s="1" t="s">
        <v>48</v>
      </c>
    </row>
    <row r="1353" spans="3:18" x14ac:dyDescent="0.35">
      <c r="C1353" t="s">
        <v>51</v>
      </c>
      <c r="D1353" t="s">
        <v>91</v>
      </c>
      <c r="E1353" t="s">
        <v>49</v>
      </c>
      <c r="F1353" t="s">
        <v>46</v>
      </c>
      <c r="G1353" s="58">
        <v>1202022</v>
      </c>
      <c r="H1353" s="1" t="s">
        <v>48</v>
      </c>
      <c r="I1353" s="1" t="s">
        <v>108</v>
      </c>
      <c r="J1353" s="58">
        <v>42070770</v>
      </c>
      <c r="K1353" s="1" t="s">
        <v>106</v>
      </c>
      <c r="L1353" s="1" t="s">
        <v>114</v>
      </c>
      <c r="M1353" s="1" t="s">
        <v>121</v>
      </c>
      <c r="N1353" s="1">
        <v>1</v>
      </c>
      <c r="O1353" s="58"/>
      <c r="P1353" s="58">
        <v>901516.5</v>
      </c>
      <c r="Q1353" t="s">
        <v>118</v>
      </c>
      <c r="R1353" s="1" t="s">
        <v>158</v>
      </c>
    </row>
    <row r="1354" spans="3:18" x14ac:dyDescent="0.35">
      <c r="C1354" t="s">
        <v>51</v>
      </c>
      <c r="D1354" t="s">
        <v>23</v>
      </c>
      <c r="E1354" t="s">
        <v>45</v>
      </c>
      <c r="F1354" t="s">
        <v>46</v>
      </c>
      <c r="G1354" s="58">
        <v>5604125</v>
      </c>
      <c r="H1354" s="1" t="s">
        <v>54</v>
      </c>
      <c r="I1354" s="1" t="s">
        <v>105</v>
      </c>
      <c r="J1354" s="58">
        <v>16812375</v>
      </c>
      <c r="K1354" s="1" t="s">
        <v>106</v>
      </c>
      <c r="L1354" s="1" t="s">
        <v>120</v>
      </c>
      <c r="N1354" s="1">
        <v>1</v>
      </c>
      <c r="O1354" s="58"/>
      <c r="P1354" s="58">
        <v>616453.75</v>
      </c>
      <c r="Q1354" t="s">
        <v>107</v>
      </c>
      <c r="R1354" s="1" t="s">
        <v>158</v>
      </c>
    </row>
    <row r="1355" spans="3:18" x14ac:dyDescent="0.35">
      <c r="C1355" t="s">
        <v>51</v>
      </c>
      <c r="D1355" t="s">
        <v>91</v>
      </c>
      <c r="E1355" t="s">
        <v>49</v>
      </c>
      <c r="F1355" t="s">
        <v>64</v>
      </c>
      <c r="G1355" s="58">
        <v>217171</v>
      </c>
      <c r="H1355" s="1" t="s">
        <v>56</v>
      </c>
      <c r="I1355" s="1" t="s">
        <v>108</v>
      </c>
      <c r="J1355" s="58">
        <v>8469669</v>
      </c>
      <c r="K1355" s="1" t="s">
        <v>112</v>
      </c>
      <c r="N1355" s="1">
        <v>1</v>
      </c>
      <c r="O1355" s="58"/>
      <c r="P1355" s="58">
        <v>123787.47</v>
      </c>
      <c r="Q1355" t="s">
        <v>113</v>
      </c>
      <c r="R1355" s="1" t="s">
        <v>158</v>
      </c>
    </row>
    <row r="1356" spans="3:18" x14ac:dyDescent="0.35">
      <c r="C1356" t="s">
        <v>51</v>
      </c>
      <c r="D1356" t="s">
        <v>24</v>
      </c>
      <c r="E1356" t="s">
        <v>55</v>
      </c>
      <c r="F1356" t="s">
        <v>46</v>
      </c>
      <c r="G1356" s="58">
        <v>102266</v>
      </c>
      <c r="H1356" s="1" t="s">
        <v>48</v>
      </c>
      <c r="I1356" s="1" t="s">
        <v>119</v>
      </c>
      <c r="J1356" s="58">
        <v>818128</v>
      </c>
      <c r="K1356" s="1" t="s">
        <v>106</v>
      </c>
      <c r="L1356" s="1" t="s">
        <v>114</v>
      </c>
      <c r="M1356" s="1" t="s">
        <v>121</v>
      </c>
      <c r="N1356" s="1">
        <v>1</v>
      </c>
      <c r="O1356" s="58"/>
      <c r="P1356" s="58">
        <v>14317.24</v>
      </c>
      <c r="Q1356" t="s">
        <v>107</v>
      </c>
      <c r="R1356" s="1" t="s">
        <v>48</v>
      </c>
    </row>
    <row r="1357" spans="3:18" x14ac:dyDescent="0.35">
      <c r="C1357" t="s">
        <v>51</v>
      </c>
      <c r="D1357" t="s">
        <v>22</v>
      </c>
      <c r="E1357" t="s">
        <v>49</v>
      </c>
      <c r="F1357" t="s">
        <v>46</v>
      </c>
      <c r="G1357" s="58">
        <v>764532</v>
      </c>
      <c r="H1357" s="1" t="s">
        <v>48</v>
      </c>
      <c r="I1357" s="1" t="s">
        <v>111</v>
      </c>
      <c r="J1357" s="58">
        <v>13761576</v>
      </c>
      <c r="K1357" s="1" t="s">
        <v>112</v>
      </c>
      <c r="N1357" s="1">
        <v>1</v>
      </c>
      <c r="O1357" s="58"/>
      <c r="P1357" s="58">
        <v>649852.19999999995</v>
      </c>
      <c r="Q1357" t="s">
        <v>127</v>
      </c>
      <c r="R1357" s="1" t="s">
        <v>158</v>
      </c>
    </row>
    <row r="1358" spans="3:18" x14ac:dyDescent="0.35">
      <c r="C1358" t="s">
        <v>51</v>
      </c>
      <c r="D1358" t="s">
        <v>19</v>
      </c>
      <c r="E1358" t="s">
        <v>49</v>
      </c>
      <c r="F1358" t="s">
        <v>46</v>
      </c>
      <c r="G1358" s="58">
        <v>131647</v>
      </c>
      <c r="H1358" s="1" t="s">
        <v>48</v>
      </c>
      <c r="I1358" s="1" t="s">
        <v>111</v>
      </c>
      <c r="J1358" s="58">
        <v>1843058</v>
      </c>
      <c r="K1358" s="1" t="s">
        <v>106</v>
      </c>
      <c r="L1358" s="1" t="s">
        <v>116</v>
      </c>
      <c r="M1358" s="1" t="s">
        <v>129</v>
      </c>
      <c r="N1358" s="1">
        <v>1</v>
      </c>
      <c r="O1358" s="58"/>
      <c r="P1358" s="58">
        <v>44759.98</v>
      </c>
      <c r="Q1358" t="s">
        <v>107</v>
      </c>
      <c r="R1358" s="1" t="s">
        <v>158</v>
      </c>
    </row>
    <row r="1359" spans="3:18" x14ac:dyDescent="0.35">
      <c r="C1359" t="s">
        <v>51</v>
      </c>
      <c r="D1359" t="s">
        <v>23</v>
      </c>
      <c r="E1359" t="s">
        <v>49</v>
      </c>
      <c r="F1359" t="s">
        <v>46</v>
      </c>
      <c r="G1359" s="58">
        <v>2310989</v>
      </c>
      <c r="H1359" s="1" t="s">
        <v>48</v>
      </c>
      <c r="I1359" s="1" t="s">
        <v>119</v>
      </c>
      <c r="J1359" s="58">
        <v>18487912</v>
      </c>
      <c r="K1359" s="1" t="s">
        <v>106</v>
      </c>
      <c r="L1359" s="1" t="s">
        <v>124</v>
      </c>
      <c r="M1359" s="1" t="s">
        <v>125</v>
      </c>
      <c r="N1359" s="1">
        <v>1</v>
      </c>
      <c r="O1359" s="58"/>
      <c r="P1359" s="58">
        <v>1086164.83</v>
      </c>
      <c r="Q1359" t="s">
        <v>113</v>
      </c>
      <c r="R1359" s="1" t="s">
        <v>158</v>
      </c>
    </row>
    <row r="1360" spans="3:18" x14ac:dyDescent="0.35">
      <c r="C1360" t="s">
        <v>51</v>
      </c>
      <c r="D1360" t="s">
        <v>91</v>
      </c>
      <c r="E1360" t="s">
        <v>49</v>
      </c>
      <c r="F1360" t="s">
        <v>46</v>
      </c>
      <c r="G1360" s="58">
        <v>324117119</v>
      </c>
      <c r="H1360" s="1" t="s">
        <v>48</v>
      </c>
      <c r="I1360" s="1" t="s">
        <v>108</v>
      </c>
      <c r="J1360" s="58">
        <v>10371747808</v>
      </c>
      <c r="K1360" s="1" t="s">
        <v>106</v>
      </c>
      <c r="L1360" s="1" t="s">
        <v>124</v>
      </c>
      <c r="M1360" s="1" t="s">
        <v>122</v>
      </c>
      <c r="N1360" s="1">
        <v>1</v>
      </c>
      <c r="O1360" s="58"/>
      <c r="P1360" s="58">
        <v>226881983.30000001</v>
      </c>
      <c r="Q1360" t="s">
        <v>118</v>
      </c>
      <c r="R1360" s="1" t="s">
        <v>158</v>
      </c>
    </row>
    <row r="1361" spans="3:18" x14ac:dyDescent="0.35">
      <c r="C1361" t="s">
        <v>51</v>
      </c>
      <c r="D1361" t="s">
        <v>92</v>
      </c>
      <c r="E1361" t="s">
        <v>45</v>
      </c>
      <c r="F1361" t="s">
        <v>46</v>
      </c>
      <c r="G1361" s="58">
        <v>548740</v>
      </c>
      <c r="H1361" s="1" t="s">
        <v>48</v>
      </c>
      <c r="I1361" s="1" t="s">
        <v>119</v>
      </c>
      <c r="J1361" s="58">
        <v>3841180</v>
      </c>
      <c r="K1361" s="1" t="s">
        <v>106</v>
      </c>
      <c r="L1361" s="1" t="s">
        <v>120</v>
      </c>
      <c r="M1361" s="1" t="s">
        <v>123</v>
      </c>
      <c r="N1361" s="1">
        <v>1</v>
      </c>
      <c r="O1361" s="58"/>
      <c r="P1361" s="58">
        <v>131697.60000000001</v>
      </c>
      <c r="Q1361" t="s">
        <v>107</v>
      </c>
      <c r="R1361" s="1" t="s">
        <v>158</v>
      </c>
    </row>
    <row r="1362" spans="3:18" x14ac:dyDescent="0.35">
      <c r="C1362" t="s">
        <v>53</v>
      </c>
      <c r="D1362" t="s">
        <v>21</v>
      </c>
      <c r="E1362" t="s">
        <v>45</v>
      </c>
      <c r="F1362" t="s">
        <v>46</v>
      </c>
      <c r="G1362" s="58">
        <v>522742</v>
      </c>
      <c r="H1362" s="1" t="s">
        <v>54</v>
      </c>
      <c r="I1362" s="1" t="s">
        <v>111</v>
      </c>
      <c r="J1362" s="58">
        <v>6272904</v>
      </c>
      <c r="K1362" s="1" t="s">
        <v>112</v>
      </c>
      <c r="N1362" s="1">
        <v>1</v>
      </c>
      <c r="O1362" s="58"/>
      <c r="P1362" s="58">
        <v>271825.84000000003</v>
      </c>
      <c r="Q1362" t="s">
        <v>113</v>
      </c>
      <c r="R1362" s="1" t="s">
        <v>158</v>
      </c>
    </row>
    <row r="1363" spans="3:18" x14ac:dyDescent="0.35">
      <c r="C1363" t="s">
        <v>51</v>
      </c>
      <c r="D1363" t="s">
        <v>19</v>
      </c>
      <c r="E1363" t="s">
        <v>49</v>
      </c>
      <c r="F1363" t="s">
        <v>46</v>
      </c>
      <c r="G1363" s="58">
        <v>7150955</v>
      </c>
      <c r="H1363" s="1" t="s">
        <v>48</v>
      </c>
      <c r="I1363" s="1" t="s">
        <v>111</v>
      </c>
      <c r="J1363" s="58">
        <v>121566235</v>
      </c>
      <c r="K1363" s="1" t="s">
        <v>106</v>
      </c>
      <c r="L1363" s="1" t="s">
        <v>124</v>
      </c>
      <c r="M1363" s="1" t="s">
        <v>122</v>
      </c>
      <c r="N1363" s="1">
        <v>1</v>
      </c>
      <c r="O1363" s="58"/>
      <c r="P1363" s="58">
        <v>4862649.4000000004</v>
      </c>
      <c r="Q1363" t="s">
        <v>118</v>
      </c>
      <c r="R1363" s="1" t="s">
        <v>48</v>
      </c>
    </row>
    <row r="1364" spans="3:18" x14ac:dyDescent="0.35">
      <c r="C1364" t="s">
        <v>53</v>
      </c>
      <c r="D1364" t="s">
        <v>24</v>
      </c>
      <c r="E1364" t="s">
        <v>45</v>
      </c>
      <c r="F1364" t="s">
        <v>46</v>
      </c>
      <c r="G1364" s="58">
        <v>4543</v>
      </c>
      <c r="H1364" s="1" t="s">
        <v>54</v>
      </c>
      <c r="I1364" s="1" t="s">
        <v>105</v>
      </c>
      <c r="J1364" s="58">
        <v>0</v>
      </c>
      <c r="K1364" s="1" t="s">
        <v>106</v>
      </c>
      <c r="L1364" s="1" t="s">
        <v>114</v>
      </c>
      <c r="N1364" s="1">
        <v>1</v>
      </c>
      <c r="O1364" s="58"/>
      <c r="P1364" s="58">
        <v>272.58</v>
      </c>
      <c r="Q1364" t="s">
        <v>107</v>
      </c>
      <c r="R1364" s="1" t="s">
        <v>158</v>
      </c>
    </row>
    <row r="1365" spans="3:18" x14ac:dyDescent="0.35">
      <c r="C1365" t="s">
        <v>51</v>
      </c>
      <c r="D1365" t="s">
        <v>92</v>
      </c>
      <c r="E1365" t="s">
        <v>49</v>
      </c>
      <c r="F1365" t="s">
        <v>46</v>
      </c>
      <c r="G1365" s="58">
        <v>4535</v>
      </c>
      <c r="H1365" s="1" t="s">
        <v>48</v>
      </c>
      <c r="I1365" s="1" t="s">
        <v>105</v>
      </c>
      <c r="J1365" s="58"/>
      <c r="K1365" s="1" t="s">
        <v>106</v>
      </c>
      <c r="L1365" s="1" t="s">
        <v>124</v>
      </c>
      <c r="M1365" s="1" t="s">
        <v>123</v>
      </c>
      <c r="N1365" s="1">
        <v>0</v>
      </c>
      <c r="O1365" s="58"/>
      <c r="P1365" s="58">
        <v>90.7</v>
      </c>
      <c r="Q1365" t="s">
        <v>107</v>
      </c>
      <c r="R1365" s="1" t="s">
        <v>158</v>
      </c>
    </row>
    <row r="1366" spans="3:18" x14ac:dyDescent="0.35">
      <c r="C1366" t="s">
        <v>51</v>
      </c>
      <c r="D1366" t="s">
        <v>23</v>
      </c>
      <c r="E1366" t="s">
        <v>55</v>
      </c>
      <c r="F1366" t="s">
        <v>46</v>
      </c>
      <c r="G1366" s="58">
        <v>78598</v>
      </c>
      <c r="H1366" s="1" t="s">
        <v>48</v>
      </c>
      <c r="I1366" s="1" t="s">
        <v>108</v>
      </c>
      <c r="J1366" s="58">
        <v>2043548</v>
      </c>
      <c r="K1366" s="1" t="s">
        <v>106</v>
      </c>
      <c r="L1366" s="1" t="s">
        <v>124</v>
      </c>
      <c r="M1366" s="1" t="s">
        <v>125</v>
      </c>
      <c r="N1366" s="1">
        <v>1</v>
      </c>
      <c r="O1366" s="58"/>
      <c r="P1366" s="58">
        <v>21221.46</v>
      </c>
      <c r="Q1366" t="s">
        <v>107</v>
      </c>
      <c r="R1366" s="1" t="s">
        <v>48</v>
      </c>
    </row>
    <row r="1367" spans="3:18" x14ac:dyDescent="0.35">
      <c r="C1367" t="s">
        <v>51</v>
      </c>
      <c r="D1367" t="s">
        <v>21</v>
      </c>
      <c r="E1367" t="s">
        <v>45</v>
      </c>
      <c r="F1367" t="s">
        <v>46</v>
      </c>
      <c r="G1367" s="58">
        <v>184150</v>
      </c>
      <c r="H1367" s="1" t="s">
        <v>48</v>
      </c>
      <c r="I1367" s="1" t="s">
        <v>108</v>
      </c>
      <c r="J1367" s="58">
        <v>4419600</v>
      </c>
      <c r="K1367" s="1" t="s">
        <v>106</v>
      </c>
      <c r="L1367" s="1" t="s">
        <v>120</v>
      </c>
      <c r="M1367" s="1" t="s">
        <v>115</v>
      </c>
      <c r="N1367" s="1">
        <v>1</v>
      </c>
      <c r="O1367" s="58"/>
      <c r="P1367" s="58">
        <v>77343</v>
      </c>
      <c r="Q1367" t="s">
        <v>113</v>
      </c>
      <c r="R1367" s="1" t="s">
        <v>158</v>
      </c>
    </row>
    <row r="1368" spans="3:18" x14ac:dyDescent="0.35">
      <c r="C1368" t="s">
        <v>51</v>
      </c>
      <c r="D1368" t="s">
        <v>91</v>
      </c>
      <c r="E1368" t="s">
        <v>49</v>
      </c>
      <c r="F1368" t="s">
        <v>46</v>
      </c>
      <c r="G1368" s="58">
        <v>3228965</v>
      </c>
      <c r="H1368" s="1" t="s">
        <v>56</v>
      </c>
      <c r="I1368" s="1" t="s">
        <v>108</v>
      </c>
      <c r="J1368" s="58">
        <v>96868950</v>
      </c>
      <c r="K1368" s="1" t="s">
        <v>106</v>
      </c>
      <c r="L1368" s="1" t="s">
        <v>124</v>
      </c>
      <c r="N1368" s="1">
        <v>1</v>
      </c>
      <c r="O1368" s="58"/>
      <c r="P1368" s="58">
        <v>936399.85</v>
      </c>
      <c r="Q1368" t="s">
        <v>107</v>
      </c>
      <c r="R1368" s="1" t="s">
        <v>158</v>
      </c>
    </row>
    <row r="1369" spans="3:18" x14ac:dyDescent="0.35">
      <c r="C1369" t="s">
        <v>51</v>
      </c>
      <c r="D1369" t="s">
        <v>20</v>
      </c>
      <c r="E1369" t="s">
        <v>49</v>
      </c>
      <c r="F1369" t="s">
        <v>46</v>
      </c>
      <c r="G1369" s="58">
        <v>1680000</v>
      </c>
      <c r="H1369" s="1" t="s">
        <v>59</v>
      </c>
      <c r="I1369" s="1" t="s">
        <v>119</v>
      </c>
      <c r="J1369" s="58">
        <v>15120000</v>
      </c>
      <c r="K1369" s="1" t="s">
        <v>106</v>
      </c>
      <c r="L1369" s="1" t="s">
        <v>124</v>
      </c>
      <c r="N1369" s="1">
        <v>1</v>
      </c>
      <c r="O1369" s="58"/>
      <c r="P1369" s="58">
        <v>2520000</v>
      </c>
      <c r="Q1369" t="s">
        <v>110</v>
      </c>
      <c r="R1369" s="1" t="s">
        <v>158</v>
      </c>
    </row>
    <row r="1370" spans="3:18" x14ac:dyDescent="0.35">
      <c r="C1370" t="s">
        <v>51</v>
      </c>
      <c r="D1370" t="s">
        <v>91</v>
      </c>
      <c r="E1370" t="s">
        <v>49</v>
      </c>
      <c r="F1370" t="s">
        <v>46</v>
      </c>
      <c r="G1370" s="58">
        <v>43979</v>
      </c>
      <c r="H1370" s="1" t="s">
        <v>56</v>
      </c>
      <c r="I1370" s="1" t="s">
        <v>119</v>
      </c>
      <c r="J1370" s="58">
        <v>395811</v>
      </c>
      <c r="K1370" s="1" t="s">
        <v>106</v>
      </c>
      <c r="L1370" s="1" t="s">
        <v>124</v>
      </c>
      <c r="N1370" s="1">
        <v>1</v>
      </c>
      <c r="O1370" s="58"/>
      <c r="P1370" s="58">
        <v>21549.71</v>
      </c>
      <c r="Q1370" t="s">
        <v>113</v>
      </c>
      <c r="R1370" s="1" t="s">
        <v>158</v>
      </c>
    </row>
    <row r="1371" spans="3:18" x14ac:dyDescent="0.35">
      <c r="C1371" t="s">
        <v>51</v>
      </c>
      <c r="D1371" t="s">
        <v>20</v>
      </c>
      <c r="E1371" t="s">
        <v>49</v>
      </c>
      <c r="F1371" t="s">
        <v>46</v>
      </c>
      <c r="G1371" s="58">
        <v>18746565</v>
      </c>
      <c r="H1371" s="1" t="s">
        <v>54</v>
      </c>
      <c r="I1371" s="1" t="s">
        <v>119</v>
      </c>
      <c r="J1371" s="58">
        <v>149972520</v>
      </c>
      <c r="K1371" s="1" t="s">
        <v>106</v>
      </c>
      <c r="L1371" s="1" t="s">
        <v>124</v>
      </c>
      <c r="N1371" s="1">
        <v>1</v>
      </c>
      <c r="O1371" s="58"/>
      <c r="P1371" s="58">
        <v>3936778.65</v>
      </c>
      <c r="Q1371" t="s">
        <v>107</v>
      </c>
      <c r="R1371" s="1" t="s">
        <v>158</v>
      </c>
    </row>
    <row r="1372" spans="3:18" x14ac:dyDescent="0.35">
      <c r="C1372" t="s">
        <v>53</v>
      </c>
      <c r="D1372" t="s">
        <v>19</v>
      </c>
      <c r="E1372" t="s">
        <v>49</v>
      </c>
      <c r="F1372" t="s">
        <v>46</v>
      </c>
      <c r="G1372" s="58">
        <v>26123896</v>
      </c>
      <c r="H1372" s="1" t="s">
        <v>47</v>
      </c>
      <c r="I1372" s="1" t="s">
        <v>111</v>
      </c>
      <c r="J1372" s="58">
        <v>313486752</v>
      </c>
      <c r="K1372" s="1" t="s">
        <v>106</v>
      </c>
      <c r="L1372" s="1" t="s">
        <v>124</v>
      </c>
      <c r="N1372" s="1">
        <v>1</v>
      </c>
      <c r="O1372" s="58"/>
      <c r="P1372" s="58">
        <v>18547966.16</v>
      </c>
      <c r="Q1372" t="s">
        <v>118</v>
      </c>
      <c r="R1372" s="1" t="s">
        <v>158</v>
      </c>
    </row>
    <row r="1373" spans="3:18" x14ac:dyDescent="0.35">
      <c r="C1373" t="s">
        <v>51</v>
      </c>
      <c r="D1373" t="s">
        <v>21</v>
      </c>
      <c r="E1373" t="s">
        <v>45</v>
      </c>
      <c r="F1373" t="s">
        <v>46</v>
      </c>
      <c r="G1373" s="58">
        <v>29132344</v>
      </c>
      <c r="H1373" s="1" t="s">
        <v>48</v>
      </c>
      <c r="I1373" s="1" t="s">
        <v>108</v>
      </c>
      <c r="J1373" s="58">
        <v>815705632</v>
      </c>
      <c r="K1373" s="1" t="s">
        <v>106</v>
      </c>
      <c r="L1373" s="1" t="s">
        <v>120</v>
      </c>
      <c r="M1373" s="1" t="s">
        <v>126</v>
      </c>
      <c r="N1373" s="1">
        <v>1</v>
      </c>
      <c r="O1373" s="58"/>
      <c r="P1373" s="58">
        <v>8448379.7599999998</v>
      </c>
      <c r="Q1373" t="s">
        <v>107</v>
      </c>
      <c r="R1373" s="1" t="s">
        <v>158</v>
      </c>
    </row>
    <row r="1374" spans="3:18" x14ac:dyDescent="0.35">
      <c r="C1374" t="s">
        <v>51</v>
      </c>
      <c r="D1374" t="s">
        <v>20</v>
      </c>
      <c r="E1374" t="s">
        <v>49</v>
      </c>
      <c r="F1374" t="s">
        <v>46</v>
      </c>
      <c r="G1374" s="58">
        <v>1014699</v>
      </c>
      <c r="H1374" s="1" t="s">
        <v>56</v>
      </c>
      <c r="I1374" s="1" t="s">
        <v>105</v>
      </c>
      <c r="J1374" s="58">
        <v>4058796</v>
      </c>
      <c r="K1374" s="1" t="s">
        <v>106</v>
      </c>
      <c r="L1374" s="1" t="s">
        <v>124</v>
      </c>
      <c r="N1374" s="1">
        <v>1</v>
      </c>
      <c r="O1374" s="58"/>
      <c r="P1374" s="58">
        <v>507349.5</v>
      </c>
      <c r="Q1374" t="s">
        <v>113</v>
      </c>
      <c r="R1374" s="1" t="s">
        <v>158</v>
      </c>
    </row>
    <row r="1375" spans="3:18" x14ac:dyDescent="0.35">
      <c r="C1375" t="s">
        <v>51</v>
      </c>
      <c r="D1375" t="s">
        <v>23</v>
      </c>
      <c r="E1375" t="s">
        <v>55</v>
      </c>
      <c r="F1375" t="s">
        <v>46</v>
      </c>
      <c r="G1375" s="58">
        <v>105773442</v>
      </c>
      <c r="H1375" s="1" t="s">
        <v>47</v>
      </c>
      <c r="I1375" s="1" t="s">
        <v>108</v>
      </c>
      <c r="J1375" s="58">
        <v>2750109492</v>
      </c>
      <c r="K1375" s="1" t="s">
        <v>106</v>
      </c>
      <c r="L1375" s="1" t="s">
        <v>114</v>
      </c>
      <c r="N1375" s="1">
        <v>1</v>
      </c>
      <c r="O1375" s="58"/>
      <c r="P1375" s="58">
        <v>53944455.420000002</v>
      </c>
      <c r="Q1375" t="s">
        <v>113</v>
      </c>
      <c r="R1375" s="1" t="s">
        <v>158</v>
      </c>
    </row>
    <row r="1376" spans="3:18" x14ac:dyDescent="0.35">
      <c r="C1376" t="s">
        <v>51</v>
      </c>
      <c r="D1376" t="s">
        <v>20</v>
      </c>
      <c r="E1376" t="s">
        <v>45</v>
      </c>
      <c r="F1376" t="s">
        <v>46</v>
      </c>
      <c r="G1376" s="58">
        <v>755170</v>
      </c>
      <c r="H1376" s="1" t="s">
        <v>48</v>
      </c>
      <c r="I1376" s="1" t="s">
        <v>108</v>
      </c>
      <c r="J1376" s="58">
        <v>21144760</v>
      </c>
      <c r="K1376" s="1" t="s">
        <v>106</v>
      </c>
      <c r="L1376" s="1" t="s">
        <v>124</v>
      </c>
      <c r="M1376" s="1" t="s">
        <v>123</v>
      </c>
      <c r="N1376" s="1">
        <v>1</v>
      </c>
      <c r="O1376" s="58"/>
      <c r="P1376" s="58">
        <v>589032.6</v>
      </c>
      <c r="Q1376" t="s">
        <v>118</v>
      </c>
      <c r="R1376" s="1" t="s">
        <v>48</v>
      </c>
    </row>
    <row r="1377" spans="3:18" x14ac:dyDescent="0.35">
      <c r="C1377" t="s">
        <v>51</v>
      </c>
      <c r="D1377" t="s">
        <v>23</v>
      </c>
      <c r="E1377" t="s">
        <v>45</v>
      </c>
      <c r="F1377" t="s">
        <v>46</v>
      </c>
      <c r="G1377" s="58">
        <v>13956057</v>
      </c>
      <c r="H1377" s="1" t="s">
        <v>59</v>
      </c>
      <c r="I1377" s="1" t="s">
        <v>108</v>
      </c>
      <c r="J1377" s="58">
        <v>418681710</v>
      </c>
      <c r="K1377" s="1" t="s">
        <v>106</v>
      </c>
      <c r="L1377" s="1" t="s">
        <v>120</v>
      </c>
      <c r="N1377" s="1">
        <v>1</v>
      </c>
      <c r="O1377" s="58"/>
      <c r="P1377" s="58">
        <v>11862648.449999999</v>
      </c>
      <c r="Q1377" t="s">
        <v>127</v>
      </c>
      <c r="R1377" s="1" t="s">
        <v>158</v>
      </c>
    </row>
    <row r="1378" spans="3:18" x14ac:dyDescent="0.35">
      <c r="C1378" t="s">
        <v>51</v>
      </c>
      <c r="D1378" t="s">
        <v>24</v>
      </c>
      <c r="E1378" t="s">
        <v>49</v>
      </c>
      <c r="F1378" t="s">
        <v>46</v>
      </c>
      <c r="G1378" s="58">
        <v>167714</v>
      </c>
      <c r="H1378" s="1" t="s">
        <v>48</v>
      </c>
      <c r="I1378" s="1" t="s">
        <v>108</v>
      </c>
      <c r="J1378" s="58">
        <v>4863706</v>
      </c>
      <c r="K1378" s="1" t="s">
        <v>106</v>
      </c>
      <c r="L1378" s="1" t="s">
        <v>120</v>
      </c>
      <c r="M1378" s="1" t="s">
        <v>121</v>
      </c>
      <c r="N1378" s="1">
        <v>1</v>
      </c>
      <c r="O1378" s="58"/>
      <c r="P1378" s="58">
        <v>124108.36</v>
      </c>
      <c r="Q1378" t="s">
        <v>118</v>
      </c>
      <c r="R1378" s="1" t="s">
        <v>158</v>
      </c>
    </row>
    <row r="1379" spans="3:18" x14ac:dyDescent="0.35">
      <c r="C1379" t="s">
        <v>51</v>
      </c>
      <c r="D1379" t="s">
        <v>24</v>
      </c>
      <c r="E1379" t="s">
        <v>55</v>
      </c>
      <c r="F1379" t="s">
        <v>46</v>
      </c>
      <c r="G1379" s="58">
        <v>29098</v>
      </c>
      <c r="H1379" s="1" t="s">
        <v>54</v>
      </c>
      <c r="I1379" s="1" t="s">
        <v>105</v>
      </c>
      <c r="J1379" s="58">
        <v>145490</v>
      </c>
      <c r="K1379" s="1" t="s">
        <v>106</v>
      </c>
      <c r="L1379" s="1" t="s">
        <v>114</v>
      </c>
      <c r="N1379" s="1">
        <v>1</v>
      </c>
      <c r="O1379" s="58"/>
      <c r="P1379" s="58">
        <v>17749.78</v>
      </c>
      <c r="Q1379" t="s">
        <v>118</v>
      </c>
      <c r="R1379" s="1" t="s">
        <v>158</v>
      </c>
    </row>
    <row r="1380" spans="3:18" x14ac:dyDescent="0.35">
      <c r="C1380" t="s">
        <v>53</v>
      </c>
      <c r="D1380" t="s">
        <v>19</v>
      </c>
      <c r="E1380" t="s">
        <v>45</v>
      </c>
      <c r="F1380" t="s">
        <v>46</v>
      </c>
      <c r="G1380" s="58">
        <v>121745</v>
      </c>
      <c r="H1380" s="1" t="s">
        <v>59</v>
      </c>
      <c r="I1380" s="1" t="s">
        <v>119</v>
      </c>
      <c r="J1380" s="58">
        <v>973960</v>
      </c>
      <c r="K1380" s="1" t="s">
        <v>106</v>
      </c>
      <c r="L1380" s="1" t="s">
        <v>120</v>
      </c>
      <c r="N1380" s="1">
        <v>1</v>
      </c>
      <c r="O1380" s="58"/>
      <c r="P1380" s="58">
        <v>46263.1</v>
      </c>
      <c r="Q1380" t="s">
        <v>107</v>
      </c>
      <c r="R1380" s="1" t="s">
        <v>158</v>
      </c>
    </row>
    <row r="1381" spans="3:18" x14ac:dyDescent="0.35">
      <c r="C1381" t="s">
        <v>51</v>
      </c>
      <c r="D1381" t="s">
        <v>92</v>
      </c>
      <c r="E1381" t="s">
        <v>49</v>
      </c>
      <c r="F1381" t="s">
        <v>46</v>
      </c>
      <c r="G1381" s="58">
        <v>289771</v>
      </c>
      <c r="H1381" s="1" t="s">
        <v>48</v>
      </c>
      <c r="I1381" s="1" t="s">
        <v>108</v>
      </c>
      <c r="J1381" s="58">
        <v>9562443</v>
      </c>
      <c r="K1381" s="1" t="s">
        <v>106</v>
      </c>
      <c r="L1381" s="1" t="s">
        <v>124</v>
      </c>
      <c r="M1381" s="1" t="s">
        <v>126</v>
      </c>
      <c r="N1381" s="1">
        <v>1</v>
      </c>
      <c r="O1381" s="58"/>
      <c r="P1381" s="58">
        <v>252100.77</v>
      </c>
      <c r="Q1381" t="s">
        <v>127</v>
      </c>
      <c r="R1381" s="1" t="s">
        <v>158</v>
      </c>
    </row>
    <row r="1382" spans="3:18" x14ac:dyDescent="0.35">
      <c r="C1382" t="s">
        <v>51</v>
      </c>
      <c r="D1382" t="s">
        <v>22</v>
      </c>
      <c r="E1382" t="s">
        <v>45</v>
      </c>
      <c r="F1382" t="s">
        <v>46</v>
      </c>
      <c r="G1382" s="58">
        <v>1229216</v>
      </c>
      <c r="H1382" s="1" t="s">
        <v>48</v>
      </c>
      <c r="I1382" s="1" t="s">
        <v>108</v>
      </c>
      <c r="J1382" s="58">
        <v>36876480</v>
      </c>
      <c r="K1382" s="1" t="s">
        <v>106</v>
      </c>
      <c r="L1382" s="1" t="s">
        <v>124</v>
      </c>
      <c r="M1382" s="1" t="s">
        <v>126</v>
      </c>
      <c r="N1382" s="1">
        <v>1</v>
      </c>
      <c r="O1382" s="58"/>
      <c r="P1382" s="58">
        <v>860451.2</v>
      </c>
      <c r="Q1382" t="s">
        <v>118</v>
      </c>
      <c r="R1382" s="1" t="s">
        <v>48</v>
      </c>
    </row>
    <row r="1383" spans="3:18" x14ac:dyDescent="0.35">
      <c r="C1383" t="s">
        <v>51</v>
      </c>
      <c r="D1383" t="s">
        <v>24</v>
      </c>
      <c r="E1383" t="s">
        <v>45</v>
      </c>
      <c r="F1383" t="s">
        <v>46</v>
      </c>
      <c r="G1383" s="58">
        <v>541627</v>
      </c>
      <c r="H1383" s="1" t="s">
        <v>54</v>
      </c>
      <c r="I1383" s="1" t="s">
        <v>108</v>
      </c>
      <c r="J1383" s="58">
        <v>18415318</v>
      </c>
      <c r="K1383" s="1" t="s">
        <v>106</v>
      </c>
      <c r="L1383" s="1" t="s">
        <v>120</v>
      </c>
      <c r="N1383" s="1">
        <v>1</v>
      </c>
      <c r="O1383" s="58"/>
      <c r="P1383" s="58">
        <v>444134.14</v>
      </c>
      <c r="Q1383" t="s">
        <v>127</v>
      </c>
      <c r="R1383" s="1" t="s">
        <v>158</v>
      </c>
    </row>
    <row r="1384" spans="3:18" x14ac:dyDescent="0.35">
      <c r="C1384" t="s">
        <v>51</v>
      </c>
      <c r="D1384" t="s">
        <v>22</v>
      </c>
      <c r="E1384" t="s">
        <v>49</v>
      </c>
      <c r="F1384" t="s">
        <v>46</v>
      </c>
      <c r="G1384" s="58">
        <v>99652</v>
      </c>
      <c r="H1384" s="1" t="s">
        <v>47</v>
      </c>
      <c r="I1384" s="1" t="s">
        <v>108</v>
      </c>
      <c r="J1384" s="58">
        <v>2291996</v>
      </c>
      <c r="K1384" s="1" t="s">
        <v>106</v>
      </c>
      <c r="L1384" s="1" t="s">
        <v>120</v>
      </c>
      <c r="N1384" s="1">
        <v>1</v>
      </c>
      <c r="O1384" s="58"/>
      <c r="P1384" s="58">
        <v>48829.48</v>
      </c>
      <c r="Q1384" t="s">
        <v>113</v>
      </c>
      <c r="R1384" s="1" t="s">
        <v>158</v>
      </c>
    </row>
    <row r="1385" spans="3:18" x14ac:dyDescent="0.35">
      <c r="C1385" t="s">
        <v>51</v>
      </c>
      <c r="D1385" t="s">
        <v>19</v>
      </c>
      <c r="E1385" t="s">
        <v>49</v>
      </c>
      <c r="F1385" t="s">
        <v>46</v>
      </c>
      <c r="G1385" s="58">
        <v>356247</v>
      </c>
      <c r="H1385" s="1" t="s">
        <v>48</v>
      </c>
      <c r="I1385" s="1" t="s">
        <v>108</v>
      </c>
      <c r="J1385" s="58">
        <v>13893633</v>
      </c>
      <c r="K1385" s="1" t="s">
        <v>106</v>
      </c>
      <c r="L1385" s="1" t="s">
        <v>114</v>
      </c>
      <c r="M1385" s="1" t="s">
        <v>125</v>
      </c>
      <c r="N1385" s="1">
        <v>1</v>
      </c>
      <c r="O1385" s="58"/>
      <c r="P1385" s="58">
        <v>249372.9</v>
      </c>
      <c r="Q1385" t="s">
        <v>118</v>
      </c>
      <c r="R1385" s="1" t="s">
        <v>158</v>
      </c>
    </row>
    <row r="1386" spans="3:18" x14ac:dyDescent="0.35">
      <c r="C1386" t="s">
        <v>51</v>
      </c>
      <c r="D1386" t="s">
        <v>91</v>
      </c>
      <c r="E1386" t="s">
        <v>49</v>
      </c>
      <c r="F1386" t="s">
        <v>64</v>
      </c>
      <c r="G1386" s="58">
        <v>399028</v>
      </c>
      <c r="H1386" s="1" t="s">
        <v>48</v>
      </c>
      <c r="I1386" s="1" t="s">
        <v>108</v>
      </c>
      <c r="J1386" s="58">
        <v>15961120</v>
      </c>
      <c r="K1386" s="1" t="s">
        <v>106</v>
      </c>
      <c r="L1386" s="1" t="s">
        <v>124</v>
      </c>
      <c r="M1386" s="1" t="s">
        <v>122</v>
      </c>
      <c r="N1386" s="1">
        <v>1</v>
      </c>
      <c r="O1386" s="58"/>
      <c r="P1386" s="58">
        <v>211484.84</v>
      </c>
      <c r="Q1386" t="s">
        <v>113</v>
      </c>
      <c r="R1386" s="1" t="s">
        <v>158</v>
      </c>
    </row>
    <row r="1387" spans="3:18" x14ac:dyDescent="0.35">
      <c r="C1387" t="s">
        <v>51</v>
      </c>
      <c r="D1387" t="s">
        <v>22</v>
      </c>
      <c r="E1387" t="s">
        <v>45</v>
      </c>
      <c r="F1387" t="s">
        <v>46</v>
      </c>
      <c r="G1387" s="58">
        <v>47647</v>
      </c>
      <c r="H1387" s="1" t="s">
        <v>48</v>
      </c>
      <c r="I1387" s="1" t="s">
        <v>119</v>
      </c>
      <c r="J1387" s="58">
        <v>428823</v>
      </c>
      <c r="K1387" s="1" t="s">
        <v>106</v>
      </c>
      <c r="L1387" s="1" t="s">
        <v>120</v>
      </c>
      <c r="M1387" s="1" t="s">
        <v>115</v>
      </c>
      <c r="N1387" s="1">
        <v>1</v>
      </c>
      <c r="O1387" s="58"/>
      <c r="P1387" s="58">
        <v>40499.949999999997</v>
      </c>
      <c r="Q1387" t="s">
        <v>127</v>
      </c>
      <c r="R1387" s="1" t="s">
        <v>158</v>
      </c>
    </row>
    <row r="1388" spans="3:18" x14ac:dyDescent="0.35">
      <c r="C1388" t="s">
        <v>53</v>
      </c>
      <c r="D1388" t="s">
        <v>21</v>
      </c>
      <c r="E1388" t="s">
        <v>49</v>
      </c>
      <c r="F1388" t="s">
        <v>46</v>
      </c>
      <c r="G1388" s="58">
        <v>47845</v>
      </c>
      <c r="H1388" s="1" t="s">
        <v>54</v>
      </c>
      <c r="I1388" s="1" t="s">
        <v>111</v>
      </c>
      <c r="J1388" s="58">
        <v>765520</v>
      </c>
      <c r="K1388" s="1" t="s">
        <v>106</v>
      </c>
      <c r="L1388" s="1" t="s">
        <v>124</v>
      </c>
      <c r="N1388" s="1">
        <v>1</v>
      </c>
      <c r="O1388" s="58"/>
      <c r="P1388" s="58">
        <v>44495.85</v>
      </c>
      <c r="Q1388" t="s">
        <v>127</v>
      </c>
      <c r="R1388" s="1" t="s">
        <v>158</v>
      </c>
    </row>
    <row r="1389" spans="3:18" x14ac:dyDescent="0.35">
      <c r="C1389" t="s">
        <v>51</v>
      </c>
      <c r="D1389" t="s">
        <v>22</v>
      </c>
      <c r="E1389" t="s">
        <v>49</v>
      </c>
      <c r="F1389" t="s">
        <v>46</v>
      </c>
      <c r="G1389" s="58">
        <v>1879185</v>
      </c>
      <c r="H1389" s="1" t="s">
        <v>58</v>
      </c>
      <c r="I1389" s="1" t="s">
        <v>119</v>
      </c>
      <c r="J1389" s="58">
        <v>13154295</v>
      </c>
      <c r="K1389" s="1" t="s">
        <v>106</v>
      </c>
      <c r="L1389" s="1" t="s">
        <v>124</v>
      </c>
      <c r="N1389" s="1">
        <v>1</v>
      </c>
      <c r="O1389" s="58"/>
      <c r="P1389" s="58">
        <v>263085.90000000002</v>
      </c>
      <c r="Q1389" t="s">
        <v>107</v>
      </c>
      <c r="R1389" s="1" t="s">
        <v>158</v>
      </c>
    </row>
    <row r="1390" spans="3:18" x14ac:dyDescent="0.35">
      <c r="C1390" t="s">
        <v>51</v>
      </c>
      <c r="D1390" t="s">
        <v>21</v>
      </c>
      <c r="E1390" t="s">
        <v>49</v>
      </c>
      <c r="F1390" t="s">
        <v>46</v>
      </c>
      <c r="G1390" s="58">
        <v>223875299</v>
      </c>
      <c r="H1390" s="1" t="s">
        <v>47</v>
      </c>
      <c r="I1390" s="1" t="s">
        <v>119</v>
      </c>
      <c r="J1390" s="58">
        <v>1567127093</v>
      </c>
      <c r="K1390" s="1" t="s">
        <v>106</v>
      </c>
      <c r="L1390" s="1" t="s">
        <v>124</v>
      </c>
      <c r="N1390" s="1">
        <v>1</v>
      </c>
      <c r="O1390" s="58"/>
      <c r="P1390" s="58">
        <v>49252565.780000001</v>
      </c>
      <c r="Q1390" t="s">
        <v>107</v>
      </c>
      <c r="R1390" s="1" t="s">
        <v>158</v>
      </c>
    </row>
    <row r="1391" spans="3:18" x14ac:dyDescent="0.35">
      <c r="C1391" t="s">
        <v>51</v>
      </c>
      <c r="D1391" t="s">
        <v>21</v>
      </c>
      <c r="E1391" t="s">
        <v>49</v>
      </c>
      <c r="F1391" t="s">
        <v>46</v>
      </c>
      <c r="G1391" s="58">
        <v>77530</v>
      </c>
      <c r="H1391" s="1" t="s">
        <v>48</v>
      </c>
      <c r="I1391" s="1" t="s">
        <v>111</v>
      </c>
      <c r="J1391" s="58">
        <v>1240480</v>
      </c>
      <c r="K1391" s="1" t="s">
        <v>106</v>
      </c>
      <c r="L1391" s="1" t="s">
        <v>120</v>
      </c>
      <c r="M1391" s="1" t="s">
        <v>125</v>
      </c>
      <c r="N1391" s="1">
        <v>1</v>
      </c>
      <c r="O1391" s="58"/>
      <c r="P1391" s="58">
        <v>51169.8</v>
      </c>
      <c r="Q1391" t="s">
        <v>118</v>
      </c>
      <c r="R1391" s="1" t="s">
        <v>48</v>
      </c>
    </row>
    <row r="1392" spans="3:18" x14ac:dyDescent="0.35">
      <c r="C1392" t="s">
        <v>51</v>
      </c>
      <c r="D1392" t="s">
        <v>91</v>
      </c>
      <c r="E1392" t="s">
        <v>49</v>
      </c>
      <c r="F1392" t="s">
        <v>46</v>
      </c>
      <c r="G1392" s="58">
        <v>12792694</v>
      </c>
      <c r="H1392" s="1" t="s">
        <v>54</v>
      </c>
      <c r="I1392" s="1" t="s">
        <v>108</v>
      </c>
      <c r="J1392" s="58">
        <v>319817350</v>
      </c>
      <c r="K1392" s="1" t="s">
        <v>106</v>
      </c>
      <c r="L1392" s="1" t="s">
        <v>124</v>
      </c>
      <c r="N1392" s="1">
        <v>1</v>
      </c>
      <c r="O1392" s="58"/>
      <c r="P1392" s="58">
        <v>6652200.8799999999</v>
      </c>
      <c r="Q1392" t="s">
        <v>113</v>
      </c>
      <c r="R1392" s="1" t="s">
        <v>158</v>
      </c>
    </row>
    <row r="1393" spans="3:18" x14ac:dyDescent="0.35">
      <c r="C1393" t="s">
        <v>51</v>
      </c>
      <c r="D1393" t="s">
        <v>19</v>
      </c>
      <c r="E1393" t="s">
        <v>49</v>
      </c>
      <c r="F1393" t="s">
        <v>64</v>
      </c>
      <c r="G1393" s="58">
        <v>137848</v>
      </c>
      <c r="H1393" s="1" t="s">
        <v>47</v>
      </c>
      <c r="I1393" s="1" t="s">
        <v>119</v>
      </c>
      <c r="J1393" s="58">
        <v>827088</v>
      </c>
      <c r="K1393" s="1" t="s">
        <v>106</v>
      </c>
      <c r="L1393" s="1" t="s">
        <v>124</v>
      </c>
      <c r="N1393" s="1">
        <v>1</v>
      </c>
      <c r="O1393" s="58"/>
      <c r="P1393" s="58">
        <v>22055.68</v>
      </c>
      <c r="Q1393" t="s">
        <v>107</v>
      </c>
      <c r="R1393" s="1" t="s">
        <v>158</v>
      </c>
    </row>
    <row r="1394" spans="3:18" x14ac:dyDescent="0.35">
      <c r="C1394" t="s">
        <v>51</v>
      </c>
      <c r="D1394" t="s">
        <v>22</v>
      </c>
      <c r="E1394" t="s">
        <v>49</v>
      </c>
      <c r="F1394" t="s">
        <v>46</v>
      </c>
      <c r="G1394" s="58">
        <v>2582248</v>
      </c>
      <c r="H1394" s="1" t="s">
        <v>48</v>
      </c>
      <c r="I1394" s="1" t="s">
        <v>119</v>
      </c>
      <c r="J1394" s="58">
        <v>20657984</v>
      </c>
      <c r="K1394" s="1" t="s">
        <v>106</v>
      </c>
      <c r="L1394" s="1" t="s">
        <v>124</v>
      </c>
      <c r="M1394" s="1" t="s">
        <v>115</v>
      </c>
      <c r="N1394" s="1">
        <v>1</v>
      </c>
      <c r="O1394" s="58"/>
      <c r="P1394" s="58">
        <v>1213656.56</v>
      </c>
      <c r="Q1394" t="s">
        <v>113</v>
      </c>
      <c r="R1394" s="1" t="s">
        <v>158</v>
      </c>
    </row>
    <row r="1395" spans="3:18" x14ac:dyDescent="0.35">
      <c r="C1395" t="s">
        <v>51</v>
      </c>
      <c r="D1395" t="s">
        <v>22</v>
      </c>
      <c r="E1395" t="s">
        <v>49</v>
      </c>
      <c r="F1395" t="s">
        <v>46</v>
      </c>
      <c r="G1395" s="58">
        <v>261319</v>
      </c>
      <c r="H1395" s="1" t="s">
        <v>48</v>
      </c>
      <c r="I1395" s="1" t="s">
        <v>111</v>
      </c>
      <c r="J1395" s="58">
        <v>4181104</v>
      </c>
      <c r="K1395" s="1" t="s">
        <v>106</v>
      </c>
      <c r="L1395" s="1" t="s">
        <v>120</v>
      </c>
      <c r="M1395" s="1" t="s">
        <v>115</v>
      </c>
      <c r="N1395" s="1">
        <v>1</v>
      </c>
      <c r="O1395" s="58"/>
      <c r="P1395" s="58">
        <v>120206.74</v>
      </c>
      <c r="Q1395" t="s">
        <v>113</v>
      </c>
      <c r="R1395" s="1" t="s">
        <v>158</v>
      </c>
    </row>
    <row r="1396" spans="3:18" x14ac:dyDescent="0.35">
      <c r="C1396" t="s">
        <v>53</v>
      </c>
      <c r="D1396" t="s">
        <v>22</v>
      </c>
      <c r="E1396" t="s">
        <v>45</v>
      </c>
      <c r="F1396" t="s">
        <v>46</v>
      </c>
      <c r="G1396" s="58">
        <v>122892</v>
      </c>
      <c r="H1396" s="1" t="s">
        <v>54</v>
      </c>
      <c r="I1396" s="1" t="s">
        <v>119</v>
      </c>
      <c r="J1396" s="58">
        <v>1106028</v>
      </c>
      <c r="K1396" s="1" t="s">
        <v>106</v>
      </c>
      <c r="L1396" s="1" t="s">
        <v>116</v>
      </c>
      <c r="N1396" s="1">
        <v>1</v>
      </c>
      <c r="O1396" s="58"/>
      <c r="P1396" s="58">
        <v>0</v>
      </c>
      <c r="Q1396" t="s">
        <v>107</v>
      </c>
      <c r="R1396" s="1" t="s">
        <v>158</v>
      </c>
    </row>
    <row r="1397" spans="3:18" x14ac:dyDescent="0.35">
      <c r="C1397" t="s">
        <v>51</v>
      </c>
      <c r="D1397" t="s">
        <v>19</v>
      </c>
      <c r="E1397" t="s">
        <v>49</v>
      </c>
      <c r="F1397" t="s">
        <v>46</v>
      </c>
      <c r="G1397" s="58">
        <v>5140714</v>
      </c>
      <c r="H1397" s="1" t="s">
        <v>47</v>
      </c>
      <c r="I1397" s="1" t="s">
        <v>108</v>
      </c>
      <c r="J1397" s="58">
        <v>138799278</v>
      </c>
      <c r="K1397" s="1" t="s">
        <v>106</v>
      </c>
      <c r="L1397" s="1" t="s">
        <v>120</v>
      </c>
      <c r="N1397" s="1">
        <v>1</v>
      </c>
      <c r="O1397" s="58"/>
      <c r="P1397" s="58">
        <v>2518949.86</v>
      </c>
      <c r="Q1397" t="s">
        <v>113</v>
      </c>
      <c r="R1397" s="1" t="s">
        <v>158</v>
      </c>
    </row>
    <row r="1398" spans="3:18" x14ac:dyDescent="0.35">
      <c r="C1398" t="s">
        <v>51</v>
      </c>
      <c r="D1398" t="s">
        <v>23</v>
      </c>
      <c r="E1398" t="s">
        <v>55</v>
      </c>
      <c r="F1398" t="s">
        <v>46</v>
      </c>
      <c r="G1398" s="58">
        <v>12987543</v>
      </c>
      <c r="H1398" s="1" t="s">
        <v>54</v>
      </c>
      <c r="I1398" s="1" t="s">
        <v>119</v>
      </c>
      <c r="J1398" s="58">
        <v>90912801</v>
      </c>
      <c r="K1398" s="1" t="s">
        <v>106</v>
      </c>
      <c r="L1398" s="1" t="s">
        <v>114</v>
      </c>
      <c r="N1398" s="1">
        <v>1</v>
      </c>
      <c r="O1398" s="58"/>
      <c r="P1398" s="58">
        <v>2987134.89</v>
      </c>
      <c r="Q1398" t="s">
        <v>107</v>
      </c>
      <c r="R1398" s="1" t="s">
        <v>158</v>
      </c>
    </row>
    <row r="1399" spans="3:18" x14ac:dyDescent="0.35">
      <c r="C1399" t="s">
        <v>53</v>
      </c>
      <c r="D1399" t="s">
        <v>22</v>
      </c>
      <c r="E1399" t="s">
        <v>49</v>
      </c>
      <c r="F1399" t="s">
        <v>46</v>
      </c>
      <c r="G1399" s="58">
        <v>704615</v>
      </c>
      <c r="H1399" s="1" t="s">
        <v>54</v>
      </c>
      <c r="I1399" s="1" t="s">
        <v>128</v>
      </c>
      <c r="J1399" s="58"/>
      <c r="K1399" s="1" t="s">
        <v>106</v>
      </c>
      <c r="L1399" s="1" t="s">
        <v>124</v>
      </c>
      <c r="N1399" s="1">
        <v>0</v>
      </c>
      <c r="O1399" s="58"/>
      <c r="P1399" s="58">
        <v>183199.9</v>
      </c>
      <c r="Q1399" t="s">
        <v>107</v>
      </c>
      <c r="R1399" s="1" t="s">
        <v>158</v>
      </c>
    </row>
    <row r="1400" spans="3:18" x14ac:dyDescent="0.35">
      <c r="C1400" t="s">
        <v>53</v>
      </c>
      <c r="D1400" t="s">
        <v>20</v>
      </c>
      <c r="E1400" t="s">
        <v>49</v>
      </c>
      <c r="F1400" t="s">
        <v>46</v>
      </c>
      <c r="G1400" s="58">
        <v>245395</v>
      </c>
      <c r="H1400" s="1" t="s">
        <v>54</v>
      </c>
      <c r="I1400" s="1" t="s">
        <v>108</v>
      </c>
      <c r="J1400" s="58">
        <v>4907900</v>
      </c>
      <c r="K1400" s="1" t="s">
        <v>106</v>
      </c>
      <c r="L1400" s="1" t="s">
        <v>124</v>
      </c>
      <c r="N1400" s="1">
        <v>1</v>
      </c>
      <c r="O1400" s="58"/>
      <c r="P1400" s="58">
        <v>127605.4</v>
      </c>
      <c r="Q1400" t="s">
        <v>113</v>
      </c>
      <c r="R1400" s="1" t="s">
        <v>158</v>
      </c>
    </row>
    <row r="1401" spans="3:18" x14ac:dyDescent="0.35">
      <c r="C1401" t="s">
        <v>51</v>
      </c>
      <c r="D1401" t="s">
        <v>21</v>
      </c>
      <c r="E1401" t="s">
        <v>49</v>
      </c>
      <c r="F1401" t="s">
        <v>46</v>
      </c>
      <c r="G1401" s="58">
        <v>1277898</v>
      </c>
      <c r="H1401" s="1" t="s">
        <v>54</v>
      </c>
      <c r="I1401" s="1" t="s">
        <v>111</v>
      </c>
      <c r="J1401" s="58">
        <v>20446368</v>
      </c>
      <c r="K1401" s="1" t="s">
        <v>112</v>
      </c>
      <c r="N1401" s="1">
        <v>1</v>
      </c>
      <c r="O1401" s="58"/>
      <c r="P1401" s="58">
        <v>332253.48</v>
      </c>
      <c r="Q1401" t="s">
        <v>107</v>
      </c>
      <c r="R1401" s="1" t="s">
        <v>158</v>
      </c>
    </row>
    <row r="1402" spans="3:18" x14ac:dyDescent="0.35">
      <c r="C1402" t="s">
        <v>51</v>
      </c>
      <c r="D1402" t="s">
        <v>23</v>
      </c>
      <c r="E1402" t="s">
        <v>49</v>
      </c>
      <c r="F1402" t="s">
        <v>46</v>
      </c>
      <c r="G1402" s="58">
        <v>4096194</v>
      </c>
      <c r="H1402" s="1" t="s">
        <v>48</v>
      </c>
      <c r="I1402" s="1" t="s">
        <v>111</v>
      </c>
      <c r="J1402" s="58">
        <v>69635298</v>
      </c>
      <c r="K1402" s="1" t="s">
        <v>106</v>
      </c>
      <c r="L1402" s="1" t="s">
        <v>124</v>
      </c>
      <c r="M1402" s="1" t="s">
        <v>125</v>
      </c>
      <c r="N1402" s="1">
        <v>1</v>
      </c>
      <c r="O1402" s="58"/>
      <c r="P1402" s="58">
        <v>2785411.92</v>
      </c>
      <c r="Q1402" t="s">
        <v>118</v>
      </c>
      <c r="R1402" s="1" t="s">
        <v>158</v>
      </c>
    </row>
    <row r="1403" spans="3:18" x14ac:dyDescent="0.35">
      <c r="C1403" t="s">
        <v>51</v>
      </c>
      <c r="D1403" t="s">
        <v>23</v>
      </c>
      <c r="E1403" t="s">
        <v>55</v>
      </c>
      <c r="F1403" t="s">
        <v>46</v>
      </c>
      <c r="G1403" s="58">
        <v>980256</v>
      </c>
      <c r="H1403" s="1" t="s">
        <v>47</v>
      </c>
      <c r="I1403" s="1" t="s">
        <v>111</v>
      </c>
      <c r="J1403" s="58">
        <v>16664352</v>
      </c>
      <c r="K1403" s="1" t="s">
        <v>106</v>
      </c>
      <c r="L1403" s="1" t="s">
        <v>124</v>
      </c>
      <c r="N1403" s="1">
        <v>1</v>
      </c>
      <c r="O1403" s="58"/>
      <c r="P1403" s="58">
        <v>460720.32</v>
      </c>
      <c r="Q1403" t="s">
        <v>113</v>
      </c>
      <c r="R1403" s="1" t="s">
        <v>158</v>
      </c>
    </row>
    <row r="1404" spans="3:18" x14ac:dyDescent="0.35">
      <c r="C1404" t="s">
        <v>53</v>
      </c>
      <c r="D1404" t="s">
        <v>20</v>
      </c>
      <c r="E1404" t="s">
        <v>49</v>
      </c>
      <c r="F1404" t="s">
        <v>46</v>
      </c>
      <c r="G1404" s="58">
        <v>921398</v>
      </c>
      <c r="H1404" s="1" t="s">
        <v>54</v>
      </c>
      <c r="I1404" s="1" t="s">
        <v>119</v>
      </c>
      <c r="J1404" s="58">
        <v>6449786</v>
      </c>
      <c r="K1404" s="1" t="s">
        <v>106</v>
      </c>
      <c r="L1404" s="1" t="s">
        <v>124</v>
      </c>
      <c r="N1404" s="1">
        <v>1</v>
      </c>
      <c r="O1404" s="58"/>
      <c r="P1404" s="58">
        <v>138209.70000000001</v>
      </c>
      <c r="Q1404" t="s">
        <v>107</v>
      </c>
      <c r="R1404" s="1" t="s">
        <v>158</v>
      </c>
    </row>
    <row r="1405" spans="3:18" x14ac:dyDescent="0.35">
      <c r="C1405" t="s">
        <v>53</v>
      </c>
      <c r="D1405" t="s">
        <v>25</v>
      </c>
      <c r="E1405" t="s">
        <v>55</v>
      </c>
      <c r="F1405" t="s">
        <v>46</v>
      </c>
      <c r="G1405" s="58">
        <v>176613</v>
      </c>
      <c r="H1405" s="1" t="s">
        <v>59</v>
      </c>
      <c r="I1405" s="1" t="s">
        <v>119</v>
      </c>
      <c r="J1405" s="58">
        <v>1412904</v>
      </c>
      <c r="K1405" s="1" t="s">
        <v>106</v>
      </c>
      <c r="L1405" s="1" t="s">
        <v>114</v>
      </c>
      <c r="N1405" s="1">
        <v>1</v>
      </c>
      <c r="O1405" s="58"/>
      <c r="P1405" s="58">
        <v>75943.59</v>
      </c>
      <c r="Q1405" t="s">
        <v>113</v>
      </c>
      <c r="R1405" s="1" t="s">
        <v>158</v>
      </c>
    </row>
    <row r="1406" spans="3:18" x14ac:dyDescent="0.35">
      <c r="C1406" t="s">
        <v>51</v>
      </c>
      <c r="D1406" t="s">
        <v>21</v>
      </c>
      <c r="E1406" t="s">
        <v>49</v>
      </c>
      <c r="F1406" t="s">
        <v>46</v>
      </c>
      <c r="G1406" s="58">
        <v>1040430</v>
      </c>
      <c r="H1406" s="1" t="s">
        <v>48</v>
      </c>
      <c r="I1406" s="1" t="s">
        <v>108</v>
      </c>
      <c r="J1406" s="58">
        <v>31212900</v>
      </c>
      <c r="K1406" s="1" t="s">
        <v>106</v>
      </c>
      <c r="L1406" s="1" t="s">
        <v>120</v>
      </c>
      <c r="M1406" s="1" t="s">
        <v>126</v>
      </c>
      <c r="N1406" s="1">
        <v>1</v>
      </c>
      <c r="O1406" s="58"/>
      <c r="P1406" s="58">
        <v>572236.5</v>
      </c>
      <c r="Q1406" t="s">
        <v>113</v>
      </c>
      <c r="R1406" s="1" t="s">
        <v>158</v>
      </c>
    </row>
    <row r="1407" spans="3:18" x14ac:dyDescent="0.35">
      <c r="C1407" t="s">
        <v>53</v>
      </c>
      <c r="D1407" t="s">
        <v>19</v>
      </c>
      <c r="E1407" t="s">
        <v>45</v>
      </c>
      <c r="F1407" t="s">
        <v>46</v>
      </c>
      <c r="G1407" s="58">
        <v>25657</v>
      </c>
      <c r="H1407" s="1" t="s">
        <v>48</v>
      </c>
      <c r="I1407" s="1" t="s">
        <v>119</v>
      </c>
      <c r="J1407" s="58">
        <v>153942</v>
      </c>
      <c r="K1407" s="1" t="s">
        <v>106</v>
      </c>
      <c r="L1407" s="1" t="s">
        <v>120</v>
      </c>
      <c r="M1407" s="1" t="s">
        <v>122</v>
      </c>
      <c r="N1407" s="1">
        <v>1</v>
      </c>
      <c r="O1407" s="58"/>
      <c r="P1407" s="58">
        <v>9493.09</v>
      </c>
      <c r="Q1407" t="s">
        <v>107</v>
      </c>
      <c r="R1407" s="1" t="s">
        <v>158</v>
      </c>
    </row>
    <row r="1408" spans="3:18" x14ac:dyDescent="0.35">
      <c r="C1408" t="s">
        <v>51</v>
      </c>
      <c r="D1408" t="s">
        <v>23</v>
      </c>
      <c r="E1408" t="s">
        <v>45</v>
      </c>
      <c r="F1408" t="s">
        <v>46</v>
      </c>
      <c r="G1408" s="58">
        <v>10902</v>
      </c>
      <c r="H1408" s="1" t="s">
        <v>48</v>
      </c>
      <c r="I1408" s="1" t="s">
        <v>111</v>
      </c>
      <c r="J1408" s="58">
        <v>174432</v>
      </c>
      <c r="K1408" s="1" t="s">
        <v>106</v>
      </c>
      <c r="L1408" s="1" t="s">
        <v>120</v>
      </c>
      <c r="M1408" s="1" t="s">
        <v>125</v>
      </c>
      <c r="N1408" s="1">
        <v>1</v>
      </c>
      <c r="O1408" s="58"/>
      <c r="P1408" s="58">
        <v>12101.22</v>
      </c>
      <c r="Q1408" t="s">
        <v>110</v>
      </c>
      <c r="R1408" s="1" t="s">
        <v>158</v>
      </c>
    </row>
    <row r="1409" spans="3:18" x14ac:dyDescent="0.35">
      <c r="C1409" t="s">
        <v>51</v>
      </c>
      <c r="D1409" t="s">
        <v>19</v>
      </c>
      <c r="E1409" t="s">
        <v>45</v>
      </c>
      <c r="F1409" t="s">
        <v>46</v>
      </c>
      <c r="G1409" s="58">
        <v>383244</v>
      </c>
      <c r="H1409" s="1" t="s">
        <v>48</v>
      </c>
      <c r="I1409" s="1" t="s">
        <v>108</v>
      </c>
      <c r="J1409" s="58">
        <v>15329760</v>
      </c>
      <c r="K1409" s="1" t="s">
        <v>112</v>
      </c>
      <c r="N1409" s="1">
        <v>1</v>
      </c>
      <c r="O1409" s="58"/>
      <c r="P1409" s="58">
        <v>383244</v>
      </c>
      <c r="Q1409" t="s">
        <v>127</v>
      </c>
      <c r="R1409" s="1" t="s">
        <v>48</v>
      </c>
    </row>
    <row r="1410" spans="3:18" x14ac:dyDescent="0.35">
      <c r="C1410" t="s">
        <v>51</v>
      </c>
      <c r="D1410" t="s">
        <v>21</v>
      </c>
      <c r="E1410" t="s">
        <v>45</v>
      </c>
      <c r="F1410" t="s">
        <v>46</v>
      </c>
      <c r="G1410" s="58">
        <v>151325</v>
      </c>
      <c r="H1410" s="1" t="s">
        <v>48</v>
      </c>
      <c r="I1410" s="1" t="s">
        <v>111</v>
      </c>
      <c r="J1410" s="58">
        <v>2875175</v>
      </c>
      <c r="K1410" s="1" t="s">
        <v>106</v>
      </c>
      <c r="L1410" s="1" t="s">
        <v>120</v>
      </c>
      <c r="M1410" s="1" t="s">
        <v>115</v>
      </c>
      <c r="N1410" s="1">
        <v>1</v>
      </c>
      <c r="O1410" s="58"/>
      <c r="P1410" s="58">
        <v>72636</v>
      </c>
      <c r="Q1410" t="s">
        <v>113</v>
      </c>
      <c r="R1410" s="1" t="s">
        <v>48</v>
      </c>
    </row>
    <row r="1411" spans="3:18" x14ac:dyDescent="0.35">
      <c r="C1411" t="s">
        <v>51</v>
      </c>
      <c r="D1411" t="s">
        <v>24</v>
      </c>
      <c r="E1411" t="s">
        <v>52</v>
      </c>
      <c r="F1411" t="s">
        <v>64</v>
      </c>
      <c r="G1411" s="58">
        <v>264656</v>
      </c>
      <c r="H1411" s="1" t="s">
        <v>48</v>
      </c>
      <c r="I1411" s="1" t="s">
        <v>108</v>
      </c>
      <c r="J1411" s="58">
        <v>9792272</v>
      </c>
      <c r="K1411" s="1" t="s">
        <v>106</v>
      </c>
      <c r="L1411" s="1" t="s">
        <v>130</v>
      </c>
      <c r="M1411" s="1" t="s">
        <v>121</v>
      </c>
      <c r="N1411" s="1">
        <v>1</v>
      </c>
      <c r="O1411" s="58"/>
      <c r="P1411" s="58">
        <v>209078.24</v>
      </c>
      <c r="Q1411" t="s">
        <v>118</v>
      </c>
      <c r="R1411" s="1" t="s">
        <v>48</v>
      </c>
    </row>
    <row r="1412" spans="3:18" x14ac:dyDescent="0.35">
      <c r="C1412" t="s">
        <v>53</v>
      </c>
      <c r="D1412" t="s">
        <v>21</v>
      </c>
      <c r="E1412" t="s">
        <v>45</v>
      </c>
      <c r="F1412" t="s">
        <v>46</v>
      </c>
      <c r="G1412" s="58">
        <v>5895985</v>
      </c>
      <c r="H1412" s="1" t="s">
        <v>54</v>
      </c>
      <c r="I1412" s="1" t="s">
        <v>119</v>
      </c>
      <c r="J1412" s="58">
        <v>47167880</v>
      </c>
      <c r="K1412" s="1" t="s">
        <v>106</v>
      </c>
      <c r="L1412" s="1" t="s">
        <v>120</v>
      </c>
      <c r="N1412" s="1">
        <v>1</v>
      </c>
      <c r="O1412" s="58"/>
      <c r="P1412" s="58">
        <v>3950309.95</v>
      </c>
      <c r="Q1412" t="s">
        <v>118</v>
      </c>
      <c r="R1412" s="1" t="s">
        <v>158</v>
      </c>
    </row>
    <row r="1413" spans="3:18" x14ac:dyDescent="0.35">
      <c r="C1413" t="s">
        <v>53</v>
      </c>
      <c r="D1413" t="s">
        <v>20</v>
      </c>
      <c r="E1413" t="s">
        <v>45</v>
      </c>
      <c r="F1413" t="s">
        <v>46</v>
      </c>
      <c r="G1413" s="58">
        <v>3843756</v>
      </c>
      <c r="H1413" s="1" t="s">
        <v>47</v>
      </c>
      <c r="I1413" s="1" t="s">
        <v>111</v>
      </c>
      <c r="J1413" s="58">
        <v>46125072</v>
      </c>
      <c r="K1413" s="1" t="s">
        <v>106</v>
      </c>
      <c r="L1413" s="1" t="s">
        <v>120</v>
      </c>
      <c r="N1413" s="1">
        <v>1</v>
      </c>
      <c r="O1413" s="58"/>
      <c r="P1413" s="58">
        <v>1960315.56</v>
      </c>
      <c r="Q1413" t="s">
        <v>113</v>
      </c>
      <c r="R1413" s="1" t="s">
        <v>158</v>
      </c>
    </row>
    <row r="1414" spans="3:18" x14ac:dyDescent="0.35">
      <c r="C1414" t="s">
        <v>51</v>
      </c>
      <c r="D1414" t="s">
        <v>23</v>
      </c>
      <c r="E1414" t="s">
        <v>50</v>
      </c>
      <c r="F1414" t="s">
        <v>46</v>
      </c>
      <c r="G1414" s="58">
        <v>2095826</v>
      </c>
      <c r="H1414" s="1" t="s">
        <v>48</v>
      </c>
      <c r="I1414" s="1" t="s">
        <v>108</v>
      </c>
      <c r="J1414" s="58">
        <v>77545562</v>
      </c>
      <c r="K1414" s="1" t="s">
        <v>106</v>
      </c>
      <c r="L1414" s="1" t="s">
        <v>114</v>
      </c>
      <c r="M1414" s="1" t="s">
        <v>125</v>
      </c>
      <c r="N1414" s="1">
        <v>1</v>
      </c>
      <c r="O1414" s="58"/>
      <c r="P1414" s="58">
        <v>1739535.58</v>
      </c>
      <c r="Q1414" t="s">
        <v>127</v>
      </c>
      <c r="R1414" s="1" t="s">
        <v>48</v>
      </c>
    </row>
    <row r="1415" spans="3:18" x14ac:dyDescent="0.35">
      <c r="C1415" t="s">
        <v>51</v>
      </c>
      <c r="D1415" t="s">
        <v>24</v>
      </c>
      <c r="E1415" t="s">
        <v>45</v>
      </c>
      <c r="F1415" t="s">
        <v>46</v>
      </c>
      <c r="G1415" s="58">
        <v>318194</v>
      </c>
      <c r="H1415" s="1" t="s">
        <v>54</v>
      </c>
      <c r="I1415" s="1" t="s">
        <v>108</v>
      </c>
      <c r="J1415" s="58">
        <v>12091372</v>
      </c>
      <c r="K1415" s="1" t="s">
        <v>106</v>
      </c>
      <c r="L1415" s="1" t="s">
        <v>120</v>
      </c>
      <c r="N1415" s="1">
        <v>1</v>
      </c>
      <c r="O1415" s="58"/>
      <c r="P1415" s="58">
        <v>397742.5</v>
      </c>
      <c r="Q1415" t="s">
        <v>110</v>
      </c>
      <c r="R1415" s="1" t="s">
        <v>158</v>
      </c>
    </row>
    <row r="1416" spans="3:18" x14ac:dyDescent="0.35">
      <c r="C1416" t="s">
        <v>51</v>
      </c>
      <c r="D1416" t="s">
        <v>92</v>
      </c>
      <c r="E1416" t="s">
        <v>49</v>
      </c>
      <c r="F1416" t="s">
        <v>46</v>
      </c>
      <c r="G1416" s="58">
        <v>140366</v>
      </c>
      <c r="H1416" s="1" t="s">
        <v>48</v>
      </c>
      <c r="I1416" s="1" t="s">
        <v>119</v>
      </c>
      <c r="J1416" s="58">
        <v>982562</v>
      </c>
      <c r="K1416" s="1" t="s">
        <v>106</v>
      </c>
      <c r="L1416" s="1" t="s">
        <v>124</v>
      </c>
      <c r="M1416" s="1" t="s">
        <v>126</v>
      </c>
      <c r="N1416" s="1">
        <v>1</v>
      </c>
      <c r="O1416" s="58"/>
      <c r="P1416" s="58">
        <v>22458.560000000001</v>
      </c>
      <c r="Q1416" t="s">
        <v>107</v>
      </c>
      <c r="R1416" s="1" t="s">
        <v>48</v>
      </c>
    </row>
    <row r="1417" spans="3:18" x14ac:dyDescent="0.35">
      <c r="C1417" t="s">
        <v>51</v>
      </c>
      <c r="D1417" t="s">
        <v>92</v>
      </c>
      <c r="E1417" t="s">
        <v>49</v>
      </c>
      <c r="F1417" t="s">
        <v>46</v>
      </c>
      <c r="G1417" s="58">
        <v>262675</v>
      </c>
      <c r="H1417" s="1" t="s">
        <v>48</v>
      </c>
      <c r="I1417" s="1" t="s">
        <v>108</v>
      </c>
      <c r="J1417" s="58">
        <v>8142925</v>
      </c>
      <c r="K1417" s="1" t="s">
        <v>106</v>
      </c>
      <c r="L1417" s="1" t="s">
        <v>116</v>
      </c>
      <c r="M1417" s="1" t="s">
        <v>129</v>
      </c>
      <c r="N1417" s="1">
        <v>1</v>
      </c>
      <c r="O1417" s="58"/>
      <c r="P1417" s="58">
        <v>78802.5</v>
      </c>
      <c r="Q1417" t="s">
        <v>107</v>
      </c>
      <c r="R1417" s="1" t="s">
        <v>158</v>
      </c>
    </row>
    <row r="1418" spans="3:18" x14ac:dyDescent="0.35">
      <c r="C1418" t="s">
        <v>51</v>
      </c>
      <c r="D1418" t="s">
        <v>22</v>
      </c>
      <c r="E1418" t="s">
        <v>50</v>
      </c>
      <c r="F1418" t="s">
        <v>46</v>
      </c>
      <c r="G1418" s="58">
        <v>16372604</v>
      </c>
      <c r="H1418" s="1" t="s">
        <v>48</v>
      </c>
      <c r="I1418" s="1" t="s">
        <v>108</v>
      </c>
      <c r="J1418" s="58">
        <v>573041140</v>
      </c>
      <c r="K1418" s="1" t="s">
        <v>106</v>
      </c>
      <c r="L1418" s="1" t="s">
        <v>109</v>
      </c>
      <c r="M1418" s="1" t="s">
        <v>115</v>
      </c>
      <c r="N1418" s="1">
        <v>1</v>
      </c>
      <c r="O1418" s="58"/>
      <c r="P1418" s="58">
        <v>13589261.32</v>
      </c>
      <c r="Q1418" t="s">
        <v>127</v>
      </c>
      <c r="R1418" s="1" t="s">
        <v>48</v>
      </c>
    </row>
    <row r="1419" spans="3:18" x14ac:dyDescent="0.35">
      <c r="C1419" t="s">
        <v>51</v>
      </c>
      <c r="D1419" t="s">
        <v>25</v>
      </c>
      <c r="E1419" t="s">
        <v>49</v>
      </c>
      <c r="F1419" t="s">
        <v>46</v>
      </c>
      <c r="G1419" s="58">
        <v>231225</v>
      </c>
      <c r="H1419" s="1" t="s">
        <v>48</v>
      </c>
      <c r="I1419" s="1" t="s">
        <v>108</v>
      </c>
      <c r="J1419" s="58">
        <v>7167975</v>
      </c>
      <c r="K1419" s="1" t="s">
        <v>106</v>
      </c>
      <c r="L1419" s="1" t="s">
        <v>124</v>
      </c>
      <c r="M1419" s="1" t="s">
        <v>117</v>
      </c>
      <c r="N1419" s="1">
        <v>1</v>
      </c>
      <c r="O1419" s="58"/>
      <c r="P1419" s="58">
        <v>168794.25</v>
      </c>
      <c r="Q1419" t="s">
        <v>118</v>
      </c>
      <c r="R1419" s="1" t="s">
        <v>48</v>
      </c>
    </row>
    <row r="1420" spans="3:18" x14ac:dyDescent="0.35">
      <c r="C1420" t="s">
        <v>51</v>
      </c>
      <c r="D1420" t="s">
        <v>22</v>
      </c>
      <c r="E1420" t="s">
        <v>55</v>
      </c>
      <c r="F1420" t="s">
        <v>46</v>
      </c>
      <c r="G1420" s="58">
        <v>421967</v>
      </c>
      <c r="H1420" s="1" t="s">
        <v>48</v>
      </c>
      <c r="I1420" s="1" t="s">
        <v>105</v>
      </c>
      <c r="J1420" s="58">
        <v>1265901</v>
      </c>
      <c r="K1420" s="1" t="s">
        <v>106</v>
      </c>
      <c r="L1420" s="1" t="s">
        <v>114</v>
      </c>
      <c r="M1420" s="1" t="s">
        <v>115</v>
      </c>
      <c r="N1420" s="1">
        <v>1</v>
      </c>
      <c r="O1420" s="58"/>
      <c r="P1420" s="58">
        <v>71734.39</v>
      </c>
      <c r="Q1420" t="s">
        <v>107</v>
      </c>
      <c r="R1420" s="1" t="s">
        <v>48</v>
      </c>
    </row>
    <row r="1421" spans="3:18" x14ac:dyDescent="0.35">
      <c r="C1421" t="s">
        <v>51</v>
      </c>
      <c r="D1421" t="s">
        <v>91</v>
      </c>
      <c r="E1421" t="s">
        <v>49</v>
      </c>
      <c r="F1421" t="s">
        <v>64</v>
      </c>
      <c r="G1421" s="58">
        <v>558207</v>
      </c>
      <c r="H1421" s="1" t="s">
        <v>48</v>
      </c>
      <c r="I1421" s="1" t="s">
        <v>108</v>
      </c>
      <c r="J1421" s="58">
        <v>20095452</v>
      </c>
      <c r="K1421" s="1" t="s">
        <v>106</v>
      </c>
      <c r="L1421" s="1" t="s">
        <v>124</v>
      </c>
      <c r="M1421" s="1" t="s">
        <v>122</v>
      </c>
      <c r="N1421" s="1">
        <v>1</v>
      </c>
      <c r="O1421" s="58"/>
      <c r="P1421" s="58">
        <v>390744.9</v>
      </c>
      <c r="Q1421" t="s">
        <v>118</v>
      </c>
      <c r="R1421" s="1" t="s">
        <v>158</v>
      </c>
    </row>
    <row r="1422" spans="3:18" x14ac:dyDescent="0.35">
      <c r="C1422" t="s">
        <v>51</v>
      </c>
      <c r="D1422" t="s">
        <v>19</v>
      </c>
      <c r="E1422" t="s">
        <v>49</v>
      </c>
      <c r="F1422" t="s">
        <v>46</v>
      </c>
      <c r="G1422" s="58">
        <v>3600888</v>
      </c>
      <c r="H1422" s="1" t="s">
        <v>48</v>
      </c>
      <c r="I1422" s="1" t="s">
        <v>119</v>
      </c>
      <c r="J1422" s="58">
        <v>32407992</v>
      </c>
      <c r="K1422" s="1" t="s">
        <v>106</v>
      </c>
      <c r="L1422" s="1" t="s">
        <v>124</v>
      </c>
      <c r="M1422" s="1" t="s">
        <v>122</v>
      </c>
      <c r="N1422" s="1">
        <v>1</v>
      </c>
      <c r="O1422" s="58"/>
      <c r="P1422" s="58">
        <v>1692417.36</v>
      </c>
      <c r="Q1422" t="s">
        <v>113</v>
      </c>
      <c r="R1422" s="1" t="s">
        <v>158</v>
      </c>
    </row>
    <row r="1423" spans="3:18" x14ac:dyDescent="0.35">
      <c r="C1423" t="s">
        <v>51</v>
      </c>
      <c r="D1423" t="s">
        <v>92</v>
      </c>
      <c r="E1423" t="s">
        <v>45</v>
      </c>
      <c r="F1423" t="s">
        <v>46</v>
      </c>
      <c r="G1423" s="58">
        <v>606411</v>
      </c>
      <c r="H1423" s="1" t="s">
        <v>48</v>
      </c>
      <c r="I1423" s="1" t="s">
        <v>108</v>
      </c>
      <c r="J1423" s="58">
        <v>19405152</v>
      </c>
      <c r="K1423" s="1" t="s">
        <v>106</v>
      </c>
      <c r="L1423" s="1" t="s">
        <v>124</v>
      </c>
      <c r="M1423" s="1" t="s">
        <v>122</v>
      </c>
      <c r="N1423" s="1">
        <v>1</v>
      </c>
      <c r="O1423" s="58"/>
      <c r="P1423" s="58">
        <v>181923.3</v>
      </c>
      <c r="Q1423" t="s">
        <v>107</v>
      </c>
      <c r="R1423" s="1" t="s">
        <v>48</v>
      </c>
    </row>
    <row r="1424" spans="3:18" x14ac:dyDescent="0.35">
      <c r="C1424" t="s">
        <v>53</v>
      </c>
      <c r="D1424" t="s">
        <v>92</v>
      </c>
      <c r="E1424" t="s">
        <v>45</v>
      </c>
      <c r="F1424" t="s">
        <v>46</v>
      </c>
      <c r="G1424" s="58">
        <v>926243</v>
      </c>
      <c r="H1424" s="1" t="s">
        <v>56</v>
      </c>
      <c r="I1424" s="1" t="s">
        <v>105</v>
      </c>
      <c r="J1424" s="58">
        <v>2778729</v>
      </c>
      <c r="K1424" s="1" t="s">
        <v>106</v>
      </c>
      <c r="L1424" s="1" t="s">
        <v>120</v>
      </c>
      <c r="N1424" s="1">
        <v>1</v>
      </c>
      <c r="O1424" s="58"/>
      <c r="P1424" s="58">
        <v>194511.03</v>
      </c>
      <c r="Q1424" t="s">
        <v>107</v>
      </c>
      <c r="R1424" s="1" t="s">
        <v>158</v>
      </c>
    </row>
    <row r="1425" spans="3:18" x14ac:dyDescent="0.35">
      <c r="C1425" t="s">
        <v>51</v>
      </c>
      <c r="D1425" t="s">
        <v>22</v>
      </c>
      <c r="E1425" t="s">
        <v>49</v>
      </c>
      <c r="F1425" t="s">
        <v>46</v>
      </c>
      <c r="G1425" s="58">
        <v>798604</v>
      </c>
      <c r="H1425" s="1" t="s">
        <v>47</v>
      </c>
      <c r="I1425" s="1" t="s">
        <v>108</v>
      </c>
      <c r="J1425" s="58">
        <v>22360912</v>
      </c>
      <c r="K1425" s="1" t="s">
        <v>106</v>
      </c>
      <c r="L1425" s="1" t="s">
        <v>120</v>
      </c>
      <c r="N1425" s="1">
        <v>1</v>
      </c>
      <c r="O1425" s="58"/>
      <c r="P1425" s="58">
        <v>535064.68000000005</v>
      </c>
      <c r="Q1425" t="s">
        <v>118</v>
      </c>
      <c r="R1425" s="1" t="s">
        <v>158</v>
      </c>
    </row>
    <row r="1426" spans="3:18" x14ac:dyDescent="0.35">
      <c r="C1426" t="s">
        <v>53</v>
      </c>
      <c r="D1426" t="s">
        <v>19</v>
      </c>
      <c r="E1426" t="s">
        <v>49</v>
      </c>
      <c r="F1426" t="s">
        <v>46</v>
      </c>
      <c r="G1426" s="58">
        <v>1297853</v>
      </c>
      <c r="H1426" s="1" t="s">
        <v>47</v>
      </c>
      <c r="I1426" s="1" t="s">
        <v>111</v>
      </c>
      <c r="J1426" s="58">
        <v>14276383</v>
      </c>
      <c r="K1426" s="1" t="s">
        <v>106</v>
      </c>
      <c r="L1426" s="1" t="s">
        <v>124</v>
      </c>
      <c r="N1426" s="1">
        <v>1</v>
      </c>
      <c r="O1426" s="58"/>
      <c r="P1426" s="58">
        <v>674883.56</v>
      </c>
      <c r="Q1426" t="s">
        <v>113</v>
      </c>
      <c r="R1426" s="1" t="s">
        <v>158</v>
      </c>
    </row>
    <row r="1427" spans="3:18" x14ac:dyDescent="0.35">
      <c r="C1427" t="s">
        <v>51</v>
      </c>
      <c r="D1427" t="s">
        <v>23</v>
      </c>
      <c r="E1427" t="s">
        <v>49</v>
      </c>
      <c r="F1427" t="s">
        <v>46</v>
      </c>
      <c r="G1427" s="58">
        <v>168915</v>
      </c>
      <c r="H1427" s="1" t="s">
        <v>48</v>
      </c>
      <c r="I1427" s="1" t="s">
        <v>108</v>
      </c>
      <c r="J1427" s="58">
        <v>5743110</v>
      </c>
      <c r="K1427" s="1" t="s">
        <v>106</v>
      </c>
      <c r="L1427" s="1" t="s">
        <v>120</v>
      </c>
      <c r="M1427" s="1" t="s">
        <v>125</v>
      </c>
      <c r="N1427" s="1">
        <v>1</v>
      </c>
      <c r="O1427" s="58"/>
      <c r="P1427" s="58">
        <v>64187.7</v>
      </c>
      <c r="Q1427" t="s">
        <v>107</v>
      </c>
      <c r="R1427" s="1" t="s">
        <v>48</v>
      </c>
    </row>
    <row r="1428" spans="3:18" x14ac:dyDescent="0.35">
      <c r="C1428" t="s">
        <v>51</v>
      </c>
      <c r="D1428" t="s">
        <v>23</v>
      </c>
      <c r="E1428" t="s">
        <v>45</v>
      </c>
      <c r="F1428" t="s">
        <v>46</v>
      </c>
      <c r="G1428" s="58">
        <v>46433</v>
      </c>
      <c r="H1428" s="1" t="s">
        <v>47</v>
      </c>
      <c r="I1428" s="1" t="s">
        <v>111</v>
      </c>
      <c r="J1428" s="58">
        <v>928660</v>
      </c>
      <c r="K1428" s="1" t="s">
        <v>106</v>
      </c>
      <c r="L1428" s="1" t="s">
        <v>124</v>
      </c>
      <c r="N1428" s="1">
        <v>1</v>
      </c>
      <c r="O1428" s="58"/>
      <c r="P1428" s="58">
        <v>28324.13</v>
      </c>
      <c r="Q1428" t="s">
        <v>118</v>
      </c>
      <c r="R1428" s="1" t="s">
        <v>158</v>
      </c>
    </row>
    <row r="1429" spans="3:18" x14ac:dyDescent="0.35">
      <c r="C1429" t="s">
        <v>51</v>
      </c>
      <c r="D1429" t="s">
        <v>23</v>
      </c>
      <c r="E1429" t="s">
        <v>45</v>
      </c>
      <c r="F1429" t="s">
        <v>46</v>
      </c>
      <c r="G1429" s="58">
        <v>308339</v>
      </c>
      <c r="H1429" s="1" t="s">
        <v>47</v>
      </c>
      <c r="I1429" s="1" t="s">
        <v>105</v>
      </c>
      <c r="J1429" s="58">
        <v>1233356</v>
      </c>
      <c r="K1429" s="1" t="s">
        <v>106</v>
      </c>
      <c r="L1429" s="1" t="s">
        <v>120</v>
      </c>
      <c r="N1429" s="1">
        <v>1</v>
      </c>
      <c r="O1429" s="58"/>
      <c r="P1429" s="58">
        <v>141835.94</v>
      </c>
      <c r="Q1429" t="s">
        <v>113</v>
      </c>
      <c r="R1429" s="1" t="s">
        <v>158</v>
      </c>
    </row>
    <row r="1430" spans="3:18" x14ac:dyDescent="0.35">
      <c r="C1430" t="s">
        <v>51</v>
      </c>
      <c r="D1430" t="s">
        <v>20</v>
      </c>
      <c r="E1430" t="s">
        <v>49</v>
      </c>
      <c r="F1430" t="s">
        <v>46</v>
      </c>
      <c r="G1430" s="58">
        <v>68543139</v>
      </c>
      <c r="H1430" s="1" t="s">
        <v>54</v>
      </c>
      <c r="I1430" s="1" t="s">
        <v>108</v>
      </c>
      <c r="J1430" s="58">
        <v>1919207892</v>
      </c>
      <c r="K1430" s="1" t="s">
        <v>106</v>
      </c>
      <c r="L1430" s="1" t="s">
        <v>124</v>
      </c>
      <c r="N1430" s="1">
        <v>1</v>
      </c>
      <c r="O1430" s="58"/>
      <c r="P1430" s="58">
        <v>47294765.909999996</v>
      </c>
      <c r="Q1430" t="s">
        <v>118</v>
      </c>
      <c r="R1430" s="1" t="s">
        <v>158</v>
      </c>
    </row>
    <row r="1431" spans="3:18" x14ac:dyDescent="0.35">
      <c r="C1431" t="s">
        <v>51</v>
      </c>
      <c r="D1431" t="s">
        <v>19</v>
      </c>
      <c r="E1431" t="s">
        <v>49</v>
      </c>
      <c r="F1431" t="s">
        <v>46</v>
      </c>
      <c r="G1431" s="58">
        <v>21305112</v>
      </c>
      <c r="H1431" s="1" t="s">
        <v>54</v>
      </c>
      <c r="I1431" s="1" t="s">
        <v>108</v>
      </c>
      <c r="J1431" s="58">
        <v>553932912</v>
      </c>
      <c r="K1431" s="1" t="s">
        <v>106</v>
      </c>
      <c r="L1431" s="1" t="s">
        <v>124</v>
      </c>
      <c r="N1431" s="1">
        <v>1</v>
      </c>
      <c r="O1431" s="58"/>
      <c r="P1431" s="58">
        <v>11078658.24</v>
      </c>
      <c r="Q1431" t="s">
        <v>113</v>
      </c>
      <c r="R1431" s="1" t="s">
        <v>158</v>
      </c>
    </row>
    <row r="1432" spans="3:18" x14ac:dyDescent="0.35">
      <c r="C1432" t="s">
        <v>53</v>
      </c>
      <c r="D1432" t="s">
        <v>21</v>
      </c>
      <c r="E1432" t="s">
        <v>55</v>
      </c>
      <c r="F1432" t="s">
        <v>46</v>
      </c>
      <c r="G1432" s="58">
        <v>257428</v>
      </c>
      <c r="H1432" s="1" t="s">
        <v>48</v>
      </c>
      <c r="I1432" s="1" t="s">
        <v>119</v>
      </c>
      <c r="J1432" s="58">
        <v>2059424</v>
      </c>
      <c r="K1432" s="1" t="s">
        <v>106</v>
      </c>
      <c r="L1432" s="1" t="s">
        <v>114</v>
      </c>
      <c r="M1432" s="1" t="s">
        <v>126</v>
      </c>
      <c r="N1432" s="1">
        <v>1</v>
      </c>
      <c r="O1432" s="58"/>
      <c r="P1432" s="58">
        <v>162179.64000000001</v>
      </c>
      <c r="Q1432" t="s">
        <v>118</v>
      </c>
      <c r="R1432" s="1" t="s">
        <v>158</v>
      </c>
    </row>
    <row r="1433" spans="3:18" x14ac:dyDescent="0.35">
      <c r="C1433" t="s">
        <v>53</v>
      </c>
      <c r="D1433" t="s">
        <v>91</v>
      </c>
      <c r="E1433" t="s">
        <v>45</v>
      </c>
      <c r="F1433" t="s">
        <v>46</v>
      </c>
      <c r="G1433" s="58">
        <v>147430</v>
      </c>
      <c r="H1433" s="1" t="s">
        <v>48</v>
      </c>
      <c r="I1433" s="1" t="s">
        <v>105</v>
      </c>
      <c r="J1433" s="58">
        <v>147430</v>
      </c>
      <c r="K1433" s="1" t="s">
        <v>106</v>
      </c>
      <c r="L1433" s="1" t="s">
        <v>120</v>
      </c>
      <c r="M1433" s="1" t="s">
        <v>122</v>
      </c>
      <c r="N1433" s="1">
        <v>1</v>
      </c>
      <c r="O1433" s="58"/>
      <c r="P1433" s="58">
        <v>57497.7</v>
      </c>
      <c r="Q1433" t="s">
        <v>107</v>
      </c>
      <c r="R1433" s="1" t="s">
        <v>158</v>
      </c>
    </row>
    <row r="1434" spans="3:18" x14ac:dyDescent="0.35">
      <c r="C1434" t="s">
        <v>53</v>
      </c>
      <c r="D1434" t="s">
        <v>20</v>
      </c>
      <c r="E1434" t="s">
        <v>55</v>
      </c>
      <c r="F1434" t="s">
        <v>46</v>
      </c>
      <c r="G1434" s="58">
        <v>5243</v>
      </c>
      <c r="H1434" s="1" t="s">
        <v>48</v>
      </c>
      <c r="I1434" s="1" t="s">
        <v>105</v>
      </c>
      <c r="J1434" s="58">
        <v>10486</v>
      </c>
      <c r="K1434" s="1" t="s">
        <v>106</v>
      </c>
      <c r="L1434" s="1" t="s">
        <v>114</v>
      </c>
      <c r="M1434" s="1" t="s">
        <v>123</v>
      </c>
      <c r="N1434" s="1">
        <v>1</v>
      </c>
      <c r="O1434" s="58"/>
      <c r="P1434" s="58">
        <v>52.43</v>
      </c>
      <c r="Q1434" t="s">
        <v>107</v>
      </c>
      <c r="R1434" s="1" t="s">
        <v>158</v>
      </c>
    </row>
    <row r="1435" spans="3:18" x14ac:dyDescent="0.35">
      <c r="C1435" t="s">
        <v>51</v>
      </c>
      <c r="D1435" t="s">
        <v>23</v>
      </c>
      <c r="E1435" t="s">
        <v>55</v>
      </c>
      <c r="F1435" t="s">
        <v>46</v>
      </c>
      <c r="G1435" s="58">
        <v>507199</v>
      </c>
      <c r="H1435" s="1" t="s">
        <v>56</v>
      </c>
      <c r="I1435" s="1" t="s">
        <v>108</v>
      </c>
      <c r="J1435" s="58">
        <v>14201572</v>
      </c>
      <c r="K1435" s="1" t="s">
        <v>106</v>
      </c>
      <c r="L1435" s="1" t="s">
        <v>120</v>
      </c>
      <c r="N1435" s="1">
        <v>1</v>
      </c>
      <c r="O1435" s="58"/>
      <c r="P1435" s="58">
        <v>380399.25</v>
      </c>
      <c r="Q1435" t="s">
        <v>118</v>
      </c>
      <c r="R1435" s="1" t="s">
        <v>158</v>
      </c>
    </row>
    <row r="1436" spans="3:18" x14ac:dyDescent="0.35">
      <c r="C1436" t="s">
        <v>51</v>
      </c>
      <c r="D1436" t="s">
        <v>23</v>
      </c>
      <c r="E1436" t="s">
        <v>45</v>
      </c>
      <c r="F1436" t="s">
        <v>46</v>
      </c>
      <c r="G1436" s="58">
        <v>2265511</v>
      </c>
      <c r="H1436" s="1" t="s">
        <v>48</v>
      </c>
      <c r="I1436" s="1" t="s">
        <v>105</v>
      </c>
      <c r="J1436" s="58">
        <v>9062044</v>
      </c>
      <c r="K1436" s="1" t="s">
        <v>112</v>
      </c>
      <c r="N1436" s="1">
        <v>1</v>
      </c>
      <c r="O1436" s="58"/>
      <c r="P1436" s="58">
        <v>90620.44</v>
      </c>
      <c r="Q1436" t="s">
        <v>107</v>
      </c>
      <c r="R1436" s="1" t="s">
        <v>158</v>
      </c>
    </row>
    <row r="1437" spans="3:18" x14ac:dyDescent="0.35">
      <c r="C1437" t="s">
        <v>51</v>
      </c>
      <c r="D1437" t="s">
        <v>91</v>
      </c>
      <c r="E1437" t="s">
        <v>49</v>
      </c>
      <c r="F1437" t="s">
        <v>46</v>
      </c>
      <c r="G1437" s="58">
        <v>1626033</v>
      </c>
      <c r="H1437" s="1" t="s">
        <v>48</v>
      </c>
      <c r="I1437" s="1" t="s">
        <v>108</v>
      </c>
      <c r="J1437" s="58">
        <v>47154957</v>
      </c>
      <c r="K1437" s="1" t="s">
        <v>106</v>
      </c>
      <c r="L1437" s="1" t="s">
        <v>120</v>
      </c>
      <c r="M1437" s="1" t="s">
        <v>122</v>
      </c>
      <c r="N1437" s="1">
        <v>1</v>
      </c>
      <c r="O1437" s="58"/>
      <c r="P1437" s="58">
        <v>1203264.42</v>
      </c>
      <c r="Q1437" t="s">
        <v>118</v>
      </c>
      <c r="R1437" s="1" t="s">
        <v>158</v>
      </c>
    </row>
    <row r="1438" spans="3:18" x14ac:dyDescent="0.35">
      <c r="C1438" t="s">
        <v>53</v>
      </c>
      <c r="D1438" t="s">
        <v>22</v>
      </c>
      <c r="E1438" t="s">
        <v>49</v>
      </c>
      <c r="F1438" t="s">
        <v>46</v>
      </c>
      <c r="G1438" s="58">
        <v>899967</v>
      </c>
      <c r="H1438" s="1" t="s">
        <v>48</v>
      </c>
      <c r="I1438" s="1" t="s">
        <v>111</v>
      </c>
      <c r="J1438" s="58">
        <v>8999670</v>
      </c>
      <c r="K1438" s="1" t="s">
        <v>106</v>
      </c>
      <c r="L1438" s="1" t="s">
        <v>124</v>
      </c>
      <c r="M1438" s="1" t="s">
        <v>115</v>
      </c>
      <c r="N1438" s="1">
        <v>1</v>
      </c>
      <c r="O1438" s="58"/>
      <c r="P1438" s="58">
        <v>395985.48</v>
      </c>
      <c r="Q1438" t="s">
        <v>113</v>
      </c>
      <c r="R1438" s="1" t="s">
        <v>158</v>
      </c>
    </row>
    <row r="1439" spans="3:18" x14ac:dyDescent="0.35">
      <c r="C1439" t="s">
        <v>51</v>
      </c>
      <c r="D1439" t="s">
        <v>25</v>
      </c>
      <c r="E1439" t="s">
        <v>50</v>
      </c>
      <c r="F1439" t="s">
        <v>46</v>
      </c>
      <c r="G1439" s="58">
        <v>333349</v>
      </c>
      <c r="H1439" s="1" t="s">
        <v>54</v>
      </c>
      <c r="I1439" s="1" t="s">
        <v>111</v>
      </c>
      <c r="J1439" s="58">
        <v>5333584</v>
      </c>
      <c r="K1439" s="1" t="s">
        <v>106</v>
      </c>
      <c r="L1439" s="1" t="s">
        <v>109</v>
      </c>
      <c r="N1439" s="1">
        <v>1</v>
      </c>
      <c r="O1439" s="58"/>
      <c r="P1439" s="58">
        <v>216676.85</v>
      </c>
      <c r="Q1439" t="s">
        <v>118</v>
      </c>
      <c r="R1439" s="1" t="s">
        <v>158</v>
      </c>
    </row>
    <row r="1440" spans="3:18" x14ac:dyDescent="0.35">
      <c r="C1440" t="s">
        <v>51</v>
      </c>
      <c r="D1440" t="s">
        <v>23</v>
      </c>
      <c r="E1440" t="s">
        <v>45</v>
      </c>
      <c r="F1440" t="s">
        <v>46</v>
      </c>
      <c r="G1440" s="58">
        <v>127843</v>
      </c>
      <c r="H1440" s="1" t="s">
        <v>48</v>
      </c>
      <c r="I1440" s="1" t="s">
        <v>111</v>
      </c>
      <c r="J1440" s="58">
        <v>1278430</v>
      </c>
      <c r="K1440" s="1" t="s">
        <v>106</v>
      </c>
      <c r="L1440" s="1" t="s">
        <v>114</v>
      </c>
      <c r="M1440" s="1" t="s">
        <v>125</v>
      </c>
      <c r="N1440" s="1">
        <v>1</v>
      </c>
      <c r="O1440" s="58"/>
      <c r="P1440" s="58">
        <v>70313.649999999994</v>
      </c>
      <c r="Q1440" t="s">
        <v>113</v>
      </c>
      <c r="R1440" s="1" t="s">
        <v>158</v>
      </c>
    </row>
    <row r="1441" spans="3:18" x14ac:dyDescent="0.35">
      <c r="C1441" t="s">
        <v>51</v>
      </c>
      <c r="D1441" t="s">
        <v>23</v>
      </c>
      <c r="E1441" t="s">
        <v>45</v>
      </c>
      <c r="F1441" t="s">
        <v>46</v>
      </c>
      <c r="G1441" s="58">
        <v>3067951</v>
      </c>
      <c r="H1441" s="1" t="s">
        <v>47</v>
      </c>
      <c r="I1441" s="1" t="s">
        <v>108</v>
      </c>
      <c r="J1441" s="58">
        <v>95106481</v>
      </c>
      <c r="K1441" s="1" t="s">
        <v>106</v>
      </c>
      <c r="L1441" s="1" t="s">
        <v>114</v>
      </c>
      <c r="N1441" s="1">
        <v>1</v>
      </c>
      <c r="O1441" s="58"/>
      <c r="P1441" s="58">
        <v>2055527.17</v>
      </c>
      <c r="Q1441" t="s">
        <v>118</v>
      </c>
      <c r="R1441" s="1" t="s">
        <v>158</v>
      </c>
    </row>
    <row r="1442" spans="3:18" x14ac:dyDescent="0.35">
      <c r="C1442" t="s">
        <v>51</v>
      </c>
      <c r="D1442" t="s">
        <v>21</v>
      </c>
      <c r="E1442" t="s">
        <v>49</v>
      </c>
      <c r="F1442" t="s">
        <v>46</v>
      </c>
      <c r="G1442" s="58">
        <v>1212839</v>
      </c>
      <c r="H1442" s="1" t="s">
        <v>48</v>
      </c>
      <c r="I1442" s="1" t="s">
        <v>108</v>
      </c>
      <c r="J1442" s="58">
        <v>40023687</v>
      </c>
      <c r="K1442" s="1" t="s">
        <v>106</v>
      </c>
      <c r="L1442" s="1" t="s">
        <v>120</v>
      </c>
      <c r="M1442" s="1" t="s">
        <v>126</v>
      </c>
      <c r="N1442" s="1">
        <v>1</v>
      </c>
      <c r="O1442" s="58"/>
      <c r="P1442" s="58">
        <v>909629.25</v>
      </c>
      <c r="Q1442" t="s">
        <v>118</v>
      </c>
      <c r="R1442" s="1" t="s">
        <v>158</v>
      </c>
    </row>
    <row r="1443" spans="3:18" x14ac:dyDescent="0.35">
      <c r="C1443" t="s">
        <v>51</v>
      </c>
      <c r="D1443" t="s">
        <v>24</v>
      </c>
      <c r="E1443" t="s">
        <v>55</v>
      </c>
      <c r="F1443" t="s">
        <v>46</v>
      </c>
      <c r="G1443" s="58">
        <v>6603280</v>
      </c>
      <c r="H1443" s="1" t="s">
        <v>59</v>
      </c>
      <c r="I1443" s="1" t="s">
        <v>111</v>
      </c>
      <c r="J1443" s="58">
        <v>112255760</v>
      </c>
      <c r="K1443" s="1" t="s">
        <v>106</v>
      </c>
      <c r="L1443" s="1" t="s">
        <v>114</v>
      </c>
      <c r="N1443" s="1">
        <v>1</v>
      </c>
      <c r="O1443" s="58"/>
      <c r="P1443" s="58">
        <v>4424197.5999999996</v>
      </c>
      <c r="Q1443" t="s">
        <v>118</v>
      </c>
      <c r="R1443" s="1" t="s">
        <v>158</v>
      </c>
    </row>
    <row r="1444" spans="3:18" x14ac:dyDescent="0.35">
      <c r="C1444" t="s">
        <v>53</v>
      </c>
      <c r="D1444" t="s">
        <v>21</v>
      </c>
      <c r="E1444" t="s">
        <v>45</v>
      </c>
      <c r="F1444" t="s">
        <v>46</v>
      </c>
      <c r="G1444" s="58">
        <v>383100</v>
      </c>
      <c r="H1444" s="1" t="s">
        <v>48</v>
      </c>
      <c r="I1444" s="1" t="s">
        <v>108</v>
      </c>
      <c r="J1444" s="58">
        <v>8045100</v>
      </c>
      <c r="K1444" s="1" t="s">
        <v>106</v>
      </c>
      <c r="L1444" s="1" t="s">
        <v>120</v>
      </c>
      <c r="M1444" s="1" t="s">
        <v>126</v>
      </c>
      <c r="N1444" s="1">
        <v>1</v>
      </c>
      <c r="O1444" s="58"/>
      <c r="P1444" s="58">
        <v>340959</v>
      </c>
      <c r="Q1444" t="s">
        <v>127</v>
      </c>
      <c r="R1444" s="1" t="s">
        <v>158</v>
      </c>
    </row>
    <row r="1445" spans="3:18" x14ac:dyDescent="0.35">
      <c r="C1445" t="s">
        <v>51</v>
      </c>
      <c r="D1445" t="s">
        <v>21</v>
      </c>
      <c r="E1445" t="s">
        <v>45</v>
      </c>
      <c r="F1445" t="s">
        <v>46</v>
      </c>
      <c r="G1445" s="58">
        <v>1275598</v>
      </c>
      <c r="H1445" s="1" t="s">
        <v>54</v>
      </c>
      <c r="I1445" s="1" t="s">
        <v>105</v>
      </c>
      <c r="J1445" s="58">
        <v>3826794</v>
      </c>
      <c r="K1445" s="1" t="s">
        <v>106</v>
      </c>
      <c r="L1445" s="1" t="s">
        <v>120</v>
      </c>
      <c r="N1445" s="1">
        <v>1</v>
      </c>
      <c r="O1445" s="58"/>
      <c r="P1445" s="58">
        <v>153071.76</v>
      </c>
      <c r="Q1445" t="s">
        <v>107</v>
      </c>
      <c r="R1445" s="1" t="s">
        <v>158</v>
      </c>
    </row>
    <row r="1446" spans="3:18" x14ac:dyDescent="0.35">
      <c r="C1446" t="s">
        <v>51</v>
      </c>
      <c r="D1446" t="s">
        <v>20</v>
      </c>
      <c r="E1446" t="s">
        <v>49</v>
      </c>
      <c r="F1446" t="s">
        <v>46</v>
      </c>
      <c r="G1446" s="58">
        <v>54967836</v>
      </c>
      <c r="H1446" s="1" t="s">
        <v>56</v>
      </c>
      <c r="I1446" s="1" t="s">
        <v>108</v>
      </c>
      <c r="J1446" s="58">
        <v>1649035080</v>
      </c>
      <c r="K1446" s="1" t="s">
        <v>106</v>
      </c>
      <c r="L1446" s="1" t="s">
        <v>124</v>
      </c>
      <c r="N1446" s="1">
        <v>1</v>
      </c>
      <c r="O1446" s="58"/>
      <c r="P1446" s="58">
        <v>37927806.840000004</v>
      </c>
      <c r="Q1446" t="s">
        <v>118</v>
      </c>
      <c r="R1446" s="1" t="s">
        <v>158</v>
      </c>
    </row>
    <row r="1447" spans="3:18" x14ac:dyDescent="0.35">
      <c r="C1447" t="s">
        <v>51</v>
      </c>
      <c r="D1447" t="s">
        <v>21</v>
      </c>
      <c r="E1447" t="s">
        <v>49</v>
      </c>
      <c r="F1447" t="s">
        <v>46</v>
      </c>
      <c r="G1447" s="58">
        <v>2558358</v>
      </c>
      <c r="H1447" s="1" t="s">
        <v>54</v>
      </c>
      <c r="I1447" s="1" t="s">
        <v>108</v>
      </c>
      <c r="J1447" s="58">
        <v>69075666</v>
      </c>
      <c r="K1447" s="1" t="s">
        <v>112</v>
      </c>
      <c r="N1447" s="1">
        <v>1</v>
      </c>
      <c r="O1447" s="58"/>
      <c r="P1447" s="58">
        <v>2149020.7200000002</v>
      </c>
      <c r="Q1447" t="s">
        <v>127</v>
      </c>
      <c r="R1447" s="1" t="s">
        <v>158</v>
      </c>
    </row>
    <row r="1448" spans="3:18" x14ac:dyDescent="0.35">
      <c r="C1448" t="s">
        <v>53</v>
      </c>
      <c r="D1448" t="s">
        <v>19</v>
      </c>
      <c r="E1448" t="s">
        <v>50</v>
      </c>
      <c r="F1448" t="s">
        <v>46</v>
      </c>
      <c r="G1448" s="58">
        <v>183499</v>
      </c>
      <c r="H1448" s="1" t="s">
        <v>48</v>
      </c>
      <c r="I1448" s="1" t="s">
        <v>111</v>
      </c>
      <c r="J1448" s="58">
        <v>1834990</v>
      </c>
      <c r="K1448" s="1" t="s">
        <v>106</v>
      </c>
      <c r="L1448" s="1" t="s">
        <v>109</v>
      </c>
      <c r="M1448" s="1" t="s">
        <v>122</v>
      </c>
      <c r="N1448" s="1">
        <v>1</v>
      </c>
      <c r="O1448" s="58"/>
      <c r="P1448" s="58">
        <v>75234.59</v>
      </c>
      <c r="Q1448" t="s">
        <v>113</v>
      </c>
      <c r="R1448" s="1" t="s">
        <v>158</v>
      </c>
    </row>
    <row r="1449" spans="3:18" x14ac:dyDescent="0.35">
      <c r="C1449" t="s">
        <v>51</v>
      </c>
      <c r="D1449" t="s">
        <v>20</v>
      </c>
      <c r="E1449" t="s">
        <v>49</v>
      </c>
      <c r="F1449" t="s">
        <v>46</v>
      </c>
      <c r="G1449" s="58">
        <v>670</v>
      </c>
      <c r="H1449" s="1" t="s">
        <v>48</v>
      </c>
      <c r="I1449" s="1" t="s">
        <v>105</v>
      </c>
      <c r="J1449" s="58"/>
      <c r="K1449" s="1" t="s">
        <v>106</v>
      </c>
      <c r="L1449" s="1" t="s">
        <v>124</v>
      </c>
      <c r="M1449" s="1" t="s">
        <v>123</v>
      </c>
      <c r="N1449" s="1">
        <v>0</v>
      </c>
      <c r="O1449" s="58"/>
      <c r="P1449" s="58">
        <v>0</v>
      </c>
      <c r="Q1449" t="s">
        <v>107</v>
      </c>
      <c r="R1449" s="1" t="s">
        <v>158</v>
      </c>
    </row>
    <row r="1450" spans="3:18" x14ac:dyDescent="0.35">
      <c r="C1450" t="s">
        <v>51</v>
      </c>
      <c r="D1450" t="s">
        <v>19</v>
      </c>
      <c r="E1450" t="s">
        <v>45</v>
      </c>
      <c r="F1450" t="s">
        <v>46</v>
      </c>
      <c r="G1450" s="58">
        <v>2241164</v>
      </c>
      <c r="H1450" s="1" t="s">
        <v>48</v>
      </c>
      <c r="I1450" s="1" t="s">
        <v>111</v>
      </c>
      <c r="J1450" s="58">
        <v>35858624</v>
      </c>
      <c r="K1450" s="1" t="s">
        <v>106</v>
      </c>
      <c r="L1450" s="1" t="s">
        <v>120</v>
      </c>
      <c r="M1450" s="1" t="s">
        <v>122</v>
      </c>
      <c r="N1450" s="1">
        <v>1</v>
      </c>
      <c r="O1450" s="58"/>
      <c r="P1450" s="58">
        <v>537879.36</v>
      </c>
      <c r="Q1450" t="s">
        <v>107</v>
      </c>
      <c r="R1450" s="1" t="s">
        <v>158</v>
      </c>
    </row>
    <row r="1451" spans="3:18" x14ac:dyDescent="0.35">
      <c r="C1451" t="s">
        <v>51</v>
      </c>
      <c r="D1451" t="s">
        <v>91</v>
      </c>
      <c r="E1451" t="s">
        <v>49</v>
      </c>
      <c r="F1451" t="s">
        <v>46</v>
      </c>
      <c r="G1451" s="58">
        <v>13980760</v>
      </c>
      <c r="H1451" s="1" t="s">
        <v>54</v>
      </c>
      <c r="I1451" s="1" t="s">
        <v>108</v>
      </c>
      <c r="J1451" s="58">
        <v>391461280</v>
      </c>
      <c r="K1451" s="1" t="s">
        <v>106</v>
      </c>
      <c r="L1451" s="1" t="s">
        <v>124</v>
      </c>
      <c r="N1451" s="1">
        <v>1</v>
      </c>
      <c r="O1451" s="58"/>
      <c r="P1451" s="58">
        <v>9646724.4000000004</v>
      </c>
      <c r="Q1451" t="s">
        <v>118</v>
      </c>
      <c r="R1451" s="1" t="s">
        <v>158</v>
      </c>
    </row>
    <row r="1452" spans="3:18" x14ac:dyDescent="0.35">
      <c r="C1452" t="s">
        <v>51</v>
      </c>
      <c r="D1452" t="s">
        <v>22</v>
      </c>
      <c r="E1452" t="s">
        <v>49</v>
      </c>
      <c r="F1452" t="s">
        <v>46</v>
      </c>
      <c r="G1452" s="58">
        <v>33448191</v>
      </c>
      <c r="H1452" s="1" t="s">
        <v>47</v>
      </c>
      <c r="I1452" s="1" t="s">
        <v>108</v>
      </c>
      <c r="J1452" s="58">
        <v>869652966</v>
      </c>
      <c r="K1452" s="1" t="s">
        <v>106</v>
      </c>
      <c r="L1452" s="1" t="s">
        <v>124</v>
      </c>
      <c r="N1452" s="1">
        <v>1</v>
      </c>
      <c r="O1452" s="58"/>
      <c r="P1452" s="58">
        <v>9365493.4800000004</v>
      </c>
      <c r="Q1452" t="s">
        <v>107</v>
      </c>
      <c r="R1452" s="1" t="s">
        <v>158</v>
      </c>
    </row>
    <row r="1453" spans="3:18" x14ac:dyDescent="0.35">
      <c r="C1453" t="s">
        <v>51</v>
      </c>
      <c r="D1453" t="s">
        <v>21</v>
      </c>
      <c r="E1453" t="s">
        <v>45</v>
      </c>
      <c r="F1453" t="s">
        <v>46</v>
      </c>
      <c r="G1453" s="58">
        <v>8700055</v>
      </c>
      <c r="H1453" s="1" t="s">
        <v>48</v>
      </c>
      <c r="I1453" s="1" t="s">
        <v>111</v>
      </c>
      <c r="J1453" s="58">
        <v>130500825</v>
      </c>
      <c r="K1453" s="1" t="s">
        <v>106</v>
      </c>
      <c r="L1453" s="1" t="s">
        <v>120</v>
      </c>
      <c r="M1453" s="1" t="s">
        <v>126</v>
      </c>
      <c r="N1453" s="1">
        <v>1</v>
      </c>
      <c r="O1453" s="58"/>
      <c r="P1453" s="58">
        <v>2349014.85</v>
      </c>
      <c r="Q1453" t="s">
        <v>107</v>
      </c>
      <c r="R1453" s="1" t="s">
        <v>48</v>
      </c>
    </row>
    <row r="1454" spans="3:18" x14ac:dyDescent="0.35">
      <c r="C1454" t="s">
        <v>51</v>
      </c>
      <c r="D1454" t="s">
        <v>25</v>
      </c>
      <c r="E1454" t="s">
        <v>50</v>
      </c>
      <c r="F1454" t="s">
        <v>46</v>
      </c>
      <c r="G1454" s="58">
        <v>118072</v>
      </c>
      <c r="H1454" s="1" t="s">
        <v>54</v>
      </c>
      <c r="I1454" s="1" t="s">
        <v>119</v>
      </c>
      <c r="J1454" s="58">
        <v>826504</v>
      </c>
      <c r="K1454" s="1" t="s">
        <v>106</v>
      </c>
      <c r="L1454" s="1" t="s">
        <v>109</v>
      </c>
      <c r="N1454" s="1">
        <v>1</v>
      </c>
      <c r="O1454" s="58"/>
      <c r="P1454" s="58">
        <v>81469.679999999993</v>
      </c>
      <c r="Q1454" t="s">
        <v>118</v>
      </c>
      <c r="R1454" s="1" t="s">
        <v>158</v>
      </c>
    </row>
    <row r="1455" spans="3:18" x14ac:dyDescent="0.35">
      <c r="C1455" t="s">
        <v>53</v>
      </c>
      <c r="D1455" t="s">
        <v>21</v>
      </c>
      <c r="E1455" t="s">
        <v>45</v>
      </c>
      <c r="F1455" t="s">
        <v>46</v>
      </c>
      <c r="G1455" s="58">
        <v>1149807</v>
      </c>
      <c r="H1455" s="1" t="s">
        <v>47</v>
      </c>
      <c r="I1455" s="1" t="s">
        <v>111</v>
      </c>
      <c r="J1455" s="58">
        <v>13797684</v>
      </c>
      <c r="K1455" s="1" t="s">
        <v>106</v>
      </c>
      <c r="L1455" s="1" t="s">
        <v>120</v>
      </c>
      <c r="N1455" s="1">
        <v>1</v>
      </c>
      <c r="O1455" s="58"/>
      <c r="P1455" s="58">
        <v>1000332.09</v>
      </c>
      <c r="Q1455" t="s">
        <v>127</v>
      </c>
      <c r="R1455" s="1" t="s">
        <v>158</v>
      </c>
    </row>
    <row r="1456" spans="3:18" x14ac:dyDescent="0.35">
      <c r="C1456" t="s">
        <v>51</v>
      </c>
      <c r="D1456" t="s">
        <v>21</v>
      </c>
      <c r="E1456" t="s">
        <v>45</v>
      </c>
      <c r="F1456" t="s">
        <v>46</v>
      </c>
      <c r="G1456" s="58">
        <v>2478734</v>
      </c>
      <c r="H1456" s="1" t="s">
        <v>47</v>
      </c>
      <c r="I1456" s="1" t="s">
        <v>108</v>
      </c>
      <c r="J1456" s="58">
        <v>76840754</v>
      </c>
      <c r="K1456" s="1" t="s">
        <v>112</v>
      </c>
      <c r="N1456" s="1">
        <v>1</v>
      </c>
      <c r="O1456" s="58"/>
      <c r="P1456" s="58">
        <v>396597.44</v>
      </c>
      <c r="Q1456" t="s">
        <v>107</v>
      </c>
      <c r="R1456" s="1" t="s">
        <v>158</v>
      </c>
    </row>
    <row r="1457" spans="3:18" x14ac:dyDescent="0.35">
      <c r="C1457" t="s">
        <v>51</v>
      </c>
      <c r="D1457" t="s">
        <v>21</v>
      </c>
      <c r="E1457" t="s">
        <v>49</v>
      </c>
      <c r="F1457" t="s">
        <v>46</v>
      </c>
      <c r="G1457" s="58">
        <v>7640048</v>
      </c>
      <c r="H1457" s="1" t="s">
        <v>47</v>
      </c>
      <c r="I1457" s="1" t="s">
        <v>105</v>
      </c>
      <c r="J1457" s="58">
        <v>22920144</v>
      </c>
      <c r="K1457" s="1" t="s">
        <v>106</v>
      </c>
      <c r="L1457" s="1" t="s">
        <v>120</v>
      </c>
      <c r="N1457" s="1">
        <v>1</v>
      </c>
      <c r="O1457" s="58"/>
      <c r="P1457" s="58">
        <v>840405.28</v>
      </c>
      <c r="Q1457" t="s">
        <v>107</v>
      </c>
      <c r="R1457" s="1" t="s">
        <v>158</v>
      </c>
    </row>
    <row r="1458" spans="3:18" x14ac:dyDescent="0.35">
      <c r="C1458" t="s">
        <v>53</v>
      </c>
      <c r="D1458" t="s">
        <v>24</v>
      </c>
      <c r="E1458" t="s">
        <v>62</v>
      </c>
      <c r="F1458" t="s">
        <v>46</v>
      </c>
      <c r="G1458" s="58">
        <v>229843</v>
      </c>
      <c r="H1458" s="1" t="s">
        <v>48</v>
      </c>
      <c r="I1458" s="1" t="s">
        <v>111</v>
      </c>
      <c r="J1458" s="58">
        <v>2758116</v>
      </c>
      <c r="K1458" s="1" t="s">
        <v>106</v>
      </c>
      <c r="L1458" s="1" t="s">
        <v>131</v>
      </c>
      <c r="M1458" s="1" t="s">
        <v>121</v>
      </c>
      <c r="N1458" s="1">
        <v>1</v>
      </c>
      <c r="O1458" s="58"/>
      <c r="P1458" s="58">
        <v>82743.48</v>
      </c>
      <c r="Q1458" t="s">
        <v>107</v>
      </c>
      <c r="R1458" s="1" t="s">
        <v>48</v>
      </c>
    </row>
    <row r="1459" spans="3:18" x14ac:dyDescent="0.35">
      <c r="C1459" t="s">
        <v>51</v>
      </c>
      <c r="D1459" t="s">
        <v>92</v>
      </c>
      <c r="E1459" t="s">
        <v>49</v>
      </c>
      <c r="F1459" t="s">
        <v>46</v>
      </c>
      <c r="G1459" s="58">
        <v>1399795</v>
      </c>
      <c r="H1459" s="1" t="s">
        <v>47</v>
      </c>
      <c r="I1459" s="1" t="s">
        <v>108</v>
      </c>
      <c r="J1459" s="58">
        <v>46193235</v>
      </c>
      <c r="K1459" s="1" t="s">
        <v>112</v>
      </c>
      <c r="N1459" s="1">
        <v>1</v>
      </c>
      <c r="O1459" s="58"/>
      <c r="P1459" s="58">
        <v>1035848.3</v>
      </c>
      <c r="Q1459" t="s">
        <v>118</v>
      </c>
      <c r="R1459" s="1" t="s">
        <v>158</v>
      </c>
    </row>
    <row r="1460" spans="3:18" x14ac:dyDescent="0.35">
      <c r="C1460" t="s">
        <v>51</v>
      </c>
      <c r="D1460" t="s">
        <v>22</v>
      </c>
      <c r="E1460" t="s">
        <v>45</v>
      </c>
      <c r="F1460" t="s">
        <v>46</v>
      </c>
      <c r="G1460" s="58">
        <v>9261226</v>
      </c>
      <c r="H1460" s="1" t="s">
        <v>48</v>
      </c>
      <c r="I1460" s="1" t="s">
        <v>108</v>
      </c>
      <c r="J1460" s="58">
        <v>277836780</v>
      </c>
      <c r="K1460" s="1" t="s">
        <v>112</v>
      </c>
      <c r="N1460" s="1">
        <v>1</v>
      </c>
      <c r="O1460" s="58"/>
      <c r="P1460" s="58">
        <v>2500531.02</v>
      </c>
      <c r="Q1460" t="s">
        <v>107</v>
      </c>
      <c r="R1460" s="1" t="s">
        <v>48</v>
      </c>
    </row>
    <row r="1461" spans="3:18" x14ac:dyDescent="0.35">
      <c r="C1461" t="s">
        <v>51</v>
      </c>
      <c r="D1461" t="s">
        <v>23</v>
      </c>
      <c r="E1461" t="s">
        <v>55</v>
      </c>
      <c r="F1461" t="s">
        <v>46</v>
      </c>
      <c r="G1461" s="58">
        <v>332208</v>
      </c>
      <c r="H1461" s="1" t="s">
        <v>48</v>
      </c>
      <c r="I1461" s="1" t="s">
        <v>111</v>
      </c>
      <c r="J1461" s="58">
        <v>4650912</v>
      </c>
      <c r="K1461" s="1" t="s">
        <v>106</v>
      </c>
      <c r="L1461" s="1" t="s">
        <v>124</v>
      </c>
      <c r="M1461" s="1" t="s">
        <v>125</v>
      </c>
      <c r="N1461" s="1">
        <v>1</v>
      </c>
      <c r="O1461" s="58"/>
      <c r="P1461" s="58">
        <v>209291.04</v>
      </c>
      <c r="Q1461" t="s">
        <v>118</v>
      </c>
      <c r="R1461" s="1" t="s">
        <v>48</v>
      </c>
    </row>
    <row r="1462" spans="3:18" x14ac:dyDescent="0.35">
      <c r="C1462" t="s">
        <v>51</v>
      </c>
      <c r="D1462" t="s">
        <v>91</v>
      </c>
      <c r="E1462" t="s">
        <v>49</v>
      </c>
      <c r="F1462" t="s">
        <v>46</v>
      </c>
      <c r="G1462" s="58">
        <v>59686</v>
      </c>
      <c r="H1462" s="1" t="s">
        <v>56</v>
      </c>
      <c r="I1462" s="1" t="s">
        <v>108</v>
      </c>
      <c r="J1462" s="58">
        <v>1671208</v>
      </c>
      <c r="K1462" s="1" t="s">
        <v>112</v>
      </c>
      <c r="N1462" s="1">
        <v>1</v>
      </c>
      <c r="O1462" s="58"/>
      <c r="P1462" s="58">
        <v>35811.599999999999</v>
      </c>
      <c r="Q1462" t="s">
        <v>113</v>
      </c>
      <c r="R1462" s="1" t="s">
        <v>158</v>
      </c>
    </row>
    <row r="1463" spans="3:18" x14ac:dyDescent="0.35">
      <c r="C1463" t="s">
        <v>51</v>
      </c>
      <c r="D1463" t="s">
        <v>23</v>
      </c>
      <c r="E1463" t="s">
        <v>55</v>
      </c>
      <c r="F1463" t="s">
        <v>46</v>
      </c>
      <c r="G1463" s="58">
        <v>105826</v>
      </c>
      <c r="H1463" s="1" t="s">
        <v>48</v>
      </c>
      <c r="I1463" s="1" t="s">
        <v>111</v>
      </c>
      <c r="J1463" s="58">
        <v>2116520</v>
      </c>
      <c r="K1463" s="1" t="s">
        <v>106</v>
      </c>
      <c r="L1463" s="1" t="s">
        <v>120</v>
      </c>
      <c r="M1463" s="1" t="s">
        <v>125</v>
      </c>
      <c r="N1463" s="1">
        <v>1</v>
      </c>
      <c r="O1463" s="58"/>
      <c r="P1463" s="58">
        <v>66670.38</v>
      </c>
      <c r="Q1463" t="s">
        <v>118</v>
      </c>
      <c r="R1463" s="1" t="s">
        <v>158</v>
      </c>
    </row>
    <row r="1464" spans="3:18" x14ac:dyDescent="0.35">
      <c r="C1464" t="s">
        <v>53</v>
      </c>
      <c r="D1464" t="s">
        <v>22</v>
      </c>
      <c r="E1464" t="s">
        <v>45</v>
      </c>
      <c r="F1464" t="s">
        <v>46</v>
      </c>
      <c r="G1464" s="58">
        <v>2993</v>
      </c>
      <c r="H1464" s="1" t="s">
        <v>47</v>
      </c>
      <c r="I1464" s="1" t="s">
        <v>108</v>
      </c>
      <c r="J1464" s="58">
        <v>71832</v>
      </c>
      <c r="K1464" s="1" t="s">
        <v>106</v>
      </c>
      <c r="L1464" s="1" t="s">
        <v>120</v>
      </c>
      <c r="N1464" s="1">
        <v>1</v>
      </c>
      <c r="O1464" s="58"/>
      <c r="P1464" s="58">
        <v>4489.5</v>
      </c>
      <c r="Q1464" t="s">
        <v>110</v>
      </c>
      <c r="R1464" s="1" t="s">
        <v>158</v>
      </c>
    </row>
    <row r="1465" spans="3:18" x14ac:dyDescent="0.35">
      <c r="C1465" t="s">
        <v>51</v>
      </c>
      <c r="D1465" t="s">
        <v>24</v>
      </c>
      <c r="E1465" t="s">
        <v>55</v>
      </c>
      <c r="F1465" t="s">
        <v>46</v>
      </c>
      <c r="G1465" s="58">
        <v>412954</v>
      </c>
      <c r="H1465" s="1" t="s">
        <v>48</v>
      </c>
      <c r="I1465" s="1" t="s">
        <v>108</v>
      </c>
      <c r="J1465" s="58">
        <v>11975666</v>
      </c>
      <c r="K1465" s="1" t="s">
        <v>112</v>
      </c>
      <c r="N1465" s="1">
        <v>1</v>
      </c>
      <c r="O1465" s="58"/>
      <c r="P1465" s="58">
        <v>123886.2</v>
      </c>
      <c r="Q1465" t="s">
        <v>107</v>
      </c>
      <c r="R1465" s="1" t="s">
        <v>48</v>
      </c>
    </row>
    <row r="1466" spans="3:18" x14ac:dyDescent="0.35">
      <c r="C1466" t="s">
        <v>51</v>
      </c>
      <c r="D1466" t="s">
        <v>92</v>
      </c>
      <c r="E1466" t="s">
        <v>49</v>
      </c>
      <c r="F1466" t="s">
        <v>46</v>
      </c>
      <c r="G1466" s="58">
        <v>665931</v>
      </c>
      <c r="H1466" s="1" t="s">
        <v>54</v>
      </c>
      <c r="I1466" s="1" t="s">
        <v>111</v>
      </c>
      <c r="J1466" s="58">
        <v>10654896</v>
      </c>
      <c r="K1466" s="1" t="s">
        <v>112</v>
      </c>
      <c r="N1466" s="1">
        <v>1</v>
      </c>
      <c r="O1466" s="58"/>
      <c r="P1466" s="58">
        <v>326306.19</v>
      </c>
      <c r="Q1466" t="s">
        <v>113</v>
      </c>
      <c r="R1466" s="1" t="s">
        <v>158</v>
      </c>
    </row>
    <row r="1467" spans="3:18" x14ac:dyDescent="0.35">
      <c r="C1467" t="s">
        <v>51</v>
      </c>
      <c r="D1467" t="s">
        <v>19</v>
      </c>
      <c r="E1467" t="s">
        <v>49</v>
      </c>
      <c r="F1467" t="s">
        <v>46</v>
      </c>
      <c r="G1467" s="58">
        <v>63493449</v>
      </c>
      <c r="H1467" s="1" t="s">
        <v>47</v>
      </c>
      <c r="I1467" s="1" t="s">
        <v>105</v>
      </c>
      <c r="J1467" s="58">
        <v>190480347</v>
      </c>
      <c r="K1467" s="1" t="s">
        <v>106</v>
      </c>
      <c r="L1467" s="1" t="s">
        <v>124</v>
      </c>
      <c r="N1467" s="1">
        <v>1</v>
      </c>
      <c r="O1467" s="58"/>
      <c r="P1467" s="58">
        <v>6984279.3899999997</v>
      </c>
      <c r="Q1467" t="s">
        <v>107</v>
      </c>
      <c r="R1467" s="1" t="s">
        <v>158</v>
      </c>
    </row>
    <row r="1468" spans="3:18" x14ac:dyDescent="0.35">
      <c r="C1468" t="s">
        <v>51</v>
      </c>
      <c r="D1468" t="s">
        <v>23</v>
      </c>
      <c r="E1468" t="s">
        <v>55</v>
      </c>
      <c r="F1468" t="s">
        <v>46</v>
      </c>
      <c r="G1468" s="58">
        <v>130325</v>
      </c>
      <c r="H1468" s="1" t="s">
        <v>48</v>
      </c>
      <c r="I1468" s="1" t="s">
        <v>119</v>
      </c>
      <c r="J1468" s="58">
        <v>1172925</v>
      </c>
      <c r="K1468" s="1" t="s">
        <v>106</v>
      </c>
      <c r="L1468" s="1" t="s">
        <v>124</v>
      </c>
      <c r="M1468" s="1" t="s">
        <v>126</v>
      </c>
      <c r="N1468" s="1">
        <v>1</v>
      </c>
      <c r="O1468" s="58"/>
      <c r="P1468" s="58">
        <v>44310.5</v>
      </c>
      <c r="Q1468" t="s">
        <v>107</v>
      </c>
      <c r="R1468" s="1" t="s">
        <v>48</v>
      </c>
    </row>
    <row r="1469" spans="3:18" x14ac:dyDescent="0.35">
      <c r="C1469" t="s">
        <v>51</v>
      </c>
      <c r="D1469" t="s">
        <v>22</v>
      </c>
      <c r="E1469" t="s">
        <v>49</v>
      </c>
      <c r="F1469" t="s">
        <v>46</v>
      </c>
      <c r="G1469" s="58">
        <v>10338033</v>
      </c>
      <c r="H1469" s="1" t="s">
        <v>47</v>
      </c>
      <c r="I1469" s="1" t="s">
        <v>105</v>
      </c>
      <c r="J1469" s="58">
        <v>31014099</v>
      </c>
      <c r="K1469" s="1" t="s">
        <v>106</v>
      </c>
      <c r="L1469" s="1" t="s">
        <v>124</v>
      </c>
      <c r="N1469" s="1">
        <v>1</v>
      </c>
      <c r="O1469" s="58"/>
      <c r="P1469" s="58">
        <v>1033803.3</v>
      </c>
      <c r="Q1469" t="s">
        <v>107</v>
      </c>
      <c r="R1469" s="1" t="s">
        <v>158</v>
      </c>
    </row>
    <row r="1470" spans="3:18" x14ac:dyDescent="0.35">
      <c r="C1470" t="s">
        <v>51</v>
      </c>
      <c r="D1470" t="s">
        <v>21</v>
      </c>
      <c r="E1470" t="s">
        <v>45</v>
      </c>
      <c r="F1470" t="s">
        <v>46</v>
      </c>
      <c r="G1470" s="58">
        <v>103874</v>
      </c>
      <c r="H1470" s="1" t="s">
        <v>48</v>
      </c>
      <c r="I1470" s="1" t="s">
        <v>111</v>
      </c>
      <c r="J1470" s="58">
        <v>1142614</v>
      </c>
      <c r="K1470" s="1" t="s">
        <v>106</v>
      </c>
      <c r="L1470" s="1" t="s">
        <v>124</v>
      </c>
      <c r="M1470" s="1" t="s">
        <v>122</v>
      </c>
      <c r="N1470" s="1">
        <v>1</v>
      </c>
      <c r="O1470" s="58"/>
      <c r="P1470" s="58">
        <v>39472.120000000003</v>
      </c>
      <c r="Q1470" t="s">
        <v>107</v>
      </c>
      <c r="R1470" s="1" t="s">
        <v>158</v>
      </c>
    </row>
    <row r="1471" spans="3:18" x14ac:dyDescent="0.35">
      <c r="C1471" t="s">
        <v>51</v>
      </c>
      <c r="D1471" t="s">
        <v>24</v>
      </c>
      <c r="E1471" t="s">
        <v>45</v>
      </c>
      <c r="F1471" t="s">
        <v>46</v>
      </c>
      <c r="G1471" s="58">
        <v>606470</v>
      </c>
      <c r="H1471" s="1" t="s">
        <v>48</v>
      </c>
      <c r="I1471" s="1" t="s">
        <v>105</v>
      </c>
      <c r="J1471" s="58">
        <v>1819410</v>
      </c>
      <c r="K1471" s="1" t="s">
        <v>106</v>
      </c>
      <c r="L1471" s="1" t="s">
        <v>120</v>
      </c>
      <c r="M1471" s="1" t="s">
        <v>121</v>
      </c>
      <c r="N1471" s="1">
        <v>1</v>
      </c>
      <c r="O1471" s="58"/>
      <c r="P1471" s="58">
        <v>66711.7</v>
      </c>
      <c r="Q1471" t="s">
        <v>107</v>
      </c>
      <c r="R1471" s="1" t="s">
        <v>158</v>
      </c>
    </row>
    <row r="1472" spans="3:18" x14ac:dyDescent="0.35">
      <c r="C1472" t="s">
        <v>51</v>
      </c>
      <c r="D1472" t="s">
        <v>20</v>
      </c>
      <c r="E1472" t="s">
        <v>49</v>
      </c>
      <c r="F1472" t="s">
        <v>46</v>
      </c>
      <c r="G1472" s="58">
        <v>12512</v>
      </c>
      <c r="H1472" s="1" t="s">
        <v>48</v>
      </c>
      <c r="I1472" s="1" t="s">
        <v>119</v>
      </c>
      <c r="J1472" s="58">
        <v>125120</v>
      </c>
      <c r="K1472" s="1" t="s">
        <v>106</v>
      </c>
      <c r="L1472" s="1" t="s">
        <v>124</v>
      </c>
      <c r="M1472" s="1" t="s">
        <v>123</v>
      </c>
      <c r="N1472" s="1">
        <v>1</v>
      </c>
      <c r="O1472" s="58"/>
      <c r="P1472" s="58">
        <v>11135.68</v>
      </c>
      <c r="Q1472" t="s">
        <v>127</v>
      </c>
      <c r="R1472" s="1" t="s">
        <v>158</v>
      </c>
    </row>
    <row r="1473" spans="3:18" x14ac:dyDescent="0.35">
      <c r="C1473" t="s">
        <v>51</v>
      </c>
      <c r="D1473" t="s">
        <v>24</v>
      </c>
      <c r="E1473" t="s">
        <v>45</v>
      </c>
      <c r="F1473" t="s">
        <v>46</v>
      </c>
      <c r="G1473" s="58">
        <v>1604092</v>
      </c>
      <c r="H1473" s="1" t="s">
        <v>48</v>
      </c>
      <c r="I1473" s="1" t="s">
        <v>108</v>
      </c>
      <c r="J1473" s="58">
        <v>36894116</v>
      </c>
      <c r="K1473" s="1" t="s">
        <v>106</v>
      </c>
      <c r="L1473" s="1" t="s">
        <v>120</v>
      </c>
      <c r="M1473" s="1" t="s">
        <v>121</v>
      </c>
      <c r="N1473" s="1">
        <v>1</v>
      </c>
      <c r="O1473" s="58"/>
      <c r="P1473" s="58">
        <v>368941.16</v>
      </c>
      <c r="Q1473" t="s">
        <v>107</v>
      </c>
      <c r="R1473" s="1" t="s">
        <v>48</v>
      </c>
    </row>
    <row r="1474" spans="3:18" x14ac:dyDescent="0.35">
      <c r="C1474" t="s">
        <v>51</v>
      </c>
      <c r="D1474" t="s">
        <v>22</v>
      </c>
      <c r="E1474" t="s">
        <v>50</v>
      </c>
      <c r="F1474" t="s">
        <v>46</v>
      </c>
      <c r="G1474" s="58">
        <v>82475</v>
      </c>
      <c r="H1474" s="1" t="s">
        <v>48</v>
      </c>
      <c r="I1474" s="1" t="s">
        <v>108</v>
      </c>
      <c r="J1474" s="58">
        <v>2886625</v>
      </c>
      <c r="K1474" s="1" t="s">
        <v>106</v>
      </c>
      <c r="L1474" s="1" t="s">
        <v>114</v>
      </c>
      <c r="M1474" s="1" t="s">
        <v>115</v>
      </c>
      <c r="N1474" s="1">
        <v>1</v>
      </c>
      <c r="O1474" s="58"/>
      <c r="P1474" s="58">
        <v>37113.75</v>
      </c>
      <c r="Q1474" t="s">
        <v>113</v>
      </c>
      <c r="R1474" s="1" t="s">
        <v>158</v>
      </c>
    </row>
    <row r="1475" spans="3:18" x14ac:dyDescent="0.35">
      <c r="C1475" t="s">
        <v>53</v>
      </c>
      <c r="D1475" t="s">
        <v>19</v>
      </c>
      <c r="E1475" t="s">
        <v>49</v>
      </c>
      <c r="F1475" t="s">
        <v>46</v>
      </c>
      <c r="G1475" s="58">
        <v>1203388</v>
      </c>
      <c r="H1475" s="1" t="s">
        <v>47</v>
      </c>
      <c r="I1475" s="1" t="s">
        <v>119</v>
      </c>
      <c r="J1475" s="58">
        <v>7220328</v>
      </c>
      <c r="K1475" s="1" t="s">
        <v>106</v>
      </c>
      <c r="L1475" s="1" t="s">
        <v>124</v>
      </c>
      <c r="N1475" s="1">
        <v>1</v>
      </c>
      <c r="O1475" s="58"/>
      <c r="P1475" s="58">
        <v>565592.36</v>
      </c>
      <c r="Q1475" t="s">
        <v>113</v>
      </c>
      <c r="R1475" s="1" t="s">
        <v>158</v>
      </c>
    </row>
    <row r="1476" spans="3:18" x14ac:dyDescent="0.35">
      <c r="C1476" t="s">
        <v>51</v>
      </c>
      <c r="D1476" t="s">
        <v>21</v>
      </c>
      <c r="E1476" t="s">
        <v>45</v>
      </c>
      <c r="F1476" t="s">
        <v>46</v>
      </c>
      <c r="G1476" s="58">
        <v>936693</v>
      </c>
      <c r="H1476" s="1" t="s">
        <v>48</v>
      </c>
      <c r="I1476" s="1" t="s">
        <v>108</v>
      </c>
      <c r="J1476" s="58">
        <v>29974176</v>
      </c>
      <c r="K1476" s="1" t="s">
        <v>106</v>
      </c>
      <c r="L1476" s="1" t="s">
        <v>120</v>
      </c>
      <c r="M1476" s="1" t="s">
        <v>115</v>
      </c>
      <c r="N1476" s="1">
        <v>1</v>
      </c>
      <c r="O1476" s="58"/>
      <c r="P1476" s="58">
        <v>636951.24</v>
      </c>
      <c r="Q1476" t="s">
        <v>118</v>
      </c>
      <c r="R1476" s="1" t="s">
        <v>48</v>
      </c>
    </row>
    <row r="1477" spans="3:18" x14ac:dyDescent="0.35">
      <c r="C1477" t="s">
        <v>51</v>
      </c>
      <c r="D1477" t="s">
        <v>21</v>
      </c>
      <c r="E1477" t="s">
        <v>45</v>
      </c>
      <c r="F1477" t="s">
        <v>64</v>
      </c>
      <c r="G1477" s="58">
        <v>77662</v>
      </c>
      <c r="H1477" s="1" t="s">
        <v>59</v>
      </c>
      <c r="I1477" s="1" t="s">
        <v>119</v>
      </c>
      <c r="J1477" s="58">
        <v>621296</v>
      </c>
      <c r="K1477" s="1" t="s">
        <v>106</v>
      </c>
      <c r="L1477" s="1" t="s">
        <v>120</v>
      </c>
      <c r="N1477" s="1">
        <v>1</v>
      </c>
      <c r="O1477" s="58"/>
      <c r="P1477" s="58">
        <v>10096.06</v>
      </c>
      <c r="Q1477" t="s">
        <v>107</v>
      </c>
      <c r="R1477" s="1" t="s">
        <v>158</v>
      </c>
    </row>
    <row r="1478" spans="3:18" x14ac:dyDescent="0.35">
      <c r="C1478" t="s">
        <v>53</v>
      </c>
      <c r="D1478" t="s">
        <v>25</v>
      </c>
      <c r="E1478" t="s">
        <v>55</v>
      </c>
      <c r="F1478" t="s">
        <v>46</v>
      </c>
      <c r="G1478" s="58">
        <v>6681</v>
      </c>
      <c r="H1478" s="1" t="s">
        <v>56</v>
      </c>
      <c r="I1478" s="1" t="s">
        <v>105</v>
      </c>
      <c r="J1478" s="58">
        <v>6681</v>
      </c>
      <c r="K1478" s="1" t="s">
        <v>106</v>
      </c>
      <c r="L1478" s="1" t="s">
        <v>114</v>
      </c>
      <c r="N1478" s="1">
        <v>1</v>
      </c>
      <c r="O1478" s="58"/>
      <c r="P1478" s="58">
        <v>66.81</v>
      </c>
      <c r="Q1478" t="s">
        <v>107</v>
      </c>
      <c r="R1478" s="1" t="s">
        <v>158</v>
      </c>
    </row>
    <row r="1479" spans="3:18" x14ac:dyDescent="0.35">
      <c r="C1479" t="s">
        <v>51</v>
      </c>
      <c r="D1479" t="s">
        <v>21</v>
      </c>
      <c r="E1479" t="s">
        <v>49</v>
      </c>
      <c r="F1479" t="s">
        <v>46</v>
      </c>
      <c r="G1479" s="58">
        <v>4259</v>
      </c>
      <c r="H1479" s="1" t="s">
        <v>48</v>
      </c>
      <c r="I1479" s="1" t="s">
        <v>111</v>
      </c>
      <c r="J1479" s="58">
        <v>51108</v>
      </c>
      <c r="K1479" s="1" t="s">
        <v>106</v>
      </c>
      <c r="L1479" s="1" t="s">
        <v>124</v>
      </c>
      <c r="M1479" s="1" t="s">
        <v>126</v>
      </c>
      <c r="N1479" s="1">
        <v>1</v>
      </c>
      <c r="O1479" s="58"/>
      <c r="P1479" s="58">
        <v>6388.5</v>
      </c>
      <c r="Q1479" t="s">
        <v>110</v>
      </c>
      <c r="R1479" s="1" t="s">
        <v>158</v>
      </c>
    </row>
    <row r="1480" spans="3:18" x14ac:dyDescent="0.35">
      <c r="C1480" t="s">
        <v>51</v>
      </c>
      <c r="D1480" t="s">
        <v>24</v>
      </c>
      <c r="E1480" t="s">
        <v>50</v>
      </c>
      <c r="F1480" t="s">
        <v>46</v>
      </c>
      <c r="G1480" s="58">
        <v>14000</v>
      </c>
      <c r="H1480" s="1" t="s">
        <v>47</v>
      </c>
      <c r="I1480" s="1" t="s">
        <v>119</v>
      </c>
      <c r="J1480" s="58">
        <v>126000</v>
      </c>
      <c r="K1480" s="1" t="s">
        <v>106</v>
      </c>
      <c r="L1480" s="1" t="s">
        <v>109</v>
      </c>
      <c r="N1480" s="1">
        <v>1</v>
      </c>
      <c r="O1480" s="58"/>
      <c r="P1480" s="58">
        <v>18340</v>
      </c>
      <c r="Q1480" t="s">
        <v>110</v>
      </c>
      <c r="R1480" s="1" t="s">
        <v>158</v>
      </c>
    </row>
    <row r="1481" spans="3:18" x14ac:dyDescent="0.35">
      <c r="C1481" t="s">
        <v>53</v>
      </c>
      <c r="D1481" t="s">
        <v>22</v>
      </c>
      <c r="E1481" t="s">
        <v>45</v>
      </c>
      <c r="F1481" t="s">
        <v>46</v>
      </c>
      <c r="G1481" s="58">
        <v>1951</v>
      </c>
      <c r="H1481" s="1" t="s">
        <v>59</v>
      </c>
      <c r="I1481" s="1" t="s">
        <v>108</v>
      </c>
      <c r="J1481" s="58">
        <v>48775</v>
      </c>
      <c r="K1481" s="1" t="s">
        <v>106</v>
      </c>
      <c r="L1481" s="1" t="s">
        <v>120</v>
      </c>
      <c r="N1481" s="1">
        <v>1</v>
      </c>
      <c r="O1481" s="58"/>
      <c r="P1481" s="58">
        <v>2926.5</v>
      </c>
      <c r="Q1481" t="s">
        <v>110</v>
      </c>
      <c r="R1481" s="1" t="s">
        <v>158</v>
      </c>
    </row>
    <row r="1482" spans="3:18" x14ac:dyDescent="0.35">
      <c r="C1482" t="s">
        <v>53</v>
      </c>
      <c r="D1482" t="s">
        <v>21</v>
      </c>
      <c r="E1482" t="s">
        <v>45</v>
      </c>
      <c r="F1482" t="s">
        <v>46</v>
      </c>
      <c r="G1482" s="58">
        <v>33175141</v>
      </c>
      <c r="H1482" s="1" t="s">
        <v>58</v>
      </c>
      <c r="I1482" s="1" t="s">
        <v>111</v>
      </c>
      <c r="J1482" s="58">
        <v>398101692</v>
      </c>
      <c r="K1482" s="1" t="s">
        <v>106</v>
      </c>
      <c r="L1482" s="1" t="s">
        <v>120</v>
      </c>
      <c r="N1482" s="1">
        <v>1</v>
      </c>
      <c r="O1482" s="58"/>
      <c r="P1482" s="58">
        <v>4312768.33</v>
      </c>
      <c r="Q1482" t="s">
        <v>107</v>
      </c>
      <c r="R1482" s="1" t="s">
        <v>158</v>
      </c>
    </row>
    <row r="1483" spans="3:18" x14ac:dyDescent="0.35">
      <c r="C1483" t="s">
        <v>51</v>
      </c>
      <c r="D1483" t="s">
        <v>22</v>
      </c>
      <c r="E1483" t="s">
        <v>55</v>
      </c>
      <c r="F1483" t="s">
        <v>46</v>
      </c>
      <c r="G1483" s="58">
        <v>1290085</v>
      </c>
      <c r="H1483" s="1" t="s">
        <v>48</v>
      </c>
      <c r="I1483" s="1" t="s">
        <v>111</v>
      </c>
      <c r="J1483" s="58">
        <v>20641360</v>
      </c>
      <c r="K1483" s="1" t="s">
        <v>106</v>
      </c>
      <c r="L1483" s="1" t="s">
        <v>114</v>
      </c>
      <c r="M1483" s="1" t="s">
        <v>115</v>
      </c>
      <c r="N1483" s="1">
        <v>1</v>
      </c>
      <c r="O1483" s="58"/>
      <c r="P1483" s="58">
        <v>348322.95</v>
      </c>
      <c r="Q1483" t="s">
        <v>107</v>
      </c>
      <c r="R1483" s="1" t="s">
        <v>158</v>
      </c>
    </row>
    <row r="1484" spans="3:18" x14ac:dyDescent="0.35">
      <c r="C1484" t="s">
        <v>51</v>
      </c>
      <c r="D1484" t="s">
        <v>21</v>
      </c>
      <c r="E1484" t="s">
        <v>49</v>
      </c>
      <c r="F1484" t="s">
        <v>46</v>
      </c>
      <c r="G1484" s="58">
        <v>111888</v>
      </c>
      <c r="H1484" s="1" t="s">
        <v>47</v>
      </c>
      <c r="I1484" s="1" t="s">
        <v>119</v>
      </c>
      <c r="J1484" s="58">
        <v>895104</v>
      </c>
      <c r="K1484" s="1" t="s">
        <v>106</v>
      </c>
      <c r="L1484" s="1" t="s">
        <v>120</v>
      </c>
      <c r="N1484" s="1">
        <v>1</v>
      </c>
      <c r="O1484" s="58"/>
      <c r="P1484" s="58">
        <v>49230.720000000001</v>
      </c>
      <c r="Q1484" t="s">
        <v>113</v>
      </c>
      <c r="R1484" s="1" t="s">
        <v>158</v>
      </c>
    </row>
    <row r="1485" spans="3:18" x14ac:dyDescent="0.35">
      <c r="C1485" t="s">
        <v>51</v>
      </c>
      <c r="D1485" t="s">
        <v>91</v>
      </c>
      <c r="E1485" t="s">
        <v>45</v>
      </c>
      <c r="F1485" t="s">
        <v>46</v>
      </c>
      <c r="G1485" s="58">
        <v>313364</v>
      </c>
      <c r="H1485" s="1" t="s">
        <v>48</v>
      </c>
      <c r="I1485" s="1" t="s">
        <v>111</v>
      </c>
      <c r="J1485" s="58">
        <v>5327188</v>
      </c>
      <c r="K1485" s="1" t="s">
        <v>106</v>
      </c>
      <c r="L1485" s="1" t="s">
        <v>120</v>
      </c>
      <c r="M1485" s="1" t="s">
        <v>122</v>
      </c>
      <c r="N1485" s="1">
        <v>1</v>
      </c>
      <c r="O1485" s="58"/>
      <c r="P1485" s="58">
        <v>206820.24</v>
      </c>
      <c r="Q1485" t="s">
        <v>118</v>
      </c>
      <c r="R1485" s="1" t="s">
        <v>158</v>
      </c>
    </row>
    <row r="1486" spans="3:18" x14ac:dyDescent="0.35">
      <c r="C1486" t="s">
        <v>51</v>
      </c>
      <c r="D1486" t="s">
        <v>23</v>
      </c>
      <c r="E1486" t="s">
        <v>50</v>
      </c>
      <c r="F1486" t="s">
        <v>46</v>
      </c>
      <c r="G1486" s="58">
        <v>217016</v>
      </c>
      <c r="H1486" s="1" t="s">
        <v>48</v>
      </c>
      <c r="I1486" s="1" t="s">
        <v>108</v>
      </c>
      <c r="J1486" s="58">
        <v>7812576</v>
      </c>
      <c r="K1486" s="1" t="s">
        <v>106</v>
      </c>
      <c r="L1486" s="1" t="s">
        <v>124</v>
      </c>
      <c r="M1486" s="1" t="s">
        <v>125</v>
      </c>
      <c r="N1486" s="1">
        <v>1</v>
      </c>
      <c r="O1486" s="58"/>
      <c r="P1486" s="58">
        <v>175782.96</v>
      </c>
      <c r="Q1486" t="s">
        <v>127</v>
      </c>
      <c r="R1486" s="1" t="s">
        <v>48</v>
      </c>
    </row>
    <row r="1487" spans="3:18" x14ac:dyDescent="0.35">
      <c r="C1487" t="s">
        <v>51</v>
      </c>
      <c r="D1487" t="s">
        <v>92</v>
      </c>
      <c r="E1487" t="s">
        <v>49</v>
      </c>
      <c r="F1487" t="s">
        <v>46</v>
      </c>
      <c r="G1487" s="58">
        <v>964094</v>
      </c>
      <c r="H1487" s="1" t="s">
        <v>47</v>
      </c>
      <c r="I1487" s="1" t="s">
        <v>119</v>
      </c>
      <c r="J1487" s="58">
        <v>7712752</v>
      </c>
      <c r="K1487" s="1" t="s">
        <v>106</v>
      </c>
      <c r="L1487" s="1" t="s">
        <v>124</v>
      </c>
      <c r="N1487" s="1">
        <v>1</v>
      </c>
      <c r="O1487" s="58"/>
      <c r="P1487" s="58">
        <v>617020.16000000003</v>
      </c>
      <c r="Q1487" t="s">
        <v>118</v>
      </c>
      <c r="R1487" s="1" t="s">
        <v>158</v>
      </c>
    </row>
    <row r="1488" spans="3:18" x14ac:dyDescent="0.35">
      <c r="C1488" t="s">
        <v>51</v>
      </c>
      <c r="D1488" t="s">
        <v>19</v>
      </c>
      <c r="E1488" t="s">
        <v>49</v>
      </c>
      <c r="F1488" t="s">
        <v>46</v>
      </c>
      <c r="G1488" s="58">
        <v>1343155</v>
      </c>
      <c r="H1488" s="1" t="s">
        <v>48</v>
      </c>
      <c r="I1488" s="1" t="s">
        <v>108</v>
      </c>
      <c r="J1488" s="58">
        <v>41637805</v>
      </c>
      <c r="K1488" s="1" t="s">
        <v>106</v>
      </c>
      <c r="L1488" s="1" t="s">
        <v>124</v>
      </c>
      <c r="M1488" s="1" t="s">
        <v>126</v>
      </c>
      <c r="N1488" s="1">
        <v>1</v>
      </c>
      <c r="O1488" s="58"/>
      <c r="P1488" s="58">
        <v>926776.95</v>
      </c>
      <c r="Q1488" t="s">
        <v>118</v>
      </c>
      <c r="R1488" s="1" t="s">
        <v>158</v>
      </c>
    </row>
    <row r="1489" spans="3:18" x14ac:dyDescent="0.35">
      <c r="C1489" t="s">
        <v>53</v>
      </c>
      <c r="D1489" t="s">
        <v>25</v>
      </c>
      <c r="E1489" t="s">
        <v>55</v>
      </c>
      <c r="F1489" t="s">
        <v>46</v>
      </c>
      <c r="G1489" s="58">
        <v>60782</v>
      </c>
      <c r="H1489" s="1" t="s">
        <v>48</v>
      </c>
      <c r="I1489" s="1" t="s">
        <v>105</v>
      </c>
      <c r="J1489" s="58">
        <v>0</v>
      </c>
      <c r="K1489" s="1" t="s">
        <v>106</v>
      </c>
      <c r="L1489" s="1" t="s">
        <v>114</v>
      </c>
      <c r="M1489" s="1" t="s">
        <v>117</v>
      </c>
      <c r="N1489" s="1">
        <v>1</v>
      </c>
      <c r="O1489" s="58"/>
      <c r="P1489" s="58">
        <v>607.82000000000005</v>
      </c>
      <c r="Q1489" t="s">
        <v>107</v>
      </c>
      <c r="R1489" s="1" t="s">
        <v>158</v>
      </c>
    </row>
    <row r="1490" spans="3:18" x14ac:dyDescent="0.35">
      <c r="C1490" t="s">
        <v>51</v>
      </c>
      <c r="D1490" t="s">
        <v>23</v>
      </c>
      <c r="E1490" t="s">
        <v>45</v>
      </c>
      <c r="F1490" t="s">
        <v>46</v>
      </c>
      <c r="G1490" s="58">
        <v>32922</v>
      </c>
      <c r="H1490" s="1" t="s">
        <v>47</v>
      </c>
      <c r="I1490" s="1" t="s">
        <v>105</v>
      </c>
      <c r="J1490" s="58">
        <v>131688</v>
      </c>
      <c r="K1490" s="1" t="s">
        <v>106</v>
      </c>
      <c r="L1490" s="1" t="s">
        <v>120</v>
      </c>
      <c r="N1490" s="1">
        <v>1</v>
      </c>
      <c r="O1490" s="58"/>
      <c r="P1490" s="58">
        <v>23374.62</v>
      </c>
      <c r="Q1490" t="s">
        <v>118</v>
      </c>
      <c r="R1490" s="1" t="s">
        <v>158</v>
      </c>
    </row>
    <row r="1491" spans="3:18" x14ac:dyDescent="0.35">
      <c r="C1491" t="s">
        <v>51</v>
      </c>
      <c r="D1491" t="s">
        <v>19</v>
      </c>
      <c r="E1491" t="s">
        <v>49</v>
      </c>
      <c r="F1491" t="s">
        <v>46</v>
      </c>
      <c r="G1491" s="58">
        <v>22098421</v>
      </c>
      <c r="H1491" s="1" t="s">
        <v>54</v>
      </c>
      <c r="I1491" s="1" t="s">
        <v>108</v>
      </c>
      <c r="J1491" s="58">
        <v>618755788</v>
      </c>
      <c r="K1491" s="1" t="s">
        <v>106</v>
      </c>
      <c r="L1491" s="1" t="s">
        <v>124</v>
      </c>
      <c r="N1491" s="1">
        <v>1</v>
      </c>
      <c r="O1491" s="58"/>
      <c r="P1491" s="58">
        <v>15468894.699999999</v>
      </c>
      <c r="Q1491" t="s">
        <v>118</v>
      </c>
      <c r="R1491" s="1" t="s">
        <v>158</v>
      </c>
    </row>
    <row r="1492" spans="3:18" x14ac:dyDescent="0.35">
      <c r="C1492" t="s">
        <v>51</v>
      </c>
      <c r="D1492" t="s">
        <v>19</v>
      </c>
      <c r="E1492" t="s">
        <v>49</v>
      </c>
      <c r="F1492" t="s">
        <v>46</v>
      </c>
      <c r="G1492" s="58">
        <v>908772</v>
      </c>
      <c r="H1492" s="1" t="s">
        <v>48</v>
      </c>
      <c r="I1492" s="1" t="s">
        <v>119</v>
      </c>
      <c r="J1492" s="58">
        <v>8178948</v>
      </c>
      <c r="K1492" s="1" t="s">
        <v>106</v>
      </c>
      <c r="L1492" s="1" t="s">
        <v>124</v>
      </c>
      <c r="M1492" s="1" t="s">
        <v>122</v>
      </c>
      <c r="N1492" s="1">
        <v>1</v>
      </c>
      <c r="O1492" s="58"/>
      <c r="P1492" s="58">
        <v>672491.28</v>
      </c>
      <c r="Q1492" t="s">
        <v>118</v>
      </c>
      <c r="R1492" s="1" t="s">
        <v>48</v>
      </c>
    </row>
    <row r="1493" spans="3:18" x14ac:dyDescent="0.35">
      <c r="C1493" t="s">
        <v>51</v>
      </c>
      <c r="D1493" t="s">
        <v>21</v>
      </c>
      <c r="E1493" t="s">
        <v>49</v>
      </c>
      <c r="F1493" t="s">
        <v>46</v>
      </c>
      <c r="G1493" s="58">
        <v>200257</v>
      </c>
      <c r="H1493" s="1" t="s">
        <v>56</v>
      </c>
      <c r="I1493" s="1" t="s">
        <v>128</v>
      </c>
      <c r="J1493" s="58"/>
      <c r="K1493" s="1" t="s">
        <v>106</v>
      </c>
      <c r="L1493" s="1" t="s">
        <v>124</v>
      </c>
      <c r="N1493" s="1">
        <v>0</v>
      </c>
      <c r="O1493" s="58"/>
      <c r="P1493" s="58">
        <v>72092.52</v>
      </c>
      <c r="Q1493" t="s">
        <v>107</v>
      </c>
      <c r="R1493" s="1" t="s">
        <v>158</v>
      </c>
    </row>
    <row r="1494" spans="3:18" x14ac:dyDescent="0.35">
      <c r="C1494" t="s">
        <v>51</v>
      </c>
      <c r="D1494" t="s">
        <v>92</v>
      </c>
      <c r="E1494" t="s">
        <v>49</v>
      </c>
      <c r="F1494" t="s">
        <v>64</v>
      </c>
      <c r="G1494" s="58">
        <v>464639</v>
      </c>
      <c r="H1494" s="1" t="s">
        <v>48</v>
      </c>
      <c r="I1494" s="1" t="s">
        <v>108</v>
      </c>
      <c r="J1494" s="58">
        <v>13009892</v>
      </c>
      <c r="K1494" s="1" t="s">
        <v>112</v>
      </c>
      <c r="N1494" s="1">
        <v>1</v>
      </c>
      <c r="O1494" s="58"/>
      <c r="P1494" s="58">
        <v>371711.2</v>
      </c>
      <c r="Q1494" t="s">
        <v>127</v>
      </c>
      <c r="R1494" s="1" t="s">
        <v>158</v>
      </c>
    </row>
    <row r="1495" spans="3:18" x14ac:dyDescent="0.35">
      <c r="C1495" t="s">
        <v>51</v>
      </c>
      <c r="D1495" t="s">
        <v>23</v>
      </c>
      <c r="E1495" t="s">
        <v>45</v>
      </c>
      <c r="F1495" t="s">
        <v>64</v>
      </c>
      <c r="G1495" s="58">
        <v>260541</v>
      </c>
      <c r="H1495" s="1" t="s">
        <v>59</v>
      </c>
      <c r="I1495" s="1" t="s">
        <v>108</v>
      </c>
      <c r="J1495" s="58">
        <v>8337312</v>
      </c>
      <c r="K1495" s="1" t="s">
        <v>112</v>
      </c>
      <c r="N1495" s="1">
        <v>1</v>
      </c>
      <c r="O1495" s="58"/>
      <c r="P1495" s="58">
        <v>93794.76</v>
      </c>
      <c r="Q1495" t="s">
        <v>107</v>
      </c>
      <c r="R1495" s="1" t="s">
        <v>158</v>
      </c>
    </row>
    <row r="1496" spans="3:18" x14ac:dyDescent="0.35">
      <c r="C1496" t="s">
        <v>51</v>
      </c>
      <c r="D1496" t="s">
        <v>24</v>
      </c>
      <c r="E1496" t="s">
        <v>50</v>
      </c>
      <c r="F1496" t="s">
        <v>46</v>
      </c>
      <c r="G1496" s="58">
        <v>270476</v>
      </c>
      <c r="H1496" s="1" t="s">
        <v>56</v>
      </c>
      <c r="I1496" s="1" t="s">
        <v>111</v>
      </c>
      <c r="J1496" s="58">
        <v>3245712</v>
      </c>
      <c r="K1496" s="1" t="s">
        <v>106</v>
      </c>
      <c r="L1496" s="1" t="s">
        <v>109</v>
      </c>
      <c r="N1496" s="1">
        <v>1</v>
      </c>
      <c r="O1496" s="58"/>
      <c r="P1496" s="58">
        <v>78438.039999999994</v>
      </c>
      <c r="Q1496" t="s">
        <v>107</v>
      </c>
      <c r="R1496" s="1" t="s">
        <v>158</v>
      </c>
    </row>
    <row r="1497" spans="3:18" x14ac:dyDescent="0.35">
      <c r="C1497" t="s">
        <v>51</v>
      </c>
      <c r="D1497" t="s">
        <v>22</v>
      </c>
      <c r="E1497" t="s">
        <v>45</v>
      </c>
      <c r="F1497" t="s">
        <v>46</v>
      </c>
      <c r="G1497" s="58">
        <v>840402</v>
      </c>
      <c r="H1497" s="1" t="s">
        <v>48</v>
      </c>
      <c r="I1497" s="1" t="s">
        <v>108</v>
      </c>
      <c r="J1497" s="58">
        <v>27733266</v>
      </c>
      <c r="K1497" s="1" t="s">
        <v>106</v>
      </c>
      <c r="L1497" s="1" t="s">
        <v>124</v>
      </c>
      <c r="M1497" s="1" t="s">
        <v>115</v>
      </c>
      <c r="N1497" s="1">
        <v>1</v>
      </c>
      <c r="O1497" s="58"/>
      <c r="P1497" s="58">
        <v>689129.64</v>
      </c>
      <c r="Q1497" t="s">
        <v>127</v>
      </c>
      <c r="R1497" s="1" t="s">
        <v>48</v>
      </c>
    </row>
    <row r="1498" spans="3:18" x14ac:dyDescent="0.35">
      <c r="C1498" t="s">
        <v>51</v>
      </c>
      <c r="D1498" t="s">
        <v>20</v>
      </c>
      <c r="E1498" t="s">
        <v>45</v>
      </c>
      <c r="F1498" t="s">
        <v>46</v>
      </c>
      <c r="G1498" s="58">
        <v>1831322</v>
      </c>
      <c r="H1498" s="1" t="s">
        <v>48</v>
      </c>
      <c r="I1498" s="1" t="s">
        <v>108</v>
      </c>
      <c r="J1498" s="58">
        <v>49445694</v>
      </c>
      <c r="K1498" s="1" t="s">
        <v>112</v>
      </c>
      <c r="N1498" s="1">
        <v>1</v>
      </c>
      <c r="O1498" s="58"/>
      <c r="P1498" s="58">
        <v>897347.78</v>
      </c>
      <c r="Q1498" t="s">
        <v>113</v>
      </c>
      <c r="R1498" s="1" t="s">
        <v>48</v>
      </c>
    </row>
    <row r="1499" spans="3:18" x14ac:dyDescent="0.35">
      <c r="C1499" t="s">
        <v>51</v>
      </c>
      <c r="D1499" t="s">
        <v>23</v>
      </c>
      <c r="E1499" t="s">
        <v>45</v>
      </c>
      <c r="F1499" t="s">
        <v>46</v>
      </c>
      <c r="G1499" s="58">
        <v>366148</v>
      </c>
      <c r="H1499" s="1" t="s">
        <v>48</v>
      </c>
      <c r="I1499" s="1" t="s">
        <v>119</v>
      </c>
      <c r="J1499" s="58">
        <v>3295332</v>
      </c>
      <c r="K1499" s="1" t="s">
        <v>112</v>
      </c>
      <c r="N1499" s="1">
        <v>1</v>
      </c>
      <c r="O1499" s="58"/>
      <c r="P1499" s="58">
        <v>65906.64</v>
      </c>
      <c r="Q1499" t="s">
        <v>107</v>
      </c>
      <c r="R1499" s="1" t="s">
        <v>158</v>
      </c>
    </row>
    <row r="1500" spans="3:18" x14ac:dyDescent="0.35">
      <c r="C1500" t="s">
        <v>51</v>
      </c>
      <c r="D1500" t="s">
        <v>91</v>
      </c>
      <c r="E1500" t="s">
        <v>49</v>
      </c>
      <c r="F1500" t="s">
        <v>46</v>
      </c>
      <c r="G1500" s="58">
        <v>560617</v>
      </c>
      <c r="H1500" s="1" t="s">
        <v>59</v>
      </c>
      <c r="I1500" s="1" t="s">
        <v>119</v>
      </c>
      <c r="J1500" s="58">
        <v>3924319</v>
      </c>
      <c r="K1500" s="1" t="s">
        <v>106</v>
      </c>
      <c r="L1500" s="1" t="s">
        <v>124</v>
      </c>
      <c r="N1500" s="1">
        <v>1</v>
      </c>
      <c r="O1500" s="58"/>
      <c r="P1500" s="58">
        <v>257883.82</v>
      </c>
      <c r="Q1500" t="s">
        <v>113</v>
      </c>
      <c r="R1500" s="1" t="s">
        <v>158</v>
      </c>
    </row>
    <row r="1501" spans="3:18" x14ac:dyDescent="0.35">
      <c r="C1501" t="s">
        <v>51</v>
      </c>
      <c r="D1501" t="s">
        <v>22</v>
      </c>
      <c r="E1501" t="s">
        <v>45</v>
      </c>
      <c r="F1501" t="s">
        <v>46</v>
      </c>
      <c r="G1501" s="58">
        <v>87457287</v>
      </c>
      <c r="H1501" s="1" t="s">
        <v>48</v>
      </c>
      <c r="I1501" s="1" t="s">
        <v>111</v>
      </c>
      <c r="J1501" s="58">
        <v>1311859305</v>
      </c>
      <c r="K1501" s="1" t="s">
        <v>106</v>
      </c>
      <c r="L1501" s="1" t="s">
        <v>120</v>
      </c>
      <c r="M1501" s="1" t="s">
        <v>115</v>
      </c>
      <c r="N1501" s="1">
        <v>1</v>
      </c>
      <c r="O1501" s="58"/>
      <c r="P1501" s="58">
        <v>24488040.359999999</v>
      </c>
      <c r="Q1501" t="s">
        <v>107</v>
      </c>
      <c r="R1501" s="1" t="s">
        <v>158</v>
      </c>
    </row>
    <row r="1502" spans="3:18" x14ac:dyDescent="0.35">
      <c r="C1502" t="s">
        <v>51</v>
      </c>
      <c r="D1502" t="s">
        <v>20</v>
      </c>
      <c r="E1502" t="s">
        <v>49</v>
      </c>
      <c r="F1502" t="s">
        <v>46</v>
      </c>
      <c r="G1502" s="58">
        <v>1054533</v>
      </c>
      <c r="H1502" s="1" t="s">
        <v>48</v>
      </c>
      <c r="I1502" s="1" t="s">
        <v>119</v>
      </c>
      <c r="J1502" s="58">
        <v>8436264</v>
      </c>
      <c r="K1502" s="1" t="s">
        <v>106</v>
      </c>
      <c r="L1502" s="1" t="s">
        <v>124</v>
      </c>
      <c r="M1502" s="1" t="s">
        <v>123</v>
      </c>
      <c r="N1502" s="1">
        <v>1</v>
      </c>
      <c r="O1502" s="58"/>
      <c r="P1502" s="58">
        <v>537811.82999999996</v>
      </c>
      <c r="Q1502" t="s">
        <v>113</v>
      </c>
      <c r="R1502" s="1" t="s">
        <v>48</v>
      </c>
    </row>
    <row r="1503" spans="3:18" x14ac:dyDescent="0.35">
      <c r="C1503" t="s">
        <v>53</v>
      </c>
      <c r="D1503" t="s">
        <v>20</v>
      </c>
      <c r="E1503" t="s">
        <v>49</v>
      </c>
      <c r="F1503" t="s">
        <v>46</v>
      </c>
      <c r="G1503" s="58">
        <v>46314</v>
      </c>
      <c r="H1503" s="1" t="s">
        <v>54</v>
      </c>
      <c r="I1503" s="1" t="s">
        <v>105</v>
      </c>
      <c r="J1503" s="58">
        <v>185256</v>
      </c>
      <c r="K1503" s="1" t="s">
        <v>106</v>
      </c>
      <c r="L1503" s="1" t="s">
        <v>124</v>
      </c>
      <c r="N1503" s="1">
        <v>1</v>
      </c>
      <c r="O1503" s="58"/>
      <c r="P1503" s="58">
        <v>20841.3</v>
      </c>
      <c r="Q1503" t="s">
        <v>113</v>
      </c>
      <c r="R1503" s="1" t="s">
        <v>158</v>
      </c>
    </row>
    <row r="1504" spans="3:18" x14ac:dyDescent="0.35">
      <c r="C1504" t="s">
        <v>51</v>
      </c>
      <c r="D1504" t="s">
        <v>23</v>
      </c>
      <c r="E1504" t="s">
        <v>55</v>
      </c>
      <c r="F1504" t="s">
        <v>46</v>
      </c>
      <c r="G1504" s="58">
        <v>606992</v>
      </c>
      <c r="H1504" s="1" t="s">
        <v>48</v>
      </c>
      <c r="I1504" s="1" t="s">
        <v>111</v>
      </c>
      <c r="J1504" s="58">
        <v>10925856</v>
      </c>
      <c r="K1504" s="1" t="s">
        <v>112</v>
      </c>
      <c r="N1504" s="1">
        <v>1</v>
      </c>
      <c r="O1504" s="58"/>
      <c r="P1504" s="58">
        <v>491663.52</v>
      </c>
      <c r="Q1504" t="s">
        <v>127</v>
      </c>
      <c r="R1504" s="1" t="s">
        <v>48</v>
      </c>
    </row>
    <row r="1505" spans="3:18" x14ac:dyDescent="0.35">
      <c r="C1505" t="s">
        <v>53</v>
      </c>
      <c r="D1505" t="s">
        <v>21</v>
      </c>
      <c r="E1505" t="s">
        <v>49</v>
      </c>
      <c r="F1505" t="s">
        <v>46</v>
      </c>
      <c r="G1505" s="58">
        <v>426169</v>
      </c>
      <c r="H1505" s="1" t="s">
        <v>54</v>
      </c>
      <c r="I1505" s="1" t="s">
        <v>105</v>
      </c>
      <c r="J1505" s="58"/>
      <c r="K1505" s="1" t="s">
        <v>106</v>
      </c>
      <c r="L1505" s="1" t="s">
        <v>124</v>
      </c>
      <c r="N1505" s="1">
        <v>0</v>
      </c>
      <c r="O1505" s="58"/>
      <c r="P1505" s="58">
        <v>21308.45</v>
      </c>
      <c r="Q1505" t="s">
        <v>107</v>
      </c>
      <c r="R1505" s="1" t="s">
        <v>158</v>
      </c>
    </row>
    <row r="1506" spans="3:18" x14ac:dyDescent="0.35">
      <c r="C1506" t="s">
        <v>51</v>
      </c>
      <c r="D1506" t="s">
        <v>92</v>
      </c>
      <c r="E1506" t="s">
        <v>49</v>
      </c>
      <c r="F1506" t="s">
        <v>46</v>
      </c>
      <c r="G1506" s="58">
        <v>31349201</v>
      </c>
      <c r="H1506" s="1" t="s">
        <v>59</v>
      </c>
      <c r="I1506" s="1" t="s">
        <v>111</v>
      </c>
      <c r="J1506" s="58">
        <v>501587216</v>
      </c>
      <c r="K1506" s="1" t="s">
        <v>106</v>
      </c>
      <c r="L1506" s="1" t="s">
        <v>124</v>
      </c>
      <c r="N1506" s="1">
        <v>1</v>
      </c>
      <c r="O1506" s="58"/>
      <c r="P1506" s="58">
        <v>15361108.49</v>
      </c>
      <c r="Q1506" t="s">
        <v>113</v>
      </c>
      <c r="R1506" s="1" t="s">
        <v>158</v>
      </c>
    </row>
    <row r="1507" spans="3:18" x14ac:dyDescent="0.35">
      <c r="C1507" t="s">
        <v>51</v>
      </c>
      <c r="D1507" t="s">
        <v>20</v>
      </c>
      <c r="E1507" t="s">
        <v>49</v>
      </c>
      <c r="F1507" t="s">
        <v>46</v>
      </c>
      <c r="G1507" s="58">
        <v>5511998</v>
      </c>
      <c r="H1507" s="1" t="s">
        <v>56</v>
      </c>
      <c r="I1507" s="1" t="s">
        <v>119</v>
      </c>
      <c r="J1507" s="58">
        <v>38583986</v>
      </c>
      <c r="K1507" s="1" t="s">
        <v>106</v>
      </c>
      <c r="L1507" s="1" t="s">
        <v>124</v>
      </c>
      <c r="N1507" s="1">
        <v>1</v>
      </c>
      <c r="O1507" s="58"/>
      <c r="P1507" s="58">
        <v>1212639.56</v>
      </c>
      <c r="Q1507" t="s">
        <v>107</v>
      </c>
      <c r="R1507" s="1" t="s">
        <v>158</v>
      </c>
    </row>
    <row r="1508" spans="3:18" x14ac:dyDescent="0.35">
      <c r="C1508" t="s">
        <v>51</v>
      </c>
      <c r="D1508" t="s">
        <v>21</v>
      </c>
      <c r="E1508" t="s">
        <v>49</v>
      </c>
      <c r="F1508" t="s">
        <v>46</v>
      </c>
      <c r="G1508" s="58">
        <v>539626228</v>
      </c>
      <c r="H1508" s="1" t="s">
        <v>47</v>
      </c>
      <c r="I1508" s="1" t="s">
        <v>108</v>
      </c>
      <c r="J1508" s="58">
        <v>13490655700</v>
      </c>
      <c r="K1508" s="1" t="s">
        <v>106</v>
      </c>
      <c r="L1508" s="1" t="s">
        <v>124</v>
      </c>
      <c r="N1508" s="1">
        <v>1</v>
      </c>
      <c r="O1508" s="58"/>
      <c r="P1508" s="58">
        <v>280605638.56</v>
      </c>
      <c r="Q1508" t="s">
        <v>113</v>
      </c>
      <c r="R1508" s="1" t="s">
        <v>158</v>
      </c>
    </row>
    <row r="1509" spans="3:18" x14ac:dyDescent="0.35">
      <c r="C1509" t="s">
        <v>51</v>
      </c>
      <c r="D1509" t="s">
        <v>22</v>
      </c>
      <c r="E1509" t="s">
        <v>45</v>
      </c>
      <c r="F1509" t="s">
        <v>46</v>
      </c>
      <c r="G1509" s="58">
        <v>1478567</v>
      </c>
      <c r="H1509" s="1" t="s">
        <v>59</v>
      </c>
      <c r="I1509" s="1" t="s">
        <v>111</v>
      </c>
      <c r="J1509" s="58">
        <v>26614206</v>
      </c>
      <c r="K1509" s="1" t="s">
        <v>106</v>
      </c>
      <c r="L1509" s="1" t="s">
        <v>120</v>
      </c>
      <c r="N1509" s="1">
        <v>1</v>
      </c>
      <c r="O1509" s="58"/>
      <c r="P1509" s="58">
        <v>1271567.6200000001</v>
      </c>
      <c r="Q1509" t="s">
        <v>127</v>
      </c>
      <c r="R1509" s="1" t="s">
        <v>158</v>
      </c>
    </row>
    <row r="1510" spans="3:18" x14ac:dyDescent="0.35">
      <c r="C1510" t="s">
        <v>51</v>
      </c>
      <c r="D1510" t="s">
        <v>21</v>
      </c>
      <c r="E1510" t="s">
        <v>55</v>
      </c>
      <c r="F1510" t="s">
        <v>46</v>
      </c>
      <c r="G1510" s="58">
        <v>11442799</v>
      </c>
      <c r="H1510" s="1" t="s">
        <v>48</v>
      </c>
      <c r="I1510" s="1" t="s">
        <v>108</v>
      </c>
      <c r="J1510" s="58">
        <v>320398372</v>
      </c>
      <c r="K1510" s="1" t="s">
        <v>106</v>
      </c>
      <c r="L1510" s="1" t="s">
        <v>114</v>
      </c>
      <c r="M1510" s="1" t="s">
        <v>126</v>
      </c>
      <c r="N1510" s="1">
        <v>1</v>
      </c>
      <c r="O1510" s="58"/>
      <c r="P1510" s="58">
        <v>5835827.4900000002</v>
      </c>
      <c r="Q1510" t="s">
        <v>113</v>
      </c>
      <c r="R1510" s="1" t="s">
        <v>48</v>
      </c>
    </row>
    <row r="1511" spans="3:18" x14ac:dyDescent="0.35">
      <c r="C1511" t="s">
        <v>51</v>
      </c>
      <c r="D1511" t="s">
        <v>23</v>
      </c>
      <c r="E1511" t="s">
        <v>45</v>
      </c>
      <c r="F1511" t="s">
        <v>46</v>
      </c>
      <c r="G1511" s="58">
        <v>2164471</v>
      </c>
      <c r="H1511" s="1" t="s">
        <v>47</v>
      </c>
      <c r="I1511" s="1" t="s">
        <v>111</v>
      </c>
      <c r="J1511" s="58">
        <v>34631536</v>
      </c>
      <c r="K1511" s="1" t="s">
        <v>112</v>
      </c>
      <c r="N1511" s="1">
        <v>1</v>
      </c>
      <c r="O1511" s="58"/>
      <c r="P1511" s="58">
        <v>606051.88</v>
      </c>
      <c r="Q1511" t="s">
        <v>107</v>
      </c>
      <c r="R1511" s="1" t="s">
        <v>158</v>
      </c>
    </row>
    <row r="1512" spans="3:18" x14ac:dyDescent="0.35">
      <c r="C1512" t="s">
        <v>51</v>
      </c>
      <c r="D1512" t="s">
        <v>23</v>
      </c>
      <c r="E1512" t="s">
        <v>45</v>
      </c>
      <c r="F1512" t="s">
        <v>46</v>
      </c>
      <c r="G1512" s="58">
        <v>63615358</v>
      </c>
      <c r="H1512" s="1" t="s">
        <v>56</v>
      </c>
      <c r="I1512" s="1" t="s">
        <v>111</v>
      </c>
      <c r="J1512" s="58">
        <v>1017845728</v>
      </c>
      <c r="K1512" s="1" t="s">
        <v>106</v>
      </c>
      <c r="L1512" s="1" t="s">
        <v>120</v>
      </c>
      <c r="N1512" s="1">
        <v>1</v>
      </c>
      <c r="O1512" s="58"/>
      <c r="P1512" s="58">
        <v>31171525.420000002</v>
      </c>
      <c r="Q1512" t="s">
        <v>113</v>
      </c>
      <c r="R1512" s="1" t="s">
        <v>158</v>
      </c>
    </row>
    <row r="1513" spans="3:18" x14ac:dyDescent="0.35">
      <c r="C1513" t="s">
        <v>51</v>
      </c>
      <c r="D1513" t="s">
        <v>21</v>
      </c>
      <c r="E1513" t="s">
        <v>45</v>
      </c>
      <c r="F1513" t="s">
        <v>46</v>
      </c>
      <c r="G1513" s="58">
        <v>1049421</v>
      </c>
      <c r="H1513" s="1" t="s">
        <v>54</v>
      </c>
      <c r="I1513" s="1" t="s">
        <v>111</v>
      </c>
      <c r="J1513" s="58">
        <v>15741315</v>
      </c>
      <c r="K1513" s="1" t="s">
        <v>106</v>
      </c>
      <c r="L1513" s="1" t="s">
        <v>124</v>
      </c>
      <c r="N1513" s="1">
        <v>1</v>
      </c>
      <c r="O1513" s="58"/>
      <c r="P1513" s="58">
        <v>314826.3</v>
      </c>
      <c r="Q1513" t="s">
        <v>107</v>
      </c>
      <c r="R1513" s="1" t="s">
        <v>158</v>
      </c>
    </row>
    <row r="1514" spans="3:18" x14ac:dyDescent="0.35">
      <c r="C1514" t="s">
        <v>51</v>
      </c>
      <c r="D1514" t="s">
        <v>22</v>
      </c>
      <c r="E1514" t="s">
        <v>45</v>
      </c>
      <c r="F1514" t="s">
        <v>46</v>
      </c>
      <c r="G1514" s="58">
        <v>3207425</v>
      </c>
      <c r="H1514" s="1" t="s">
        <v>56</v>
      </c>
      <c r="I1514" s="1" t="s">
        <v>108</v>
      </c>
      <c r="J1514" s="58">
        <v>99430175</v>
      </c>
      <c r="K1514" s="1" t="s">
        <v>112</v>
      </c>
      <c r="N1514" s="1">
        <v>1</v>
      </c>
      <c r="O1514" s="58"/>
      <c r="P1514" s="58">
        <v>2694237</v>
      </c>
      <c r="Q1514" t="s">
        <v>127</v>
      </c>
      <c r="R1514" s="1" t="s">
        <v>158</v>
      </c>
    </row>
    <row r="1515" spans="3:18" x14ac:dyDescent="0.35">
      <c r="C1515" t="s">
        <v>53</v>
      </c>
      <c r="D1515" t="s">
        <v>25</v>
      </c>
      <c r="E1515" t="s">
        <v>55</v>
      </c>
      <c r="F1515" t="s">
        <v>46</v>
      </c>
      <c r="G1515" s="58">
        <v>146207</v>
      </c>
      <c r="H1515" s="1" t="s">
        <v>56</v>
      </c>
      <c r="I1515" s="1" t="s">
        <v>111</v>
      </c>
      <c r="J1515" s="58">
        <v>2046898</v>
      </c>
      <c r="K1515" s="1" t="s">
        <v>106</v>
      </c>
      <c r="L1515" s="1" t="s">
        <v>114</v>
      </c>
      <c r="N1515" s="1">
        <v>1</v>
      </c>
      <c r="O1515" s="58"/>
      <c r="P1515" s="58">
        <v>87724.2</v>
      </c>
      <c r="Q1515" t="s">
        <v>118</v>
      </c>
      <c r="R1515" s="1" t="s">
        <v>158</v>
      </c>
    </row>
    <row r="1516" spans="3:18" x14ac:dyDescent="0.35">
      <c r="C1516" t="s">
        <v>53</v>
      </c>
      <c r="D1516" t="s">
        <v>21</v>
      </c>
      <c r="E1516" t="s">
        <v>45</v>
      </c>
      <c r="F1516" t="s">
        <v>46</v>
      </c>
      <c r="G1516" s="58">
        <v>111973</v>
      </c>
      <c r="H1516" s="1" t="s">
        <v>48</v>
      </c>
      <c r="I1516" s="1" t="s">
        <v>105</v>
      </c>
      <c r="J1516" s="58">
        <v>223946</v>
      </c>
      <c r="K1516" s="1" t="s">
        <v>106</v>
      </c>
      <c r="L1516" s="1" t="s">
        <v>120</v>
      </c>
      <c r="M1516" s="1" t="s">
        <v>126</v>
      </c>
      <c r="N1516" s="1">
        <v>1</v>
      </c>
      <c r="O1516" s="58"/>
      <c r="P1516" s="58">
        <v>7838.11</v>
      </c>
      <c r="Q1516" t="s">
        <v>107</v>
      </c>
      <c r="R1516" s="1" t="s">
        <v>48</v>
      </c>
    </row>
    <row r="1517" spans="3:18" x14ac:dyDescent="0.35">
      <c r="C1517" t="s">
        <v>51</v>
      </c>
      <c r="D1517" t="s">
        <v>22</v>
      </c>
      <c r="E1517" t="s">
        <v>45</v>
      </c>
      <c r="F1517" t="s">
        <v>46</v>
      </c>
      <c r="G1517" s="58">
        <v>123829</v>
      </c>
      <c r="H1517" s="1" t="s">
        <v>48</v>
      </c>
      <c r="I1517" s="1" t="s">
        <v>111</v>
      </c>
      <c r="J1517" s="58">
        <v>2228922</v>
      </c>
      <c r="K1517" s="1" t="s">
        <v>106</v>
      </c>
      <c r="L1517" s="1" t="s">
        <v>124</v>
      </c>
      <c r="M1517" s="1" t="s">
        <v>115</v>
      </c>
      <c r="N1517" s="1">
        <v>1</v>
      </c>
      <c r="O1517" s="58"/>
      <c r="P1517" s="58">
        <v>73059.11</v>
      </c>
      <c r="Q1517" t="s">
        <v>113</v>
      </c>
      <c r="R1517" s="1" t="s">
        <v>48</v>
      </c>
    </row>
    <row r="1518" spans="3:18" x14ac:dyDescent="0.35">
      <c r="C1518" t="s">
        <v>51</v>
      </c>
      <c r="D1518" t="s">
        <v>21</v>
      </c>
      <c r="E1518" t="s">
        <v>55</v>
      </c>
      <c r="F1518" t="s">
        <v>46</v>
      </c>
      <c r="G1518" s="58">
        <v>3919912</v>
      </c>
      <c r="H1518" s="1" t="s">
        <v>48</v>
      </c>
      <c r="I1518" s="1" t="s">
        <v>108</v>
      </c>
      <c r="J1518" s="58">
        <v>105837624</v>
      </c>
      <c r="K1518" s="1" t="s">
        <v>106</v>
      </c>
      <c r="L1518" s="1" t="s">
        <v>114</v>
      </c>
      <c r="M1518" s="1" t="s">
        <v>126</v>
      </c>
      <c r="N1518" s="1">
        <v>1</v>
      </c>
      <c r="O1518" s="58"/>
      <c r="P1518" s="58">
        <v>1175973.6000000001</v>
      </c>
      <c r="Q1518" t="s">
        <v>107</v>
      </c>
      <c r="R1518" s="1" t="s">
        <v>48</v>
      </c>
    </row>
    <row r="1519" spans="3:18" x14ac:dyDescent="0.35">
      <c r="C1519" t="s">
        <v>51</v>
      </c>
      <c r="D1519" t="s">
        <v>23</v>
      </c>
      <c r="E1519" t="s">
        <v>45</v>
      </c>
      <c r="F1519" t="s">
        <v>46</v>
      </c>
      <c r="G1519" s="58">
        <v>686233</v>
      </c>
      <c r="H1519" s="1" t="s">
        <v>47</v>
      </c>
      <c r="I1519" s="1" t="s">
        <v>119</v>
      </c>
      <c r="J1519" s="58">
        <v>4803631</v>
      </c>
      <c r="K1519" s="1" t="s">
        <v>106</v>
      </c>
      <c r="L1519" s="1" t="s">
        <v>114</v>
      </c>
      <c r="N1519" s="1">
        <v>1</v>
      </c>
      <c r="O1519" s="58"/>
      <c r="P1519" s="58">
        <v>130384.27</v>
      </c>
      <c r="Q1519" t="s">
        <v>107</v>
      </c>
      <c r="R1519" s="1" t="s">
        <v>158</v>
      </c>
    </row>
    <row r="1520" spans="3:18" x14ac:dyDescent="0.35">
      <c r="C1520" t="s">
        <v>51</v>
      </c>
      <c r="D1520" t="s">
        <v>23</v>
      </c>
      <c r="E1520" t="s">
        <v>55</v>
      </c>
      <c r="F1520" t="s">
        <v>46</v>
      </c>
      <c r="G1520" s="58">
        <v>288299</v>
      </c>
      <c r="H1520" s="1" t="s">
        <v>48</v>
      </c>
      <c r="I1520" s="1" t="s">
        <v>108</v>
      </c>
      <c r="J1520" s="58">
        <v>8648970</v>
      </c>
      <c r="K1520" s="1" t="s">
        <v>106</v>
      </c>
      <c r="L1520" s="1" t="s">
        <v>114</v>
      </c>
      <c r="M1520" s="1" t="s">
        <v>125</v>
      </c>
      <c r="N1520" s="1">
        <v>1</v>
      </c>
      <c r="O1520" s="58"/>
      <c r="P1520" s="58">
        <v>296947.96999999997</v>
      </c>
      <c r="Q1520" t="s">
        <v>110</v>
      </c>
      <c r="R1520" s="1" t="s">
        <v>48</v>
      </c>
    </row>
    <row r="1521" spans="3:18" x14ac:dyDescent="0.35">
      <c r="C1521" t="s">
        <v>51</v>
      </c>
      <c r="D1521" t="s">
        <v>24</v>
      </c>
      <c r="E1521" t="s">
        <v>55</v>
      </c>
      <c r="F1521" t="s">
        <v>46</v>
      </c>
      <c r="G1521" s="58">
        <v>20120505</v>
      </c>
      <c r="H1521" s="1" t="s">
        <v>59</v>
      </c>
      <c r="I1521" s="1" t="s">
        <v>111</v>
      </c>
      <c r="J1521" s="58">
        <v>321928080</v>
      </c>
      <c r="K1521" s="1" t="s">
        <v>106</v>
      </c>
      <c r="L1521" s="1" t="s">
        <v>114</v>
      </c>
      <c r="N1521" s="1">
        <v>1</v>
      </c>
      <c r="O1521" s="58"/>
      <c r="P1521" s="58">
        <v>10060252.5</v>
      </c>
      <c r="Q1521" t="s">
        <v>113</v>
      </c>
      <c r="R1521" s="1" t="s">
        <v>158</v>
      </c>
    </row>
    <row r="1522" spans="3:18" x14ac:dyDescent="0.35">
      <c r="C1522" t="s">
        <v>51</v>
      </c>
      <c r="D1522" t="s">
        <v>22</v>
      </c>
      <c r="E1522" t="s">
        <v>45</v>
      </c>
      <c r="F1522" t="s">
        <v>46</v>
      </c>
      <c r="G1522" s="58">
        <v>710362</v>
      </c>
      <c r="H1522" s="1" t="s">
        <v>48</v>
      </c>
      <c r="I1522" s="1" t="s">
        <v>105</v>
      </c>
      <c r="J1522" s="58">
        <v>2841448</v>
      </c>
      <c r="K1522" s="1" t="s">
        <v>106</v>
      </c>
      <c r="L1522" s="1" t="s">
        <v>120</v>
      </c>
      <c r="M1522" s="1" t="s">
        <v>115</v>
      </c>
      <c r="N1522" s="1">
        <v>1</v>
      </c>
      <c r="O1522" s="58"/>
      <c r="P1522" s="58">
        <v>326766.52</v>
      </c>
      <c r="Q1522" t="s">
        <v>113</v>
      </c>
      <c r="R1522" s="1" t="s">
        <v>158</v>
      </c>
    </row>
    <row r="1523" spans="3:18" x14ac:dyDescent="0.35">
      <c r="C1523" t="s">
        <v>53</v>
      </c>
      <c r="D1523" t="s">
        <v>21</v>
      </c>
      <c r="E1523" t="s">
        <v>45</v>
      </c>
      <c r="F1523" t="s">
        <v>46</v>
      </c>
      <c r="G1523" s="58">
        <v>952000</v>
      </c>
      <c r="H1523" s="1" t="s">
        <v>47</v>
      </c>
      <c r="I1523" s="1" t="s">
        <v>119</v>
      </c>
      <c r="J1523" s="58">
        <v>6664000</v>
      </c>
      <c r="K1523" s="1" t="s">
        <v>106</v>
      </c>
      <c r="L1523" s="1" t="s">
        <v>120</v>
      </c>
      <c r="N1523" s="1">
        <v>1</v>
      </c>
      <c r="O1523" s="58"/>
      <c r="P1523" s="58">
        <v>1237600</v>
      </c>
      <c r="Q1523" t="s">
        <v>110</v>
      </c>
      <c r="R1523" s="1" t="s">
        <v>158</v>
      </c>
    </row>
    <row r="1524" spans="3:18" x14ac:dyDescent="0.35">
      <c r="C1524" t="s">
        <v>51</v>
      </c>
      <c r="D1524" t="s">
        <v>92</v>
      </c>
      <c r="E1524" t="s">
        <v>45</v>
      </c>
      <c r="F1524" t="s">
        <v>46</v>
      </c>
      <c r="G1524" s="58">
        <v>382606</v>
      </c>
      <c r="H1524" s="1" t="s">
        <v>48</v>
      </c>
      <c r="I1524" s="1" t="s">
        <v>111</v>
      </c>
      <c r="J1524" s="58">
        <v>6121696</v>
      </c>
      <c r="K1524" s="1" t="s">
        <v>106</v>
      </c>
      <c r="L1524" s="1" t="s">
        <v>124</v>
      </c>
      <c r="M1524" s="1" t="s">
        <v>123</v>
      </c>
      <c r="N1524" s="1">
        <v>1</v>
      </c>
      <c r="O1524" s="58"/>
      <c r="P1524" s="58">
        <v>160694.51999999999</v>
      </c>
      <c r="Q1524" t="s">
        <v>113</v>
      </c>
      <c r="R1524" s="1" t="s">
        <v>48</v>
      </c>
    </row>
    <row r="1525" spans="3:18" x14ac:dyDescent="0.35">
      <c r="C1525" t="s">
        <v>51</v>
      </c>
      <c r="D1525" t="s">
        <v>92</v>
      </c>
      <c r="E1525" t="s">
        <v>49</v>
      </c>
      <c r="F1525" t="s">
        <v>46</v>
      </c>
      <c r="G1525" s="58">
        <v>26783238</v>
      </c>
      <c r="H1525" s="1" t="s">
        <v>54</v>
      </c>
      <c r="I1525" s="1" t="s">
        <v>111</v>
      </c>
      <c r="J1525" s="58">
        <v>428531808</v>
      </c>
      <c r="K1525" s="1" t="s">
        <v>106</v>
      </c>
      <c r="L1525" s="1" t="s">
        <v>124</v>
      </c>
      <c r="N1525" s="1">
        <v>1</v>
      </c>
      <c r="O1525" s="58"/>
      <c r="P1525" s="58">
        <v>13123786.619999999</v>
      </c>
      <c r="Q1525" t="s">
        <v>113</v>
      </c>
      <c r="R1525" s="1" t="s">
        <v>158</v>
      </c>
    </row>
    <row r="1526" spans="3:18" x14ac:dyDescent="0.35">
      <c r="C1526" t="s">
        <v>51</v>
      </c>
      <c r="D1526" t="s">
        <v>22</v>
      </c>
      <c r="E1526" t="s">
        <v>45</v>
      </c>
      <c r="F1526" t="s">
        <v>46</v>
      </c>
      <c r="G1526" s="58">
        <v>428267</v>
      </c>
      <c r="H1526" s="1" t="s">
        <v>47</v>
      </c>
      <c r="I1526" s="1" t="s">
        <v>111</v>
      </c>
      <c r="J1526" s="58">
        <v>8137073</v>
      </c>
      <c r="K1526" s="1" t="s">
        <v>106</v>
      </c>
      <c r="L1526" s="1" t="s">
        <v>114</v>
      </c>
      <c r="N1526" s="1">
        <v>1</v>
      </c>
      <c r="O1526" s="58"/>
      <c r="P1526" s="58">
        <v>321200.25</v>
      </c>
      <c r="Q1526" t="s">
        <v>118</v>
      </c>
      <c r="R1526" s="1" t="s">
        <v>158</v>
      </c>
    </row>
    <row r="1527" spans="3:18" x14ac:dyDescent="0.35">
      <c r="C1527" t="s">
        <v>53</v>
      </c>
      <c r="D1527" t="s">
        <v>21</v>
      </c>
      <c r="E1527" t="s">
        <v>45</v>
      </c>
      <c r="F1527" t="s">
        <v>46</v>
      </c>
      <c r="G1527" s="58">
        <v>594207</v>
      </c>
      <c r="H1527" s="1" t="s">
        <v>47</v>
      </c>
      <c r="I1527" s="1" t="s">
        <v>108</v>
      </c>
      <c r="J1527" s="58">
        <v>16637796</v>
      </c>
      <c r="K1527" s="1" t="s">
        <v>106</v>
      </c>
      <c r="L1527" s="1" t="s">
        <v>120</v>
      </c>
      <c r="N1527" s="1">
        <v>1</v>
      </c>
      <c r="O1527" s="58"/>
      <c r="P1527" s="58">
        <v>433771.11</v>
      </c>
      <c r="Q1527" t="s">
        <v>118</v>
      </c>
      <c r="R1527" s="1" t="s">
        <v>158</v>
      </c>
    </row>
    <row r="1528" spans="3:18" x14ac:dyDescent="0.35">
      <c r="C1528" t="s">
        <v>53</v>
      </c>
      <c r="D1528" t="s">
        <v>23</v>
      </c>
      <c r="E1528" t="s">
        <v>45</v>
      </c>
      <c r="F1528" t="s">
        <v>46</v>
      </c>
      <c r="G1528" s="58">
        <v>852301</v>
      </c>
      <c r="H1528" s="1" t="s">
        <v>56</v>
      </c>
      <c r="I1528" s="1" t="s">
        <v>111</v>
      </c>
      <c r="J1528" s="58">
        <v>11079913</v>
      </c>
      <c r="K1528" s="1" t="s">
        <v>112</v>
      </c>
      <c r="N1528" s="1">
        <v>1</v>
      </c>
      <c r="O1528" s="58"/>
      <c r="P1528" s="58">
        <v>613656.72</v>
      </c>
      <c r="Q1528" t="s">
        <v>118</v>
      </c>
      <c r="R1528" s="1" t="s">
        <v>158</v>
      </c>
    </row>
    <row r="1529" spans="3:18" x14ac:dyDescent="0.35">
      <c r="C1529" t="s">
        <v>51</v>
      </c>
      <c r="D1529" t="s">
        <v>24</v>
      </c>
      <c r="E1529" t="s">
        <v>50</v>
      </c>
      <c r="F1529" t="s">
        <v>46</v>
      </c>
      <c r="G1529" s="58">
        <v>2284827</v>
      </c>
      <c r="H1529" s="1" t="s">
        <v>48</v>
      </c>
      <c r="I1529" s="1" t="s">
        <v>108</v>
      </c>
      <c r="J1529" s="58">
        <v>75399291</v>
      </c>
      <c r="K1529" s="1" t="s">
        <v>112</v>
      </c>
      <c r="N1529" s="1">
        <v>1</v>
      </c>
      <c r="O1529" s="58"/>
      <c r="P1529" s="58">
        <v>1119565.23</v>
      </c>
      <c r="Q1529" t="s">
        <v>113</v>
      </c>
      <c r="R1529" s="1" t="s">
        <v>48</v>
      </c>
    </row>
    <row r="1530" spans="3:18" x14ac:dyDescent="0.35">
      <c r="C1530" t="s">
        <v>51</v>
      </c>
      <c r="D1530" t="s">
        <v>20</v>
      </c>
      <c r="E1530" t="s">
        <v>49</v>
      </c>
      <c r="F1530" t="s">
        <v>46</v>
      </c>
      <c r="G1530" s="58">
        <v>492706</v>
      </c>
      <c r="H1530" s="1" t="s">
        <v>48</v>
      </c>
      <c r="I1530" s="1" t="s">
        <v>108</v>
      </c>
      <c r="J1530" s="58">
        <v>16259298</v>
      </c>
      <c r="K1530" s="1" t="s">
        <v>106</v>
      </c>
      <c r="L1530" s="1" t="s">
        <v>124</v>
      </c>
      <c r="M1530" s="1" t="s">
        <v>122</v>
      </c>
      <c r="N1530" s="1">
        <v>1</v>
      </c>
      <c r="O1530" s="58"/>
      <c r="P1530" s="58">
        <v>251280.06</v>
      </c>
      <c r="Q1530" t="s">
        <v>113</v>
      </c>
      <c r="R1530" s="1" t="s">
        <v>48</v>
      </c>
    </row>
    <row r="1531" spans="3:18" x14ac:dyDescent="0.35">
      <c r="C1531" t="s">
        <v>51</v>
      </c>
      <c r="D1531" t="s">
        <v>23</v>
      </c>
      <c r="E1531" t="s">
        <v>55</v>
      </c>
      <c r="F1531" t="s">
        <v>46</v>
      </c>
      <c r="G1531" s="58">
        <v>8247742</v>
      </c>
      <c r="H1531" s="1" t="s">
        <v>47</v>
      </c>
      <c r="I1531" s="1" t="s">
        <v>108</v>
      </c>
      <c r="J1531" s="58">
        <v>272175486</v>
      </c>
      <c r="K1531" s="1" t="s">
        <v>112</v>
      </c>
      <c r="N1531" s="1">
        <v>1</v>
      </c>
      <c r="O1531" s="58"/>
      <c r="P1531" s="58">
        <v>1567070.98</v>
      </c>
      <c r="Q1531" t="s">
        <v>107</v>
      </c>
      <c r="R1531" s="1" t="s">
        <v>158</v>
      </c>
    </row>
    <row r="1532" spans="3:18" x14ac:dyDescent="0.35">
      <c r="C1532" t="s">
        <v>51</v>
      </c>
      <c r="D1532" t="s">
        <v>23</v>
      </c>
      <c r="E1532" t="s">
        <v>55</v>
      </c>
      <c r="F1532" t="s">
        <v>46</v>
      </c>
      <c r="G1532" s="58">
        <v>1957612</v>
      </c>
      <c r="H1532" s="1" t="s">
        <v>48</v>
      </c>
      <c r="I1532" s="1" t="s">
        <v>111</v>
      </c>
      <c r="J1532" s="58">
        <v>29364180</v>
      </c>
      <c r="K1532" s="1" t="s">
        <v>106</v>
      </c>
      <c r="L1532" s="1" t="s">
        <v>114</v>
      </c>
      <c r="M1532" s="1" t="s">
        <v>125</v>
      </c>
      <c r="N1532" s="1">
        <v>1</v>
      </c>
      <c r="O1532" s="58"/>
      <c r="P1532" s="58">
        <v>469826.88</v>
      </c>
      <c r="Q1532" t="s">
        <v>107</v>
      </c>
      <c r="R1532" s="1" t="s">
        <v>48</v>
      </c>
    </row>
    <row r="1533" spans="3:18" x14ac:dyDescent="0.35">
      <c r="C1533" t="s">
        <v>51</v>
      </c>
      <c r="D1533" t="s">
        <v>23</v>
      </c>
      <c r="E1533" t="s">
        <v>55</v>
      </c>
      <c r="F1533" t="s">
        <v>46</v>
      </c>
      <c r="G1533" s="58">
        <v>5810</v>
      </c>
      <c r="H1533" s="1" t="s">
        <v>59</v>
      </c>
      <c r="I1533" s="1" t="s">
        <v>119</v>
      </c>
      <c r="J1533" s="58">
        <v>58100</v>
      </c>
      <c r="K1533" s="1" t="s">
        <v>106</v>
      </c>
      <c r="L1533" s="1" t="s">
        <v>120</v>
      </c>
      <c r="N1533" s="1">
        <v>1</v>
      </c>
      <c r="O1533" s="58"/>
      <c r="P1533" s="58">
        <v>697.2</v>
      </c>
      <c r="Q1533" t="s">
        <v>107</v>
      </c>
      <c r="R1533" s="1" t="s">
        <v>158</v>
      </c>
    </row>
    <row r="1534" spans="3:18" x14ac:dyDescent="0.35">
      <c r="C1534" t="s">
        <v>51</v>
      </c>
      <c r="D1534" t="s">
        <v>25</v>
      </c>
      <c r="E1534" t="s">
        <v>55</v>
      </c>
      <c r="F1534" t="s">
        <v>46</v>
      </c>
      <c r="G1534" s="58">
        <v>80314</v>
      </c>
      <c r="H1534" s="1" t="s">
        <v>47</v>
      </c>
      <c r="I1534" s="1" t="s">
        <v>108</v>
      </c>
      <c r="J1534" s="58">
        <v>1847222</v>
      </c>
      <c r="K1534" s="1" t="s">
        <v>112</v>
      </c>
      <c r="N1534" s="1">
        <v>1</v>
      </c>
      <c r="O1534" s="58"/>
      <c r="P1534" s="58">
        <v>28913.040000000001</v>
      </c>
      <c r="Q1534" t="s">
        <v>107</v>
      </c>
      <c r="R1534" s="1" t="s">
        <v>158</v>
      </c>
    </row>
    <row r="1535" spans="3:18" x14ac:dyDescent="0.35">
      <c r="C1535" t="s">
        <v>53</v>
      </c>
      <c r="D1535" t="s">
        <v>92</v>
      </c>
      <c r="E1535" t="s">
        <v>45</v>
      </c>
      <c r="F1535" t="s">
        <v>46</v>
      </c>
      <c r="G1535" s="58">
        <v>428040</v>
      </c>
      <c r="H1535" s="1" t="s">
        <v>47</v>
      </c>
      <c r="I1535" s="1" t="s">
        <v>119</v>
      </c>
      <c r="J1535" s="58">
        <v>3852360</v>
      </c>
      <c r="K1535" s="1" t="s">
        <v>106</v>
      </c>
      <c r="L1535" s="1" t="s">
        <v>120</v>
      </c>
      <c r="N1535" s="1">
        <v>1</v>
      </c>
      <c r="O1535" s="58"/>
      <c r="P1535" s="58">
        <v>496526.4</v>
      </c>
      <c r="Q1535" t="s">
        <v>110</v>
      </c>
      <c r="R1535" s="1" t="s">
        <v>158</v>
      </c>
    </row>
    <row r="1536" spans="3:18" x14ac:dyDescent="0.35">
      <c r="C1536" t="s">
        <v>51</v>
      </c>
      <c r="D1536" t="s">
        <v>24</v>
      </c>
      <c r="E1536" t="s">
        <v>49</v>
      </c>
      <c r="F1536" t="s">
        <v>46</v>
      </c>
      <c r="G1536" s="58">
        <v>58588588</v>
      </c>
      <c r="H1536" s="1" t="s">
        <v>48</v>
      </c>
      <c r="I1536" s="1" t="s">
        <v>108</v>
      </c>
      <c r="J1536" s="58">
        <v>1816246228</v>
      </c>
      <c r="K1536" s="1" t="s">
        <v>106</v>
      </c>
      <c r="L1536" s="1" t="s">
        <v>124</v>
      </c>
      <c r="M1536" s="1" t="s">
        <v>121</v>
      </c>
      <c r="N1536" s="1">
        <v>1</v>
      </c>
      <c r="O1536" s="58"/>
      <c r="P1536" s="58">
        <v>41597897.479999997</v>
      </c>
      <c r="Q1536" t="s">
        <v>118</v>
      </c>
      <c r="R1536" s="1" t="s">
        <v>158</v>
      </c>
    </row>
    <row r="1537" spans="3:18" x14ac:dyDescent="0.35">
      <c r="C1537" t="s">
        <v>51</v>
      </c>
      <c r="D1537" t="s">
        <v>21</v>
      </c>
      <c r="E1537" t="s">
        <v>50</v>
      </c>
      <c r="F1537" t="s">
        <v>46</v>
      </c>
      <c r="G1537" s="58">
        <v>1254492</v>
      </c>
      <c r="H1537" s="1" t="s">
        <v>48</v>
      </c>
      <c r="I1537" s="1" t="s">
        <v>108</v>
      </c>
      <c r="J1537" s="58">
        <v>42652728</v>
      </c>
      <c r="K1537" s="1" t="s">
        <v>106</v>
      </c>
      <c r="L1537" s="1" t="s">
        <v>109</v>
      </c>
      <c r="M1537" s="1" t="s">
        <v>126</v>
      </c>
      <c r="N1537" s="1">
        <v>1</v>
      </c>
      <c r="O1537" s="58"/>
      <c r="P1537" s="58">
        <v>853054.56</v>
      </c>
      <c r="Q1537" t="s">
        <v>118</v>
      </c>
      <c r="R1537" s="1" t="s">
        <v>158</v>
      </c>
    </row>
    <row r="1538" spans="3:18" x14ac:dyDescent="0.35">
      <c r="C1538" t="s">
        <v>51</v>
      </c>
      <c r="D1538" t="s">
        <v>21</v>
      </c>
      <c r="E1538" t="s">
        <v>49</v>
      </c>
      <c r="F1538" t="s">
        <v>46</v>
      </c>
      <c r="G1538" s="58">
        <v>42075628</v>
      </c>
      <c r="H1538" s="1" t="s">
        <v>59</v>
      </c>
      <c r="I1538" s="1" t="s">
        <v>111</v>
      </c>
      <c r="J1538" s="58">
        <v>715285676</v>
      </c>
      <c r="K1538" s="1" t="s">
        <v>106</v>
      </c>
      <c r="L1538" s="1" t="s">
        <v>124</v>
      </c>
      <c r="N1538" s="1">
        <v>1</v>
      </c>
      <c r="O1538" s="58"/>
      <c r="P1538" s="58">
        <v>28190670.760000002</v>
      </c>
      <c r="Q1538" t="s">
        <v>118</v>
      </c>
      <c r="R1538" s="1" t="s">
        <v>158</v>
      </c>
    </row>
    <row r="1539" spans="3:18" x14ac:dyDescent="0.35">
      <c r="C1539" t="s">
        <v>51</v>
      </c>
      <c r="D1539" t="s">
        <v>23</v>
      </c>
      <c r="E1539" t="s">
        <v>55</v>
      </c>
      <c r="F1539" t="s">
        <v>46</v>
      </c>
      <c r="G1539" s="58">
        <v>401105</v>
      </c>
      <c r="H1539" s="1" t="s">
        <v>47</v>
      </c>
      <c r="I1539" s="1" t="s">
        <v>128</v>
      </c>
      <c r="J1539" s="58"/>
      <c r="K1539" s="1" t="s">
        <v>106</v>
      </c>
      <c r="L1539" s="1" t="s">
        <v>124</v>
      </c>
      <c r="N1539" s="1">
        <v>0</v>
      </c>
      <c r="O1539" s="58"/>
      <c r="P1539" s="58">
        <v>320884</v>
      </c>
      <c r="Q1539" t="s">
        <v>127</v>
      </c>
      <c r="R1539" s="1" t="s">
        <v>158</v>
      </c>
    </row>
    <row r="1540" spans="3:18" x14ac:dyDescent="0.35">
      <c r="C1540" t="s">
        <v>51</v>
      </c>
      <c r="D1540" t="s">
        <v>21</v>
      </c>
      <c r="E1540" t="s">
        <v>45</v>
      </c>
      <c r="F1540" t="s">
        <v>46</v>
      </c>
      <c r="G1540" s="58">
        <v>60119677</v>
      </c>
      <c r="H1540" s="1" t="s">
        <v>48</v>
      </c>
      <c r="I1540" s="1" t="s">
        <v>108</v>
      </c>
      <c r="J1540" s="58">
        <v>1743470633</v>
      </c>
      <c r="K1540" s="1" t="s">
        <v>106</v>
      </c>
      <c r="L1540" s="1" t="s">
        <v>120</v>
      </c>
      <c r="M1540" s="1" t="s">
        <v>126</v>
      </c>
      <c r="N1540" s="1">
        <v>1</v>
      </c>
      <c r="O1540" s="58"/>
      <c r="P1540" s="58">
        <v>31262232.039999999</v>
      </c>
      <c r="Q1540" t="s">
        <v>113</v>
      </c>
      <c r="R1540" s="1" t="s">
        <v>48</v>
      </c>
    </row>
    <row r="1541" spans="3:18" x14ac:dyDescent="0.35">
      <c r="C1541" t="s">
        <v>53</v>
      </c>
      <c r="D1541" t="s">
        <v>22</v>
      </c>
      <c r="E1541" t="s">
        <v>49</v>
      </c>
      <c r="F1541" t="s">
        <v>46</v>
      </c>
      <c r="G1541" s="58">
        <v>4380867</v>
      </c>
      <c r="H1541" s="1" t="s">
        <v>54</v>
      </c>
      <c r="I1541" s="1" t="s">
        <v>119</v>
      </c>
      <c r="J1541" s="58">
        <v>35046936</v>
      </c>
      <c r="K1541" s="1" t="s">
        <v>106</v>
      </c>
      <c r="L1541" s="1" t="s">
        <v>124</v>
      </c>
      <c r="N1541" s="1">
        <v>1</v>
      </c>
      <c r="O1541" s="58"/>
      <c r="P1541" s="58">
        <v>306660.69</v>
      </c>
      <c r="Q1541" t="s">
        <v>107</v>
      </c>
      <c r="R1541" s="1" t="s">
        <v>158</v>
      </c>
    </row>
    <row r="1542" spans="3:18" x14ac:dyDescent="0.35">
      <c r="C1542" t="s">
        <v>51</v>
      </c>
      <c r="D1542" t="s">
        <v>22</v>
      </c>
      <c r="E1542" t="s">
        <v>45</v>
      </c>
      <c r="F1542" t="s">
        <v>46</v>
      </c>
      <c r="G1542" s="58">
        <v>126971</v>
      </c>
      <c r="H1542" s="1" t="s">
        <v>48</v>
      </c>
      <c r="I1542" s="1" t="s">
        <v>111</v>
      </c>
      <c r="J1542" s="58">
        <v>1650623</v>
      </c>
      <c r="K1542" s="1" t="s">
        <v>106</v>
      </c>
      <c r="L1542" s="1" t="s">
        <v>124</v>
      </c>
      <c r="M1542" s="1" t="s">
        <v>115</v>
      </c>
      <c r="N1542" s="1">
        <v>1</v>
      </c>
      <c r="O1542" s="58"/>
      <c r="P1542" s="58">
        <v>36821.589999999997</v>
      </c>
      <c r="Q1542" t="s">
        <v>107</v>
      </c>
      <c r="R1542" s="1" t="s">
        <v>158</v>
      </c>
    </row>
    <row r="1543" spans="3:18" x14ac:dyDescent="0.35">
      <c r="C1543" t="s">
        <v>51</v>
      </c>
      <c r="D1543" t="s">
        <v>23</v>
      </c>
      <c r="E1543" t="s">
        <v>45</v>
      </c>
      <c r="F1543" t="s">
        <v>46</v>
      </c>
      <c r="G1543" s="58">
        <v>290304</v>
      </c>
      <c r="H1543" s="1" t="s">
        <v>47</v>
      </c>
      <c r="I1543" s="1" t="s">
        <v>128</v>
      </c>
      <c r="J1543" s="58"/>
      <c r="K1543" s="1" t="s">
        <v>106</v>
      </c>
      <c r="L1543" s="1" t="s">
        <v>116</v>
      </c>
      <c r="N1543" s="1">
        <v>0</v>
      </c>
      <c r="O1543" s="58"/>
      <c r="P1543" s="58">
        <v>278691.84000000003</v>
      </c>
      <c r="Q1543" t="s">
        <v>127</v>
      </c>
      <c r="R1543" s="1" t="s">
        <v>158</v>
      </c>
    </row>
    <row r="1544" spans="3:18" x14ac:dyDescent="0.35">
      <c r="C1544" t="s">
        <v>51</v>
      </c>
      <c r="D1544" t="s">
        <v>21</v>
      </c>
      <c r="E1544" t="s">
        <v>49</v>
      </c>
      <c r="F1544" t="s">
        <v>46</v>
      </c>
      <c r="G1544" s="58">
        <v>954843</v>
      </c>
      <c r="H1544" s="1" t="s">
        <v>56</v>
      </c>
      <c r="I1544" s="1" t="s">
        <v>108</v>
      </c>
      <c r="J1544" s="58">
        <v>24825918</v>
      </c>
      <c r="K1544" s="1" t="s">
        <v>106</v>
      </c>
      <c r="L1544" s="1" t="s">
        <v>120</v>
      </c>
      <c r="N1544" s="1">
        <v>1</v>
      </c>
      <c r="O1544" s="58"/>
      <c r="P1544" s="58">
        <v>496518.36</v>
      </c>
      <c r="Q1544" t="s">
        <v>113</v>
      </c>
      <c r="R1544" s="1" t="s">
        <v>158</v>
      </c>
    </row>
    <row r="1545" spans="3:18" x14ac:dyDescent="0.35">
      <c r="C1545" t="s">
        <v>53</v>
      </c>
      <c r="D1545" t="s">
        <v>21</v>
      </c>
      <c r="E1545" t="s">
        <v>49</v>
      </c>
      <c r="F1545" t="s">
        <v>46</v>
      </c>
      <c r="G1545" s="58">
        <v>40332582</v>
      </c>
      <c r="H1545" s="1" t="s">
        <v>54</v>
      </c>
      <c r="I1545" s="1" t="s">
        <v>111</v>
      </c>
      <c r="J1545" s="58">
        <v>564656148</v>
      </c>
      <c r="K1545" s="1" t="s">
        <v>106</v>
      </c>
      <c r="L1545" s="1" t="s">
        <v>124</v>
      </c>
      <c r="N1545" s="1">
        <v>1</v>
      </c>
      <c r="O1545" s="58"/>
      <c r="P1545" s="58">
        <v>6453213.1200000001</v>
      </c>
      <c r="Q1545" t="s">
        <v>107</v>
      </c>
      <c r="R1545" s="1" t="s">
        <v>158</v>
      </c>
    </row>
    <row r="1546" spans="3:18" x14ac:dyDescent="0.35">
      <c r="C1546" t="s">
        <v>53</v>
      </c>
      <c r="D1546" t="s">
        <v>21</v>
      </c>
      <c r="E1546" t="s">
        <v>55</v>
      </c>
      <c r="F1546" t="s">
        <v>46</v>
      </c>
      <c r="G1546" s="58">
        <v>13603</v>
      </c>
      <c r="H1546" s="1" t="s">
        <v>59</v>
      </c>
      <c r="I1546" s="1" t="s">
        <v>105</v>
      </c>
      <c r="J1546" s="58">
        <v>13603</v>
      </c>
      <c r="K1546" s="1" t="s">
        <v>106</v>
      </c>
      <c r="L1546" s="1" t="s">
        <v>114</v>
      </c>
      <c r="N1546" s="1">
        <v>1</v>
      </c>
      <c r="O1546" s="58"/>
      <c r="P1546" s="58">
        <v>2176.48</v>
      </c>
      <c r="Q1546" t="s">
        <v>107</v>
      </c>
      <c r="R1546" s="1" t="s">
        <v>158</v>
      </c>
    </row>
    <row r="1547" spans="3:18" x14ac:dyDescent="0.35">
      <c r="C1547" t="s">
        <v>51</v>
      </c>
      <c r="D1547" t="s">
        <v>22</v>
      </c>
      <c r="E1547" t="s">
        <v>50</v>
      </c>
      <c r="F1547" t="s">
        <v>46</v>
      </c>
      <c r="G1547" s="58">
        <v>330721</v>
      </c>
      <c r="H1547" s="1" t="s">
        <v>48</v>
      </c>
      <c r="I1547" s="1" t="s">
        <v>108</v>
      </c>
      <c r="J1547" s="58">
        <v>11575235</v>
      </c>
      <c r="K1547" s="1" t="s">
        <v>106</v>
      </c>
      <c r="L1547" s="1" t="s">
        <v>120</v>
      </c>
      <c r="M1547" s="1" t="s">
        <v>115</v>
      </c>
      <c r="N1547" s="1">
        <v>1</v>
      </c>
      <c r="O1547" s="58"/>
      <c r="P1547" s="58">
        <v>95909.09</v>
      </c>
      <c r="Q1547" t="s">
        <v>107</v>
      </c>
      <c r="R1547" s="1" t="s">
        <v>48</v>
      </c>
    </row>
    <row r="1548" spans="3:18" x14ac:dyDescent="0.35">
      <c r="C1548" t="s">
        <v>51</v>
      </c>
      <c r="D1548" t="s">
        <v>92</v>
      </c>
      <c r="E1548" t="s">
        <v>49</v>
      </c>
      <c r="F1548" t="s">
        <v>46</v>
      </c>
      <c r="G1548" s="58">
        <v>179203</v>
      </c>
      <c r="H1548" s="1" t="s">
        <v>48</v>
      </c>
      <c r="I1548" s="1" t="s">
        <v>108</v>
      </c>
      <c r="J1548" s="58">
        <v>4659278</v>
      </c>
      <c r="K1548" s="1" t="s">
        <v>106</v>
      </c>
      <c r="L1548" s="1" t="s">
        <v>124</v>
      </c>
      <c r="M1548" s="1" t="s">
        <v>126</v>
      </c>
      <c r="N1548" s="1">
        <v>1</v>
      </c>
      <c r="O1548" s="58"/>
      <c r="P1548" s="58">
        <v>50176.84</v>
      </c>
      <c r="Q1548" t="s">
        <v>107</v>
      </c>
      <c r="R1548" s="1" t="s">
        <v>158</v>
      </c>
    </row>
    <row r="1549" spans="3:18" x14ac:dyDescent="0.35">
      <c r="C1549" t="s">
        <v>51</v>
      </c>
      <c r="D1549" t="s">
        <v>21</v>
      </c>
      <c r="E1549" t="s">
        <v>45</v>
      </c>
      <c r="F1549" t="s">
        <v>46</v>
      </c>
      <c r="G1549" s="58">
        <v>29516</v>
      </c>
      <c r="H1549" s="1" t="s">
        <v>56</v>
      </c>
      <c r="I1549" s="1" t="s">
        <v>119</v>
      </c>
      <c r="J1549" s="58">
        <v>206612</v>
      </c>
      <c r="K1549" s="1" t="s">
        <v>106</v>
      </c>
      <c r="L1549" s="1" t="s">
        <v>120</v>
      </c>
      <c r="N1549" s="1">
        <v>1</v>
      </c>
      <c r="O1549" s="58"/>
      <c r="P1549" s="58">
        <v>20366.04</v>
      </c>
      <c r="Q1549" t="s">
        <v>118</v>
      </c>
      <c r="R1549" s="1" t="s">
        <v>158</v>
      </c>
    </row>
    <row r="1550" spans="3:18" x14ac:dyDescent="0.35">
      <c r="C1550" t="s">
        <v>51</v>
      </c>
      <c r="D1550" t="s">
        <v>21</v>
      </c>
      <c r="E1550" t="s">
        <v>49</v>
      </c>
      <c r="F1550" t="s">
        <v>64</v>
      </c>
      <c r="G1550" s="58">
        <v>188431</v>
      </c>
      <c r="H1550" s="1" t="s">
        <v>56</v>
      </c>
      <c r="I1550" s="1" t="s">
        <v>108</v>
      </c>
      <c r="J1550" s="58">
        <v>7537240</v>
      </c>
      <c r="K1550" s="1" t="s">
        <v>112</v>
      </c>
      <c r="N1550" s="1">
        <v>1</v>
      </c>
      <c r="O1550" s="58"/>
      <c r="P1550" s="58">
        <v>73488.09</v>
      </c>
      <c r="Q1550" t="s">
        <v>107</v>
      </c>
      <c r="R1550" s="1" t="s">
        <v>158</v>
      </c>
    </row>
    <row r="1551" spans="3:18" x14ac:dyDescent="0.35">
      <c r="C1551" t="s">
        <v>51</v>
      </c>
      <c r="D1551" t="s">
        <v>24</v>
      </c>
      <c r="E1551" t="s">
        <v>55</v>
      </c>
      <c r="F1551" t="s">
        <v>46</v>
      </c>
      <c r="G1551" s="58">
        <v>284249</v>
      </c>
      <c r="H1551" s="1" t="s">
        <v>56</v>
      </c>
      <c r="I1551" s="1" t="s">
        <v>111</v>
      </c>
      <c r="J1551" s="58">
        <v>4832233</v>
      </c>
      <c r="K1551" s="1" t="s">
        <v>112</v>
      </c>
      <c r="N1551" s="1">
        <v>1</v>
      </c>
      <c r="O1551" s="58"/>
      <c r="P1551" s="58">
        <v>88117.19</v>
      </c>
      <c r="Q1551" t="s">
        <v>107</v>
      </c>
      <c r="R1551" s="1" t="s">
        <v>158</v>
      </c>
    </row>
    <row r="1552" spans="3:18" x14ac:dyDescent="0.35">
      <c r="C1552" t="s">
        <v>53</v>
      </c>
      <c r="D1552" t="s">
        <v>21</v>
      </c>
      <c r="E1552" t="s">
        <v>45</v>
      </c>
      <c r="F1552" t="s">
        <v>46</v>
      </c>
      <c r="G1552" s="58">
        <v>72687</v>
      </c>
      <c r="H1552" s="1" t="s">
        <v>47</v>
      </c>
      <c r="I1552" s="1" t="s">
        <v>111</v>
      </c>
      <c r="J1552" s="58">
        <v>944931</v>
      </c>
      <c r="K1552" s="1" t="s">
        <v>106</v>
      </c>
      <c r="L1552" s="1" t="s">
        <v>124</v>
      </c>
      <c r="N1552" s="1">
        <v>1</v>
      </c>
      <c r="O1552" s="58"/>
      <c r="P1552" s="58">
        <v>43612.2</v>
      </c>
      <c r="Q1552" t="s">
        <v>113</v>
      </c>
      <c r="R1552" s="1" t="s">
        <v>158</v>
      </c>
    </row>
    <row r="1553" spans="3:18" x14ac:dyDescent="0.35">
      <c r="C1553" t="s">
        <v>53</v>
      </c>
      <c r="D1553" t="s">
        <v>60</v>
      </c>
      <c r="E1553" t="s">
        <v>60</v>
      </c>
      <c r="F1553" t="s">
        <v>46</v>
      </c>
      <c r="G1553" s="58">
        <v>889088</v>
      </c>
      <c r="H1553" s="1" t="s">
        <v>61</v>
      </c>
      <c r="I1553" s="1" t="s">
        <v>105</v>
      </c>
      <c r="J1553" s="58">
        <v>1778176</v>
      </c>
      <c r="K1553" s="1" t="s">
        <v>106</v>
      </c>
      <c r="N1553" s="1">
        <v>1</v>
      </c>
      <c r="O1553" s="58"/>
      <c r="P1553" s="58">
        <v>160035.84</v>
      </c>
      <c r="Q1553" t="s">
        <v>107</v>
      </c>
    </row>
    <row r="1554" spans="3:18" x14ac:dyDescent="0.35">
      <c r="C1554" t="s">
        <v>53</v>
      </c>
      <c r="D1554" t="s">
        <v>92</v>
      </c>
      <c r="E1554" t="s">
        <v>45</v>
      </c>
      <c r="F1554" t="s">
        <v>46</v>
      </c>
      <c r="G1554" s="58">
        <v>29442</v>
      </c>
      <c r="H1554" s="1" t="s">
        <v>54</v>
      </c>
      <c r="I1554" s="1" t="s">
        <v>108</v>
      </c>
      <c r="J1554" s="58">
        <v>736050</v>
      </c>
      <c r="K1554" s="1" t="s">
        <v>106</v>
      </c>
      <c r="L1554" s="1" t="s">
        <v>120</v>
      </c>
      <c r="N1554" s="1">
        <v>1</v>
      </c>
      <c r="O1554" s="58"/>
      <c r="P1554" s="58">
        <v>15015.42</v>
      </c>
      <c r="Q1554" t="s">
        <v>113</v>
      </c>
      <c r="R1554" s="1" t="s">
        <v>158</v>
      </c>
    </row>
    <row r="1555" spans="3:18" x14ac:dyDescent="0.35">
      <c r="C1555" t="s">
        <v>51</v>
      </c>
      <c r="D1555" t="s">
        <v>19</v>
      </c>
      <c r="E1555" t="s">
        <v>49</v>
      </c>
      <c r="F1555" t="s">
        <v>46</v>
      </c>
      <c r="G1555" s="58">
        <v>0</v>
      </c>
      <c r="H1555" s="1" t="s">
        <v>54</v>
      </c>
      <c r="I1555" s="1" t="s">
        <v>119</v>
      </c>
      <c r="J1555" s="58">
        <v>0</v>
      </c>
      <c r="K1555" s="1" t="s">
        <v>106</v>
      </c>
      <c r="L1555" s="1" t="s">
        <v>124</v>
      </c>
      <c r="N1555" s="1">
        <v>1</v>
      </c>
      <c r="O1555" s="58"/>
      <c r="P1555" s="58">
        <v>0</v>
      </c>
      <c r="Q1555" t="s">
        <v>110</v>
      </c>
      <c r="R1555" s="1" t="s">
        <v>158</v>
      </c>
    </row>
    <row r="1556" spans="3:18" x14ac:dyDescent="0.35">
      <c r="C1556" t="s">
        <v>53</v>
      </c>
      <c r="D1556" t="s">
        <v>22</v>
      </c>
      <c r="E1556" t="s">
        <v>45</v>
      </c>
      <c r="F1556" t="s">
        <v>46</v>
      </c>
      <c r="G1556" s="58">
        <v>99200</v>
      </c>
      <c r="H1556" s="1" t="s">
        <v>56</v>
      </c>
      <c r="I1556" s="1" t="s">
        <v>128</v>
      </c>
      <c r="J1556" s="58"/>
      <c r="K1556" s="1" t="s">
        <v>106</v>
      </c>
      <c r="L1556" s="1" t="s">
        <v>120</v>
      </c>
      <c r="N1556" s="1">
        <v>0</v>
      </c>
      <c r="O1556" s="58"/>
      <c r="P1556" s="58">
        <v>100192</v>
      </c>
      <c r="Q1556" t="s">
        <v>110</v>
      </c>
      <c r="R1556" s="1" t="s">
        <v>158</v>
      </c>
    </row>
    <row r="1557" spans="3:18" x14ac:dyDescent="0.35">
      <c r="C1557" t="s">
        <v>51</v>
      </c>
      <c r="D1557" t="s">
        <v>24</v>
      </c>
      <c r="E1557" t="s">
        <v>55</v>
      </c>
      <c r="F1557" t="s">
        <v>46</v>
      </c>
      <c r="G1557" s="58">
        <v>149229</v>
      </c>
      <c r="H1557" s="1" t="s">
        <v>59</v>
      </c>
      <c r="I1557" s="1" t="s">
        <v>119</v>
      </c>
      <c r="J1557" s="58">
        <v>1193832</v>
      </c>
      <c r="K1557" s="1" t="s">
        <v>112</v>
      </c>
      <c r="N1557" s="1">
        <v>1</v>
      </c>
      <c r="O1557" s="58"/>
      <c r="P1557" s="58">
        <v>29845.8</v>
      </c>
      <c r="Q1557" t="s">
        <v>107</v>
      </c>
      <c r="R1557" s="1" t="s">
        <v>158</v>
      </c>
    </row>
    <row r="1558" spans="3:18" x14ac:dyDescent="0.35">
      <c r="C1558" t="s">
        <v>51</v>
      </c>
      <c r="D1558" t="s">
        <v>24</v>
      </c>
      <c r="E1558" t="s">
        <v>55</v>
      </c>
      <c r="F1558" t="s">
        <v>64</v>
      </c>
      <c r="G1558" s="58">
        <v>203955</v>
      </c>
      <c r="H1558" s="1" t="s">
        <v>48</v>
      </c>
      <c r="I1558" s="1" t="s">
        <v>111</v>
      </c>
      <c r="J1558" s="58">
        <v>3671190</v>
      </c>
      <c r="K1558" s="1" t="s">
        <v>112</v>
      </c>
      <c r="N1558" s="1">
        <v>1</v>
      </c>
      <c r="O1558" s="58"/>
      <c r="P1558" s="58">
        <v>142768.5</v>
      </c>
      <c r="Q1558" t="s">
        <v>118</v>
      </c>
      <c r="R1558" s="1" t="s">
        <v>48</v>
      </c>
    </row>
    <row r="1559" spans="3:18" x14ac:dyDescent="0.35">
      <c r="C1559" t="s">
        <v>51</v>
      </c>
      <c r="D1559" t="s">
        <v>24</v>
      </c>
      <c r="E1559" t="s">
        <v>45</v>
      </c>
      <c r="F1559" t="s">
        <v>46</v>
      </c>
      <c r="G1559" s="58">
        <v>465511</v>
      </c>
      <c r="H1559" s="1" t="s">
        <v>48</v>
      </c>
      <c r="I1559" s="1" t="s">
        <v>111</v>
      </c>
      <c r="J1559" s="58">
        <v>7913687</v>
      </c>
      <c r="K1559" s="1" t="s">
        <v>106</v>
      </c>
      <c r="L1559" s="1" t="s">
        <v>120</v>
      </c>
      <c r="M1559" s="1" t="s">
        <v>121</v>
      </c>
      <c r="N1559" s="1">
        <v>1</v>
      </c>
      <c r="O1559" s="58"/>
      <c r="P1559" s="58">
        <v>265341.27</v>
      </c>
      <c r="Q1559" t="s">
        <v>113</v>
      </c>
      <c r="R1559" s="1" t="s">
        <v>48</v>
      </c>
    </row>
    <row r="1560" spans="3:18" x14ac:dyDescent="0.35">
      <c r="C1560" t="s">
        <v>51</v>
      </c>
      <c r="D1560" t="s">
        <v>20</v>
      </c>
      <c r="E1560" t="s">
        <v>45</v>
      </c>
      <c r="F1560" t="s">
        <v>46</v>
      </c>
      <c r="G1560" s="58">
        <v>2130742</v>
      </c>
      <c r="H1560" s="1" t="s">
        <v>48</v>
      </c>
      <c r="I1560" s="1" t="s">
        <v>108</v>
      </c>
      <c r="J1560" s="58">
        <v>61791518</v>
      </c>
      <c r="K1560" s="1" t="s">
        <v>106</v>
      </c>
      <c r="L1560" s="1" t="s">
        <v>120</v>
      </c>
      <c r="M1560" s="1" t="s">
        <v>123</v>
      </c>
      <c r="N1560" s="1">
        <v>1</v>
      </c>
      <c r="O1560" s="58"/>
      <c r="P1560" s="58">
        <v>660530.02</v>
      </c>
      <c r="Q1560" t="s">
        <v>107</v>
      </c>
      <c r="R1560" s="1" t="s">
        <v>48</v>
      </c>
    </row>
    <row r="1561" spans="3:18" x14ac:dyDescent="0.35">
      <c r="C1561" t="s">
        <v>51</v>
      </c>
      <c r="D1561" t="s">
        <v>24</v>
      </c>
      <c r="E1561" t="s">
        <v>55</v>
      </c>
      <c r="F1561" t="s">
        <v>46</v>
      </c>
      <c r="G1561" s="58">
        <v>493019</v>
      </c>
      <c r="H1561" s="1" t="s">
        <v>56</v>
      </c>
      <c r="I1561" s="1" t="s">
        <v>108</v>
      </c>
      <c r="J1561" s="58">
        <v>13804532</v>
      </c>
      <c r="K1561" s="1" t="s">
        <v>112</v>
      </c>
      <c r="N1561" s="1">
        <v>1</v>
      </c>
      <c r="O1561" s="58"/>
      <c r="P1561" s="58">
        <v>256369.88</v>
      </c>
      <c r="Q1561" t="s">
        <v>113</v>
      </c>
      <c r="R1561" s="1" t="s">
        <v>158</v>
      </c>
    </row>
    <row r="1562" spans="3:18" x14ac:dyDescent="0.35">
      <c r="C1562" t="s">
        <v>51</v>
      </c>
      <c r="D1562" t="s">
        <v>22</v>
      </c>
      <c r="E1562" t="s">
        <v>45</v>
      </c>
      <c r="F1562" t="s">
        <v>46</v>
      </c>
      <c r="G1562" s="58">
        <v>6881698</v>
      </c>
      <c r="H1562" s="1" t="s">
        <v>47</v>
      </c>
      <c r="I1562" s="1" t="s">
        <v>111</v>
      </c>
      <c r="J1562" s="58">
        <v>110107168</v>
      </c>
      <c r="K1562" s="1" t="s">
        <v>112</v>
      </c>
      <c r="N1562" s="1">
        <v>1</v>
      </c>
      <c r="O1562" s="58"/>
      <c r="P1562" s="58">
        <v>1789241.48</v>
      </c>
      <c r="Q1562" t="s">
        <v>107</v>
      </c>
      <c r="R1562" s="1" t="s">
        <v>158</v>
      </c>
    </row>
    <row r="1563" spans="3:18" x14ac:dyDescent="0.35">
      <c r="C1563" t="s">
        <v>53</v>
      </c>
      <c r="D1563" t="s">
        <v>23</v>
      </c>
      <c r="E1563" t="s">
        <v>55</v>
      </c>
      <c r="F1563" t="s">
        <v>46</v>
      </c>
      <c r="G1563" s="58">
        <v>1029050</v>
      </c>
      <c r="H1563" s="1" t="s">
        <v>47</v>
      </c>
      <c r="I1563" s="1" t="s">
        <v>119</v>
      </c>
      <c r="J1563" s="58">
        <v>10290500</v>
      </c>
      <c r="K1563" s="1" t="s">
        <v>112</v>
      </c>
      <c r="N1563" s="1">
        <v>1</v>
      </c>
      <c r="O1563" s="58"/>
      <c r="P1563" s="58">
        <v>607139.5</v>
      </c>
      <c r="Q1563" t="s">
        <v>113</v>
      </c>
      <c r="R1563" s="1" t="s">
        <v>158</v>
      </c>
    </row>
    <row r="1564" spans="3:18" x14ac:dyDescent="0.35">
      <c r="C1564" t="s">
        <v>51</v>
      </c>
      <c r="D1564" t="s">
        <v>19</v>
      </c>
      <c r="E1564" t="s">
        <v>49</v>
      </c>
      <c r="F1564" t="s">
        <v>46</v>
      </c>
      <c r="G1564" s="58">
        <v>54974219</v>
      </c>
      <c r="H1564" s="1" t="s">
        <v>47</v>
      </c>
      <c r="I1564" s="1" t="s">
        <v>111</v>
      </c>
      <c r="J1564" s="58">
        <v>824613285</v>
      </c>
      <c r="K1564" s="1" t="s">
        <v>106</v>
      </c>
      <c r="L1564" s="1" t="s">
        <v>124</v>
      </c>
      <c r="N1564" s="1">
        <v>1</v>
      </c>
      <c r="O1564" s="58"/>
      <c r="P1564" s="58">
        <v>14843039.130000001</v>
      </c>
      <c r="Q1564" t="s">
        <v>107</v>
      </c>
      <c r="R1564" s="1" t="s">
        <v>158</v>
      </c>
    </row>
    <row r="1565" spans="3:18" x14ac:dyDescent="0.35">
      <c r="C1565" t="s">
        <v>51</v>
      </c>
      <c r="D1565" t="s">
        <v>24</v>
      </c>
      <c r="E1565" t="s">
        <v>55</v>
      </c>
      <c r="F1565" t="s">
        <v>46</v>
      </c>
      <c r="G1565" s="58">
        <v>372575</v>
      </c>
      <c r="H1565" s="1" t="s">
        <v>48</v>
      </c>
      <c r="I1565" s="1" t="s">
        <v>108</v>
      </c>
      <c r="J1565" s="58">
        <v>12667550</v>
      </c>
      <c r="K1565" s="1" t="s">
        <v>106</v>
      </c>
      <c r="L1565" s="1" t="s">
        <v>120</v>
      </c>
      <c r="M1565" s="1" t="s">
        <v>115</v>
      </c>
      <c r="N1565" s="1">
        <v>1</v>
      </c>
      <c r="O1565" s="58"/>
      <c r="P1565" s="58">
        <v>268254</v>
      </c>
      <c r="Q1565" t="s">
        <v>118</v>
      </c>
      <c r="R1565" s="1" t="s">
        <v>48</v>
      </c>
    </row>
    <row r="1566" spans="3:18" x14ac:dyDescent="0.35">
      <c r="C1566" t="s">
        <v>53</v>
      </c>
      <c r="D1566" t="s">
        <v>25</v>
      </c>
      <c r="E1566" t="s">
        <v>45</v>
      </c>
      <c r="F1566" t="s">
        <v>46</v>
      </c>
      <c r="G1566" s="58">
        <v>83266</v>
      </c>
      <c r="H1566" s="1" t="s">
        <v>47</v>
      </c>
      <c r="I1566" s="1" t="s">
        <v>105</v>
      </c>
      <c r="J1566" s="58"/>
      <c r="K1566" s="1" t="s">
        <v>106</v>
      </c>
      <c r="L1566" s="1" t="s">
        <v>120</v>
      </c>
      <c r="N1566" s="1">
        <v>0</v>
      </c>
      <c r="O1566" s="58"/>
      <c r="P1566" s="58">
        <v>2497.98</v>
      </c>
      <c r="Q1566" t="s">
        <v>107</v>
      </c>
      <c r="R1566" s="1" t="s">
        <v>158</v>
      </c>
    </row>
    <row r="1567" spans="3:18" x14ac:dyDescent="0.35">
      <c r="C1567" t="s">
        <v>51</v>
      </c>
      <c r="D1567" t="s">
        <v>22</v>
      </c>
      <c r="E1567" t="s">
        <v>45</v>
      </c>
      <c r="F1567" t="s">
        <v>46</v>
      </c>
      <c r="G1567" s="58">
        <v>46811328</v>
      </c>
      <c r="H1567" s="1" t="s">
        <v>56</v>
      </c>
      <c r="I1567" s="1" t="s">
        <v>108</v>
      </c>
      <c r="J1567" s="58">
        <v>1404339840</v>
      </c>
      <c r="K1567" s="1" t="s">
        <v>106</v>
      </c>
      <c r="L1567" s="1" t="s">
        <v>120</v>
      </c>
      <c r="N1567" s="1">
        <v>1</v>
      </c>
      <c r="O1567" s="58"/>
      <c r="P1567" s="58">
        <v>39789628.799999997</v>
      </c>
      <c r="Q1567" t="s">
        <v>127</v>
      </c>
      <c r="R1567" s="1" t="s">
        <v>158</v>
      </c>
    </row>
    <row r="1568" spans="3:18" x14ac:dyDescent="0.35">
      <c r="C1568" t="s">
        <v>53</v>
      </c>
      <c r="D1568" t="s">
        <v>92</v>
      </c>
      <c r="E1568" t="s">
        <v>45</v>
      </c>
      <c r="F1568" t="s">
        <v>46</v>
      </c>
      <c r="G1568" s="58">
        <v>85417</v>
      </c>
      <c r="H1568" s="1" t="s">
        <v>59</v>
      </c>
      <c r="I1568" s="1" t="s">
        <v>128</v>
      </c>
      <c r="J1568" s="58"/>
      <c r="K1568" s="1" t="s">
        <v>106</v>
      </c>
      <c r="L1568" s="1" t="s">
        <v>120</v>
      </c>
      <c r="N1568" s="1">
        <v>0</v>
      </c>
      <c r="O1568" s="58"/>
      <c r="P1568" s="58">
        <v>2562.5100000000002</v>
      </c>
      <c r="Q1568" t="s">
        <v>107</v>
      </c>
      <c r="R1568" s="1" t="s">
        <v>158</v>
      </c>
    </row>
    <row r="1569" spans="3:18" x14ac:dyDescent="0.35">
      <c r="C1569" t="s">
        <v>51</v>
      </c>
      <c r="D1569" t="s">
        <v>19</v>
      </c>
      <c r="E1569" t="s">
        <v>49</v>
      </c>
      <c r="F1569" t="s">
        <v>46</v>
      </c>
      <c r="G1569" s="58">
        <v>12458507</v>
      </c>
      <c r="H1569" s="1" t="s">
        <v>54</v>
      </c>
      <c r="I1569" s="1" t="s">
        <v>119</v>
      </c>
      <c r="J1569" s="58">
        <v>87209549</v>
      </c>
      <c r="K1569" s="1" t="s">
        <v>106</v>
      </c>
      <c r="L1569" s="1" t="s">
        <v>124</v>
      </c>
      <c r="N1569" s="1">
        <v>1</v>
      </c>
      <c r="O1569" s="58"/>
      <c r="P1569" s="58">
        <v>6104668.4299999997</v>
      </c>
      <c r="Q1569" t="s">
        <v>113</v>
      </c>
      <c r="R1569" s="1" t="s">
        <v>158</v>
      </c>
    </row>
    <row r="1570" spans="3:18" x14ac:dyDescent="0.35">
      <c r="C1570" t="s">
        <v>51</v>
      </c>
      <c r="D1570" t="s">
        <v>24</v>
      </c>
      <c r="E1570" t="s">
        <v>45</v>
      </c>
      <c r="F1570" t="s">
        <v>46</v>
      </c>
      <c r="G1570" s="58">
        <v>2968</v>
      </c>
      <c r="H1570" s="1" t="s">
        <v>59</v>
      </c>
      <c r="I1570" s="1" t="s">
        <v>105</v>
      </c>
      <c r="J1570" s="58"/>
      <c r="K1570" s="1" t="s">
        <v>106</v>
      </c>
      <c r="L1570" s="1" t="s">
        <v>120</v>
      </c>
      <c r="N1570" s="1">
        <v>0</v>
      </c>
      <c r="O1570" s="58"/>
      <c r="P1570" s="58">
        <v>59.36</v>
      </c>
      <c r="Q1570" t="s">
        <v>107</v>
      </c>
      <c r="R1570" s="1" t="s">
        <v>158</v>
      </c>
    </row>
    <row r="1571" spans="3:18" x14ac:dyDescent="0.35">
      <c r="C1571" t="s">
        <v>51</v>
      </c>
      <c r="D1571" t="s">
        <v>23</v>
      </c>
      <c r="E1571" t="s">
        <v>50</v>
      </c>
      <c r="F1571" t="s">
        <v>46</v>
      </c>
      <c r="G1571" s="58">
        <v>761441</v>
      </c>
      <c r="H1571" s="1" t="s">
        <v>48</v>
      </c>
      <c r="I1571" s="1" t="s">
        <v>119</v>
      </c>
      <c r="J1571" s="58">
        <v>6091528</v>
      </c>
      <c r="K1571" s="1" t="s">
        <v>106</v>
      </c>
      <c r="L1571" s="1" t="s">
        <v>109</v>
      </c>
      <c r="M1571" s="1" t="s">
        <v>125</v>
      </c>
      <c r="N1571" s="1">
        <v>1</v>
      </c>
      <c r="O1571" s="58"/>
      <c r="P1571" s="58">
        <v>197974.66</v>
      </c>
      <c r="Q1571" t="s">
        <v>107</v>
      </c>
      <c r="R1571" s="1" t="s">
        <v>48</v>
      </c>
    </row>
    <row r="1572" spans="3:18" x14ac:dyDescent="0.35">
      <c r="C1572" t="s">
        <v>51</v>
      </c>
      <c r="D1572" t="s">
        <v>21</v>
      </c>
      <c r="E1572" t="s">
        <v>49</v>
      </c>
      <c r="F1572" t="s">
        <v>46</v>
      </c>
      <c r="G1572" s="58">
        <v>4454798</v>
      </c>
      <c r="H1572" s="1" t="s">
        <v>47</v>
      </c>
      <c r="I1572" s="1" t="s">
        <v>111</v>
      </c>
      <c r="J1572" s="58">
        <v>66821970</v>
      </c>
      <c r="K1572" s="1" t="s">
        <v>106</v>
      </c>
      <c r="L1572" s="1" t="s">
        <v>120</v>
      </c>
      <c r="N1572" s="1">
        <v>1</v>
      </c>
      <c r="O1572" s="58"/>
      <c r="P1572" s="58">
        <v>1113699.5</v>
      </c>
      <c r="Q1572" t="s">
        <v>107</v>
      </c>
      <c r="R1572" s="1" t="s">
        <v>158</v>
      </c>
    </row>
    <row r="1573" spans="3:18" x14ac:dyDescent="0.35">
      <c r="C1573" t="s">
        <v>51</v>
      </c>
      <c r="D1573" t="s">
        <v>24</v>
      </c>
      <c r="E1573" t="s">
        <v>45</v>
      </c>
      <c r="F1573" t="s">
        <v>46</v>
      </c>
      <c r="G1573" s="58">
        <v>127867</v>
      </c>
      <c r="H1573" s="1" t="s">
        <v>47</v>
      </c>
      <c r="I1573" s="1" t="s">
        <v>111</v>
      </c>
      <c r="J1573" s="58">
        <v>2557340</v>
      </c>
      <c r="K1573" s="1" t="s">
        <v>112</v>
      </c>
      <c r="N1573" s="1">
        <v>1</v>
      </c>
      <c r="O1573" s="58"/>
      <c r="P1573" s="58">
        <v>30688.080000000002</v>
      </c>
      <c r="Q1573" t="s">
        <v>107</v>
      </c>
      <c r="R1573" s="1" t="s">
        <v>158</v>
      </c>
    </row>
    <row r="1574" spans="3:18" x14ac:dyDescent="0.35">
      <c r="C1574" t="s">
        <v>51</v>
      </c>
      <c r="D1574" t="s">
        <v>24</v>
      </c>
      <c r="E1574" t="s">
        <v>45</v>
      </c>
      <c r="F1574" t="s">
        <v>46</v>
      </c>
      <c r="G1574" s="58">
        <v>1406473</v>
      </c>
      <c r="H1574" s="1" t="s">
        <v>47</v>
      </c>
      <c r="I1574" s="1" t="s">
        <v>108</v>
      </c>
      <c r="J1574" s="58">
        <v>42194190</v>
      </c>
      <c r="K1574" s="1" t="s">
        <v>106</v>
      </c>
      <c r="L1574" s="1" t="s">
        <v>120</v>
      </c>
      <c r="N1574" s="1">
        <v>1</v>
      </c>
      <c r="O1574" s="58"/>
      <c r="P1574" s="58">
        <v>1195502.05</v>
      </c>
      <c r="Q1574" t="s">
        <v>127</v>
      </c>
      <c r="R1574" s="1" t="s">
        <v>158</v>
      </c>
    </row>
    <row r="1575" spans="3:18" x14ac:dyDescent="0.35">
      <c r="C1575" t="s">
        <v>51</v>
      </c>
      <c r="D1575" t="s">
        <v>21</v>
      </c>
      <c r="E1575" t="s">
        <v>45</v>
      </c>
      <c r="F1575" t="s">
        <v>46</v>
      </c>
      <c r="G1575" s="58">
        <v>10970185</v>
      </c>
      <c r="H1575" s="1" t="s">
        <v>54</v>
      </c>
      <c r="I1575" s="1" t="s">
        <v>108</v>
      </c>
      <c r="J1575" s="58">
        <v>263284440</v>
      </c>
      <c r="K1575" s="1" t="s">
        <v>106</v>
      </c>
      <c r="L1575" s="1" t="s">
        <v>120</v>
      </c>
      <c r="N1575" s="1">
        <v>1</v>
      </c>
      <c r="O1575" s="58"/>
      <c r="P1575" s="58">
        <v>5704496.2000000002</v>
      </c>
      <c r="Q1575" t="s">
        <v>113</v>
      </c>
      <c r="R1575" s="1" t="s">
        <v>158</v>
      </c>
    </row>
    <row r="1576" spans="3:18" x14ac:dyDescent="0.35">
      <c r="C1576" t="s">
        <v>51</v>
      </c>
      <c r="D1576" t="s">
        <v>92</v>
      </c>
      <c r="E1576" t="s">
        <v>49</v>
      </c>
      <c r="F1576" t="s">
        <v>46</v>
      </c>
      <c r="G1576" s="58">
        <v>108011</v>
      </c>
      <c r="H1576" s="1" t="s">
        <v>47</v>
      </c>
      <c r="I1576" s="1" t="s">
        <v>105</v>
      </c>
      <c r="J1576" s="58">
        <v>324033</v>
      </c>
      <c r="K1576" s="1" t="s">
        <v>106</v>
      </c>
      <c r="L1576" s="1" t="s">
        <v>120</v>
      </c>
      <c r="N1576" s="1">
        <v>1</v>
      </c>
      <c r="O1576" s="58"/>
      <c r="P1576" s="58">
        <v>10801.1</v>
      </c>
      <c r="Q1576" t="s">
        <v>107</v>
      </c>
      <c r="R1576" s="1" t="s">
        <v>158</v>
      </c>
    </row>
    <row r="1577" spans="3:18" x14ac:dyDescent="0.35">
      <c r="C1577" t="s">
        <v>53</v>
      </c>
      <c r="D1577" t="s">
        <v>24</v>
      </c>
      <c r="E1577" t="s">
        <v>55</v>
      </c>
      <c r="F1577" t="s">
        <v>46</v>
      </c>
      <c r="G1577" s="58">
        <v>1448201</v>
      </c>
      <c r="H1577" s="1" t="s">
        <v>54</v>
      </c>
      <c r="I1577" s="1" t="s">
        <v>119</v>
      </c>
      <c r="J1577" s="58">
        <v>11585608</v>
      </c>
      <c r="K1577" s="1" t="s">
        <v>106</v>
      </c>
      <c r="L1577" s="1" t="s">
        <v>114</v>
      </c>
      <c r="N1577" s="1">
        <v>1</v>
      </c>
      <c r="O1577" s="58"/>
      <c r="P1577" s="58">
        <v>753064.52</v>
      </c>
      <c r="Q1577" t="s">
        <v>113</v>
      </c>
      <c r="R1577" s="1" t="s">
        <v>158</v>
      </c>
    </row>
    <row r="1578" spans="3:18" x14ac:dyDescent="0.35">
      <c r="C1578" t="s">
        <v>53</v>
      </c>
      <c r="D1578" t="s">
        <v>21</v>
      </c>
      <c r="E1578" t="s">
        <v>49</v>
      </c>
      <c r="F1578" t="s">
        <v>46</v>
      </c>
      <c r="G1578" s="58">
        <v>1643921</v>
      </c>
      <c r="H1578" s="1" t="s">
        <v>47</v>
      </c>
      <c r="I1578" s="1" t="s">
        <v>111</v>
      </c>
      <c r="J1578" s="58">
        <v>21370973</v>
      </c>
      <c r="K1578" s="1" t="s">
        <v>106</v>
      </c>
      <c r="L1578" s="1" t="s">
        <v>120</v>
      </c>
      <c r="N1578" s="1">
        <v>1</v>
      </c>
      <c r="O1578" s="58"/>
      <c r="P1578" s="58">
        <v>180831.31</v>
      </c>
      <c r="Q1578" t="s">
        <v>107</v>
      </c>
      <c r="R1578" s="1" t="s">
        <v>158</v>
      </c>
    </row>
    <row r="1579" spans="3:18" x14ac:dyDescent="0.35">
      <c r="C1579" t="s">
        <v>51</v>
      </c>
      <c r="D1579" t="s">
        <v>23</v>
      </c>
      <c r="E1579" t="s">
        <v>45</v>
      </c>
      <c r="F1579" t="s">
        <v>46</v>
      </c>
      <c r="G1579" s="58">
        <v>3733868</v>
      </c>
      <c r="H1579" s="1" t="s">
        <v>48</v>
      </c>
      <c r="I1579" s="1" t="s">
        <v>119</v>
      </c>
      <c r="J1579" s="58">
        <v>37338680</v>
      </c>
      <c r="K1579" s="1" t="s">
        <v>112</v>
      </c>
      <c r="N1579" s="1">
        <v>1</v>
      </c>
      <c r="O1579" s="58"/>
      <c r="P1579" s="58">
        <v>2837739.68</v>
      </c>
      <c r="Q1579" t="s">
        <v>118</v>
      </c>
      <c r="R1579" s="1" t="s">
        <v>158</v>
      </c>
    </row>
    <row r="1580" spans="3:18" x14ac:dyDescent="0.35">
      <c r="C1580" t="s">
        <v>51</v>
      </c>
      <c r="D1580" t="s">
        <v>91</v>
      </c>
      <c r="E1580" t="s">
        <v>49</v>
      </c>
      <c r="F1580" t="s">
        <v>46</v>
      </c>
      <c r="G1580" s="58">
        <v>290730</v>
      </c>
      <c r="H1580" s="1" t="s">
        <v>48</v>
      </c>
      <c r="I1580" s="1" t="s">
        <v>108</v>
      </c>
      <c r="J1580" s="58">
        <v>9884820</v>
      </c>
      <c r="K1580" s="1" t="s">
        <v>106</v>
      </c>
      <c r="L1580" s="1" t="s">
        <v>109</v>
      </c>
      <c r="M1580" s="1" t="s">
        <v>121</v>
      </c>
      <c r="N1580" s="1">
        <v>1</v>
      </c>
      <c r="O1580" s="58"/>
      <c r="P1580" s="58">
        <v>186067.20000000001</v>
      </c>
      <c r="Q1580" t="s">
        <v>118</v>
      </c>
      <c r="R1580" s="1" t="s">
        <v>158</v>
      </c>
    </row>
    <row r="1581" spans="3:18" x14ac:dyDescent="0.35">
      <c r="C1581" t="s">
        <v>51</v>
      </c>
      <c r="D1581" t="s">
        <v>60</v>
      </c>
      <c r="E1581" t="s">
        <v>60</v>
      </c>
      <c r="F1581" t="s">
        <v>46</v>
      </c>
      <c r="G1581" s="58">
        <v>397942</v>
      </c>
      <c r="H1581" s="1" t="s">
        <v>90</v>
      </c>
      <c r="I1581" s="1" t="s">
        <v>119</v>
      </c>
      <c r="J1581" s="58">
        <v>3183536</v>
      </c>
      <c r="K1581" s="1" t="s">
        <v>106</v>
      </c>
      <c r="N1581" s="1">
        <v>1</v>
      </c>
      <c r="O1581" s="58"/>
      <c r="P1581" s="58">
        <v>0</v>
      </c>
      <c r="Q1581" t="s">
        <v>107</v>
      </c>
      <c r="R1581" s="1" t="s">
        <v>90</v>
      </c>
    </row>
    <row r="1582" spans="3:18" x14ac:dyDescent="0.35">
      <c r="C1582" t="s">
        <v>51</v>
      </c>
      <c r="D1582" t="s">
        <v>24</v>
      </c>
      <c r="E1582" t="s">
        <v>55</v>
      </c>
      <c r="F1582" t="s">
        <v>46</v>
      </c>
      <c r="G1582" s="58">
        <v>231706</v>
      </c>
      <c r="H1582" s="1" t="s">
        <v>48</v>
      </c>
      <c r="I1582" s="1" t="s">
        <v>108</v>
      </c>
      <c r="J1582" s="58">
        <v>9036534</v>
      </c>
      <c r="K1582" s="1" t="s">
        <v>106</v>
      </c>
      <c r="L1582" s="1" t="s">
        <v>120</v>
      </c>
      <c r="M1582" s="1" t="s">
        <v>121</v>
      </c>
      <c r="N1582" s="1">
        <v>1</v>
      </c>
      <c r="O1582" s="58"/>
      <c r="P1582" s="58">
        <v>132072.42000000001</v>
      </c>
      <c r="Q1582" t="s">
        <v>113</v>
      </c>
      <c r="R1582" s="1" t="s">
        <v>48</v>
      </c>
    </row>
    <row r="1583" spans="3:18" x14ac:dyDescent="0.35">
      <c r="C1583" t="s">
        <v>51</v>
      </c>
      <c r="D1583" t="s">
        <v>21</v>
      </c>
      <c r="E1583" t="s">
        <v>49</v>
      </c>
      <c r="F1583" t="s">
        <v>46</v>
      </c>
      <c r="G1583" s="58">
        <v>654055</v>
      </c>
      <c r="H1583" s="1" t="s">
        <v>48</v>
      </c>
      <c r="I1583" s="1" t="s">
        <v>108</v>
      </c>
      <c r="J1583" s="58">
        <v>15697320</v>
      </c>
      <c r="K1583" s="1" t="s">
        <v>106</v>
      </c>
      <c r="L1583" s="1" t="s">
        <v>114</v>
      </c>
      <c r="M1583" s="1" t="s">
        <v>121</v>
      </c>
      <c r="N1583" s="1">
        <v>1</v>
      </c>
      <c r="O1583" s="58"/>
      <c r="P1583" s="58">
        <v>385892.45</v>
      </c>
      <c r="Q1583" t="s">
        <v>113</v>
      </c>
      <c r="R1583" s="1" t="s">
        <v>158</v>
      </c>
    </row>
    <row r="1584" spans="3:18" x14ac:dyDescent="0.35">
      <c r="C1584" t="s">
        <v>53</v>
      </c>
      <c r="D1584" t="s">
        <v>21</v>
      </c>
      <c r="E1584" t="s">
        <v>45</v>
      </c>
      <c r="F1584" t="s">
        <v>46</v>
      </c>
      <c r="G1584" s="58">
        <v>260000</v>
      </c>
      <c r="H1584" s="1" t="s">
        <v>56</v>
      </c>
      <c r="I1584" s="1" t="s">
        <v>111</v>
      </c>
      <c r="J1584" s="58">
        <v>3380000</v>
      </c>
      <c r="K1584" s="1" t="s">
        <v>106</v>
      </c>
      <c r="L1584" s="1" t="s">
        <v>120</v>
      </c>
      <c r="N1584" s="1">
        <v>1</v>
      </c>
      <c r="O1584" s="58"/>
      <c r="P1584" s="58">
        <v>390000</v>
      </c>
      <c r="Q1584" t="s">
        <v>110</v>
      </c>
      <c r="R1584" s="1" t="s">
        <v>158</v>
      </c>
    </row>
    <row r="1585" spans="3:18" x14ac:dyDescent="0.35">
      <c r="C1585" t="s">
        <v>53</v>
      </c>
      <c r="D1585" t="s">
        <v>60</v>
      </c>
      <c r="E1585" t="s">
        <v>60</v>
      </c>
      <c r="F1585" t="s">
        <v>46</v>
      </c>
      <c r="G1585" s="58">
        <v>33977528</v>
      </c>
      <c r="H1585" s="1" t="s">
        <v>90</v>
      </c>
      <c r="I1585" s="1" t="s">
        <v>105</v>
      </c>
      <c r="J1585" s="58">
        <v>101932584</v>
      </c>
      <c r="K1585" s="1" t="s">
        <v>106</v>
      </c>
      <c r="N1585" s="1">
        <v>1</v>
      </c>
      <c r="O1585" s="58"/>
      <c r="P1585" s="58">
        <v>41112808.880000003</v>
      </c>
      <c r="Q1585" t="s">
        <v>110</v>
      </c>
      <c r="R1585" s="1" t="s">
        <v>90</v>
      </c>
    </row>
    <row r="1586" spans="3:18" x14ac:dyDescent="0.35">
      <c r="C1586" t="s">
        <v>51</v>
      </c>
      <c r="D1586" t="s">
        <v>92</v>
      </c>
      <c r="E1586" t="s">
        <v>55</v>
      </c>
      <c r="F1586" t="s">
        <v>46</v>
      </c>
      <c r="G1586" s="58">
        <v>276034</v>
      </c>
      <c r="H1586" s="1" t="s">
        <v>48</v>
      </c>
      <c r="I1586" s="1" t="s">
        <v>111</v>
      </c>
      <c r="J1586" s="58">
        <v>4416544</v>
      </c>
      <c r="K1586" s="1" t="s">
        <v>106</v>
      </c>
      <c r="L1586" s="1" t="s">
        <v>114</v>
      </c>
      <c r="M1586" s="1" t="s">
        <v>123</v>
      </c>
      <c r="N1586" s="1">
        <v>1</v>
      </c>
      <c r="O1586" s="58"/>
      <c r="P1586" s="58">
        <v>129735.98</v>
      </c>
      <c r="Q1586" t="s">
        <v>113</v>
      </c>
      <c r="R1586" s="1" t="s">
        <v>48</v>
      </c>
    </row>
    <row r="1587" spans="3:18" x14ac:dyDescent="0.35">
      <c r="C1587" t="s">
        <v>51</v>
      </c>
      <c r="D1587" t="s">
        <v>23</v>
      </c>
      <c r="E1587" t="s">
        <v>45</v>
      </c>
      <c r="F1587" t="s">
        <v>46</v>
      </c>
      <c r="G1587" s="58">
        <v>222386</v>
      </c>
      <c r="H1587" s="1" t="s">
        <v>47</v>
      </c>
      <c r="I1587" s="1" t="s">
        <v>111</v>
      </c>
      <c r="J1587" s="58">
        <v>3335790</v>
      </c>
      <c r="K1587" s="1" t="s">
        <v>112</v>
      </c>
      <c r="N1587" s="1">
        <v>1</v>
      </c>
      <c r="O1587" s="58"/>
      <c r="P1587" s="58">
        <v>151222.48000000001</v>
      </c>
      <c r="Q1587" t="s">
        <v>118</v>
      </c>
      <c r="R1587" s="1" t="s">
        <v>158</v>
      </c>
    </row>
    <row r="1588" spans="3:18" x14ac:dyDescent="0.35">
      <c r="C1588" t="s">
        <v>51</v>
      </c>
      <c r="D1588" t="s">
        <v>21</v>
      </c>
      <c r="E1588" t="s">
        <v>45</v>
      </c>
      <c r="F1588" t="s">
        <v>46</v>
      </c>
      <c r="G1588" s="58">
        <v>39905</v>
      </c>
      <c r="H1588" s="1" t="s">
        <v>54</v>
      </c>
      <c r="I1588" s="1" t="s">
        <v>105</v>
      </c>
      <c r="J1588" s="58">
        <v>119715</v>
      </c>
      <c r="K1588" s="1" t="s">
        <v>106</v>
      </c>
      <c r="L1588" s="1" t="s">
        <v>120</v>
      </c>
      <c r="N1588" s="1">
        <v>1</v>
      </c>
      <c r="O1588" s="58"/>
      <c r="P1588" s="58">
        <v>18356.3</v>
      </c>
      <c r="Q1588" t="s">
        <v>113</v>
      </c>
      <c r="R1588" s="1" t="s">
        <v>158</v>
      </c>
    </row>
    <row r="1589" spans="3:18" x14ac:dyDescent="0.35">
      <c r="C1589" t="s">
        <v>51</v>
      </c>
      <c r="D1589" t="s">
        <v>24</v>
      </c>
      <c r="E1589" t="s">
        <v>45</v>
      </c>
      <c r="F1589" t="s">
        <v>46</v>
      </c>
      <c r="G1589" s="58">
        <v>251245</v>
      </c>
      <c r="H1589" s="1" t="s">
        <v>48</v>
      </c>
      <c r="I1589" s="1" t="s">
        <v>108</v>
      </c>
      <c r="J1589" s="58">
        <v>9296065</v>
      </c>
      <c r="K1589" s="1" t="s">
        <v>106</v>
      </c>
      <c r="L1589" s="1" t="s">
        <v>114</v>
      </c>
      <c r="M1589" s="1" t="s">
        <v>122</v>
      </c>
      <c r="N1589" s="1">
        <v>1</v>
      </c>
      <c r="O1589" s="58"/>
      <c r="P1589" s="58">
        <v>206020.9</v>
      </c>
      <c r="Q1589" t="s">
        <v>127</v>
      </c>
      <c r="R1589" s="1" t="s">
        <v>48</v>
      </c>
    </row>
    <row r="1590" spans="3:18" x14ac:dyDescent="0.35">
      <c r="C1590" t="s">
        <v>51</v>
      </c>
      <c r="D1590" t="s">
        <v>19</v>
      </c>
      <c r="E1590" t="s">
        <v>49</v>
      </c>
      <c r="F1590" t="s">
        <v>46</v>
      </c>
      <c r="G1590" s="58">
        <v>7095032</v>
      </c>
      <c r="H1590" s="1" t="s">
        <v>47</v>
      </c>
      <c r="I1590" s="1" t="s">
        <v>108</v>
      </c>
      <c r="J1590" s="58">
        <v>227041024</v>
      </c>
      <c r="K1590" s="1" t="s">
        <v>112</v>
      </c>
      <c r="N1590" s="1">
        <v>1</v>
      </c>
      <c r="O1590" s="58"/>
      <c r="P1590" s="58">
        <v>4895572.08</v>
      </c>
      <c r="Q1590" t="s">
        <v>118</v>
      </c>
      <c r="R1590" s="1" t="s">
        <v>158</v>
      </c>
    </row>
    <row r="1591" spans="3:18" x14ac:dyDescent="0.35">
      <c r="C1591" t="s">
        <v>53</v>
      </c>
      <c r="D1591" t="s">
        <v>24</v>
      </c>
      <c r="E1591" t="s">
        <v>55</v>
      </c>
      <c r="F1591" t="s">
        <v>46</v>
      </c>
      <c r="G1591" s="58">
        <v>23304862</v>
      </c>
      <c r="H1591" s="1" t="s">
        <v>54</v>
      </c>
      <c r="I1591" s="1" t="s">
        <v>105</v>
      </c>
      <c r="J1591" s="58">
        <v>69914586</v>
      </c>
      <c r="K1591" s="1" t="s">
        <v>106</v>
      </c>
      <c r="L1591" s="1" t="s">
        <v>114</v>
      </c>
      <c r="N1591" s="1">
        <v>1</v>
      </c>
      <c r="O1591" s="58"/>
      <c r="P1591" s="58">
        <v>4427923.78</v>
      </c>
      <c r="Q1591" t="s">
        <v>107</v>
      </c>
      <c r="R1591" s="1" t="s">
        <v>158</v>
      </c>
    </row>
    <row r="1592" spans="3:18" x14ac:dyDescent="0.35">
      <c r="C1592" t="s">
        <v>51</v>
      </c>
      <c r="D1592" t="s">
        <v>23</v>
      </c>
      <c r="E1592" t="s">
        <v>55</v>
      </c>
      <c r="F1592" t="s">
        <v>46</v>
      </c>
      <c r="G1592" s="58">
        <v>71618</v>
      </c>
      <c r="H1592" s="1" t="s">
        <v>56</v>
      </c>
      <c r="I1592" s="1" t="s">
        <v>111</v>
      </c>
      <c r="J1592" s="58">
        <v>1074270</v>
      </c>
      <c r="K1592" s="1" t="s">
        <v>106</v>
      </c>
      <c r="L1592" s="1" t="s">
        <v>116</v>
      </c>
      <c r="N1592" s="1">
        <v>1</v>
      </c>
      <c r="O1592" s="58"/>
      <c r="P1592" s="58">
        <v>19336.86</v>
      </c>
      <c r="Q1592" t="s">
        <v>107</v>
      </c>
      <c r="R1592" s="1" t="s">
        <v>158</v>
      </c>
    </row>
    <row r="1593" spans="3:18" x14ac:dyDescent="0.35">
      <c r="C1593" t="s">
        <v>51</v>
      </c>
      <c r="D1593" t="s">
        <v>22</v>
      </c>
      <c r="E1593" t="s">
        <v>62</v>
      </c>
      <c r="F1593" t="s">
        <v>46</v>
      </c>
      <c r="G1593" s="58">
        <v>439457</v>
      </c>
      <c r="H1593" s="1" t="s">
        <v>48</v>
      </c>
      <c r="I1593" s="1" t="s">
        <v>111</v>
      </c>
      <c r="J1593" s="58">
        <v>5273484</v>
      </c>
      <c r="K1593" s="1" t="s">
        <v>112</v>
      </c>
      <c r="N1593" s="1">
        <v>1</v>
      </c>
      <c r="O1593" s="58"/>
      <c r="P1593" s="58">
        <v>369143.88</v>
      </c>
      <c r="Q1593" t="s">
        <v>127</v>
      </c>
      <c r="R1593" s="1" t="s">
        <v>48</v>
      </c>
    </row>
    <row r="1594" spans="3:18" x14ac:dyDescent="0.35">
      <c r="C1594" t="s">
        <v>51</v>
      </c>
      <c r="D1594" t="s">
        <v>24</v>
      </c>
      <c r="E1594" t="s">
        <v>49</v>
      </c>
      <c r="F1594" t="s">
        <v>46</v>
      </c>
      <c r="G1594" s="58">
        <v>82363</v>
      </c>
      <c r="H1594" s="1" t="s">
        <v>48</v>
      </c>
      <c r="I1594" s="1" t="s">
        <v>119</v>
      </c>
      <c r="J1594" s="58">
        <v>741267</v>
      </c>
      <c r="K1594" s="1" t="s">
        <v>106</v>
      </c>
      <c r="L1594" s="1" t="s">
        <v>114</v>
      </c>
      <c r="M1594" s="1" t="s">
        <v>121</v>
      </c>
      <c r="N1594" s="1">
        <v>1</v>
      </c>
      <c r="O1594" s="58"/>
      <c r="P1594" s="58">
        <v>27179.79</v>
      </c>
      <c r="Q1594" t="s">
        <v>107</v>
      </c>
      <c r="R1594" s="1" t="s">
        <v>48</v>
      </c>
    </row>
    <row r="1595" spans="3:18" x14ac:dyDescent="0.35">
      <c r="C1595" t="s">
        <v>53</v>
      </c>
      <c r="D1595" t="s">
        <v>60</v>
      </c>
      <c r="E1595" t="s">
        <v>60</v>
      </c>
      <c r="F1595" t="s">
        <v>46</v>
      </c>
      <c r="G1595" s="58">
        <v>122773</v>
      </c>
      <c r="H1595" s="1" t="s">
        <v>90</v>
      </c>
      <c r="I1595" s="1" t="s">
        <v>105</v>
      </c>
      <c r="J1595" s="58"/>
      <c r="K1595" s="1" t="s">
        <v>106</v>
      </c>
      <c r="N1595" s="1">
        <v>0</v>
      </c>
      <c r="O1595" s="58"/>
      <c r="P1595" s="58">
        <v>8594.11</v>
      </c>
      <c r="Q1595" t="s">
        <v>107</v>
      </c>
      <c r="R1595" s="1" t="s">
        <v>90</v>
      </c>
    </row>
    <row r="1596" spans="3:18" x14ac:dyDescent="0.35">
      <c r="C1596" t="s">
        <v>51</v>
      </c>
      <c r="D1596" t="s">
        <v>21</v>
      </c>
      <c r="E1596" t="s">
        <v>50</v>
      </c>
      <c r="F1596" t="s">
        <v>46</v>
      </c>
      <c r="G1596" s="58">
        <v>470295</v>
      </c>
      <c r="H1596" s="1" t="s">
        <v>48</v>
      </c>
      <c r="I1596" s="1" t="s">
        <v>108</v>
      </c>
      <c r="J1596" s="58">
        <v>15519735</v>
      </c>
      <c r="K1596" s="1" t="s">
        <v>106</v>
      </c>
      <c r="L1596" s="1" t="s">
        <v>109</v>
      </c>
      <c r="M1596" s="1" t="s">
        <v>126</v>
      </c>
      <c r="N1596" s="1">
        <v>1</v>
      </c>
      <c r="O1596" s="58"/>
      <c r="P1596" s="58">
        <v>380938.95</v>
      </c>
      <c r="Q1596" t="s">
        <v>127</v>
      </c>
      <c r="R1596" s="1" t="s">
        <v>158</v>
      </c>
    </row>
    <row r="1597" spans="3:18" x14ac:dyDescent="0.35">
      <c r="C1597" t="s">
        <v>53</v>
      </c>
      <c r="D1597" t="s">
        <v>20</v>
      </c>
      <c r="E1597" t="s">
        <v>49</v>
      </c>
      <c r="F1597" t="s">
        <v>46</v>
      </c>
      <c r="G1597" s="58">
        <v>201167</v>
      </c>
      <c r="H1597" s="1" t="s">
        <v>54</v>
      </c>
      <c r="I1597" s="1" t="s">
        <v>119</v>
      </c>
      <c r="J1597" s="58">
        <v>1810503</v>
      </c>
      <c r="K1597" s="1" t="s">
        <v>106</v>
      </c>
      <c r="L1597" s="1" t="s">
        <v>124</v>
      </c>
      <c r="N1597" s="1">
        <v>1</v>
      </c>
      <c r="O1597" s="58"/>
      <c r="P1597" s="58">
        <v>124723.54</v>
      </c>
      <c r="Q1597" t="s">
        <v>118</v>
      </c>
      <c r="R1597" s="1" t="s">
        <v>158</v>
      </c>
    </row>
    <row r="1598" spans="3:18" x14ac:dyDescent="0.35">
      <c r="C1598" t="s">
        <v>51</v>
      </c>
      <c r="D1598" t="s">
        <v>22</v>
      </c>
      <c r="E1598" t="s">
        <v>55</v>
      </c>
      <c r="F1598" t="s">
        <v>46</v>
      </c>
      <c r="G1598" s="58">
        <v>53745662</v>
      </c>
      <c r="H1598" s="1" t="s">
        <v>48</v>
      </c>
      <c r="I1598" s="1" t="s">
        <v>108</v>
      </c>
      <c r="J1598" s="58">
        <v>1934843832</v>
      </c>
      <c r="K1598" s="1" t="s">
        <v>106</v>
      </c>
      <c r="L1598" s="1" t="s">
        <v>114</v>
      </c>
      <c r="M1598" s="1" t="s">
        <v>115</v>
      </c>
      <c r="N1598" s="1">
        <v>1</v>
      </c>
      <c r="O1598" s="58"/>
      <c r="P1598" s="58">
        <v>44608899.460000001</v>
      </c>
      <c r="Q1598" t="s">
        <v>127</v>
      </c>
      <c r="R1598" s="1" t="s">
        <v>48</v>
      </c>
    </row>
    <row r="1599" spans="3:18" x14ac:dyDescent="0.35">
      <c r="C1599" t="s">
        <v>51</v>
      </c>
      <c r="D1599" t="s">
        <v>23</v>
      </c>
      <c r="E1599" t="s">
        <v>45</v>
      </c>
      <c r="F1599" t="s">
        <v>64</v>
      </c>
      <c r="G1599" s="58">
        <v>586479</v>
      </c>
      <c r="H1599" s="1" t="s">
        <v>48</v>
      </c>
      <c r="I1599" s="1" t="s">
        <v>108</v>
      </c>
      <c r="J1599" s="58">
        <v>22286202</v>
      </c>
      <c r="K1599" s="1" t="s">
        <v>112</v>
      </c>
      <c r="N1599" s="1">
        <v>1</v>
      </c>
      <c r="O1599" s="58"/>
      <c r="P1599" s="58">
        <v>451588.83</v>
      </c>
      <c r="Q1599" t="s">
        <v>118</v>
      </c>
      <c r="R1599" s="1" t="s">
        <v>48</v>
      </c>
    </row>
    <row r="1600" spans="3:18" x14ac:dyDescent="0.35">
      <c r="C1600" t="s">
        <v>51</v>
      </c>
      <c r="D1600" t="s">
        <v>23</v>
      </c>
      <c r="E1600" t="s">
        <v>52</v>
      </c>
      <c r="F1600" t="s">
        <v>46</v>
      </c>
      <c r="G1600" s="58">
        <v>2433744</v>
      </c>
      <c r="H1600" s="1" t="s">
        <v>48</v>
      </c>
      <c r="I1600" s="1" t="s">
        <v>108</v>
      </c>
      <c r="J1600" s="58">
        <v>82747296</v>
      </c>
      <c r="K1600" s="1" t="s">
        <v>106</v>
      </c>
      <c r="L1600" s="1" t="s">
        <v>114</v>
      </c>
      <c r="M1600" s="1" t="s">
        <v>125</v>
      </c>
      <c r="N1600" s="1">
        <v>1</v>
      </c>
      <c r="O1600" s="58"/>
      <c r="P1600" s="58">
        <v>1776633.12</v>
      </c>
      <c r="Q1600" t="s">
        <v>118</v>
      </c>
      <c r="R1600" s="1" t="s">
        <v>48</v>
      </c>
    </row>
    <row r="1601" spans="3:18" x14ac:dyDescent="0.35">
      <c r="C1601" t="s">
        <v>51</v>
      </c>
      <c r="D1601" t="s">
        <v>91</v>
      </c>
      <c r="E1601" t="s">
        <v>49</v>
      </c>
      <c r="F1601" t="s">
        <v>46</v>
      </c>
      <c r="G1601" s="58">
        <v>3144700</v>
      </c>
      <c r="H1601" s="1" t="s">
        <v>48</v>
      </c>
      <c r="I1601" s="1" t="s">
        <v>111</v>
      </c>
      <c r="J1601" s="58">
        <v>50315200</v>
      </c>
      <c r="K1601" s="1" t="s">
        <v>112</v>
      </c>
      <c r="N1601" s="1">
        <v>1</v>
      </c>
      <c r="O1601" s="58"/>
      <c r="P1601" s="58">
        <v>754728</v>
      </c>
      <c r="Q1601" t="s">
        <v>107</v>
      </c>
      <c r="R1601" s="1" t="s">
        <v>48</v>
      </c>
    </row>
    <row r="1602" spans="3:18" x14ac:dyDescent="0.35">
      <c r="C1602" t="s">
        <v>51</v>
      </c>
      <c r="D1602" t="s">
        <v>24</v>
      </c>
      <c r="E1602" t="s">
        <v>62</v>
      </c>
      <c r="F1602" t="s">
        <v>64</v>
      </c>
      <c r="G1602" s="58">
        <v>526639</v>
      </c>
      <c r="H1602" s="1" t="s">
        <v>48</v>
      </c>
      <c r="I1602" s="1" t="s">
        <v>108</v>
      </c>
      <c r="J1602" s="58">
        <v>16325809</v>
      </c>
      <c r="K1602" s="1" t="s">
        <v>112</v>
      </c>
      <c r="N1602" s="1">
        <v>1</v>
      </c>
      <c r="O1602" s="58"/>
      <c r="P1602" s="58">
        <v>247520.33</v>
      </c>
      <c r="Q1602" t="s">
        <v>113</v>
      </c>
      <c r="R1602" s="1" t="s">
        <v>48</v>
      </c>
    </row>
    <row r="1603" spans="3:18" x14ac:dyDescent="0.35">
      <c r="C1603" t="s">
        <v>53</v>
      </c>
      <c r="D1603" t="s">
        <v>19</v>
      </c>
      <c r="E1603" t="s">
        <v>49</v>
      </c>
      <c r="F1603" t="s">
        <v>46</v>
      </c>
      <c r="G1603" s="58">
        <v>212842</v>
      </c>
      <c r="H1603" s="1" t="s">
        <v>59</v>
      </c>
      <c r="I1603" s="1" t="s">
        <v>111</v>
      </c>
      <c r="J1603" s="58">
        <v>2979788</v>
      </c>
      <c r="K1603" s="1" t="s">
        <v>106</v>
      </c>
      <c r="L1603" s="1" t="s">
        <v>124</v>
      </c>
      <c r="N1603" s="1">
        <v>1</v>
      </c>
      <c r="O1603" s="58"/>
      <c r="P1603" s="58">
        <v>127705.2</v>
      </c>
      <c r="Q1603" t="s">
        <v>118</v>
      </c>
      <c r="R1603" s="1" t="s">
        <v>158</v>
      </c>
    </row>
    <row r="1604" spans="3:18" x14ac:dyDescent="0.35">
      <c r="C1604" t="s">
        <v>53</v>
      </c>
      <c r="D1604" t="s">
        <v>20</v>
      </c>
      <c r="E1604" t="s">
        <v>45</v>
      </c>
      <c r="F1604" t="s">
        <v>46</v>
      </c>
      <c r="G1604" s="58">
        <v>27740</v>
      </c>
      <c r="H1604" s="1" t="s">
        <v>47</v>
      </c>
      <c r="I1604" s="1" t="s">
        <v>105</v>
      </c>
      <c r="J1604" s="58">
        <v>27740</v>
      </c>
      <c r="K1604" s="1" t="s">
        <v>106</v>
      </c>
      <c r="L1604" s="1" t="s">
        <v>124</v>
      </c>
      <c r="N1604" s="1">
        <v>1</v>
      </c>
      <c r="O1604" s="58"/>
      <c r="P1604" s="58">
        <v>1109.5999999999999</v>
      </c>
      <c r="Q1604" t="s">
        <v>107</v>
      </c>
      <c r="R1604" s="1" t="s">
        <v>158</v>
      </c>
    </row>
    <row r="1605" spans="3:18" x14ac:dyDescent="0.35">
      <c r="C1605" t="s">
        <v>51</v>
      </c>
      <c r="D1605" t="s">
        <v>23</v>
      </c>
      <c r="E1605" t="s">
        <v>49</v>
      </c>
      <c r="F1605" t="s">
        <v>46</v>
      </c>
      <c r="G1605" s="58">
        <v>4944571</v>
      </c>
      <c r="H1605" s="1" t="s">
        <v>56</v>
      </c>
      <c r="I1605" s="1" t="s">
        <v>108</v>
      </c>
      <c r="J1605" s="58">
        <v>148337130</v>
      </c>
      <c r="K1605" s="1" t="s">
        <v>106</v>
      </c>
      <c r="L1605" s="1" t="s">
        <v>124</v>
      </c>
      <c r="N1605" s="1">
        <v>1</v>
      </c>
      <c r="O1605" s="58"/>
      <c r="P1605" s="58">
        <v>3461199.7</v>
      </c>
      <c r="Q1605" t="s">
        <v>118</v>
      </c>
      <c r="R1605" s="1" t="s">
        <v>158</v>
      </c>
    </row>
    <row r="1606" spans="3:18" x14ac:dyDescent="0.35">
      <c r="C1606" t="s">
        <v>53</v>
      </c>
      <c r="D1606" t="s">
        <v>25</v>
      </c>
      <c r="E1606" t="s">
        <v>55</v>
      </c>
      <c r="F1606" t="s">
        <v>46</v>
      </c>
      <c r="G1606" s="58">
        <v>77897</v>
      </c>
      <c r="H1606" s="1" t="s">
        <v>47</v>
      </c>
      <c r="I1606" s="1" t="s">
        <v>105</v>
      </c>
      <c r="J1606" s="58"/>
      <c r="K1606" s="1" t="s">
        <v>106</v>
      </c>
      <c r="L1606" s="1" t="s">
        <v>120</v>
      </c>
      <c r="N1606" s="1">
        <v>0</v>
      </c>
      <c r="O1606" s="58"/>
      <c r="P1606" s="58">
        <v>0</v>
      </c>
      <c r="Q1606" t="s">
        <v>107</v>
      </c>
      <c r="R1606" s="1" t="s">
        <v>158</v>
      </c>
    </row>
    <row r="1607" spans="3:18" x14ac:dyDescent="0.35">
      <c r="C1607" t="s">
        <v>51</v>
      </c>
      <c r="D1607" t="s">
        <v>92</v>
      </c>
      <c r="E1607" t="s">
        <v>55</v>
      </c>
      <c r="F1607" t="s">
        <v>46</v>
      </c>
      <c r="G1607" s="58">
        <v>624689</v>
      </c>
      <c r="H1607" s="1" t="s">
        <v>48</v>
      </c>
      <c r="I1607" s="1" t="s">
        <v>108</v>
      </c>
      <c r="J1607" s="58">
        <v>20614737</v>
      </c>
      <c r="K1607" s="1" t="s">
        <v>106</v>
      </c>
      <c r="L1607" s="1" t="s">
        <v>114</v>
      </c>
      <c r="M1607" s="1" t="s">
        <v>123</v>
      </c>
      <c r="N1607" s="1">
        <v>1</v>
      </c>
      <c r="O1607" s="58"/>
      <c r="P1607" s="58">
        <v>518491.87</v>
      </c>
      <c r="Q1607" t="s">
        <v>127</v>
      </c>
      <c r="R1607" s="1" t="s">
        <v>48</v>
      </c>
    </row>
    <row r="1608" spans="3:18" x14ac:dyDescent="0.35">
      <c r="C1608" t="s">
        <v>51</v>
      </c>
      <c r="D1608" t="s">
        <v>22</v>
      </c>
      <c r="E1608" t="s">
        <v>45</v>
      </c>
      <c r="F1608" t="s">
        <v>46</v>
      </c>
      <c r="G1608" s="58">
        <v>159799</v>
      </c>
      <c r="H1608" s="1" t="s">
        <v>47</v>
      </c>
      <c r="I1608" s="1" t="s">
        <v>111</v>
      </c>
      <c r="J1608" s="58">
        <v>2396985</v>
      </c>
      <c r="K1608" s="1" t="s">
        <v>106</v>
      </c>
      <c r="L1608" s="1" t="s">
        <v>114</v>
      </c>
      <c r="N1608" s="1">
        <v>1</v>
      </c>
      <c r="O1608" s="58"/>
      <c r="P1608" s="58">
        <v>132633.17000000001</v>
      </c>
      <c r="Q1608" t="s">
        <v>127</v>
      </c>
      <c r="R1608" s="1" t="s">
        <v>158</v>
      </c>
    </row>
    <row r="1609" spans="3:18" x14ac:dyDescent="0.35">
      <c r="C1609" t="s">
        <v>53</v>
      </c>
      <c r="D1609" t="s">
        <v>22</v>
      </c>
      <c r="E1609" t="s">
        <v>45</v>
      </c>
      <c r="F1609" t="s">
        <v>46</v>
      </c>
      <c r="G1609" s="58">
        <v>4392394</v>
      </c>
      <c r="H1609" s="1" t="s">
        <v>47</v>
      </c>
      <c r="I1609" s="1" t="s">
        <v>111</v>
      </c>
      <c r="J1609" s="58">
        <v>52708728</v>
      </c>
      <c r="K1609" s="1" t="s">
        <v>106</v>
      </c>
      <c r="L1609" s="1" t="s">
        <v>120</v>
      </c>
      <c r="N1609" s="1">
        <v>1</v>
      </c>
      <c r="O1609" s="58"/>
      <c r="P1609" s="58">
        <v>3030751.86</v>
      </c>
      <c r="Q1609" t="s">
        <v>118</v>
      </c>
      <c r="R1609" s="1" t="s">
        <v>158</v>
      </c>
    </row>
    <row r="1610" spans="3:18" x14ac:dyDescent="0.35">
      <c r="C1610" t="s">
        <v>44</v>
      </c>
      <c r="D1610" t="s">
        <v>21</v>
      </c>
      <c r="E1610" t="s">
        <v>49</v>
      </c>
      <c r="F1610" t="s">
        <v>46</v>
      </c>
      <c r="G1610" s="58">
        <v>16054092</v>
      </c>
      <c r="H1610" s="1" t="s">
        <v>47</v>
      </c>
      <c r="I1610" s="1" t="s">
        <v>108</v>
      </c>
      <c r="J1610" s="58"/>
      <c r="N1610" s="1">
        <v>0</v>
      </c>
      <c r="O1610" s="58"/>
      <c r="P1610" s="58"/>
      <c r="R1610" s="1" t="s">
        <v>158</v>
      </c>
    </row>
    <row r="1611" spans="3:18" x14ac:dyDescent="0.35">
      <c r="C1611" t="s">
        <v>51</v>
      </c>
      <c r="D1611" t="s">
        <v>21</v>
      </c>
      <c r="E1611" t="s">
        <v>49</v>
      </c>
      <c r="F1611" t="s">
        <v>46</v>
      </c>
      <c r="G1611" s="58">
        <v>68882</v>
      </c>
      <c r="H1611" s="1" t="s">
        <v>59</v>
      </c>
      <c r="I1611" s="1" t="s">
        <v>119</v>
      </c>
      <c r="J1611" s="58">
        <v>551056</v>
      </c>
      <c r="K1611" s="1" t="s">
        <v>112</v>
      </c>
      <c r="N1611" s="1">
        <v>1</v>
      </c>
      <c r="O1611" s="58"/>
      <c r="P1611" s="58">
        <v>28241.62</v>
      </c>
      <c r="Q1611" t="s">
        <v>113</v>
      </c>
      <c r="R1611" s="1" t="s">
        <v>158</v>
      </c>
    </row>
    <row r="1612" spans="3:18" x14ac:dyDescent="0.35">
      <c r="C1612" t="s">
        <v>51</v>
      </c>
      <c r="D1612" t="s">
        <v>22</v>
      </c>
      <c r="E1612" t="s">
        <v>45</v>
      </c>
      <c r="F1612" t="s">
        <v>46</v>
      </c>
      <c r="G1612" s="58">
        <v>853674</v>
      </c>
      <c r="H1612" s="1" t="s">
        <v>56</v>
      </c>
      <c r="I1612" s="1" t="s">
        <v>105</v>
      </c>
      <c r="J1612" s="58">
        <v>3414696</v>
      </c>
      <c r="K1612" s="1" t="s">
        <v>106</v>
      </c>
      <c r="L1612" s="1" t="s">
        <v>120</v>
      </c>
      <c r="N1612" s="1">
        <v>1</v>
      </c>
      <c r="O1612" s="58"/>
      <c r="P1612" s="58">
        <v>409763.52</v>
      </c>
      <c r="Q1612" t="s">
        <v>113</v>
      </c>
      <c r="R1612" s="1" t="s">
        <v>158</v>
      </c>
    </row>
    <row r="1613" spans="3:18" x14ac:dyDescent="0.35">
      <c r="C1613" t="s">
        <v>53</v>
      </c>
      <c r="D1613" t="s">
        <v>92</v>
      </c>
      <c r="E1613" t="s">
        <v>45</v>
      </c>
      <c r="F1613" t="s">
        <v>46</v>
      </c>
      <c r="G1613" s="58">
        <v>144284</v>
      </c>
      <c r="H1613" s="1" t="s">
        <v>54</v>
      </c>
      <c r="I1613" s="1" t="s">
        <v>105</v>
      </c>
      <c r="J1613" s="58">
        <v>144284</v>
      </c>
      <c r="K1613" s="1" t="s">
        <v>106</v>
      </c>
      <c r="L1613" s="1" t="s">
        <v>120</v>
      </c>
      <c r="N1613" s="1">
        <v>1</v>
      </c>
      <c r="O1613" s="58"/>
      <c r="P1613" s="58">
        <v>88013.24</v>
      </c>
      <c r="Q1613" t="s">
        <v>118</v>
      </c>
      <c r="R1613" s="1" t="s">
        <v>158</v>
      </c>
    </row>
    <row r="1614" spans="3:18" x14ac:dyDescent="0.35">
      <c r="C1614" t="s">
        <v>51</v>
      </c>
      <c r="D1614" t="s">
        <v>91</v>
      </c>
      <c r="E1614" t="s">
        <v>49</v>
      </c>
      <c r="F1614" t="s">
        <v>46</v>
      </c>
      <c r="G1614" s="58">
        <v>98810</v>
      </c>
      <c r="H1614" s="1" t="s">
        <v>48</v>
      </c>
      <c r="I1614" s="1" t="s">
        <v>108</v>
      </c>
      <c r="J1614" s="58">
        <v>3359540</v>
      </c>
      <c r="K1614" s="1" t="s">
        <v>106</v>
      </c>
      <c r="L1614" s="1" t="s">
        <v>120</v>
      </c>
      <c r="M1614" s="1" t="s">
        <v>122</v>
      </c>
      <c r="N1614" s="1">
        <v>1</v>
      </c>
      <c r="O1614" s="58"/>
      <c r="P1614" s="58">
        <v>35571.599999999999</v>
      </c>
      <c r="Q1614" t="s">
        <v>107</v>
      </c>
      <c r="R1614" s="1" t="s">
        <v>48</v>
      </c>
    </row>
    <row r="1615" spans="3:18" x14ac:dyDescent="0.35">
      <c r="C1615" t="s">
        <v>51</v>
      </c>
      <c r="D1615" t="s">
        <v>21</v>
      </c>
      <c r="E1615" t="s">
        <v>49</v>
      </c>
      <c r="F1615" t="s">
        <v>46</v>
      </c>
      <c r="G1615" s="58">
        <v>7033072</v>
      </c>
      <c r="H1615" s="1" t="s">
        <v>54</v>
      </c>
      <c r="I1615" s="1" t="s">
        <v>108</v>
      </c>
      <c r="J1615" s="58">
        <v>218025232</v>
      </c>
      <c r="K1615" s="1" t="s">
        <v>112</v>
      </c>
      <c r="N1615" s="1">
        <v>1</v>
      </c>
      <c r="O1615" s="58"/>
      <c r="P1615" s="58">
        <v>1547275.84</v>
      </c>
      <c r="Q1615" t="s">
        <v>107</v>
      </c>
      <c r="R1615" s="1" t="s">
        <v>158</v>
      </c>
    </row>
    <row r="1616" spans="3:18" x14ac:dyDescent="0.35">
      <c r="C1616" t="s">
        <v>51</v>
      </c>
      <c r="D1616" t="s">
        <v>92</v>
      </c>
      <c r="E1616" t="s">
        <v>45</v>
      </c>
      <c r="F1616" t="s">
        <v>46</v>
      </c>
      <c r="G1616" s="58">
        <v>508341</v>
      </c>
      <c r="H1616" s="1" t="s">
        <v>48</v>
      </c>
      <c r="I1616" s="1" t="s">
        <v>108</v>
      </c>
      <c r="J1616" s="58">
        <v>17283594</v>
      </c>
      <c r="K1616" s="1" t="s">
        <v>106</v>
      </c>
      <c r="L1616" s="1" t="s">
        <v>124</v>
      </c>
      <c r="M1616" s="1" t="s">
        <v>122</v>
      </c>
      <c r="N1616" s="1">
        <v>1</v>
      </c>
      <c r="O1616" s="58"/>
      <c r="P1616" s="58">
        <v>391422.57</v>
      </c>
      <c r="Q1616" t="s">
        <v>118</v>
      </c>
      <c r="R1616" s="1" t="s">
        <v>48</v>
      </c>
    </row>
    <row r="1617" spans="3:18" x14ac:dyDescent="0.35">
      <c r="C1617" t="s">
        <v>51</v>
      </c>
      <c r="D1617" t="s">
        <v>21</v>
      </c>
      <c r="E1617" t="s">
        <v>49</v>
      </c>
      <c r="F1617" t="s">
        <v>46</v>
      </c>
      <c r="G1617" s="58">
        <v>127241686</v>
      </c>
      <c r="H1617" s="1" t="s">
        <v>48</v>
      </c>
      <c r="I1617" s="1" t="s">
        <v>108</v>
      </c>
      <c r="J1617" s="58">
        <v>4707942382</v>
      </c>
      <c r="K1617" s="1" t="s">
        <v>112</v>
      </c>
      <c r="N1617" s="1">
        <v>1</v>
      </c>
      <c r="O1617" s="58"/>
      <c r="P1617" s="58">
        <v>113245100.54000001</v>
      </c>
      <c r="Q1617" t="s">
        <v>127</v>
      </c>
      <c r="R1617" s="1" t="s">
        <v>48</v>
      </c>
    </row>
    <row r="1618" spans="3:18" x14ac:dyDescent="0.35">
      <c r="C1618" t="s">
        <v>51</v>
      </c>
      <c r="D1618" t="s">
        <v>92</v>
      </c>
      <c r="E1618" t="s">
        <v>49</v>
      </c>
      <c r="F1618" t="s">
        <v>46</v>
      </c>
      <c r="G1618" s="58">
        <v>1700187</v>
      </c>
      <c r="H1618" s="1" t="s">
        <v>48</v>
      </c>
      <c r="I1618" s="1" t="s">
        <v>111</v>
      </c>
      <c r="J1618" s="58">
        <v>25502805</v>
      </c>
      <c r="K1618" s="1" t="s">
        <v>112</v>
      </c>
      <c r="N1618" s="1">
        <v>1</v>
      </c>
      <c r="O1618" s="58"/>
      <c r="P1618" s="58">
        <v>408044.88</v>
      </c>
      <c r="Q1618" t="s">
        <v>107</v>
      </c>
      <c r="R1618" s="1" t="s">
        <v>48</v>
      </c>
    </row>
    <row r="1619" spans="3:18" x14ac:dyDescent="0.35">
      <c r="C1619" t="s">
        <v>51</v>
      </c>
      <c r="D1619" t="s">
        <v>23</v>
      </c>
      <c r="E1619" t="s">
        <v>45</v>
      </c>
      <c r="F1619" t="s">
        <v>46</v>
      </c>
      <c r="G1619" s="58">
        <v>12296649</v>
      </c>
      <c r="H1619" s="1" t="s">
        <v>47</v>
      </c>
      <c r="I1619" s="1" t="s">
        <v>108</v>
      </c>
      <c r="J1619" s="58">
        <v>368899470</v>
      </c>
      <c r="K1619" s="1" t="s">
        <v>112</v>
      </c>
      <c r="N1619" s="1">
        <v>1</v>
      </c>
      <c r="O1619" s="58"/>
      <c r="P1619" s="58">
        <v>2459329.7999999998</v>
      </c>
      <c r="Q1619" t="s">
        <v>107</v>
      </c>
      <c r="R1619" s="1" t="s">
        <v>158</v>
      </c>
    </row>
    <row r="1620" spans="3:18" x14ac:dyDescent="0.35">
      <c r="C1620" t="s">
        <v>51</v>
      </c>
      <c r="D1620" t="s">
        <v>19</v>
      </c>
      <c r="E1620" t="s">
        <v>49</v>
      </c>
      <c r="F1620" t="s">
        <v>46</v>
      </c>
      <c r="G1620" s="58">
        <v>2203982</v>
      </c>
      <c r="H1620" s="1" t="s">
        <v>47</v>
      </c>
      <c r="I1620" s="1" t="s">
        <v>111</v>
      </c>
      <c r="J1620" s="58">
        <v>33059730</v>
      </c>
      <c r="K1620" s="1" t="s">
        <v>112</v>
      </c>
      <c r="N1620" s="1">
        <v>1</v>
      </c>
      <c r="O1620" s="58"/>
      <c r="P1620" s="58">
        <v>617114.96</v>
      </c>
      <c r="Q1620" t="s">
        <v>107</v>
      </c>
      <c r="R1620" s="1" t="s">
        <v>158</v>
      </c>
    </row>
    <row r="1621" spans="3:18" x14ac:dyDescent="0.35">
      <c r="C1621" t="s">
        <v>53</v>
      </c>
      <c r="D1621" t="s">
        <v>19</v>
      </c>
      <c r="E1621" t="s">
        <v>45</v>
      </c>
      <c r="F1621" t="s">
        <v>46</v>
      </c>
      <c r="G1621" s="58">
        <v>348435</v>
      </c>
      <c r="H1621" s="1" t="s">
        <v>59</v>
      </c>
      <c r="I1621" s="1" t="s">
        <v>111</v>
      </c>
      <c r="J1621" s="58">
        <v>5226525</v>
      </c>
      <c r="K1621" s="1" t="s">
        <v>112</v>
      </c>
      <c r="N1621" s="1">
        <v>1</v>
      </c>
      <c r="O1621" s="58"/>
      <c r="P1621" s="58">
        <v>435543.75</v>
      </c>
      <c r="Q1621" t="s">
        <v>110</v>
      </c>
      <c r="R1621" s="1" t="s">
        <v>158</v>
      </c>
    </row>
    <row r="1622" spans="3:18" x14ac:dyDescent="0.35">
      <c r="C1622" t="s">
        <v>51</v>
      </c>
      <c r="D1622" t="s">
        <v>24</v>
      </c>
      <c r="E1622" t="s">
        <v>45</v>
      </c>
      <c r="F1622" t="s">
        <v>46</v>
      </c>
      <c r="G1622" s="58">
        <v>5428852</v>
      </c>
      <c r="H1622" s="1" t="s">
        <v>47</v>
      </c>
      <c r="I1622" s="1" t="s">
        <v>119</v>
      </c>
      <c r="J1622" s="58">
        <v>43430816</v>
      </c>
      <c r="K1622" s="1" t="s">
        <v>106</v>
      </c>
      <c r="L1622" s="1" t="s">
        <v>120</v>
      </c>
      <c r="N1622" s="1">
        <v>1</v>
      </c>
      <c r="O1622" s="58"/>
      <c r="P1622" s="58">
        <v>1140058.92</v>
      </c>
      <c r="Q1622" t="s">
        <v>107</v>
      </c>
      <c r="R1622" s="1" t="s">
        <v>158</v>
      </c>
    </row>
    <row r="1623" spans="3:18" x14ac:dyDescent="0.35">
      <c r="C1623" t="s">
        <v>51</v>
      </c>
      <c r="D1623" t="s">
        <v>21</v>
      </c>
      <c r="E1623" t="s">
        <v>45</v>
      </c>
      <c r="F1623" t="s">
        <v>46</v>
      </c>
      <c r="G1623" s="58">
        <v>266100</v>
      </c>
      <c r="H1623" s="1" t="s">
        <v>59</v>
      </c>
      <c r="I1623" s="1" t="s">
        <v>119</v>
      </c>
      <c r="J1623" s="58">
        <v>2128800</v>
      </c>
      <c r="K1623" s="1" t="s">
        <v>106</v>
      </c>
      <c r="L1623" s="1" t="s">
        <v>120</v>
      </c>
      <c r="N1623" s="1">
        <v>1</v>
      </c>
      <c r="O1623" s="58"/>
      <c r="P1623" s="58">
        <v>117084</v>
      </c>
      <c r="Q1623" t="s">
        <v>113</v>
      </c>
      <c r="R1623" s="1" t="s">
        <v>158</v>
      </c>
    </row>
    <row r="1624" spans="3:18" x14ac:dyDescent="0.35">
      <c r="C1624" t="s">
        <v>53</v>
      </c>
      <c r="D1624" t="s">
        <v>23</v>
      </c>
      <c r="E1624" t="s">
        <v>49</v>
      </c>
      <c r="F1624" t="s">
        <v>46</v>
      </c>
      <c r="G1624" s="58">
        <v>67416</v>
      </c>
      <c r="H1624" s="1" t="s">
        <v>59</v>
      </c>
      <c r="I1624" s="1" t="s">
        <v>105</v>
      </c>
      <c r="J1624" s="58">
        <v>202248</v>
      </c>
      <c r="K1624" s="1" t="s">
        <v>106</v>
      </c>
      <c r="L1624" s="1" t="s">
        <v>120</v>
      </c>
      <c r="N1624" s="1">
        <v>1</v>
      </c>
      <c r="O1624" s="58"/>
      <c r="P1624" s="58">
        <v>0</v>
      </c>
      <c r="Q1624" t="s">
        <v>107</v>
      </c>
      <c r="R1624" s="1" t="s">
        <v>158</v>
      </c>
    </row>
    <row r="1625" spans="3:18" x14ac:dyDescent="0.35">
      <c r="C1625" t="s">
        <v>51</v>
      </c>
      <c r="D1625" t="s">
        <v>22</v>
      </c>
      <c r="E1625" t="s">
        <v>55</v>
      </c>
      <c r="F1625" t="s">
        <v>46</v>
      </c>
      <c r="G1625" s="58">
        <v>309295</v>
      </c>
      <c r="H1625" s="1" t="s">
        <v>48</v>
      </c>
      <c r="I1625" s="1" t="s">
        <v>108</v>
      </c>
      <c r="J1625" s="58">
        <v>10206735</v>
      </c>
      <c r="K1625" s="1" t="s">
        <v>106</v>
      </c>
      <c r="L1625" s="1" t="s">
        <v>120</v>
      </c>
      <c r="M1625" s="1" t="s">
        <v>115</v>
      </c>
      <c r="N1625" s="1">
        <v>1</v>
      </c>
      <c r="O1625" s="58"/>
      <c r="P1625" s="58">
        <v>102067.35</v>
      </c>
      <c r="Q1625" t="s">
        <v>107</v>
      </c>
      <c r="R1625" s="1" t="s">
        <v>158</v>
      </c>
    </row>
    <row r="1626" spans="3:18" x14ac:dyDescent="0.35">
      <c r="C1626" t="s">
        <v>51</v>
      </c>
      <c r="D1626" t="s">
        <v>21</v>
      </c>
      <c r="E1626" t="s">
        <v>49</v>
      </c>
      <c r="F1626" t="s">
        <v>64</v>
      </c>
      <c r="G1626" s="58">
        <v>55400</v>
      </c>
      <c r="H1626" s="1" t="s">
        <v>47</v>
      </c>
      <c r="I1626" s="1" t="s">
        <v>105</v>
      </c>
      <c r="J1626" s="58">
        <v>277000</v>
      </c>
      <c r="K1626" s="1" t="s">
        <v>106</v>
      </c>
      <c r="L1626" s="1" t="s">
        <v>124</v>
      </c>
      <c r="N1626" s="1">
        <v>1</v>
      </c>
      <c r="O1626" s="58"/>
      <c r="P1626" s="58">
        <v>12742</v>
      </c>
      <c r="Q1626" t="s">
        <v>107</v>
      </c>
      <c r="R1626" s="1" t="s">
        <v>158</v>
      </c>
    </row>
    <row r="1627" spans="3:18" x14ac:dyDescent="0.35">
      <c r="C1627" t="s">
        <v>51</v>
      </c>
      <c r="D1627" t="s">
        <v>20</v>
      </c>
      <c r="E1627" t="s">
        <v>49</v>
      </c>
      <c r="F1627" t="s">
        <v>46</v>
      </c>
      <c r="G1627" s="58">
        <v>7116005</v>
      </c>
      <c r="H1627" s="1" t="s">
        <v>48</v>
      </c>
      <c r="I1627" s="1" t="s">
        <v>111</v>
      </c>
      <c r="J1627" s="58">
        <v>120972085</v>
      </c>
      <c r="K1627" s="1" t="s">
        <v>106</v>
      </c>
      <c r="L1627" s="1" t="s">
        <v>124</v>
      </c>
      <c r="M1627" s="1" t="s">
        <v>123</v>
      </c>
      <c r="N1627" s="1">
        <v>1</v>
      </c>
      <c r="O1627" s="58"/>
      <c r="P1627" s="58">
        <v>3486842.45</v>
      </c>
      <c r="Q1627" t="s">
        <v>113</v>
      </c>
      <c r="R1627" s="1" t="s">
        <v>48</v>
      </c>
    </row>
    <row r="1628" spans="3:18" x14ac:dyDescent="0.35">
      <c r="C1628" t="s">
        <v>51</v>
      </c>
      <c r="D1628" t="s">
        <v>22</v>
      </c>
      <c r="E1628" t="s">
        <v>45</v>
      </c>
      <c r="F1628" t="s">
        <v>46</v>
      </c>
      <c r="G1628" s="58">
        <v>69597572</v>
      </c>
      <c r="H1628" s="1" t="s">
        <v>56</v>
      </c>
      <c r="I1628" s="1" t="s">
        <v>119</v>
      </c>
      <c r="J1628" s="58">
        <v>487183004</v>
      </c>
      <c r="K1628" s="1" t="s">
        <v>106</v>
      </c>
      <c r="L1628" s="1" t="s">
        <v>120</v>
      </c>
      <c r="N1628" s="1">
        <v>1</v>
      </c>
      <c r="O1628" s="58"/>
      <c r="P1628" s="58">
        <v>16703417.279999999</v>
      </c>
      <c r="Q1628" t="s">
        <v>107</v>
      </c>
      <c r="R1628" s="1" t="s">
        <v>158</v>
      </c>
    </row>
    <row r="1629" spans="3:18" x14ac:dyDescent="0.35">
      <c r="C1629" t="s">
        <v>53</v>
      </c>
      <c r="D1629" t="s">
        <v>92</v>
      </c>
      <c r="E1629" t="s">
        <v>55</v>
      </c>
      <c r="F1629" t="s">
        <v>46</v>
      </c>
      <c r="G1629" s="58">
        <v>389206</v>
      </c>
      <c r="H1629" s="1" t="s">
        <v>48</v>
      </c>
      <c r="I1629" s="1" t="s">
        <v>119</v>
      </c>
      <c r="J1629" s="58">
        <v>2724442</v>
      </c>
      <c r="K1629" s="1" t="s">
        <v>106</v>
      </c>
      <c r="L1629" s="1" t="s">
        <v>114</v>
      </c>
      <c r="M1629" s="1" t="s">
        <v>123</v>
      </c>
      <c r="N1629" s="1">
        <v>1</v>
      </c>
      <c r="O1629" s="58"/>
      <c r="P1629" s="58">
        <v>101193.56</v>
      </c>
      <c r="Q1629" t="s">
        <v>107</v>
      </c>
      <c r="R1629" s="1" t="s">
        <v>158</v>
      </c>
    </row>
    <row r="1630" spans="3:18" x14ac:dyDescent="0.35">
      <c r="C1630" t="s">
        <v>53</v>
      </c>
      <c r="D1630" t="s">
        <v>22</v>
      </c>
      <c r="E1630" t="s">
        <v>45</v>
      </c>
      <c r="F1630" t="s">
        <v>46</v>
      </c>
      <c r="G1630" s="58">
        <v>14470129</v>
      </c>
      <c r="H1630" s="1" t="s">
        <v>47</v>
      </c>
      <c r="I1630" s="1" t="s">
        <v>119</v>
      </c>
      <c r="J1630" s="58">
        <v>101290903</v>
      </c>
      <c r="K1630" s="1" t="s">
        <v>106</v>
      </c>
      <c r="L1630" s="1" t="s">
        <v>124</v>
      </c>
      <c r="N1630" s="1">
        <v>1</v>
      </c>
      <c r="O1630" s="58"/>
      <c r="P1630" s="58">
        <v>1591714.19</v>
      </c>
      <c r="Q1630" t="s">
        <v>107</v>
      </c>
      <c r="R1630" s="1" t="s">
        <v>158</v>
      </c>
    </row>
    <row r="1631" spans="3:18" x14ac:dyDescent="0.35">
      <c r="C1631" t="s">
        <v>51</v>
      </c>
      <c r="D1631" t="s">
        <v>22</v>
      </c>
      <c r="E1631" t="s">
        <v>52</v>
      </c>
      <c r="F1631" t="s">
        <v>64</v>
      </c>
      <c r="G1631" s="58">
        <v>170697</v>
      </c>
      <c r="H1631" s="1" t="s">
        <v>48</v>
      </c>
      <c r="I1631" s="1" t="s">
        <v>108</v>
      </c>
      <c r="J1631" s="58">
        <v>4950213</v>
      </c>
      <c r="K1631" s="1" t="s">
        <v>112</v>
      </c>
      <c r="N1631" s="1">
        <v>1</v>
      </c>
      <c r="O1631" s="58"/>
      <c r="P1631" s="58">
        <v>143385.48000000001</v>
      </c>
      <c r="Q1631" t="s">
        <v>127</v>
      </c>
      <c r="R1631" s="1" t="s">
        <v>48</v>
      </c>
    </row>
    <row r="1632" spans="3:18" x14ac:dyDescent="0.35">
      <c r="C1632" t="s">
        <v>53</v>
      </c>
      <c r="D1632" t="s">
        <v>22</v>
      </c>
      <c r="E1632" t="s">
        <v>49</v>
      </c>
      <c r="F1632" t="s">
        <v>46</v>
      </c>
      <c r="G1632" s="58">
        <v>837544</v>
      </c>
      <c r="H1632" s="1" t="s">
        <v>48</v>
      </c>
      <c r="I1632" s="1" t="s">
        <v>119</v>
      </c>
      <c r="J1632" s="58">
        <v>6700352</v>
      </c>
      <c r="K1632" s="1" t="s">
        <v>106</v>
      </c>
      <c r="L1632" s="1" t="s">
        <v>124</v>
      </c>
      <c r="M1632" s="1" t="s">
        <v>115</v>
      </c>
      <c r="N1632" s="1">
        <v>1</v>
      </c>
      <c r="O1632" s="58"/>
      <c r="P1632" s="58">
        <v>402021.12</v>
      </c>
      <c r="Q1632" t="s">
        <v>113</v>
      </c>
      <c r="R1632" s="1" t="s">
        <v>158</v>
      </c>
    </row>
    <row r="1633" spans="3:18" x14ac:dyDescent="0.35">
      <c r="C1633" t="s">
        <v>51</v>
      </c>
      <c r="D1633" t="s">
        <v>23</v>
      </c>
      <c r="E1633" t="s">
        <v>49</v>
      </c>
      <c r="F1633" t="s">
        <v>46</v>
      </c>
      <c r="G1633" s="58">
        <v>16227</v>
      </c>
      <c r="H1633" s="1" t="s">
        <v>54</v>
      </c>
      <c r="I1633" s="1" t="s">
        <v>111</v>
      </c>
      <c r="J1633" s="58">
        <v>227178</v>
      </c>
      <c r="K1633" s="1" t="s">
        <v>106</v>
      </c>
      <c r="L1633" s="1" t="s">
        <v>124</v>
      </c>
      <c r="N1633" s="1">
        <v>1</v>
      </c>
      <c r="O1633" s="58"/>
      <c r="P1633" s="58">
        <v>24340.5</v>
      </c>
      <c r="Q1633" t="s">
        <v>110</v>
      </c>
      <c r="R1633" s="1" t="s">
        <v>158</v>
      </c>
    </row>
    <row r="1634" spans="3:18" x14ac:dyDescent="0.35">
      <c r="C1634" t="s">
        <v>51</v>
      </c>
      <c r="D1634" t="s">
        <v>22</v>
      </c>
      <c r="E1634" t="s">
        <v>49</v>
      </c>
      <c r="F1634" t="s">
        <v>46</v>
      </c>
      <c r="G1634" s="58">
        <v>24675137</v>
      </c>
      <c r="H1634" s="1" t="s">
        <v>59</v>
      </c>
      <c r="I1634" s="1" t="s">
        <v>108</v>
      </c>
      <c r="J1634" s="58">
        <v>715578973</v>
      </c>
      <c r="K1634" s="1" t="s">
        <v>106</v>
      </c>
      <c r="L1634" s="1" t="s">
        <v>124</v>
      </c>
      <c r="N1634" s="1">
        <v>1</v>
      </c>
      <c r="O1634" s="58"/>
      <c r="P1634" s="58">
        <v>17025844.530000001</v>
      </c>
      <c r="Q1634" t="s">
        <v>118</v>
      </c>
      <c r="R1634" s="1" t="s">
        <v>158</v>
      </c>
    </row>
    <row r="1635" spans="3:18" x14ac:dyDescent="0.35">
      <c r="C1635" t="s">
        <v>51</v>
      </c>
      <c r="D1635" t="s">
        <v>23</v>
      </c>
      <c r="E1635" t="s">
        <v>45</v>
      </c>
      <c r="F1635" t="s">
        <v>46</v>
      </c>
      <c r="G1635" s="58">
        <v>44407</v>
      </c>
      <c r="H1635" s="1" t="s">
        <v>48</v>
      </c>
      <c r="I1635" s="1" t="s">
        <v>119</v>
      </c>
      <c r="J1635" s="58">
        <v>310849</v>
      </c>
      <c r="K1635" s="1" t="s">
        <v>106</v>
      </c>
      <c r="L1635" s="1" t="s">
        <v>120</v>
      </c>
      <c r="M1635" s="1" t="s">
        <v>125</v>
      </c>
      <c r="N1635" s="1">
        <v>1</v>
      </c>
      <c r="O1635" s="58"/>
      <c r="P1635" s="58">
        <v>37745.949999999997</v>
      </c>
      <c r="Q1635" t="s">
        <v>127</v>
      </c>
      <c r="R1635" s="1" t="s">
        <v>158</v>
      </c>
    </row>
    <row r="1636" spans="3:18" x14ac:dyDescent="0.35">
      <c r="C1636" t="s">
        <v>51</v>
      </c>
      <c r="D1636" t="s">
        <v>20</v>
      </c>
      <c r="E1636" t="s">
        <v>49</v>
      </c>
      <c r="F1636" t="s">
        <v>46</v>
      </c>
      <c r="G1636" s="58">
        <v>56613559</v>
      </c>
      <c r="H1636" s="1" t="s">
        <v>59</v>
      </c>
      <c r="I1636" s="1" t="s">
        <v>108</v>
      </c>
      <c r="J1636" s="58">
        <v>1471952534</v>
      </c>
      <c r="K1636" s="1" t="s">
        <v>106</v>
      </c>
      <c r="L1636" s="1" t="s">
        <v>124</v>
      </c>
      <c r="N1636" s="1">
        <v>1</v>
      </c>
      <c r="O1636" s="58"/>
      <c r="P1636" s="58">
        <v>28872915.09</v>
      </c>
      <c r="Q1636" t="s">
        <v>113</v>
      </c>
      <c r="R1636" s="1" t="s">
        <v>158</v>
      </c>
    </row>
    <row r="1637" spans="3:18" x14ac:dyDescent="0.35">
      <c r="C1637" t="s">
        <v>53</v>
      </c>
      <c r="D1637" t="s">
        <v>22</v>
      </c>
      <c r="E1637" t="s">
        <v>49</v>
      </c>
      <c r="F1637" t="s">
        <v>46</v>
      </c>
      <c r="G1637" s="58">
        <v>358082</v>
      </c>
      <c r="H1637" s="1" t="s">
        <v>48</v>
      </c>
      <c r="I1637" s="1" t="s">
        <v>105</v>
      </c>
      <c r="J1637" s="58">
        <v>1790410</v>
      </c>
      <c r="K1637" s="1" t="s">
        <v>106</v>
      </c>
      <c r="L1637" s="1" t="s">
        <v>124</v>
      </c>
      <c r="M1637" s="1" t="s">
        <v>115</v>
      </c>
      <c r="N1637" s="1">
        <v>1</v>
      </c>
      <c r="O1637" s="58"/>
      <c r="P1637" s="58">
        <v>93101.32</v>
      </c>
      <c r="Q1637" t="s">
        <v>107</v>
      </c>
      <c r="R1637" s="1" t="s">
        <v>48</v>
      </c>
    </row>
    <row r="1638" spans="3:18" x14ac:dyDescent="0.35">
      <c r="C1638" t="s">
        <v>51</v>
      </c>
      <c r="D1638" t="s">
        <v>21</v>
      </c>
      <c r="E1638" t="s">
        <v>45</v>
      </c>
      <c r="F1638" t="s">
        <v>46</v>
      </c>
      <c r="G1638" s="58">
        <v>46161</v>
      </c>
      <c r="H1638" s="1" t="s">
        <v>47</v>
      </c>
      <c r="I1638" s="1" t="s">
        <v>119</v>
      </c>
      <c r="J1638" s="58">
        <v>323127</v>
      </c>
      <c r="K1638" s="1" t="s">
        <v>106</v>
      </c>
      <c r="L1638" s="1" t="s">
        <v>109</v>
      </c>
      <c r="N1638" s="1">
        <v>1</v>
      </c>
      <c r="O1638" s="58"/>
      <c r="P1638" s="58">
        <v>8770.59</v>
      </c>
      <c r="Q1638" t="s">
        <v>107</v>
      </c>
      <c r="R1638" s="1" t="s">
        <v>158</v>
      </c>
    </row>
    <row r="1639" spans="3:18" x14ac:dyDescent="0.35">
      <c r="C1639" t="s">
        <v>51</v>
      </c>
      <c r="D1639" t="s">
        <v>20</v>
      </c>
      <c r="E1639" t="s">
        <v>49</v>
      </c>
      <c r="F1639" t="s">
        <v>46</v>
      </c>
      <c r="G1639" s="58">
        <v>193866</v>
      </c>
      <c r="H1639" s="1" t="s">
        <v>47</v>
      </c>
      <c r="I1639" s="1" t="s">
        <v>111</v>
      </c>
      <c r="J1639" s="58">
        <v>3683454</v>
      </c>
      <c r="K1639" s="1" t="s">
        <v>112</v>
      </c>
      <c r="N1639" s="1">
        <v>1</v>
      </c>
      <c r="O1639" s="58"/>
      <c r="P1639" s="58">
        <v>153154.14000000001</v>
      </c>
      <c r="Q1639" t="s">
        <v>118</v>
      </c>
      <c r="R1639" s="1" t="s">
        <v>158</v>
      </c>
    </row>
    <row r="1640" spans="3:18" x14ac:dyDescent="0.35">
      <c r="C1640" t="s">
        <v>51</v>
      </c>
      <c r="D1640" t="s">
        <v>22</v>
      </c>
      <c r="E1640" t="s">
        <v>55</v>
      </c>
      <c r="F1640" t="s">
        <v>46</v>
      </c>
      <c r="G1640" s="58">
        <v>100350</v>
      </c>
      <c r="H1640" s="1" t="s">
        <v>47</v>
      </c>
      <c r="I1640" s="1" t="s">
        <v>108</v>
      </c>
      <c r="J1640" s="58">
        <v>3411900</v>
      </c>
      <c r="K1640" s="1" t="s">
        <v>112</v>
      </c>
      <c r="N1640" s="1">
        <v>1</v>
      </c>
      <c r="O1640" s="58"/>
      <c r="P1640" s="58">
        <v>48168</v>
      </c>
      <c r="Q1640" t="s">
        <v>113</v>
      </c>
      <c r="R1640" s="1" t="s">
        <v>158</v>
      </c>
    </row>
    <row r="1641" spans="3:18" x14ac:dyDescent="0.35">
      <c r="C1641" t="s">
        <v>51</v>
      </c>
      <c r="D1641" t="s">
        <v>22</v>
      </c>
      <c r="E1641" t="s">
        <v>55</v>
      </c>
      <c r="F1641" t="s">
        <v>46</v>
      </c>
      <c r="G1641" s="58">
        <v>69030</v>
      </c>
      <c r="H1641" s="1" t="s">
        <v>48</v>
      </c>
      <c r="I1641" s="1" t="s">
        <v>111</v>
      </c>
      <c r="J1641" s="58">
        <v>759330</v>
      </c>
      <c r="K1641" s="1" t="s">
        <v>106</v>
      </c>
      <c r="L1641" s="1" t="s">
        <v>120</v>
      </c>
      <c r="M1641" s="1" t="s">
        <v>125</v>
      </c>
      <c r="N1641" s="1">
        <v>1</v>
      </c>
      <c r="O1641" s="58"/>
      <c r="P1641" s="58">
        <v>33824.699999999997</v>
      </c>
      <c r="Q1641" t="s">
        <v>113</v>
      </c>
      <c r="R1641" s="1" t="s">
        <v>48</v>
      </c>
    </row>
    <row r="1642" spans="3:18" x14ac:dyDescent="0.35">
      <c r="C1642" t="s">
        <v>51</v>
      </c>
      <c r="D1642" t="s">
        <v>22</v>
      </c>
      <c r="E1642" t="s">
        <v>45</v>
      </c>
      <c r="F1642" t="s">
        <v>46</v>
      </c>
      <c r="G1642" s="58">
        <v>95400</v>
      </c>
      <c r="H1642" s="1" t="s">
        <v>48</v>
      </c>
      <c r="I1642" s="1" t="s">
        <v>111</v>
      </c>
      <c r="J1642" s="58">
        <v>1717200</v>
      </c>
      <c r="K1642" s="1" t="s">
        <v>106</v>
      </c>
      <c r="L1642" s="1" t="s">
        <v>120</v>
      </c>
      <c r="M1642" s="1" t="s">
        <v>115</v>
      </c>
      <c r="N1642" s="1">
        <v>1</v>
      </c>
      <c r="O1642" s="58"/>
      <c r="P1642" s="58">
        <v>111618</v>
      </c>
      <c r="Q1642" t="s">
        <v>110</v>
      </c>
      <c r="R1642" s="1" t="s">
        <v>158</v>
      </c>
    </row>
    <row r="1643" spans="3:18" x14ac:dyDescent="0.35">
      <c r="C1643" t="s">
        <v>51</v>
      </c>
      <c r="D1643" t="s">
        <v>19</v>
      </c>
      <c r="E1643" t="s">
        <v>49</v>
      </c>
      <c r="F1643" t="s">
        <v>46</v>
      </c>
      <c r="G1643" s="58">
        <v>189111</v>
      </c>
      <c r="H1643" s="1" t="s">
        <v>58</v>
      </c>
      <c r="I1643" s="1" t="s">
        <v>108</v>
      </c>
      <c r="J1643" s="58">
        <v>3971331</v>
      </c>
      <c r="K1643" s="1" t="s">
        <v>106</v>
      </c>
      <c r="L1643" s="1" t="s">
        <v>120</v>
      </c>
      <c r="N1643" s="1">
        <v>1</v>
      </c>
      <c r="O1643" s="58"/>
      <c r="P1643" s="58">
        <v>100228.83</v>
      </c>
      <c r="Q1643" t="s">
        <v>113</v>
      </c>
      <c r="R1643" s="1" t="s">
        <v>158</v>
      </c>
    </row>
    <row r="1644" spans="3:18" x14ac:dyDescent="0.35">
      <c r="C1644" t="s">
        <v>53</v>
      </c>
      <c r="D1644" t="s">
        <v>22</v>
      </c>
      <c r="E1644" t="s">
        <v>45</v>
      </c>
      <c r="F1644" t="s">
        <v>46</v>
      </c>
      <c r="G1644" s="58">
        <v>104516</v>
      </c>
      <c r="H1644" s="1" t="s">
        <v>54</v>
      </c>
      <c r="I1644" s="1" t="s">
        <v>119</v>
      </c>
      <c r="J1644" s="58">
        <v>1045160</v>
      </c>
      <c r="K1644" s="1" t="s">
        <v>112</v>
      </c>
      <c r="N1644" s="1">
        <v>1</v>
      </c>
      <c r="O1644" s="58"/>
      <c r="P1644" s="58">
        <v>70025.72</v>
      </c>
      <c r="Q1644" t="s">
        <v>118</v>
      </c>
      <c r="R1644" s="1" t="s">
        <v>158</v>
      </c>
    </row>
    <row r="1645" spans="3:18" x14ac:dyDescent="0.35">
      <c r="C1645" t="s">
        <v>51</v>
      </c>
      <c r="D1645" t="s">
        <v>24</v>
      </c>
      <c r="E1645" t="s">
        <v>55</v>
      </c>
      <c r="F1645" t="s">
        <v>46</v>
      </c>
      <c r="G1645" s="58">
        <v>11976</v>
      </c>
      <c r="H1645" s="1" t="s">
        <v>47</v>
      </c>
      <c r="I1645" s="1" t="s">
        <v>105</v>
      </c>
      <c r="J1645" s="58">
        <v>47904</v>
      </c>
      <c r="K1645" s="1" t="s">
        <v>106</v>
      </c>
      <c r="L1645" s="1" t="s">
        <v>120</v>
      </c>
      <c r="N1645" s="1">
        <v>1</v>
      </c>
      <c r="O1645" s="58"/>
      <c r="P1645" s="58">
        <v>4910.16</v>
      </c>
      <c r="Q1645" t="s">
        <v>113</v>
      </c>
      <c r="R1645" s="1" t="s">
        <v>158</v>
      </c>
    </row>
    <row r="1646" spans="3:18" x14ac:dyDescent="0.35">
      <c r="C1646" t="s">
        <v>51</v>
      </c>
      <c r="D1646" t="s">
        <v>21</v>
      </c>
      <c r="E1646" t="s">
        <v>49</v>
      </c>
      <c r="F1646" t="s">
        <v>46</v>
      </c>
      <c r="G1646" s="58">
        <v>767010</v>
      </c>
      <c r="H1646" s="1" t="s">
        <v>54</v>
      </c>
      <c r="I1646" s="1" t="s">
        <v>105</v>
      </c>
      <c r="J1646" s="58">
        <v>1534020</v>
      </c>
      <c r="K1646" s="1" t="s">
        <v>106</v>
      </c>
      <c r="L1646" s="1" t="s">
        <v>120</v>
      </c>
      <c r="N1646" s="1">
        <v>1</v>
      </c>
      <c r="O1646" s="58"/>
      <c r="P1646" s="58">
        <v>61360.800000000003</v>
      </c>
      <c r="Q1646" t="s">
        <v>107</v>
      </c>
      <c r="R1646" s="1" t="s">
        <v>158</v>
      </c>
    </row>
    <row r="1647" spans="3:18" x14ac:dyDescent="0.35">
      <c r="C1647" t="s">
        <v>51</v>
      </c>
      <c r="D1647" t="s">
        <v>24</v>
      </c>
      <c r="E1647" t="s">
        <v>50</v>
      </c>
      <c r="F1647" t="s">
        <v>46</v>
      </c>
      <c r="G1647" s="58">
        <v>147783</v>
      </c>
      <c r="H1647" s="1" t="s">
        <v>47</v>
      </c>
      <c r="I1647" s="1" t="s">
        <v>111</v>
      </c>
      <c r="J1647" s="58">
        <v>1921179</v>
      </c>
      <c r="K1647" s="1" t="s">
        <v>106</v>
      </c>
      <c r="L1647" s="1" t="s">
        <v>120</v>
      </c>
      <c r="N1647" s="1">
        <v>1</v>
      </c>
      <c r="O1647" s="58"/>
      <c r="P1647" s="58">
        <v>35467.919999999998</v>
      </c>
      <c r="Q1647" t="s">
        <v>107</v>
      </c>
      <c r="R1647" s="1" t="s">
        <v>158</v>
      </c>
    </row>
    <row r="1648" spans="3:18" x14ac:dyDescent="0.35">
      <c r="C1648" t="s">
        <v>51</v>
      </c>
      <c r="D1648" t="s">
        <v>20</v>
      </c>
      <c r="E1648" t="s">
        <v>55</v>
      </c>
      <c r="F1648" t="s">
        <v>46</v>
      </c>
      <c r="G1648" s="58">
        <v>763769</v>
      </c>
      <c r="H1648" s="1" t="s">
        <v>48</v>
      </c>
      <c r="I1648" s="1" t="s">
        <v>111</v>
      </c>
      <c r="J1648" s="58">
        <v>12984073</v>
      </c>
      <c r="K1648" s="1" t="s">
        <v>106</v>
      </c>
      <c r="L1648" s="1" t="s">
        <v>114</v>
      </c>
      <c r="M1648" s="1" t="s">
        <v>123</v>
      </c>
      <c r="N1648" s="1">
        <v>1</v>
      </c>
      <c r="O1648" s="58"/>
      <c r="P1648" s="58">
        <v>374246.81</v>
      </c>
      <c r="Q1648" t="s">
        <v>113</v>
      </c>
      <c r="R1648" s="1" t="s">
        <v>158</v>
      </c>
    </row>
    <row r="1649" spans="3:18" x14ac:dyDescent="0.35">
      <c r="C1649" t="s">
        <v>51</v>
      </c>
      <c r="D1649" t="s">
        <v>22</v>
      </c>
      <c r="E1649" t="s">
        <v>52</v>
      </c>
      <c r="F1649" t="s">
        <v>46</v>
      </c>
      <c r="G1649" s="58">
        <v>1873658</v>
      </c>
      <c r="H1649" s="1" t="s">
        <v>48</v>
      </c>
      <c r="I1649" s="1" t="s">
        <v>108</v>
      </c>
      <c r="J1649" s="58">
        <v>58083398</v>
      </c>
      <c r="K1649" s="1" t="s">
        <v>112</v>
      </c>
      <c r="N1649" s="1">
        <v>1</v>
      </c>
      <c r="O1649" s="58"/>
      <c r="P1649" s="58">
        <v>974302.16</v>
      </c>
      <c r="Q1649" t="s">
        <v>113</v>
      </c>
      <c r="R1649" s="1" t="s">
        <v>48</v>
      </c>
    </row>
    <row r="1650" spans="3:18" x14ac:dyDescent="0.35">
      <c r="C1650" t="s">
        <v>53</v>
      </c>
      <c r="D1650" t="s">
        <v>24</v>
      </c>
      <c r="E1650" t="s">
        <v>45</v>
      </c>
      <c r="F1650" t="s">
        <v>46</v>
      </c>
      <c r="G1650" s="58">
        <v>88860</v>
      </c>
      <c r="H1650" s="1" t="s">
        <v>54</v>
      </c>
      <c r="I1650" s="1" t="s">
        <v>119</v>
      </c>
      <c r="J1650" s="58">
        <v>888600</v>
      </c>
      <c r="K1650" s="1" t="s">
        <v>106</v>
      </c>
      <c r="L1650" s="1" t="s">
        <v>114</v>
      </c>
      <c r="N1650" s="1">
        <v>1</v>
      </c>
      <c r="O1650" s="58"/>
      <c r="P1650" s="58">
        <v>58647.6</v>
      </c>
      <c r="Q1650" t="s">
        <v>118</v>
      </c>
      <c r="R1650" s="1" t="s">
        <v>158</v>
      </c>
    </row>
    <row r="1651" spans="3:18" x14ac:dyDescent="0.35">
      <c r="C1651" t="s">
        <v>51</v>
      </c>
      <c r="D1651" t="s">
        <v>22</v>
      </c>
      <c r="E1651" t="s">
        <v>50</v>
      </c>
      <c r="F1651" t="s">
        <v>64</v>
      </c>
      <c r="G1651" s="58">
        <v>548497</v>
      </c>
      <c r="H1651" s="1" t="s">
        <v>48</v>
      </c>
      <c r="I1651" s="1" t="s">
        <v>108</v>
      </c>
      <c r="J1651" s="58">
        <v>19745892</v>
      </c>
      <c r="K1651" s="1" t="s">
        <v>112</v>
      </c>
      <c r="N1651" s="1">
        <v>1</v>
      </c>
      <c r="O1651" s="58"/>
      <c r="P1651" s="58">
        <v>449767.54</v>
      </c>
      <c r="Q1651" t="s">
        <v>127</v>
      </c>
      <c r="R1651" s="1" t="s">
        <v>48</v>
      </c>
    </row>
    <row r="1652" spans="3:18" x14ac:dyDescent="0.35">
      <c r="C1652" t="s">
        <v>51</v>
      </c>
      <c r="D1652" t="s">
        <v>23</v>
      </c>
      <c r="E1652" t="s">
        <v>62</v>
      </c>
      <c r="F1652" t="s">
        <v>46</v>
      </c>
      <c r="G1652" s="58">
        <v>439638</v>
      </c>
      <c r="H1652" s="1" t="s">
        <v>48</v>
      </c>
      <c r="I1652" s="1" t="s">
        <v>108</v>
      </c>
      <c r="J1652" s="58">
        <v>14068416</v>
      </c>
      <c r="K1652" s="1" t="s">
        <v>106</v>
      </c>
      <c r="L1652" s="1" t="s">
        <v>114</v>
      </c>
      <c r="M1652" s="1" t="s">
        <v>125</v>
      </c>
      <c r="N1652" s="1">
        <v>1</v>
      </c>
      <c r="O1652" s="58"/>
      <c r="P1652" s="58">
        <v>241800.9</v>
      </c>
      <c r="Q1652" t="s">
        <v>113</v>
      </c>
      <c r="R1652" s="1" t="s">
        <v>48</v>
      </c>
    </row>
    <row r="1653" spans="3:18" x14ac:dyDescent="0.35">
      <c r="C1653" t="s">
        <v>53</v>
      </c>
      <c r="D1653" t="s">
        <v>23</v>
      </c>
      <c r="E1653" t="s">
        <v>45</v>
      </c>
      <c r="F1653" t="s">
        <v>46</v>
      </c>
      <c r="G1653" s="58">
        <v>496714</v>
      </c>
      <c r="H1653" s="1" t="s">
        <v>59</v>
      </c>
      <c r="I1653" s="1" t="s">
        <v>119</v>
      </c>
      <c r="J1653" s="58">
        <v>3476998</v>
      </c>
      <c r="K1653" s="1" t="s">
        <v>106</v>
      </c>
      <c r="L1653" s="1" t="s">
        <v>120</v>
      </c>
      <c r="N1653" s="1">
        <v>1</v>
      </c>
      <c r="O1653" s="58"/>
      <c r="P1653" s="58">
        <v>59605.68</v>
      </c>
      <c r="Q1653" t="s">
        <v>107</v>
      </c>
      <c r="R1653" s="1" t="s">
        <v>158</v>
      </c>
    </row>
    <row r="1654" spans="3:18" x14ac:dyDescent="0.35">
      <c r="C1654" t="s">
        <v>53</v>
      </c>
      <c r="D1654" t="s">
        <v>20</v>
      </c>
      <c r="E1654" t="s">
        <v>45</v>
      </c>
      <c r="F1654" t="s">
        <v>46</v>
      </c>
      <c r="G1654" s="58">
        <v>4286972</v>
      </c>
      <c r="H1654" s="1" t="s">
        <v>54</v>
      </c>
      <c r="I1654" s="1" t="s">
        <v>111</v>
      </c>
      <c r="J1654" s="58">
        <v>51443664</v>
      </c>
      <c r="K1654" s="1" t="s">
        <v>106</v>
      </c>
      <c r="L1654" s="1" t="s">
        <v>120</v>
      </c>
      <c r="N1654" s="1">
        <v>1</v>
      </c>
      <c r="O1654" s="58"/>
      <c r="P1654" s="58">
        <v>2915140.96</v>
      </c>
      <c r="Q1654" t="s">
        <v>118</v>
      </c>
      <c r="R1654" s="1" t="s">
        <v>158</v>
      </c>
    </row>
    <row r="1655" spans="3:18" x14ac:dyDescent="0.35">
      <c r="C1655" t="s">
        <v>53</v>
      </c>
      <c r="D1655" t="s">
        <v>23</v>
      </c>
      <c r="E1655" t="s">
        <v>45</v>
      </c>
      <c r="F1655" t="s">
        <v>46</v>
      </c>
      <c r="G1655" s="58">
        <v>950521</v>
      </c>
      <c r="H1655" s="1" t="s">
        <v>54</v>
      </c>
      <c r="I1655" s="1" t="s">
        <v>119</v>
      </c>
      <c r="J1655" s="58">
        <v>7604168</v>
      </c>
      <c r="K1655" s="1" t="s">
        <v>106</v>
      </c>
      <c r="L1655" s="1" t="s">
        <v>120</v>
      </c>
      <c r="N1655" s="1">
        <v>1</v>
      </c>
      <c r="O1655" s="58"/>
      <c r="P1655" s="58">
        <v>579817.81000000006</v>
      </c>
      <c r="Q1655" t="s">
        <v>118</v>
      </c>
      <c r="R1655" s="1" t="s">
        <v>158</v>
      </c>
    </row>
    <row r="1656" spans="3:18" x14ac:dyDescent="0.35">
      <c r="C1656" t="s">
        <v>53</v>
      </c>
      <c r="D1656" t="s">
        <v>21</v>
      </c>
      <c r="E1656" t="s">
        <v>45</v>
      </c>
      <c r="F1656" t="s">
        <v>46</v>
      </c>
      <c r="G1656" s="58">
        <v>65093</v>
      </c>
      <c r="H1656" s="1" t="s">
        <v>47</v>
      </c>
      <c r="I1656" s="1" t="s">
        <v>119</v>
      </c>
      <c r="J1656" s="58">
        <v>325465</v>
      </c>
      <c r="K1656" s="1" t="s">
        <v>106</v>
      </c>
      <c r="L1656" s="1" t="s">
        <v>114</v>
      </c>
      <c r="N1656" s="1">
        <v>1</v>
      </c>
      <c r="O1656" s="58"/>
      <c r="P1656" s="58">
        <v>26037.200000000001</v>
      </c>
      <c r="Q1656" t="s">
        <v>107</v>
      </c>
      <c r="R1656" s="1" t="s">
        <v>158</v>
      </c>
    </row>
    <row r="1657" spans="3:18" x14ac:dyDescent="0.35">
      <c r="C1657" t="s">
        <v>51</v>
      </c>
      <c r="D1657" t="s">
        <v>23</v>
      </c>
      <c r="E1657" t="s">
        <v>45</v>
      </c>
      <c r="F1657" t="s">
        <v>46</v>
      </c>
      <c r="G1657" s="58">
        <v>592801</v>
      </c>
      <c r="H1657" s="1" t="s">
        <v>56</v>
      </c>
      <c r="I1657" s="1" t="s">
        <v>119</v>
      </c>
      <c r="J1657" s="58">
        <v>5928010</v>
      </c>
      <c r="K1657" s="1" t="s">
        <v>112</v>
      </c>
      <c r="N1657" s="1">
        <v>1</v>
      </c>
      <c r="O1657" s="58"/>
      <c r="P1657" s="58">
        <v>480168.81</v>
      </c>
      <c r="Q1657" t="s">
        <v>127</v>
      </c>
      <c r="R1657" s="1" t="s">
        <v>158</v>
      </c>
    </row>
    <row r="1658" spans="3:18" x14ac:dyDescent="0.35">
      <c r="C1658" t="s">
        <v>51</v>
      </c>
      <c r="D1658" t="s">
        <v>22</v>
      </c>
      <c r="E1658" t="s">
        <v>45</v>
      </c>
      <c r="F1658" t="s">
        <v>46</v>
      </c>
      <c r="G1658" s="58">
        <v>198077</v>
      </c>
      <c r="H1658" s="1" t="s">
        <v>48</v>
      </c>
      <c r="I1658" s="1" t="s">
        <v>108</v>
      </c>
      <c r="J1658" s="58">
        <v>4753848</v>
      </c>
      <c r="K1658" s="1" t="s">
        <v>106</v>
      </c>
      <c r="L1658" s="1" t="s">
        <v>124</v>
      </c>
      <c r="M1658" s="1" t="s">
        <v>126</v>
      </c>
      <c r="N1658" s="1">
        <v>1</v>
      </c>
      <c r="O1658" s="58"/>
      <c r="P1658" s="58">
        <v>87153.88</v>
      </c>
      <c r="Q1658" t="s">
        <v>113</v>
      </c>
      <c r="R1658" s="1" t="s">
        <v>48</v>
      </c>
    </row>
    <row r="1659" spans="3:18" x14ac:dyDescent="0.35">
      <c r="C1659" t="s">
        <v>51</v>
      </c>
      <c r="D1659" t="s">
        <v>20</v>
      </c>
      <c r="E1659" t="s">
        <v>45</v>
      </c>
      <c r="F1659" t="s">
        <v>46</v>
      </c>
      <c r="G1659" s="58">
        <v>6958675</v>
      </c>
      <c r="H1659" s="1" t="s">
        <v>48</v>
      </c>
      <c r="I1659" s="1" t="s">
        <v>108</v>
      </c>
      <c r="J1659" s="58">
        <v>236594950</v>
      </c>
      <c r="K1659" s="1" t="s">
        <v>112</v>
      </c>
      <c r="N1659" s="1">
        <v>1</v>
      </c>
      <c r="O1659" s="58"/>
      <c r="P1659" s="58">
        <v>5010246</v>
      </c>
      <c r="Q1659" t="s">
        <v>118</v>
      </c>
      <c r="R1659" s="1" t="s">
        <v>48</v>
      </c>
    </row>
    <row r="1660" spans="3:18" x14ac:dyDescent="0.35">
      <c r="C1660" t="s">
        <v>51</v>
      </c>
      <c r="D1660" t="s">
        <v>22</v>
      </c>
      <c r="E1660" t="s">
        <v>45</v>
      </c>
      <c r="F1660" t="s">
        <v>46</v>
      </c>
      <c r="G1660" s="58">
        <v>801920</v>
      </c>
      <c r="H1660" s="1" t="s">
        <v>54</v>
      </c>
      <c r="I1660" s="1" t="s">
        <v>119</v>
      </c>
      <c r="J1660" s="58">
        <v>8019200</v>
      </c>
      <c r="K1660" s="1" t="s">
        <v>112</v>
      </c>
      <c r="N1660" s="1">
        <v>1</v>
      </c>
      <c r="O1660" s="58"/>
      <c r="P1660" s="58">
        <v>352844.79999999999</v>
      </c>
      <c r="Q1660" t="s">
        <v>113</v>
      </c>
      <c r="R1660" s="1" t="s">
        <v>158</v>
      </c>
    </row>
    <row r="1661" spans="3:18" x14ac:dyDescent="0.35">
      <c r="C1661" t="s">
        <v>51</v>
      </c>
      <c r="D1661" t="s">
        <v>24</v>
      </c>
      <c r="E1661" t="s">
        <v>55</v>
      </c>
      <c r="F1661" t="s">
        <v>46</v>
      </c>
      <c r="G1661" s="58">
        <v>147359</v>
      </c>
      <c r="H1661" s="1" t="s">
        <v>48</v>
      </c>
      <c r="I1661" s="1" t="s">
        <v>108</v>
      </c>
      <c r="J1661" s="58">
        <v>5304924</v>
      </c>
      <c r="K1661" s="1" t="s">
        <v>106</v>
      </c>
      <c r="L1661" s="1" t="s">
        <v>114</v>
      </c>
      <c r="M1661" s="1" t="s">
        <v>125</v>
      </c>
      <c r="N1661" s="1">
        <v>1</v>
      </c>
      <c r="O1661" s="58"/>
      <c r="P1661" s="58">
        <v>69258.73</v>
      </c>
      <c r="Q1661" t="s">
        <v>113</v>
      </c>
      <c r="R1661" s="1" t="s">
        <v>158</v>
      </c>
    </row>
    <row r="1662" spans="3:18" x14ac:dyDescent="0.35">
      <c r="C1662" t="s">
        <v>51</v>
      </c>
      <c r="D1662" t="s">
        <v>22</v>
      </c>
      <c r="E1662" t="s">
        <v>52</v>
      </c>
      <c r="F1662" t="s">
        <v>46</v>
      </c>
      <c r="G1662" s="58">
        <v>386453</v>
      </c>
      <c r="H1662" s="1" t="s">
        <v>48</v>
      </c>
      <c r="I1662" s="1" t="s">
        <v>108</v>
      </c>
      <c r="J1662" s="58">
        <v>11207137</v>
      </c>
      <c r="K1662" s="1" t="s">
        <v>112</v>
      </c>
      <c r="N1662" s="1">
        <v>1</v>
      </c>
      <c r="O1662" s="58"/>
      <c r="P1662" s="58">
        <v>127529.49</v>
      </c>
      <c r="Q1662" t="s">
        <v>107</v>
      </c>
      <c r="R1662" s="1" t="s">
        <v>48</v>
      </c>
    </row>
    <row r="1663" spans="3:18" x14ac:dyDescent="0.35">
      <c r="C1663" t="s">
        <v>51</v>
      </c>
      <c r="D1663" t="s">
        <v>23</v>
      </c>
      <c r="E1663" t="s">
        <v>45</v>
      </c>
      <c r="F1663" t="s">
        <v>46</v>
      </c>
      <c r="G1663" s="58">
        <v>211201</v>
      </c>
      <c r="H1663" s="1" t="s">
        <v>54</v>
      </c>
      <c r="I1663" s="1" t="s">
        <v>119</v>
      </c>
      <c r="J1663" s="58">
        <v>1900809</v>
      </c>
      <c r="K1663" s="1" t="s">
        <v>106</v>
      </c>
      <c r="L1663" s="1" t="s">
        <v>120</v>
      </c>
      <c r="N1663" s="1">
        <v>1</v>
      </c>
      <c r="O1663" s="58"/>
      <c r="P1663" s="58">
        <v>141504.67000000001</v>
      </c>
      <c r="Q1663" t="s">
        <v>118</v>
      </c>
      <c r="R1663" s="1" t="s">
        <v>158</v>
      </c>
    </row>
    <row r="1664" spans="3:18" x14ac:dyDescent="0.35">
      <c r="C1664" t="s">
        <v>53</v>
      </c>
      <c r="D1664" t="s">
        <v>23</v>
      </c>
      <c r="E1664" t="s">
        <v>49</v>
      </c>
      <c r="F1664" t="s">
        <v>46</v>
      </c>
      <c r="G1664" s="58">
        <v>24735</v>
      </c>
      <c r="H1664" s="1" t="s">
        <v>47</v>
      </c>
      <c r="I1664" s="1" t="s">
        <v>105</v>
      </c>
      <c r="J1664" s="58">
        <v>98940</v>
      </c>
      <c r="K1664" s="1" t="s">
        <v>106</v>
      </c>
      <c r="L1664" s="1" t="s">
        <v>124</v>
      </c>
      <c r="N1664" s="1">
        <v>1</v>
      </c>
      <c r="O1664" s="58"/>
      <c r="P1664" s="58">
        <v>11378.1</v>
      </c>
      <c r="Q1664" t="s">
        <v>113</v>
      </c>
      <c r="R1664" s="1" t="s">
        <v>158</v>
      </c>
    </row>
    <row r="1665" spans="3:18" x14ac:dyDescent="0.35">
      <c r="C1665" t="s">
        <v>51</v>
      </c>
      <c r="D1665" t="s">
        <v>22</v>
      </c>
      <c r="E1665" t="s">
        <v>49</v>
      </c>
      <c r="F1665" t="s">
        <v>64</v>
      </c>
      <c r="G1665" s="58">
        <v>372266</v>
      </c>
      <c r="H1665" s="1" t="s">
        <v>47</v>
      </c>
      <c r="I1665" s="1" t="s">
        <v>108</v>
      </c>
      <c r="J1665" s="58">
        <v>9306650</v>
      </c>
      <c r="K1665" s="1" t="s">
        <v>112</v>
      </c>
      <c r="N1665" s="1">
        <v>1</v>
      </c>
      <c r="O1665" s="58"/>
      <c r="P1665" s="58">
        <v>174965.02</v>
      </c>
      <c r="Q1665" t="s">
        <v>113</v>
      </c>
      <c r="R1665" s="1" t="s">
        <v>158</v>
      </c>
    </row>
    <row r="1666" spans="3:18" x14ac:dyDescent="0.35">
      <c r="C1666" t="s">
        <v>53</v>
      </c>
      <c r="D1666" t="s">
        <v>19</v>
      </c>
      <c r="E1666" t="s">
        <v>45</v>
      </c>
      <c r="F1666" t="s">
        <v>46</v>
      </c>
      <c r="G1666" s="58">
        <v>182793</v>
      </c>
      <c r="H1666" s="1" t="s">
        <v>47</v>
      </c>
      <c r="I1666" s="1" t="s">
        <v>111</v>
      </c>
      <c r="J1666" s="58">
        <v>2010723</v>
      </c>
      <c r="K1666" s="1" t="s">
        <v>106</v>
      </c>
      <c r="L1666" s="1" t="s">
        <v>120</v>
      </c>
      <c r="N1666" s="1">
        <v>1</v>
      </c>
      <c r="O1666" s="58"/>
      <c r="P1666" s="58">
        <v>104192.01</v>
      </c>
      <c r="Q1666" t="s">
        <v>113</v>
      </c>
      <c r="R1666" s="1" t="s">
        <v>158</v>
      </c>
    </row>
    <row r="1667" spans="3:18" x14ac:dyDescent="0.35">
      <c r="C1667" t="s">
        <v>53</v>
      </c>
      <c r="D1667" t="s">
        <v>25</v>
      </c>
      <c r="E1667" t="s">
        <v>55</v>
      </c>
      <c r="F1667" t="s">
        <v>46</v>
      </c>
      <c r="G1667" s="58">
        <v>41960</v>
      </c>
      <c r="H1667" s="1" t="s">
        <v>48</v>
      </c>
      <c r="I1667" s="1" t="s">
        <v>119</v>
      </c>
      <c r="J1667" s="58">
        <v>335680</v>
      </c>
      <c r="K1667" s="1" t="s">
        <v>106</v>
      </c>
      <c r="L1667" s="1" t="s">
        <v>114</v>
      </c>
      <c r="M1667" s="1" t="s">
        <v>117</v>
      </c>
      <c r="N1667" s="1">
        <v>1</v>
      </c>
      <c r="O1667" s="58"/>
      <c r="P1667" s="58">
        <v>20140.8</v>
      </c>
      <c r="Q1667" t="s">
        <v>113</v>
      </c>
      <c r="R1667" s="1" t="s">
        <v>158</v>
      </c>
    </row>
    <row r="1668" spans="3:18" x14ac:dyDescent="0.35">
      <c r="C1668" t="s">
        <v>51</v>
      </c>
      <c r="D1668" t="s">
        <v>23</v>
      </c>
      <c r="E1668" t="s">
        <v>62</v>
      </c>
      <c r="F1668" t="s">
        <v>46</v>
      </c>
      <c r="G1668" s="58">
        <v>45372</v>
      </c>
      <c r="H1668" s="1" t="s">
        <v>48</v>
      </c>
      <c r="I1668" s="1" t="s">
        <v>105</v>
      </c>
      <c r="J1668" s="58">
        <v>181488</v>
      </c>
      <c r="K1668" s="1" t="s">
        <v>106</v>
      </c>
      <c r="L1668" s="1" t="s">
        <v>131</v>
      </c>
      <c r="M1668" s="1" t="s">
        <v>125</v>
      </c>
      <c r="N1668" s="1">
        <v>1</v>
      </c>
      <c r="O1668" s="58"/>
      <c r="P1668" s="58">
        <v>13157.88</v>
      </c>
      <c r="Q1668" t="s">
        <v>107</v>
      </c>
      <c r="R1668" s="1" t="s">
        <v>48</v>
      </c>
    </row>
    <row r="1669" spans="3:18" x14ac:dyDescent="0.35">
      <c r="C1669" t="s">
        <v>51</v>
      </c>
      <c r="D1669" t="s">
        <v>60</v>
      </c>
      <c r="E1669" t="s">
        <v>60</v>
      </c>
      <c r="F1669" t="s">
        <v>46</v>
      </c>
      <c r="G1669" s="58">
        <v>74470</v>
      </c>
      <c r="H1669" s="1" t="s">
        <v>90</v>
      </c>
      <c r="I1669" s="1" t="s">
        <v>111</v>
      </c>
      <c r="J1669" s="58">
        <v>1191520</v>
      </c>
      <c r="K1669" s="1" t="s">
        <v>106</v>
      </c>
      <c r="N1669" s="1">
        <v>1</v>
      </c>
      <c r="O1669" s="58"/>
      <c r="P1669" s="58">
        <v>54363.1</v>
      </c>
      <c r="Q1669" t="s">
        <v>118</v>
      </c>
      <c r="R1669" s="1" t="s">
        <v>90</v>
      </c>
    </row>
    <row r="1670" spans="3:18" x14ac:dyDescent="0.35">
      <c r="C1670" t="s">
        <v>51</v>
      </c>
      <c r="D1670" t="s">
        <v>23</v>
      </c>
      <c r="E1670" t="s">
        <v>45</v>
      </c>
      <c r="F1670" t="s">
        <v>46</v>
      </c>
      <c r="G1670" s="58">
        <v>839984</v>
      </c>
      <c r="H1670" s="1" t="s">
        <v>48</v>
      </c>
      <c r="I1670" s="1" t="s">
        <v>111</v>
      </c>
      <c r="J1670" s="58">
        <v>14279728</v>
      </c>
      <c r="K1670" s="1" t="s">
        <v>106</v>
      </c>
      <c r="L1670" s="1" t="s">
        <v>120</v>
      </c>
      <c r="M1670" s="1" t="s">
        <v>125</v>
      </c>
      <c r="N1670" s="1">
        <v>1</v>
      </c>
      <c r="O1670" s="58"/>
      <c r="P1670" s="58">
        <v>562789.28</v>
      </c>
      <c r="Q1670" t="s">
        <v>118</v>
      </c>
      <c r="R1670" s="1" t="s">
        <v>48</v>
      </c>
    </row>
    <row r="1671" spans="3:18" x14ac:dyDescent="0.35">
      <c r="C1671" t="s">
        <v>51</v>
      </c>
      <c r="D1671" t="s">
        <v>91</v>
      </c>
      <c r="E1671" t="s">
        <v>45</v>
      </c>
      <c r="F1671" t="s">
        <v>46</v>
      </c>
      <c r="G1671" s="58">
        <v>107340</v>
      </c>
      <c r="H1671" s="1" t="s">
        <v>48</v>
      </c>
      <c r="I1671" s="1" t="s">
        <v>111</v>
      </c>
      <c r="J1671" s="58">
        <v>1717440</v>
      </c>
      <c r="K1671" s="1" t="s">
        <v>106</v>
      </c>
      <c r="L1671" s="1" t="s">
        <v>120</v>
      </c>
      <c r="M1671" s="1" t="s">
        <v>122</v>
      </c>
      <c r="N1671" s="1">
        <v>1</v>
      </c>
      <c r="O1671" s="58"/>
      <c r="P1671" s="58">
        <v>20394.599999999999</v>
      </c>
      <c r="Q1671" t="s">
        <v>107</v>
      </c>
      <c r="R1671" s="1" t="s">
        <v>48</v>
      </c>
    </row>
    <row r="1672" spans="3:18" x14ac:dyDescent="0.35">
      <c r="C1672" t="s">
        <v>53</v>
      </c>
      <c r="D1672" t="s">
        <v>92</v>
      </c>
      <c r="E1672" t="s">
        <v>45</v>
      </c>
      <c r="F1672" t="s">
        <v>46</v>
      </c>
      <c r="G1672" s="58">
        <v>1003643</v>
      </c>
      <c r="H1672" s="1" t="s">
        <v>48</v>
      </c>
      <c r="I1672" s="1" t="s">
        <v>128</v>
      </c>
      <c r="J1672" s="58"/>
      <c r="K1672" s="1" t="s">
        <v>106</v>
      </c>
      <c r="L1672" s="1" t="s">
        <v>120</v>
      </c>
      <c r="M1672" s="1" t="s">
        <v>123</v>
      </c>
      <c r="N1672" s="1">
        <v>0</v>
      </c>
      <c r="O1672" s="58"/>
      <c r="P1672" s="58">
        <v>662404.38</v>
      </c>
      <c r="Q1672" t="s">
        <v>118</v>
      </c>
      <c r="R1672" s="1" t="s">
        <v>158</v>
      </c>
    </row>
    <row r="1673" spans="3:18" x14ac:dyDescent="0.35">
      <c r="C1673" t="s">
        <v>51</v>
      </c>
      <c r="D1673" t="s">
        <v>23</v>
      </c>
      <c r="E1673" t="s">
        <v>55</v>
      </c>
      <c r="F1673" t="s">
        <v>64</v>
      </c>
      <c r="G1673" s="58">
        <v>1408643</v>
      </c>
      <c r="H1673" s="1" t="s">
        <v>48</v>
      </c>
      <c r="I1673" s="1" t="s">
        <v>108</v>
      </c>
      <c r="J1673" s="58">
        <v>56345720</v>
      </c>
      <c r="K1673" s="1" t="s">
        <v>106</v>
      </c>
      <c r="L1673" s="1" t="s">
        <v>114</v>
      </c>
      <c r="M1673" s="1" t="s">
        <v>125</v>
      </c>
      <c r="N1673" s="1">
        <v>1</v>
      </c>
      <c r="O1673" s="58"/>
      <c r="P1673" s="58">
        <v>1183260.1200000001</v>
      </c>
      <c r="Q1673" t="s">
        <v>127</v>
      </c>
      <c r="R1673" s="1" t="s">
        <v>48</v>
      </c>
    </row>
    <row r="1674" spans="3:18" x14ac:dyDescent="0.35">
      <c r="C1674" t="s">
        <v>53</v>
      </c>
      <c r="D1674" t="s">
        <v>92</v>
      </c>
      <c r="E1674" t="s">
        <v>45</v>
      </c>
      <c r="F1674" t="s">
        <v>46</v>
      </c>
      <c r="G1674" s="58">
        <v>2849892</v>
      </c>
      <c r="H1674" s="1" t="s">
        <v>54</v>
      </c>
      <c r="I1674" s="1" t="s">
        <v>119</v>
      </c>
      <c r="J1674" s="58">
        <v>22799136</v>
      </c>
      <c r="K1674" s="1" t="s">
        <v>106</v>
      </c>
      <c r="L1674" s="1" t="s">
        <v>120</v>
      </c>
      <c r="N1674" s="1">
        <v>1</v>
      </c>
      <c r="O1674" s="58"/>
      <c r="P1674" s="58">
        <v>940464.36</v>
      </c>
      <c r="Q1674" t="s">
        <v>107</v>
      </c>
      <c r="R1674" s="1" t="s">
        <v>158</v>
      </c>
    </row>
    <row r="1675" spans="3:18" x14ac:dyDescent="0.35">
      <c r="C1675" t="s">
        <v>53</v>
      </c>
      <c r="D1675" t="s">
        <v>22</v>
      </c>
      <c r="E1675" t="s">
        <v>49</v>
      </c>
      <c r="F1675" t="s">
        <v>46</v>
      </c>
      <c r="G1675" s="58">
        <v>955179</v>
      </c>
      <c r="H1675" s="1" t="s">
        <v>54</v>
      </c>
      <c r="I1675" s="1" t="s">
        <v>105</v>
      </c>
      <c r="J1675" s="58">
        <v>3820716</v>
      </c>
      <c r="K1675" s="1" t="s">
        <v>106</v>
      </c>
      <c r="L1675" s="1" t="s">
        <v>124</v>
      </c>
      <c r="N1675" s="1">
        <v>1</v>
      </c>
      <c r="O1675" s="58"/>
      <c r="P1675" s="58">
        <v>477589.5</v>
      </c>
      <c r="Q1675" t="s">
        <v>113</v>
      </c>
      <c r="R1675" s="1" t="s">
        <v>158</v>
      </c>
    </row>
    <row r="1676" spans="3:18" x14ac:dyDescent="0.35">
      <c r="C1676" t="s">
        <v>51</v>
      </c>
      <c r="D1676" t="s">
        <v>21</v>
      </c>
      <c r="E1676" t="s">
        <v>49</v>
      </c>
      <c r="F1676" t="s">
        <v>46</v>
      </c>
      <c r="G1676" s="58">
        <v>56417271</v>
      </c>
      <c r="H1676" s="1" t="s">
        <v>56</v>
      </c>
      <c r="I1676" s="1" t="s">
        <v>111</v>
      </c>
      <c r="J1676" s="58">
        <v>959093607</v>
      </c>
      <c r="K1676" s="1" t="s">
        <v>106</v>
      </c>
      <c r="L1676" s="1" t="s">
        <v>124</v>
      </c>
      <c r="N1676" s="1">
        <v>1</v>
      </c>
      <c r="O1676" s="58"/>
      <c r="P1676" s="58">
        <v>37799571.57</v>
      </c>
      <c r="Q1676" t="s">
        <v>118</v>
      </c>
      <c r="R1676" s="1" t="s">
        <v>158</v>
      </c>
    </row>
    <row r="1677" spans="3:18" x14ac:dyDescent="0.35">
      <c r="C1677" t="s">
        <v>51</v>
      </c>
      <c r="D1677" t="s">
        <v>21</v>
      </c>
      <c r="E1677" t="s">
        <v>55</v>
      </c>
      <c r="F1677" t="s">
        <v>46</v>
      </c>
      <c r="G1677" s="58">
        <v>3100200</v>
      </c>
      <c r="H1677" s="1" t="s">
        <v>48</v>
      </c>
      <c r="I1677" s="1" t="s">
        <v>108</v>
      </c>
      <c r="J1677" s="58">
        <v>120907800</v>
      </c>
      <c r="K1677" s="1" t="s">
        <v>112</v>
      </c>
      <c r="N1677" s="1">
        <v>1</v>
      </c>
      <c r="O1677" s="58"/>
      <c r="P1677" s="58">
        <v>3100200</v>
      </c>
      <c r="Q1677" t="s">
        <v>110</v>
      </c>
      <c r="R1677" s="1" t="s">
        <v>48</v>
      </c>
    </row>
    <row r="1678" spans="3:18" x14ac:dyDescent="0.35">
      <c r="C1678" t="s">
        <v>53</v>
      </c>
      <c r="D1678" t="s">
        <v>22</v>
      </c>
      <c r="E1678" t="s">
        <v>55</v>
      </c>
      <c r="F1678" t="s">
        <v>46</v>
      </c>
      <c r="G1678" s="58">
        <v>116484</v>
      </c>
      <c r="H1678" s="1" t="s">
        <v>56</v>
      </c>
      <c r="I1678" s="1" t="s">
        <v>119</v>
      </c>
      <c r="J1678" s="58">
        <v>1048356</v>
      </c>
      <c r="K1678" s="1" t="s">
        <v>106</v>
      </c>
      <c r="L1678" s="1" t="s">
        <v>114</v>
      </c>
      <c r="N1678" s="1">
        <v>1</v>
      </c>
      <c r="O1678" s="58"/>
      <c r="P1678" s="58">
        <v>73384.92</v>
      </c>
      <c r="Q1678" t="s">
        <v>118</v>
      </c>
      <c r="R1678" s="1" t="s">
        <v>158</v>
      </c>
    </row>
    <row r="1679" spans="3:18" x14ac:dyDescent="0.35">
      <c r="C1679" t="s">
        <v>51</v>
      </c>
      <c r="D1679" t="s">
        <v>21</v>
      </c>
      <c r="E1679" t="s">
        <v>49</v>
      </c>
      <c r="F1679" t="s">
        <v>46</v>
      </c>
      <c r="G1679" s="58">
        <v>15983915</v>
      </c>
      <c r="H1679" s="1" t="s">
        <v>56</v>
      </c>
      <c r="I1679" s="1" t="s">
        <v>119</v>
      </c>
      <c r="J1679" s="58">
        <v>127871320</v>
      </c>
      <c r="K1679" s="1" t="s">
        <v>106</v>
      </c>
      <c r="L1679" s="1" t="s">
        <v>124</v>
      </c>
      <c r="N1679" s="1">
        <v>1</v>
      </c>
      <c r="O1679" s="58"/>
      <c r="P1679" s="58">
        <v>7512440.0499999998</v>
      </c>
      <c r="Q1679" t="s">
        <v>113</v>
      </c>
      <c r="R1679" s="1" t="s">
        <v>158</v>
      </c>
    </row>
    <row r="1680" spans="3:18" x14ac:dyDescent="0.35">
      <c r="C1680" t="s">
        <v>51</v>
      </c>
      <c r="D1680" t="s">
        <v>22</v>
      </c>
      <c r="E1680" t="s">
        <v>55</v>
      </c>
      <c r="F1680" t="s">
        <v>46</v>
      </c>
      <c r="G1680" s="58">
        <v>152663</v>
      </c>
      <c r="H1680" s="1" t="s">
        <v>48</v>
      </c>
      <c r="I1680" s="1" t="s">
        <v>108</v>
      </c>
      <c r="J1680" s="58">
        <v>6106520</v>
      </c>
      <c r="K1680" s="1" t="s">
        <v>112</v>
      </c>
      <c r="N1680" s="1">
        <v>1</v>
      </c>
      <c r="O1680" s="58"/>
      <c r="P1680" s="58">
        <v>125183.66</v>
      </c>
      <c r="Q1680" t="s">
        <v>127</v>
      </c>
      <c r="R1680" s="1" t="s">
        <v>158</v>
      </c>
    </row>
    <row r="1681" spans="3:18" x14ac:dyDescent="0.35">
      <c r="C1681" t="s">
        <v>51</v>
      </c>
      <c r="D1681" t="s">
        <v>24</v>
      </c>
      <c r="E1681" t="s">
        <v>55</v>
      </c>
      <c r="F1681" t="s">
        <v>64</v>
      </c>
      <c r="G1681" s="58">
        <v>285685</v>
      </c>
      <c r="H1681" s="1" t="s">
        <v>48</v>
      </c>
      <c r="I1681" s="1" t="s">
        <v>108</v>
      </c>
      <c r="J1681" s="58">
        <v>6570755</v>
      </c>
      <c r="K1681" s="1" t="s">
        <v>112</v>
      </c>
      <c r="N1681" s="1">
        <v>1</v>
      </c>
      <c r="O1681" s="58"/>
      <c r="P1681" s="58">
        <v>208550.05</v>
      </c>
      <c r="Q1681" t="s">
        <v>118</v>
      </c>
      <c r="R1681" s="1" t="s">
        <v>48</v>
      </c>
    </row>
    <row r="1682" spans="3:18" x14ac:dyDescent="0.35">
      <c r="C1682" t="s">
        <v>51</v>
      </c>
      <c r="D1682" t="s">
        <v>21</v>
      </c>
      <c r="E1682" t="s">
        <v>50</v>
      </c>
      <c r="F1682" t="s">
        <v>46</v>
      </c>
      <c r="G1682" s="58">
        <v>33617</v>
      </c>
      <c r="H1682" s="1" t="s">
        <v>48</v>
      </c>
      <c r="I1682" s="1" t="s">
        <v>105</v>
      </c>
      <c r="J1682" s="58">
        <v>134468</v>
      </c>
      <c r="K1682" s="1" t="s">
        <v>106</v>
      </c>
      <c r="L1682" s="1" t="s">
        <v>109</v>
      </c>
      <c r="M1682" s="1" t="s">
        <v>126</v>
      </c>
      <c r="N1682" s="1">
        <v>1</v>
      </c>
      <c r="O1682" s="58"/>
      <c r="P1682" s="58">
        <v>3361.7</v>
      </c>
      <c r="Q1682" t="s">
        <v>107</v>
      </c>
      <c r="R1682" s="1" t="s">
        <v>48</v>
      </c>
    </row>
    <row r="1683" spans="3:18" x14ac:dyDescent="0.35">
      <c r="C1683" t="s">
        <v>53</v>
      </c>
      <c r="D1683" t="s">
        <v>92</v>
      </c>
      <c r="E1683" t="s">
        <v>45</v>
      </c>
      <c r="F1683" t="s">
        <v>46</v>
      </c>
      <c r="G1683" s="58">
        <v>248262</v>
      </c>
      <c r="H1683" s="1" t="s">
        <v>59</v>
      </c>
      <c r="I1683" s="1" t="s">
        <v>119</v>
      </c>
      <c r="J1683" s="58">
        <v>1737834</v>
      </c>
      <c r="K1683" s="1" t="s">
        <v>106</v>
      </c>
      <c r="L1683" s="1" t="s">
        <v>120</v>
      </c>
      <c r="N1683" s="1">
        <v>1</v>
      </c>
      <c r="O1683" s="58"/>
      <c r="P1683" s="58">
        <v>372393</v>
      </c>
      <c r="Q1683" t="s">
        <v>110</v>
      </c>
      <c r="R1683" s="1" t="s">
        <v>158</v>
      </c>
    </row>
    <row r="1684" spans="3:18" x14ac:dyDescent="0.35">
      <c r="C1684" t="s">
        <v>51</v>
      </c>
      <c r="D1684" t="s">
        <v>21</v>
      </c>
      <c r="E1684" t="s">
        <v>49</v>
      </c>
      <c r="F1684" t="s">
        <v>46</v>
      </c>
      <c r="G1684" s="58">
        <v>2790762</v>
      </c>
      <c r="H1684" s="1" t="s">
        <v>47</v>
      </c>
      <c r="I1684" s="1" t="s">
        <v>108</v>
      </c>
      <c r="J1684" s="58">
        <v>86513622</v>
      </c>
      <c r="K1684" s="1" t="s">
        <v>106</v>
      </c>
      <c r="L1684" s="1" t="s">
        <v>120</v>
      </c>
      <c r="N1684" s="1">
        <v>1</v>
      </c>
      <c r="O1684" s="58"/>
      <c r="P1684" s="58">
        <v>2400055.3199999998</v>
      </c>
      <c r="Q1684" t="s">
        <v>127</v>
      </c>
      <c r="R1684" s="1" t="s">
        <v>158</v>
      </c>
    </row>
    <row r="1685" spans="3:18" x14ac:dyDescent="0.35">
      <c r="C1685" t="s">
        <v>51</v>
      </c>
      <c r="D1685" t="s">
        <v>24</v>
      </c>
      <c r="E1685" t="s">
        <v>45</v>
      </c>
      <c r="F1685" t="s">
        <v>46</v>
      </c>
      <c r="G1685" s="58">
        <v>145267</v>
      </c>
      <c r="H1685" s="1" t="s">
        <v>56</v>
      </c>
      <c r="I1685" s="1" t="s">
        <v>111</v>
      </c>
      <c r="J1685" s="58">
        <v>2614806</v>
      </c>
      <c r="K1685" s="1" t="s">
        <v>106</v>
      </c>
      <c r="L1685" s="1" t="s">
        <v>120</v>
      </c>
      <c r="N1685" s="1">
        <v>1</v>
      </c>
      <c r="O1685" s="58"/>
      <c r="P1685" s="58">
        <v>98781.56</v>
      </c>
      <c r="Q1685" t="s">
        <v>118</v>
      </c>
      <c r="R1685" s="1" t="s">
        <v>158</v>
      </c>
    </row>
    <row r="1686" spans="3:18" x14ac:dyDescent="0.35">
      <c r="C1686" t="s">
        <v>51</v>
      </c>
      <c r="D1686" t="s">
        <v>25</v>
      </c>
      <c r="E1686" t="s">
        <v>55</v>
      </c>
      <c r="F1686" t="s">
        <v>46</v>
      </c>
      <c r="G1686" s="58">
        <v>100286</v>
      </c>
      <c r="H1686" s="1" t="s">
        <v>48</v>
      </c>
      <c r="I1686" s="1" t="s">
        <v>108</v>
      </c>
      <c r="J1686" s="58">
        <v>3710582</v>
      </c>
      <c r="K1686" s="1" t="s">
        <v>106</v>
      </c>
      <c r="L1686" s="1" t="s">
        <v>114</v>
      </c>
      <c r="M1686" s="1" t="s">
        <v>117</v>
      </c>
      <c r="N1686" s="1">
        <v>1</v>
      </c>
      <c r="O1686" s="58"/>
      <c r="P1686" s="58">
        <v>28080.080000000002</v>
      </c>
      <c r="Q1686" t="s">
        <v>107</v>
      </c>
      <c r="R1686" s="1" t="s">
        <v>158</v>
      </c>
    </row>
    <row r="1687" spans="3:18" x14ac:dyDescent="0.35">
      <c r="C1687" t="s">
        <v>53</v>
      </c>
      <c r="D1687" t="s">
        <v>19</v>
      </c>
      <c r="E1687" t="s">
        <v>49</v>
      </c>
      <c r="F1687" t="s">
        <v>46</v>
      </c>
      <c r="G1687" s="58">
        <v>24240624</v>
      </c>
      <c r="H1687" s="1" t="s">
        <v>56</v>
      </c>
      <c r="I1687" s="1" t="s">
        <v>111</v>
      </c>
      <c r="J1687" s="58">
        <v>290887488</v>
      </c>
      <c r="K1687" s="1" t="s">
        <v>106</v>
      </c>
      <c r="L1687" s="1" t="s">
        <v>124</v>
      </c>
      <c r="N1687" s="1">
        <v>1</v>
      </c>
      <c r="O1687" s="58"/>
      <c r="P1687" s="58">
        <v>5817749.7599999998</v>
      </c>
      <c r="Q1687" t="s">
        <v>107</v>
      </c>
      <c r="R1687" s="1" t="s">
        <v>158</v>
      </c>
    </row>
    <row r="1688" spans="3:18" x14ac:dyDescent="0.35">
      <c r="C1688" t="s">
        <v>53</v>
      </c>
      <c r="D1688" t="s">
        <v>22</v>
      </c>
      <c r="E1688" t="s">
        <v>55</v>
      </c>
      <c r="F1688" t="s">
        <v>46</v>
      </c>
      <c r="G1688" s="58">
        <v>257393</v>
      </c>
      <c r="H1688" s="1" t="s">
        <v>48</v>
      </c>
      <c r="I1688" s="1" t="s">
        <v>105</v>
      </c>
      <c r="J1688" s="58">
        <v>1286965</v>
      </c>
      <c r="K1688" s="1" t="s">
        <v>106</v>
      </c>
      <c r="L1688" s="1" t="s">
        <v>114</v>
      </c>
      <c r="M1688" s="1" t="s">
        <v>115</v>
      </c>
      <c r="N1688" s="1">
        <v>1</v>
      </c>
      <c r="O1688" s="58"/>
      <c r="P1688" s="58">
        <v>172453.31</v>
      </c>
      <c r="Q1688" t="s">
        <v>118</v>
      </c>
      <c r="R1688" s="1" t="s">
        <v>158</v>
      </c>
    </row>
    <row r="1689" spans="3:18" x14ac:dyDescent="0.35">
      <c r="C1689" t="s">
        <v>51</v>
      </c>
      <c r="D1689" t="s">
        <v>23</v>
      </c>
      <c r="E1689" t="s">
        <v>55</v>
      </c>
      <c r="F1689" t="s">
        <v>64</v>
      </c>
      <c r="G1689" s="58">
        <v>1127764</v>
      </c>
      <c r="H1689" s="1" t="s">
        <v>47</v>
      </c>
      <c r="I1689" s="1" t="s">
        <v>108</v>
      </c>
      <c r="J1689" s="58">
        <v>32705156</v>
      </c>
      <c r="K1689" s="1" t="s">
        <v>112</v>
      </c>
      <c r="N1689" s="1">
        <v>1</v>
      </c>
      <c r="O1689" s="58"/>
      <c r="P1689" s="58">
        <v>811990.08</v>
      </c>
      <c r="Q1689" t="s">
        <v>118</v>
      </c>
      <c r="R1689" s="1" t="s">
        <v>158</v>
      </c>
    </row>
    <row r="1690" spans="3:18" x14ac:dyDescent="0.35">
      <c r="C1690" t="s">
        <v>51</v>
      </c>
      <c r="D1690" t="s">
        <v>23</v>
      </c>
      <c r="E1690" t="s">
        <v>49</v>
      </c>
      <c r="F1690" t="s">
        <v>46</v>
      </c>
      <c r="G1690" s="58">
        <v>3773</v>
      </c>
      <c r="H1690" s="1" t="s">
        <v>54</v>
      </c>
      <c r="I1690" s="1" t="s">
        <v>119</v>
      </c>
      <c r="J1690" s="58">
        <v>26411</v>
      </c>
      <c r="K1690" s="1" t="s">
        <v>106</v>
      </c>
      <c r="L1690" s="1" t="s">
        <v>124</v>
      </c>
      <c r="N1690" s="1">
        <v>1</v>
      </c>
      <c r="O1690" s="58"/>
      <c r="P1690" s="58">
        <v>5659.5</v>
      </c>
      <c r="Q1690" t="s">
        <v>110</v>
      </c>
      <c r="R1690" s="1" t="s">
        <v>158</v>
      </c>
    </row>
    <row r="1691" spans="3:18" x14ac:dyDescent="0.35">
      <c r="C1691" t="s">
        <v>51</v>
      </c>
      <c r="D1691" t="s">
        <v>21</v>
      </c>
      <c r="E1691" t="s">
        <v>55</v>
      </c>
      <c r="F1691" t="s">
        <v>46</v>
      </c>
      <c r="G1691" s="58">
        <v>2230764</v>
      </c>
      <c r="H1691" s="1" t="s">
        <v>48</v>
      </c>
      <c r="I1691" s="1" t="s">
        <v>108</v>
      </c>
      <c r="J1691" s="58">
        <v>75845976</v>
      </c>
      <c r="K1691" s="1" t="s">
        <v>106</v>
      </c>
      <c r="L1691" s="1" t="s">
        <v>114</v>
      </c>
      <c r="M1691" s="1" t="s">
        <v>126</v>
      </c>
      <c r="N1691" s="1">
        <v>1</v>
      </c>
      <c r="O1691" s="58"/>
      <c r="P1691" s="58">
        <v>1829226.48</v>
      </c>
      <c r="Q1691" t="s">
        <v>127</v>
      </c>
      <c r="R1691" s="1" t="s">
        <v>158</v>
      </c>
    </row>
    <row r="1692" spans="3:18" x14ac:dyDescent="0.35">
      <c r="C1692" t="s">
        <v>51</v>
      </c>
      <c r="D1692" t="s">
        <v>91</v>
      </c>
      <c r="E1692" t="s">
        <v>49</v>
      </c>
      <c r="F1692" t="s">
        <v>64</v>
      </c>
      <c r="G1692" s="58">
        <v>2392548</v>
      </c>
      <c r="H1692" s="1" t="s">
        <v>48</v>
      </c>
      <c r="I1692" s="1" t="s">
        <v>108</v>
      </c>
      <c r="J1692" s="58">
        <v>69383892</v>
      </c>
      <c r="K1692" s="1" t="s">
        <v>112</v>
      </c>
      <c r="N1692" s="1">
        <v>1</v>
      </c>
      <c r="O1692" s="58"/>
      <c r="P1692" s="58">
        <v>1196274</v>
      </c>
      <c r="Q1692" t="s">
        <v>113</v>
      </c>
      <c r="R1692" s="1" t="s">
        <v>48</v>
      </c>
    </row>
    <row r="1693" spans="3:18" x14ac:dyDescent="0.35">
      <c r="C1693" t="s">
        <v>51</v>
      </c>
      <c r="D1693" t="s">
        <v>20</v>
      </c>
      <c r="E1693" t="s">
        <v>49</v>
      </c>
      <c r="F1693" t="s">
        <v>46</v>
      </c>
      <c r="G1693" s="58">
        <v>931052</v>
      </c>
      <c r="H1693" s="1" t="s">
        <v>48</v>
      </c>
      <c r="I1693" s="1" t="s">
        <v>111</v>
      </c>
      <c r="J1693" s="58">
        <v>15827884</v>
      </c>
      <c r="K1693" s="1" t="s">
        <v>106</v>
      </c>
      <c r="L1693" s="1" t="s">
        <v>124</v>
      </c>
      <c r="M1693" s="1" t="s">
        <v>126</v>
      </c>
      <c r="N1693" s="1">
        <v>1</v>
      </c>
      <c r="O1693" s="58"/>
      <c r="P1693" s="58">
        <v>465526</v>
      </c>
      <c r="Q1693" t="s">
        <v>113</v>
      </c>
      <c r="R1693" s="1" t="s">
        <v>48</v>
      </c>
    </row>
    <row r="1694" spans="3:18" x14ac:dyDescent="0.35">
      <c r="C1694" t="s">
        <v>51</v>
      </c>
      <c r="D1694" t="s">
        <v>21</v>
      </c>
      <c r="E1694" t="s">
        <v>49</v>
      </c>
      <c r="F1694" t="s">
        <v>64</v>
      </c>
      <c r="G1694" s="58">
        <v>355080</v>
      </c>
      <c r="H1694" s="1" t="s">
        <v>48</v>
      </c>
      <c r="I1694" s="1" t="s">
        <v>111</v>
      </c>
      <c r="J1694" s="58">
        <v>7101600</v>
      </c>
      <c r="K1694" s="1" t="s">
        <v>106</v>
      </c>
      <c r="L1694" s="1" t="s">
        <v>124</v>
      </c>
      <c r="M1694" s="1" t="s">
        <v>126</v>
      </c>
      <c r="N1694" s="1">
        <v>1</v>
      </c>
      <c r="O1694" s="58"/>
      <c r="P1694" s="58">
        <v>280513.2</v>
      </c>
      <c r="Q1694" t="s">
        <v>118</v>
      </c>
      <c r="R1694" s="1" t="s">
        <v>48</v>
      </c>
    </row>
    <row r="1695" spans="3:18" x14ac:dyDescent="0.35">
      <c r="C1695" t="s">
        <v>51</v>
      </c>
      <c r="D1695" t="s">
        <v>21</v>
      </c>
      <c r="E1695" t="s">
        <v>49</v>
      </c>
      <c r="F1695" t="s">
        <v>46</v>
      </c>
      <c r="G1695" s="58">
        <v>242395166</v>
      </c>
      <c r="H1695" s="1" t="s">
        <v>54</v>
      </c>
      <c r="I1695" s="1" t="s">
        <v>108</v>
      </c>
      <c r="J1695" s="58">
        <v>6787064648</v>
      </c>
      <c r="K1695" s="1" t="s">
        <v>106</v>
      </c>
      <c r="L1695" s="1" t="s">
        <v>124</v>
      </c>
      <c r="N1695" s="1">
        <v>1</v>
      </c>
      <c r="O1695" s="58"/>
      <c r="P1695" s="58">
        <v>164828712.88</v>
      </c>
      <c r="Q1695" t="s">
        <v>118</v>
      </c>
      <c r="R1695" s="1" t="s">
        <v>158</v>
      </c>
    </row>
    <row r="1696" spans="3:18" x14ac:dyDescent="0.35">
      <c r="C1696" t="s">
        <v>53</v>
      </c>
      <c r="D1696" t="s">
        <v>22</v>
      </c>
      <c r="E1696" t="s">
        <v>45</v>
      </c>
      <c r="F1696" t="s">
        <v>46</v>
      </c>
      <c r="G1696" s="58">
        <v>1104042</v>
      </c>
      <c r="H1696" s="1" t="s">
        <v>47</v>
      </c>
      <c r="I1696" s="1" t="s">
        <v>105</v>
      </c>
      <c r="J1696" s="58">
        <v>2208084</v>
      </c>
      <c r="K1696" s="1" t="s">
        <v>106</v>
      </c>
      <c r="L1696" s="1" t="s">
        <v>114</v>
      </c>
      <c r="N1696" s="1">
        <v>1</v>
      </c>
      <c r="O1696" s="58"/>
      <c r="P1696" s="58">
        <v>198727.56</v>
      </c>
      <c r="Q1696" t="s">
        <v>107</v>
      </c>
      <c r="R1696" s="1" t="s">
        <v>158</v>
      </c>
    </row>
    <row r="1697" spans="3:18" x14ac:dyDescent="0.35">
      <c r="C1697" t="s">
        <v>51</v>
      </c>
      <c r="D1697" t="s">
        <v>22</v>
      </c>
      <c r="E1697" t="s">
        <v>49</v>
      </c>
      <c r="F1697" t="s">
        <v>46</v>
      </c>
      <c r="G1697" s="58">
        <v>6471442</v>
      </c>
      <c r="H1697" s="1" t="s">
        <v>56</v>
      </c>
      <c r="I1697" s="1" t="s">
        <v>119</v>
      </c>
      <c r="J1697" s="58">
        <v>51771536</v>
      </c>
      <c r="K1697" s="1" t="s">
        <v>106</v>
      </c>
      <c r="L1697" s="1" t="s">
        <v>124</v>
      </c>
      <c r="N1697" s="1">
        <v>1</v>
      </c>
      <c r="O1697" s="58"/>
      <c r="P1697" s="58">
        <v>1488431.66</v>
      </c>
      <c r="Q1697" t="s">
        <v>107</v>
      </c>
      <c r="R1697" s="1" t="s">
        <v>158</v>
      </c>
    </row>
    <row r="1698" spans="3:18" x14ac:dyDescent="0.35">
      <c r="C1698" t="s">
        <v>51</v>
      </c>
      <c r="D1698" t="s">
        <v>23</v>
      </c>
      <c r="E1698" t="s">
        <v>50</v>
      </c>
      <c r="F1698" t="s">
        <v>46</v>
      </c>
      <c r="G1698" s="58">
        <v>728240</v>
      </c>
      <c r="H1698" s="1" t="s">
        <v>48</v>
      </c>
      <c r="I1698" s="1" t="s">
        <v>108</v>
      </c>
      <c r="J1698" s="58">
        <v>24760160</v>
      </c>
      <c r="K1698" s="1" t="s">
        <v>106</v>
      </c>
      <c r="L1698" s="1" t="s">
        <v>114</v>
      </c>
      <c r="M1698" s="1" t="s">
        <v>125</v>
      </c>
      <c r="N1698" s="1">
        <v>1</v>
      </c>
      <c r="O1698" s="58"/>
      <c r="P1698" s="58">
        <v>371402.4</v>
      </c>
      <c r="Q1698" t="s">
        <v>113</v>
      </c>
      <c r="R1698" s="1" t="s">
        <v>48</v>
      </c>
    </row>
    <row r="1699" spans="3:18" x14ac:dyDescent="0.35">
      <c r="C1699" t="s">
        <v>51</v>
      </c>
      <c r="D1699" t="s">
        <v>20</v>
      </c>
      <c r="E1699" t="s">
        <v>49</v>
      </c>
      <c r="F1699" t="s">
        <v>46</v>
      </c>
      <c r="G1699" s="58">
        <v>534</v>
      </c>
      <c r="H1699" s="1" t="s">
        <v>47</v>
      </c>
      <c r="I1699" s="1" t="s">
        <v>105</v>
      </c>
      <c r="J1699" s="58"/>
      <c r="K1699" s="1" t="s">
        <v>106</v>
      </c>
      <c r="L1699" s="1" t="s">
        <v>124</v>
      </c>
      <c r="N1699" s="1">
        <v>0</v>
      </c>
      <c r="O1699" s="58"/>
      <c r="P1699" s="58">
        <v>0</v>
      </c>
      <c r="Q1699" t="s">
        <v>107</v>
      </c>
      <c r="R1699" s="1" t="s">
        <v>158</v>
      </c>
    </row>
    <row r="1700" spans="3:18" x14ac:dyDescent="0.35">
      <c r="C1700" t="s">
        <v>51</v>
      </c>
      <c r="D1700" t="s">
        <v>91</v>
      </c>
      <c r="E1700" t="s">
        <v>49</v>
      </c>
      <c r="F1700" t="s">
        <v>46</v>
      </c>
      <c r="G1700" s="58">
        <v>213758</v>
      </c>
      <c r="H1700" s="1" t="s">
        <v>47</v>
      </c>
      <c r="I1700" s="1" t="s">
        <v>108</v>
      </c>
      <c r="J1700" s="58">
        <v>7267772</v>
      </c>
      <c r="K1700" s="1" t="s">
        <v>106</v>
      </c>
      <c r="L1700" s="1" t="s">
        <v>109</v>
      </c>
      <c r="N1700" s="1">
        <v>1</v>
      </c>
      <c r="O1700" s="58"/>
      <c r="P1700" s="58">
        <v>115429.32</v>
      </c>
      <c r="Q1700" t="s">
        <v>113</v>
      </c>
      <c r="R1700" s="1" t="s">
        <v>158</v>
      </c>
    </row>
    <row r="1701" spans="3:18" x14ac:dyDescent="0.35">
      <c r="C1701" t="s">
        <v>51</v>
      </c>
      <c r="D1701" t="s">
        <v>22</v>
      </c>
      <c r="E1701" t="s">
        <v>49</v>
      </c>
      <c r="F1701" t="s">
        <v>46</v>
      </c>
      <c r="G1701" s="58">
        <v>440287</v>
      </c>
      <c r="H1701" s="1" t="s">
        <v>48</v>
      </c>
      <c r="I1701" s="1" t="s">
        <v>108</v>
      </c>
      <c r="J1701" s="58">
        <v>13208610</v>
      </c>
      <c r="K1701" s="1" t="s">
        <v>106</v>
      </c>
      <c r="L1701" s="1" t="s">
        <v>114</v>
      </c>
      <c r="M1701" s="1" t="s">
        <v>115</v>
      </c>
      <c r="N1701" s="1">
        <v>1</v>
      </c>
      <c r="O1701" s="58"/>
      <c r="P1701" s="58">
        <v>317006.64</v>
      </c>
      <c r="Q1701" t="s">
        <v>118</v>
      </c>
      <c r="R1701" s="1" t="s">
        <v>158</v>
      </c>
    </row>
    <row r="1702" spans="3:18" x14ac:dyDescent="0.35">
      <c r="C1702" t="s">
        <v>53</v>
      </c>
      <c r="D1702" t="s">
        <v>22</v>
      </c>
      <c r="E1702" t="s">
        <v>45</v>
      </c>
      <c r="F1702" t="s">
        <v>46</v>
      </c>
      <c r="G1702" s="58">
        <v>15861458</v>
      </c>
      <c r="H1702" s="1" t="s">
        <v>47</v>
      </c>
      <c r="I1702" s="1" t="s">
        <v>119</v>
      </c>
      <c r="J1702" s="58">
        <v>142753122</v>
      </c>
      <c r="K1702" s="1" t="s">
        <v>106</v>
      </c>
      <c r="L1702" s="1" t="s">
        <v>120</v>
      </c>
      <c r="N1702" s="1">
        <v>1</v>
      </c>
      <c r="O1702" s="58"/>
      <c r="P1702" s="58">
        <v>11420249.76</v>
      </c>
      <c r="Q1702" t="s">
        <v>118</v>
      </c>
      <c r="R1702" s="1" t="s">
        <v>158</v>
      </c>
    </row>
    <row r="1703" spans="3:18" x14ac:dyDescent="0.35">
      <c r="C1703" t="s">
        <v>51</v>
      </c>
      <c r="D1703" t="s">
        <v>21</v>
      </c>
      <c r="E1703" t="s">
        <v>49</v>
      </c>
      <c r="F1703" t="s">
        <v>46</v>
      </c>
      <c r="G1703" s="58">
        <v>104472</v>
      </c>
      <c r="H1703" s="1" t="s">
        <v>54</v>
      </c>
      <c r="I1703" s="1" t="s">
        <v>108</v>
      </c>
      <c r="J1703" s="58">
        <v>2193912</v>
      </c>
      <c r="K1703" s="1" t="s">
        <v>106</v>
      </c>
      <c r="L1703" s="1" t="s">
        <v>116</v>
      </c>
      <c r="N1703" s="1">
        <v>1</v>
      </c>
      <c r="O1703" s="58"/>
      <c r="P1703" s="58">
        <v>67906.8</v>
      </c>
      <c r="Q1703" t="s">
        <v>118</v>
      </c>
      <c r="R1703" s="1" t="s">
        <v>158</v>
      </c>
    </row>
    <row r="1704" spans="3:18" x14ac:dyDescent="0.35">
      <c r="C1704" t="s">
        <v>53</v>
      </c>
      <c r="D1704" t="s">
        <v>21</v>
      </c>
      <c r="E1704" t="s">
        <v>45</v>
      </c>
      <c r="F1704" t="s">
        <v>46</v>
      </c>
      <c r="G1704" s="58">
        <v>1451438</v>
      </c>
      <c r="H1704" s="1" t="s">
        <v>59</v>
      </c>
      <c r="I1704" s="1" t="s">
        <v>111</v>
      </c>
      <c r="J1704" s="58">
        <v>17417256</v>
      </c>
      <c r="K1704" s="1" t="s">
        <v>106</v>
      </c>
      <c r="L1704" s="1" t="s">
        <v>120</v>
      </c>
      <c r="N1704" s="1">
        <v>1</v>
      </c>
      <c r="O1704" s="58"/>
      <c r="P1704" s="58">
        <v>435431.4</v>
      </c>
      <c r="Q1704" t="s">
        <v>107</v>
      </c>
      <c r="R1704" s="1" t="s">
        <v>158</v>
      </c>
    </row>
    <row r="1705" spans="3:18" x14ac:dyDescent="0.35">
      <c r="C1705" t="s">
        <v>51</v>
      </c>
      <c r="D1705" t="s">
        <v>92</v>
      </c>
      <c r="E1705" t="s">
        <v>55</v>
      </c>
      <c r="F1705" t="s">
        <v>46</v>
      </c>
      <c r="G1705" s="58">
        <v>286103</v>
      </c>
      <c r="H1705" s="1" t="s">
        <v>48</v>
      </c>
      <c r="I1705" s="1" t="s">
        <v>111</v>
      </c>
      <c r="J1705" s="58">
        <v>4005442</v>
      </c>
      <c r="K1705" s="1" t="s">
        <v>106</v>
      </c>
      <c r="L1705" s="1" t="s">
        <v>120</v>
      </c>
      <c r="M1705" s="1" t="s">
        <v>123</v>
      </c>
      <c r="N1705" s="1">
        <v>1</v>
      </c>
      <c r="O1705" s="58"/>
      <c r="P1705" s="58">
        <v>194550.04</v>
      </c>
      <c r="Q1705" t="s">
        <v>118</v>
      </c>
      <c r="R1705" s="1" t="s">
        <v>158</v>
      </c>
    </row>
    <row r="1706" spans="3:18" x14ac:dyDescent="0.35">
      <c r="C1706" t="s">
        <v>53</v>
      </c>
      <c r="D1706" t="s">
        <v>20</v>
      </c>
      <c r="E1706" t="s">
        <v>49</v>
      </c>
      <c r="F1706" t="s">
        <v>46</v>
      </c>
      <c r="G1706" s="58">
        <v>98630</v>
      </c>
      <c r="H1706" s="1" t="s">
        <v>59</v>
      </c>
      <c r="I1706" s="1" t="s">
        <v>111</v>
      </c>
      <c r="J1706" s="58">
        <v>1282190</v>
      </c>
      <c r="K1706" s="1" t="s">
        <v>106</v>
      </c>
      <c r="L1706" s="1" t="s">
        <v>124</v>
      </c>
      <c r="N1706" s="1">
        <v>1</v>
      </c>
      <c r="O1706" s="58"/>
      <c r="P1706" s="58">
        <v>43397.2</v>
      </c>
      <c r="Q1706" t="s">
        <v>113</v>
      </c>
      <c r="R1706" s="1" t="s">
        <v>158</v>
      </c>
    </row>
    <row r="1707" spans="3:18" x14ac:dyDescent="0.35">
      <c r="C1707" t="s">
        <v>51</v>
      </c>
      <c r="D1707" t="s">
        <v>60</v>
      </c>
      <c r="E1707" t="s">
        <v>60</v>
      </c>
      <c r="F1707" t="s">
        <v>46</v>
      </c>
      <c r="G1707" s="58">
        <v>9968</v>
      </c>
      <c r="H1707" s="1" t="s">
        <v>90</v>
      </c>
      <c r="I1707" s="1" t="s">
        <v>105</v>
      </c>
      <c r="J1707" s="58"/>
      <c r="K1707" s="1" t="s">
        <v>106</v>
      </c>
      <c r="N1707" s="1">
        <v>0</v>
      </c>
      <c r="O1707" s="58"/>
      <c r="P1707" s="58">
        <v>0</v>
      </c>
      <c r="Q1707" t="s">
        <v>107</v>
      </c>
      <c r="R1707" s="1" t="s">
        <v>90</v>
      </c>
    </row>
    <row r="1708" spans="3:18" x14ac:dyDescent="0.35">
      <c r="C1708" t="s">
        <v>51</v>
      </c>
      <c r="D1708" t="s">
        <v>24</v>
      </c>
      <c r="E1708" t="s">
        <v>50</v>
      </c>
      <c r="F1708" t="s">
        <v>46</v>
      </c>
      <c r="G1708" s="58">
        <v>83141</v>
      </c>
      <c r="H1708" s="1" t="s">
        <v>48</v>
      </c>
      <c r="I1708" s="1" t="s">
        <v>108</v>
      </c>
      <c r="J1708" s="58">
        <v>1912243</v>
      </c>
      <c r="K1708" s="1" t="s">
        <v>106</v>
      </c>
      <c r="L1708" s="1" t="s">
        <v>124</v>
      </c>
      <c r="M1708" s="1" t="s">
        <v>126</v>
      </c>
      <c r="N1708" s="1">
        <v>1</v>
      </c>
      <c r="O1708" s="58"/>
      <c r="P1708" s="58">
        <v>27436.53</v>
      </c>
      <c r="Q1708" t="s">
        <v>107</v>
      </c>
      <c r="R1708" s="1" t="s">
        <v>48</v>
      </c>
    </row>
    <row r="1709" spans="3:18" x14ac:dyDescent="0.35">
      <c r="C1709" t="s">
        <v>51</v>
      </c>
      <c r="D1709" t="s">
        <v>24</v>
      </c>
      <c r="E1709" t="s">
        <v>55</v>
      </c>
      <c r="F1709" t="s">
        <v>46</v>
      </c>
      <c r="G1709" s="58">
        <v>37846</v>
      </c>
      <c r="H1709" s="1" t="s">
        <v>56</v>
      </c>
      <c r="I1709" s="1" t="s">
        <v>105</v>
      </c>
      <c r="J1709" s="58">
        <v>151384</v>
      </c>
      <c r="K1709" s="1" t="s">
        <v>106</v>
      </c>
      <c r="L1709" s="1" t="s">
        <v>114</v>
      </c>
      <c r="N1709" s="1">
        <v>1</v>
      </c>
      <c r="O1709" s="58"/>
      <c r="P1709" s="58">
        <v>18166.080000000002</v>
      </c>
      <c r="Q1709" t="s">
        <v>113</v>
      </c>
      <c r="R1709" s="1" t="s">
        <v>158</v>
      </c>
    </row>
    <row r="1710" spans="3:18" x14ac:dyDescent="0.35">
      <c r="C1710" t="s">
        <v>53</v>
      </c>
      <c r="D1710" t="s">
        <v>21</v>
      </c>
      <c r="E1710" t="s">
        <v>49</v>
      </c>
      <c r="F1710" t="s">
        <v>46</v>
      </c>
      <c r="G1710" s="58">
        <v>243345</v>
      </c>
      <c r="H1710" s="1" t="s">
        <v>54</v>
      </c>
      <c r="I1710" s="1" t="s">
        <v>108</v>
      </c>
      <c r="J1710" s="58">
        <v>5596935</v>
      </c>
      <c r="K1710" s="1" t="s">
        <v>106</v>
      </c>
      <c r="L1710" s="1" t="s">
        <v>124</v>
      </c>
      <c r="N1710" s="1">
        <v>1</v>
      </c>
      <c r="O1710" s="58"/>
      <c r="P1710" s="58">
        <v>160607.70000000001</v>
      </c>
      <c r="Q1710" t="s">
        <v>118</v>
      </c>
      <c r="R1710" s="1" t="s">
        <v>158</v>
      </c>
    </row>
    <row r="1711" spans="3:18" x14ac:dyDescent="0.35">
      <c r="C1711" t="s">
        <v>51</v>
      </c>
      <c r="D1711" t="s">
        <v>23</v>
      </c>
      <c r="E1711" t="s">
        <v>45</v>
      </c>
      <c r="F1711" t="s">
        <v>46</v>
      </c>
      <c r="G1711" s="58">
        <v>176516</v>
      </c>
      <c r="H1711" s="1" t="s">
        <v>59</v>
      </c>
      <c r="I1711" s="1" t="s">
        <v>108</v>
      </c>
      <c r="J1711" s="58">
        <v>5825028</v>
      </c>
      <c r="K1711" s="1" t="s">
        <v>106</v>
      </c>
      <c r="L1711" s="1" t="s">
        <v>124</v>
      </c>
      <c r="N1711" s="1">
        <v>1</v>
      </c>
      <c r="O1711" s="58"/>
      <c r="P1711" s="58">
        <v>79432.2</v>
      </c>
      <c r="Q1711" t="s">
        <v>113</v>
      </c>
      <c r="R1711" s="1" t="s">
        <v>158</v>
      </c>
    </row>
    <row r="1712" spans="3:18" x14ac:dyDescent="0.35">
      <c r="C1712" t="s">
        <v>51</v>
      </c>
      <c r="D1712" t="s">
        <v>21</v>
      </c>
      <c r="E1712" t="s">
        <v>49</v>
      </c>
      <c r="F1712" t="s">
        <v>46</v>
      </c>
      <c r="G1712" s="58">
        <v>26327299</v>
      </c>
      <c r="H1712" s="1" t="s">
        <v>56</v>
      </c>
      <c r="I1712" s="1" t="s">
        <v>105</v>
      </c>
      <c r="J1712" s="58">
        <v>78981897</v>
      </c>
      <c r="K1712" s="1" t="s">
        <v>106</v>
      </c>
      <c r="L1712" s="1" t="s">
        <v>124</v>
      </c>
      <c r="N1712" s="1">
        <v>1</v>
      </c>
      <c r="O1712" s="58"/>
      <c r="P1712" s="58">
        <v>3422548.87</v>
      </c>
      <c r="Q1712" t="s">
        <v>107</v>
      </c>
      <c r="R1712" s="1" t="s">
        <v>158</v>
      </c>
    </row>
    <row r="1713" spans="3:18" x14ac:dyDescent="0.35">
      <c r="C1713" t="s">
        <v>51</v>
      </c>
      <c r="D1713" t="s">
        <v>20</v>
      </c>
      <c r="E1713" t="s">
        <v>49</v>
      </c>
      <c r="F1713" t="s">
        <v>46</v>
      </c>
      <c r="G1713" s="58">
        <v>49476801</v>
      </c>
      <c r="H1713" s="1" t="s">
        <v>47</v>
      </c>
      <c r="I1713" s="1" t="s">
        <v>108</v>
      </c>
      <c r="J1713" s="58">
        <v>1286396826</v>
      </c>
      <c r="K1713" s="1" t="s">
        <v>106</v>
      </c>
      <c r="L1713" s="1" t="s">
        <v>124</v>
      </c>
      <c r="N1713" s="1">
        <v>1</v>
      </c>
      <c r="O1713" s="58"/>
      <c r="P1713" s="58">
        <v>14348272.289999999</v>
      </c>
      <c r="Q1713" t="s">
        <v>107</v>
      </c>
      <c r="R1713" s="1" t="s">
        <v>158</v>
      </c>
    </row>
    <row r="1714" spans="3:18" x14ac:dyDescent="0.35">
      <c r="C1714" t="s">
        <v>51</v>
      </c>
      <c r="D1714" t="s">
        <v>23</v>
      </c>
      <c r="E1714" t="s">
        <v>55</v>
      </c>
      <c r="F1714" t="s">
        <v>46</v>
      </c>
      <c r="G1714" s="58">
        <v>775390</v>
      </c>
      <c r="H1714" s="1" t="s">
        <v>48</v>
      </c>
      <c r="I1714" s="1" t="s">
        <v>111</v>
      </c>
      <c r="J1714" s="58">
        <v>11630850</v>
      </c>
      <c r="K1714" s="1" t="s">
        <v>112</v>
      </c>
      <c r="N1714" s="1">
        <v>1</v>
      </c>
      <c r="O1714" s="58"/>
      <c r="P1714" s="58">
        <v>209355.3</v>
      </c>
      <c r="Q1714" t="s">
        <v>107</v>
      </c>
      <c r="R1714" s="1" t="s">
        <v>48</v>
      </c>
    </row>
    <row r="1715" spans="3:18" x14ac:dyDescent="0.35">
      <c r="C1715" t="s">
        <v>51</v>
      </c>
      <c r="D1715" t="s">
        <v>20</v>
      </c>
      <c r="E1715" t="s">
        <v>49</v>
      </c>
      <c r="F1715" t="s">
        <v>46</v>
      </c>
      <c r="G1715" s="58">
        <v>951457</v>
      </c>
      <c r="H1715" s="1" t="s">
        <v>48</v>
      </c>
      <c r="I1715" s="1" t="s">
        <v>111</v>
      </c>
      <c r="J1715" s="58">
        <v>16174769</v>
      </c>
      <c r="K1715" s="1" t="s">
        <v>106</v>
      </c>
      <c r="L1715" s="1" t="s">
        <v>124</v>
      </c>
      <c r="M1715" s="1" t="s">
        <v>123</v>
      </c>
      <c r="N1715" s="1">
        <v>1</v>
      </c>
      <c r="O1715" s="58"/>
      <c r="P1715" s="58">
        <v>827767.59</v>
      </c>
      <c r="Q1715" t="s">
        <v>127</v>
      </c>
      <c r="R1715" s="1" t="s">
        <v>158</v>
      </c>
    </row>
    <row r="1716" spans="3:18" x14ac:dyDescent="0.35">
      <c r="C1716" t="s">
        <v>51</v>
      </c>
      <c r="D1716" t="s">
        <v>92</v>
      </c>
      <c r="E1716" t="s">
        <v>49</v>
      </c>
      <c r="F1716" t="s">
        <v>46</v>
      </c>
      <c r="G1716" s="58">
        <v>40153</v>
      </c>
      <c r="H1716" s="1" t="s">
        <v>48</v>
      </c>
      <c r="I1716" s="1" t="s">
        <v>119</v>
      </c>
      <c r="J1716" s="58">
        <v>401530</v>
      </c>
      <c r="K1716" s="1" t="s">
        <v>112</v>
      </c>
      <c r="N1716" s="1">
        <v>1</v>
      </c>
      <c r="O1716" s="58"/>
      <c r="P1716" s="58">
        <v>17265.79</v>
      </c>
      <c r="Q1716" t="s">
        <v>113</v>
      </c>
      <c r="R1716" s="1" t="s">
        <v>158</v>
      </c>
    </row>
    <row r="1717" spans="3:18" x14ac:dyDescent="0.35">
      <c r="C1717" t="s">
        <v>51</v>
      </c>
      <c r="D1717" t="s">
        <v>22</v>
      </c>
      <c r="E1717" t="s">
        <v>45</v>
      </c>
      <c r="F1717" t="s">
        <v>46</v>
      </c>
      <c r="G1717" s="58">
        <v>5796082</v>
      </c>
      <c r="H1717" s="1" t="s">
        <v>47</v>
      </c>
      <c r="I1717" s="1" t="s">
        <v>108</v>
      </c>
      <c r="J1717" s="58">
        <v>173882460</v>
      </c>
      <c r="K1717" s="1" t="s">
        <v>106</v>
      </c>
      <c r="L1717" s="1" t="s">
        <v>114</v>
      </c>
      <c r="N1717" s="1">
        <v>1</v>
      </c>
      <c r="O1717" s="58"/>
      <c r="P1717" s="58">
        <v>1506981.32</v>
      </c>
      <c r="Q1717" t="s">
        <v>107</v>
      </c>
      <c r="R1717" s="1" t="s">
        <v>158</v>
      </c>
    </row>
    <row r="1718" spans="3:18" x14ac:dyDescent="0.35">
      <c r="C1718" t="s">
        <v>51</v>
      </c>
      <c r="D1718" t="s">
        <v>23</v>
      </c>
      <c r="E1718" t="s">
        <v>55</v>
      </c>
      <c r="F1718" t="s">
        <v>46</v>
      </c>
      <c r="G1718" s="58">
        <v>668606</v>
      </c>
      <c r="H1718" s="1" t="s">
        <v>48</v>
      </c>
      <c r="I1718" s="1" t="s">
        <v>108</v>
      </c>
      <c r="J1718" s="58">
        <v>22732604</v>
      </c>
      <c r="K1718" s="1" t="s">
        <v>106</v>
      </c>
      <c r="L1718" s="1" t="s">
        <v>124</v>
      </c>
      <c r="M1718" s="1" t="s">
        <v>125</v>
      </c>
      <c r="N1718" s="1">
        <v>1</v>
      </c>
      <c r="O1718" s="58"/>
      <c r="P1718" s="58">
        <v>548256.92000000004</v>
      </c>
      <c r="Q1718" t="s">
        <v>127</v>
      </c>
      <c r="R1718" s="1" t="s">
        <v>48</v>
      </c>
    </row>
    <row r="1719" spans="3:18" x14ac:dyDescent="0.35">
      <c r="C1719" t="s">
        <v>51</v>
      </c>
      <c r="D1719" t="s">
        <v>91</v>
      </c>
      <c r="E1719" t="s">
        <v>49</v>
      </c>
      <c r="F1719" t="s">
        <v>46</v>
      </c>
      <c r="G1719" s="58">
        <v>1420353</v>
      </c>
      <c r="H1719" s="1" t="s">
        <v>56</v>
      </c>
      <c r="I1719" s="1" t="s">
        <v>111</v>
      </c>
      <c r="J1719" s="58">
        <v>21305295</v>
      </c>
      <c r="K1719" s="1" t="s">
        <v>112</v>
      </c>
      <c r="N1719" s="1">
        <v>1</v>
      </c>
      <c r="O1719" s="58"/>
      <c r="P1719" s="58">
        <v>937432.98</v>
      </c>
      <c r="Q1719" t="s">
        <v>118</v>
      </c>
      <c r="R1719" s="1" t="s">
        <v>158</v>
      </c>
    </row>
    <row r="1720" spans="3:18" x14ac:dyDescent="0.35">
      <c r="C1720" t="s">
        <v>53</v>
      </c>
      <c r="D1720" t="s">
        <v>22</v>
      </c>
      <c r="E1720" t="s">
        <v>45</v>
      </c>
      <c r="F1720" t="s">
        <v>46</v>
      </c>
      <c r="G1720" s="58">
        <v>114885</v>
      </c>
      <c r="H1720" s="1" t="s">
        <v>59</v>
      </c>
      <c r="I1720" s="1" t="s">
        <v>111</v>
      </c>
      <c r="J1720" s="58">
        <v>1723275</v>
      </c>
      <c r="K1720" s="1" t="s">
        <v>112</v>
      </c>
      <c r="N1720" s="1">
        <v>1</v>
      </c>
      <c r="O1720" s="58"/>
      <c r="P1720" s="58">
        <v>78121.8</v>
      </c>
      <c r="Q1720" t="s">
        <v>118</v>
      </c>
      <c r="R1720" s="1" t="s">
        <v>158</v>
      </c>
    </row>
    <row r="1721" spans="3:18" x14ac:dyDescent="0.35">
      <c r="C1721" t="s">
        <v>51</v>
      </c>
      <c r="D1721" t="s">
        <v>24</v>
      </c>
      <c r="E1721" t="s">
        <v>52</v>
      </c>
      <c r="F1721" t="s">
        <v>46</v>
      </c>
      <c r="G1721" s="58">
        <v>196097</v>
      </c>
      <c r="H1721" s="1" t="s">
        <v>48</v>
      </c>
      <c r="I1721" s="1" t="s">
        <v>108</v>
      </c>
      <c r="J1721" s="58">
        <v>5490716</v>
      </c>
      <c r="K1721" s="1" t="s">
        <v>106</v>
      </c>
      <c r="L1721" s="1" t="s">
        <v>120</v>
      </c>
      <c r="M1721" s="1" t="s">
        <v>121</v>
      </c>
      <c r="N1721" s="1">
        <v>1</v>
      </c>
      <c r="O1721" s="58"/>
      <c r="P1721" s="58">
        <v>103931.41</v>
      </c>
      <c r="Q1721" t="s">
        <v>113</v>
      </c>
      <c r="R1721" s="1" t="s">
        <v>48</v>
      </c>
    </row>
    <row r="1722" spans="3:18" x14ac:dyDescent="0.35">
      <c r="C1722" t="s">
        <v>51</v>
      </c>
      <c r="D1722" t="s">
        <v>23</v>
      </c>
      <c r="E1722" t="s">
        <v>49</v>
      </c>
      <c r="F1722" t="s">
        <v>46</v>
      </c>
      <c r="G1722" s="58">
        <v>13918</v>
      </c>
      <c r="H1722" s="1" t="s">
        <v>47</v>
      </c>
      <c r="I1722" s="1" t="s">
        <v>105</v>
      </c>
      <c r="J1722" s="58">
        <v>27836</v>
      </c>
      <c r="K1722" s="1" t="s">
        <v>106</v>
      </c>
      <c r="L1722" s="1" t="s">
        <v>120</v>
      </c>
      <c r="N1722" s="1">
        <v>1</v>
      </c>
      <c r="O1722" s="58"/>
      <c r="P1722" s="58">
        <v>556.72</v>
      </c>
      <c r="Q1722" t="s">
        <v>107</v>
      </c>
      <c r="R1722" s="1" t="s">
        <v>158</v>
      </c>
    </row>
    <row r="1723" spans="3:18" x14ac:dyDescent="0.35">
      <c r="C1723" t="s">
        <v>51</v>
      </c>
      <c r="D1723" t="s">
        <v>22</v>
      </c>
      <c r="E1723" t="s">
        <v>55</v>
      </c>
      <c r="F1723" t="s">
        <v>46</v>
      </c>
      <c r="G1723" s="58">
        <v>320749</v>
      </c>
      <c r="H1723" s="1" t="s">
        <v>48</v>
      </c>
      <c r="I1723" s="1" t="s">
        <v>119</v>
      </c>
      <c r="J1723" s="58">
        <v>2565992</v>
      </c>
      <c r="K1723" s="1" t="s">
        <v>106</v>
      </c>
      <c r="L1723" s="1" t="s">
        <v>114</v>
      </c>
      <c r="M1723" s="1" t="s">
        <v>115</v>
      </c>
      <c r="N1723" s="1">
        <v>1</v>
      </c>
      <c r="O1723" s="58"/>
      <c r="P1723" s="58">
        <v>54527.33</v>
      </c>
      <c r="Q1723" t="s">
        <v>107</v>
      </c>
      <c r="R1723" s="1" t="s">
        <v>158</v>
      </c>
    </row>
    <row r="1724" spans="3:18" x14ac:dyDescent="0.35">
      <c r="C1724" t="s">
        <v>51</v>
      </c>
      <c r="D1724" t="s">
        <v>22</v>
      </c>
      <c r="E1724" t="s">
        <v>45</v>
      </c>
      <c r="F1724" t="s">
        <v>46</v>
      </c>
      <c r="G1724" s="58">
        <v>104329</v>
      </c>
      <c r="H1724" s="1" t="s">
        <v>59</v>
      </c>
      <c r="I1724" s="1" t="s">
        <v>119</v>
      </c>
      <c r="J1724" s="58">
        <v>938961</v>
      </c>
      <c r="K1724" s="1" t="s">
        <v>106</v>
      </c>
      <c r="L1724" s="1" t="s">
        <v>114</v>
      </c>
      <c r="N1724" s="1">
        <v>1</v>
      </c>
      <c r="O1724" s="58"/>
      <c r="P1724" s="58">
        <v>31298.7</v>
      </c>
      <c r="Q1724" t="s">
        <v>107</v>
      </c>
      <c r="R1724" s="1" t="s">
        <v>158</v>
      </c>
    </row>
    <row r="1725" spans="3:18" x14ac:dyDescent="0.35">
      <c r="C1725" t="s">
        <v>51</v>
      </c>
      <c r="D1725" t="s">
        <v>24</v>
      </c>
      <c r="E1725" t="s">
        <v>50</v>
      </c>
      <c r="F1725" t="s">
        <v>46</v>
      </c>
      <c r="G1725" s="58">
        <v>4662257</v>
      </c>
      <c r="H1725" s="1" t="s">
        <v>59</v>
      </c>
      <c r="I1725" s="1" t="s">
        <v>108</v>
      </c>
      <c r="J1725" s="58">
        <v>135205453</v>
      </c>
      <c r="K1725" s="1" t="s">
        <v>106</v>
      </c>
      <c r="L1725" s="1" t="s">
        <v>109</v>
      </c>
      <c r="N1725" s="1">
        <v>1</v>
      </c>
      <c r="O1725" s="58"/>
      <c r="P1725" s="58">
        <v>3263579.9</v>
      </c>
      <c r="Q1725" t="s">
        <v>118</v>
      </c>
      <c r="R1725" s="1" t="s">
        <v>158</v>
      </c>
    </row>
    <row r="1726" spans="3:18" x14ac:dyDescent="0.35">
      <c r="C1726" t="s">
        <v>51</v>
      </c>
      <c r="D1726" t="s">
        <v>19</v>
      </c>
      <c r="E1726" t="s">
        <v>49</v>
      </c>
      <c r="F1726" t="s">
        <v>64</v>
      </c>
      <c r="G1726" s="58">
        <v>786164</v>
      </c>
      <c r="H1726" s="1" t="s">
        <v>48</v>
      </c>
      <c r="I1726" s="1" t="s">
        <v>111</v>
      </c>
      <c r="J1726" s="58">
        <v>13364788</v>
      </c>
      <c r="K1726" s="1" t="s">
        <v>106</v>
      </c>
      <c r="L1726" s="1" t="s">
        <v>124</v>
      </c>
      <c r="M1726" s="1" t="s">
        <v>122</v>
      </c>
      <c r="N1726" s="1">
        <v>1</v>
      </c>
      <c r="O1726" s="58"/>
      <c r="P1726" s="58">
        <v>338050.52</v>
      </c>
      <c r="Q1726" t="s">
        <v>113</v>
      </c>
      <c r="R1726" s="1" t="s">
        <v>48</v>
      </c>
    </row>
    <row r="1727" spans="3:18" x14ac:dyDescent="0.35">
      <c r="C1727" t="s">
        <v>51</v>
      </c>
      <c r="D1727" t="s">
        <v>23</v>
      </c>
      <c r="E1727" t="s">
        <v>45</v>
      </c>
      <c r="F1727" t="s">
        <v>46</v>
      </c>
      <c r="G1727" s="58">
        <v>370805</v>
      </c>
      <c r="H1727" s="1" t="s">
        <v>47</v>
      </c>
      <c r="I1727" s="1" t="s">
        <v>108</v>
      </c>
      <c r="J1727" s="58">
        <v>13348980</v>
      </c>
      <c r="K1727" s="1" t="s">
        <v>106</v>
      </c>
      <c r="L1727" s="1" t="s">
        <v>114</v>
      </c>
      <c r="N1727" s="1">
        <v>1</v>
      </c>
      <c r="O1727" s="58"/>
      <c r="P1727" s="58">
        <v>370805</v>
      </c>
      <c r="Q1727" t="s">
        <v>110</v>
      </c>
      <c r="R1727" s="1" t="s">
        <v>158</v>
      </c>
    </row>
    <row r="1728" spans="3:18" x14ac:dyDescent="0.35">
      <c r="C1728" t="s">
        <v>51</v>
      </c>
      <c r="D1728" t="s">
        <v>21</v>
      </c>
      <c r="E1728" t="s">
        <v>49</v>
      </c>
      <c r="F1728" t="s">
        <v>46</v>
      </c>
      <c r="G1728" s="58">
        <v>19934</v>
      </c>
      <c r="H1728" s="1" t="s">
        <v>48</v>
      </c>
      <c r="I1728" s="1" t="s">
        <v>108</v>
      </c>
      <c r="J1728" s="58">
        <v>657822</v>
      </c>
      <c r="K1728" s="1" t="s">
        <v>106</v>
      </c>
      <c r="L1728" s="1" t="s">
        <v>124</v>
      </c>
      <c r="M1728" s="1" t="s">
        <v>123</v>
      </c>
      <c r="N1728" s="1">
        <v>1</v>
      </c>
      <c r="O1728" s="58"/>
      <c r="P1728" s="58">
        <v>996.7</v>
      </c>
      <c r="Q1728" t="s">
        <v>107</v>
      </c>
      <c r="R1728" s="1" t="s">
        <v>48</v>
      </c>
    </row>
    <row r="1729" spans="3:18" x14ac:dyDescent="0.35">
      <c r="C1729" t="s">
        <v>51</v>
      </c>
      <c r="D1729" t="s">
        <v>91</v>
      </c>
      <c r="E1729" t="s">
        <v>49</v>
      </c>
      <c r="F1729" t="s">
        <v>46</v>
      </c>
      <c r="G1729" s="58">
        <v>382418</v>
      </c>
      <c r="H1729" s="1" t="s">
        <v>48</v>
      </c>
      <c r="I1729" s="1" t="s">
        <v>111</v>
      </c>
      <c r="J1729" s="58">
        <v>6118688</v>
      </c>
      <c r="K1729" s="1" t="s">
        <v>106</v>
      </c>
      <c r="L1729" s="1" t="s">
        <v>120</v>
      </c>
      <c r="M1729" s="1" t="s">
        <v>125</v>
      </c>
      <c r="N1729" s="1">
        <v>1</v>
      </c>
      <c r="O1729" s="58"/>
      <c r="P1729" s="58">
        <v>248571.7</v>
      </c>
      <c r="Q1729" t="s">
        <v>118</v>
      </c>
      <c r="R1729" s="1" t="s">
        <v>158</v>
      </c>
    </row>
    <row r="1730" spans="3:18" x14ac:dyDescent="0.35">
      <c r="C1730" t="s">
        <v>53</v>
      </c>
      <c r="D1730" t="s">
        <v>23</v>
      </c>
      <c r="E1730" t="s">
        <v>45</v>
      </c>
      <c r="F1730" t="s">
        <v>46</v>
      </c>
      <c r="G1730" s="58">
        <v>300200</v>
      </c>
      <c r="H1730" s="1" t="s">
        <v>54</v>
      </c>
      <c r="I1730" s="1" t="s">
        <v>128</v>
      </c>
      <c r="J1730" s="58"/>
      <c r="K1730" s="1" t="s">
        <v>106</v>
      </c>
      <c r="L1730" s="1" t="s">
        <v>120</v>
      </c>
      <c r="N1730" s="1">
        <v>0</v>
      </c>
      <c r="O1730" s="58"/>
      <c r="P1730" s="58">
        <v>282188</v>
      </c>
      <c r="Q1730" t="s">
        <v>127</v>
      </c>
      <c r="R1730" s="1" t="s">
        <v>158</v>
      </c>
    </row>
    <row r="1731" spans="3:18" x14ac:dyDescent="0.35">
      <c r="C1731" t="s">
        <v>51</v>
      </c>
      <c r="D1731" t="s">
        <v>22</v>
      </c>
      <c r="E1731" t="s">
        <v>45</v>
      </c>
      <c r="F1731" t="s">
        <v>46</v>
      </c>
      <c r="G1731" s="58">
        <v>2439909</v>
      </c>
      <c r="H1731" s="1" t="s">
        <v>47</v>
      </c>
      <c r="I1731" s="1" t="s">
        <v>111</v>
      </c>
      <c r="J1731" s="58">
        <v>36598635</v>
      </c>
      <c r="K1731" s="1" t="s">
        <v>106</v>
      </c>
      <c r="L1731" s="1" t="s">
        <v>114</v>
      </c>
      <c r="N1731" s="1">
        <v>1</v>
      </c>
      <c r="O1731" s="58"/>
      <c r="P1731" s="58">
        <v>634376.34</v>
      </c>
      <c r="Q1731" t="s">
        <v>107</v>
      </c>
      <c r="R1731" s="1" t="s">
        <v>158</v>
      </c>
    </row>
    <row r="1732" spans="3:18" x14ac:dyDescent="0.35">
      <c r="C1732" t="s">
        <v>51</v>
      </c>
      <c r="D1732" t="s">
        <v>23</v>
      </c>
      <c r="E1732" t="s">
        <v>45</v>
      </c>
      <c r="F1732" t="s">
        <v>64</v>
      </c>
      <c r="G1732" s="58">
        <v>346842</v>
      </c>
      <c r="H1732" s="1" t="s">
        <v>54</v>
      </c>
      <c r="I1732" s="1" t="s">
        <v>108</v>
      </c>
      <c r="J1732" s="58">
        <v>11792628</v>
      </c>
      <c r="K1732" s="1" t="s">
        <v>112</v>
      </c>
      <c r="N1732" s="1">
        <v>1</v>
      </c>
      <c r="O1732" s="58"/>
      <c r="P1732" s="58">
        <v>169952.58</v>
      </c>
      <c r="Q1732" t="s">
        <v>113</v>
      </c>
      <c r="R1732" s="1" t="s">
        <v>158</v>
      </c>
    </row>
    <row r="1733" spans="3:18" x14ac:dyDescent="0.35">
      <c r="C1733" t="s">
        <v>51</v>
      </c>
      <c r="D1733" t="s">
        <v>24</v>
      </c>
      <c r="E1733" t="s">
        <v>49</v>
      </c>
      <c r="F1733" t="s">
        <v>46</v>
      </c>
      <c r="G1733" s="58">
        <v>8398331</v>
      </c>
      <c r="H1733" s="1" t="s">
        <v>48</v>
      </c>
      <c r="I1733" s="1" t="s">
        <v>108</v>
      </c>
      <c r="J1733" s="58">
        <v>243551599</v>
      </c>
      <c r="K1733" s="1" t="s">
        <v>106</v>
      </c>
      <c r="L1733" s="1" t="s">
        <v>124</v>
      </c>
      <c r="M1733" s="1" t="s">
        <v>121</v>
      </c>
      <c r="N1733" s="1">
        <v>1</v>
      </c>
      <c r="O1733" s="58"/>
      <c r="P1733" s="58">
        <v>2435515.9900000002</v>
      </c>
      <c r="Q1733" t="s">
        <v>107</v>
      </c>
      <c r="R1733" s="1" t="s">
        <v>158</v>
      </c>
    </row>
    <row r="1734" spans="3:18" x14ac:dyDescent="0.35">
      <c r="C1734" t="s">
        <v>51</v>
      </c>
      <c r="D1734" t="s">
        <v>24</v>
      </c>
      <c r="E1734" t="s">
        <v>50</v>
      </c>
      <c r="F1734" t="s">
        <v>64</v>
      </c>
      <c r="G1734" s="58">
        <v>147031</v>
      </c>
      <c r="H1734" s="1" t="s">
        <v>47</v>
      </c>
      <c r="I1734" s="1" t="s">
        <v>108</v>
      </c>
      <c r="J1734" s="58">
        <v>3381713</v>
      </c>
      <c r="K1734" s="1" t="s">
        <v>106</v>
      </c>
      <c r="L1734" s="1" t="s">
        <v>109</v>
      </c>
      <c r="N1734" s="1">
        <v>1</v>
      </c>
      <c r="O1734" s="58"/>
      <c r="P1734" s="58">
        <v>23524.959999999999</v>
      </c>
      <c r="Q1734" t="s">
        <v>107</v>
      </c>
      <c r="R1734" s="1" t="s">
        <v>158</v>
      </c>
    </row>
    <row r="1735" spans="3:18" x14ac:dyDescent="0.35">
      <c r="C1735" t="s">
        <v>51</v>
      </c>
      <c r="D1735" t="s">
        <v>23</v>
      </c>
      <c r="E1735" t="s">
        <v>45</v>
      </c>
      <c r="F1735" t="s">
        <v>46</v>
      </c>
      <c r="G1735" s="58">
        <v>18419</v>
      </c>
      <c r="H1735" s="1" t="s">
        <v>54</v>
      </c>
      <c r="I1735" s="1" t="s">
        <v>105</v>
      </c>
      <c r="J1735" s="58">
        <v>73676</v>
      </c>
      <c r="K1735" s="1" t="s">
        <v>106</v>
      </c>
      <c r="L1735" s="1" t="s">
        <v>120</v>
      </c>
      <c r="N1735" s="1">
        <v>1</v>
      </c>
      <c r="O1735" s="58"/>
      <c r="P1735" s="58">
        <v>9393.69</v>
      </c>
      <c r="Q1735" t="s">
        <v>113</v>
      </c>
      <c r="R1735" s="1" t="s">
        <v>158</v>
      </c>
    </row>
    <row r="1736" spans="3:18" x14ac:dyDescent="0.35">
      <c r="C1736" t="s">
        <v>51</v>
      </c>
      <c r="D1736" t="s">
        <v>24</v>
      </c>
      <c r="E1736" t="s">
        <v>50</v>
      </c>
      <c r="F1736" t="s">
        <v>46</v>
      </c>
      <c r="G1736" s="58">
        <v>838175</v>
      </c>
      <c r="H1736" s="1" t="s">
        <v>59</v>
      </c>
      <c r="I1736" s="1" t="s">
        <v>111</v>
      </c>
      <c r="J1736" s="58">
        <v>15087150</v>
      </c>
      <c r="K1736" s="1" t="s">
        <v>106</v>
      </c>
      <c r="L1736" s="1" t="s">
        <v>109</v>
      </c>
      <c r="N1736" s="1">
        <v>1</v>
      </c>
      <c r="O1736" s="58"/>
      <c r="P1736" s="58">
        <v>586722.5</v>
      </c>
      <c r="Q1736" t="s">
        <v>118</v>
      </c>
      <c r="R1736" s="1" t="s">
        <v>158</v>
      </c>
    </row>
    <row r="1737" spans="3:18" x14ac:dyDescent="0.35">
      <c r="C1737" t="s">
        <v>51</v>
      </c>
      <c r="D1737" t="s">
        <v>22</v>
      </c>
      <c r="E1737" t="s">
        <v>55</v>
      </c>
      <c r="F1737" t="s">
        <v>46</v>
      </c>
      <c r="G1737" s="58">
        <v>235067</v>
      </c>
      <c r="H1737" s="1" t="s">
        <v>47</v>
      </c>
      <c r="I1737" s="1" t="s">
        <v>108</v>
      </c>
      <c r="J1737" s="58">
        <v>7992278</v>
      </c>
      <c r="K1737" s="1" t="s">
        <v>106</v>
      </c>
      <c r="L1737" s="1" t="s">
        <v>124</v>
      </c>
      <c r="N1737" s="1">
        <v>1</v>
      </c>
      <c r="O1737" s="58"/>
      <c r="P1737" s="58">
        <v>84624.12</v>
      </c>
      <c r="Q1737" t="s">
        <v>107</v>
      </c>
      <c r="R1737" s="1" t="s">
        <v>158</v>
      </c>
    </row>
    <row r="1738" spans="3:18" x14ac:dyDescent="0.35">
      <c r="C1738" t="s">
        <v>51</v>
      </c>
      <c r="D1738" t="s">
        <v>19</v>
      </c>
      <c r="E1738" t="s">
        <v>49</v>
      </c>
      <c r="F1738" t="s">
        <v>46</v>
      </c>
      <c r="G1738" s="58">
        <v>394388</v>
      </c>
      <c r="H1738" s="1" t="s">
        <v>48</v>
      </c>
      <c r="I1738" s="1" t="s">
        <v>108</v>
      </c>
      <c r="J1738" s="58">
        <v>13409192</v>
      </c>
      <c r="K1738" s="1" t="s">
        <v>106</v>
      </c>
      <c r="L1738" s="1" t="s">
        <v>109</v>
      </c>
      <c r="M1738" s="1" t="s">
        <v>122</v>
      </c>
      <c r="N1738" s="1">
        <v>1</v>
      </c>
      <c r="O1738" s="58"/>
      <c r="P1738" s="58">
        <v>311566.52</v>
      </c>
      <c r="Q1738" t="s">
        <v>118</v>
      </c>
      <c r="R1738" s="1" t="s">
        <v>48</v>
      </c>
    </row>
    <row r="1739" spans="3:18" x14ac:dyDescent="0.35">
      <c r="C1739" t="s">
        <v>51</v>
      </c>
      <c r="D1739" t="s">
        <v>60</v>
      </c>
      <c r="E1739" t="s">
        <v>60</v>
      </c>
      <c r="F1739" t="s">
        <v>64</v>
      </c>
      <c r="G1739" s="58">
        <v>110567</v>
      </c>
      <c r="H1739" s="1" t="s">
        <v>90</v>
      </c>
      <c r="I1739" s="1" t="s">
        <v>111</v>
      </c>
      <c r="J1739" s="58">
        <v>1879639</v>
      </c>
      <c r="K1739" s="1" t="s">
        <v>106</v>
      </c>
      <c r="N1739" s="1">
        <v>1</v>
      </c>
      <c r="O1739" s="58"/>
      <c r="P1739" s="58">
        <v>132680.4</v>
      </c>
      <c r="Q1739" t="s">
        <v>110</v>
      </c>
      <c r="R1739" s="1" t="s">
        <v>90</v>
      </c>
    </row>
    <row r="1740" spans="3:18" x14ac:dyDescent="0.35">
      <c r="C1740" t="s">
        <v>51</v>
      </c>
      <c r="D1740" t="s">
        <v>20</v>
      </c>
      <c r="E1740" t="s">
        <v>49</v>
      </c>
      <c r="F1740" t="s">
        <v>46</v>
      </c>
      <c r="G1740" s="58">
        <v>1186429</v>
      </c>
      <c r="H1740" s="1" t="s">
        <v>56</v>
      </c>
      <c r="I1740" s="1" t="s">
        <v>108</v>
      </c>
      <c r="J1740" s="58">
        <v>34406441</v>
      </c>
      <c r="K1740" s="1" t="s">
        <v>112</v>
      </c>
      <c r="N1740" s="1">
        <v>1</v>
      </c>
      <c r="O1740" s="58"/>
      <c r="P1740" s="58">
        <v>972871.78</v>
      </c>
      <c r="Q1740" t="s">
        <v>127</v>
      </c>
      <c r="R1740" s="1" t="s">
        <v>158</v>
      </c>
    </row>
    <row r="1741" spans="3:18" x14ac:dyDescent="0.35">
      <c r="C1741" t="s">
        <v>51</v>
      </c>
      <c r="D1741" t="s">
        <v>23</v>
      </c>
      <c r="E1741" t="s">
        <v>52</v>
      </c>
      <c r="F1741" t="s">
        <v>46</v>
      </c>
      <c r="G1741" s="58">
        <v>293331</v>
      </c>
      <c r="H1741" s="1" t="s">
        <v>48</v>
      </c>
      <c r="I1741" s="1" t="s">
        <v>119</v>
      </c>
      <c r="J1741" s="58">
        <v>2933310</v>
      </c>
      <c r="K1741" s="1" t="s">
        <v>112</v>
      </c>
      <c r="N1741" s="1">
        <v>1</v>
      </c>
      <c r="O1741" s="58"/>
      <c r="P1741" s="58">
        <v>70399.44</v>
      </c>
      <c r="Q1741" t="s">
        <v>107</v>
      </c>
      <c r="R1741" s="1" t="s">
        <v>48</v>
      </c>
    </row>
    <row r="1742" spans="3:18" x14ac:dyDescent="0.35">
      <c r="C1742" t="s">
        <v>53</v>
      </c>
      <c r="D1742" t="s">
        <v>22</v>
      </c>
      <c r="E1742" t="s">
        <v>45</v>
      </c>
      <c r="F1742" t="s">
        <v>46</v>
      </c>
      <c r="G1742" s="58">
        <v>125520</v>
      </c>
      <c r="H1742" s="1" t="s">
        <v>47</v>
      </c>
      <c r="I1742" s="1" t="s">
        <v>105</v>
      </c>
      <c r="J1742" s="58"/>
      <c r="K1742" s="1" t="s">
        <v>106</v>
      </c>
      <c r="L1742" s="1" t="s">
        <v>120</v>
      </c>
      <c r="N1742" s="1">
        <v>0</v>
      </c>
      <c r="O1742" s="58"/>
      <c r="P1742" s="58">
        <v>0</v>
      </c>
      <c r="Q1742" t="s">
        <v>107</v>
      </c>
      <c r="R1742" s="1" t="s">
        <v>158</v>
      </c>
    </row>
    <row r="1743" spans="3:18" x14ac:dyDescent="0.35">
      <c r="C1743" t="s">
        <v>51</v>
      </c>
      <c r="D1743" t="s">
        <v>92</v>
      </c>
      <c r="E1743" t="s">
        <v>55</v>
      </c>
      <c r="F1743" t="s">
        <v>46</v>
      </c>
      <c r="G1743" s="58">
        <v>164428</v>
      </c>
      <c r="H1743" s="1" t="s">
        <v>48</v>
      </c>
      <c r="I1743" s="1" t="s">
        <v>108</v>
      </c>
      <c r="J1743" s="58">
        <v>5754980</v>
      </c>
      <c r="K1743" s="1" t="s">
        <v>106</v>
      </c>
      <c r="L1743" s="1" t="s">
        <v>120</v>
      </c>
      <c r="M1743" s="1" t="s">
        <v>123</v>
      </c>
      <c r="N1743" s="1">
        <v>1</v>
      </c>
      <c r="O1743" s="58"/>
      <c r="P1743" s="58">
        <v>120032.44</v>
      </c>
      <c r="Q1743" t="s">
        <v>118</v>
      </c>
      <c r="R1743" s="1" t="s">
        <v>158</v>
      </c>
    </row>
    <row r="1744" spans="3:18" x14ac:dyDescent="0.35">
      <c r="C1744" t="s">
        <v>51</v>
      </c>
      <c r="D1744" t="s">
        <v>23</v>
      </c>
      <c r="E1744" t="s">
        <v>55</v>
      </c>
      <c r="F1744" t="s">
        <v>46</v>
      </c>
      <c r="G1744" s="58">
        <v>117504</v>
      </c>
      <c r="H1744" s="1" t="s">
        <v>54</v>
      </c>
      <c r="I1744" s="1" t="s">
        <v>108</v>
      </c>
      <c r="J1744" s="58">
        <v>3760128</v>
      </c>
      <c r="K1744" s="1" t="s">
        <v>106</v>
      </c>
      <c r="L1744" s="1" t="s">
        <v>120</v>
      </c>
      <c r="N1744" s="1">
        <v>1</v>
      </c>
      <c r="O1744" s="58"/>
      <c r="P1744" s="58">
        <v>105753.60000000001</v>
      </c>
      <c r="Q1744" t="s">
        <v>127</v>
      </c>
      <c r="R1744" s="1" t="s">
        <v>158</v>
      </c>
    </row>
    <row r="1745" spans="3:18" x14ac:dyDescent="0.35">
      <c r="C1745" t="s">
        <v>51</v>
      </c>
      <c r="D1745" t="s">
        <v>92</v>
      </c>
      <c r="E1745" t="s">
        <v>49</v>
      </c>
      <c r="F1745" t="s">
        <v>46</v>
      </c>
      <c r="G1745" s="58">
        <v>204386</v>
      </c>
      <c r="H1745" s="1" t="s">
        <v>47</v>
      </c>
      <c r="I1745" s="1" t="s">
        <v>108</v>
      </c>
      <c r="J1745" s="58">
        <v>5314036</v>
      </c>
      <c r="K1745" s="1" t="s">
        <v>106</v>
      </c>
      <c r="L1745" s="1" t="s">
        <v>120</v>
      </c>
      <c r="N1745" s="1">
        <v>1</v>
      </c>
      <c r="O1745" s="58"/>
      <c r="P1745" s="58">
        <v>167596.51999999999</v>
      </c>
      <c r="Q1745" t="s">
        <v>127</v>
      </c>
      <c r="R1745" s="1" t="s">
        <v>158</v>
      </c>
    </row>
    <row r="1746" spans="3:18" x14ac:dyDescent="0.35">
      <c r="C1746" t="s">
        <v>51</v>
      </c>
      <c r="D1746" t="s">
        <v>22</v>
      </c>
      <c r="E1746" t="s">
        <v>55</v>
      </c>
      <c r="F1746" t="s">
        <v>46</v>
      </c>
      <c r="G1746" s="58">
        <v>559893</v>
      </c>
      <c r="H1746" s="1" t="s">
        <v>48</v>
      </c>
      <c r="I1746" s="1" t="s">
        <v>119</v>
      </c>
      <c r="J1746" s="58">
        <v>5039037</v>
      </c>
      <c r="K1746" s="1" t="s">
        <v>112</v>
      </c>
      <c r="N1746" s="1">
        <v>1</v>
      </c>
      <c r="O1746" s="58"/>
      <c r="P1746" s="58">
        <v>128775.39</v>
      </c>
      <c r="Q1746" t="s">
        <v>107</v>
      </c>
      <c r="R1746" s="1" t="s">
        <v>48</v>
      </c>
    </row>
    <row r="1747" spans="3:18" x14ac:dyDescent="0.35">
      <c r="C1747" t="s">
        <v>51</v>
      </c>
      <c r="D1747" t="s">
        <v>25</v>
      </c>
      <c r="E1747" t="s">
        <v>45</v>
      </c>
      <c r="F1747" t="s">
        <v>46</v>
      </c>
      <c r="G1747" s="58">
        <v>419087</v>
      </c>
      <c r="H1747" s="1" t="s">
        <v>47</v>
      </c>
      <c r="I1747" s="1" t="s">
        <v>108</v>
      </c>
      <c r="J1747" s="58">
        <v>9219914</v>
      </c>
      <c r="K1747" s="1" t="s">
        <v>106</v>
      </c>
      <c r="L1747" s="1" t="s">
        <v>124</v>
      </c>
      <c r="N1747" s="1">
        <v>1</v>
      </c>
      <c r="O1747" s="58"/>
      <c r="P1747" s="58">
        <v>368796.56</v>
      </c>
      <c r="Q1747" t="s">
        <v>127</v>
      </c>
      <c r="R1747" s="1" t="s">
        <v>158</v>
      </c>
    </row>
    <row r="1748" spans="3:18" x14ac:dyDescent="0.35">
      <c r="C1748" t="s">
        <v>51</v>
      </c>
      <c r="D1748" t="s">
        <v>21</v>
      </c>
      <c r="E1748" t="s">
        <v>50</v>
      </c>
      <c r="F1748" t="s">
        <v>46</v>
      </c>
      <c r="G1748" s="58">
        <v>266962</v>
      </c>
      <c r="H1748" s="1" t="s">
        <v>48</v>
      </c>
      <c r="I1748" s="1" t="s">
        <v>108</v>
      </c>
      <c r="J1748" s="58">
        <v>9076708</v>
      </c>
      <c r="K1748" s="1" t="s">
        <v>106</v>
      </c>
      <c r="L1748" s="1" t="s">
        <v>120</v>
      </c>
      <c r="M1748" s="1" t="s">
        <v>126</v>
      </c>
      <c r="N1748" s="1">
        <v>1</v>
      </c>
      <c r="O1748" s="58"/>
      <c r="P1748" s="58">
        <v>216239.22</v>
      </c>
      <c r="Q1748" t="s">
        <v>127</v>
      </c>
      <c r="R1748" s="1" t="s">
        <v>48</v>
      </c>
    </row>
    <row r="1749" spans="3:18" x14ac:dyDescent="0.35">
      <c r="C1749" t="s">
        <v>51</v>
      </c>
      <c r="D1749" t="s">
        <v>20</v>
      </c>
      <c r="E1749" t="s">
        <v>49</v>
      </c>
      <c r="F1749" t="s">
        <v>46</v>
      </c>
      <c r="G1749" s="58">
        <v>2126552</v>
      </c>
      <c r="H1749" s="1" t="s">
        <v>48</v>
      </c>
      <c r="I1749" s="1" t="s">
        <v>111</v>
      </c>
      <c r="J1749" s="58">
        <v>31898280</v>
      </c>
      <c r="K1749" s="1" t="s">
        <v>112</v>
      </c>
      <c r="N1749" s="1">
        <v>1</v>
      </c>
      <c r="O1749" s="58"/>
      <c r="P1749" s="58">
        <v>935682.88</v>
      </c>
      <c r="Q1749" t="s">
        <v>113</v>
      </c>
      <c r="R1749" s="1" t="s">
        <v>48</v>
      </c>
    </row>
    <row r="1750" spans="3:18" x14ac:dyDescent="0.35">
      <c r="C1750" t="s">
        <v>51</v>
      </c>
      <c r="D1750" t="s">
        <v>22</v>
      </c>
      <c r="E1750" t="s">
        <v>49</v>
      </c>
      <c r="F1750" t="s">
        <v>46</v>
      </c>
      <c r="G1750" s="58">
        <v>11971112</v>
      </c>
      <c r="H1750" s="1" t="s">
        <v>48</v>
      </c>
      <c r="I1750" s="1" t="s">
        <v>108</v>
      </c>
      <c r="J1750" s="58">
        <v>395046696</v>
      </c>
      <c r="K1750" s="1" t="s">
        <v>112</v>
      </c>
      <c r="N1750" s="1">
        <v>1</v>
      </c>
      <c r="O1750" s="58"/>
      <c r="P1750" s="58">
        <v>8499489.5199999996</v>
      </c>
      <c r="Q1750" t="s">
        <v>118</v>
      </c>
      <c r="R1750" s="1" t="s">
        <v>158</v>
      </c>
    </row>
    <row r="1751" spans="3:18" x14ac:dyDescent="0.35">
      <c r="C1751" t="s">
        <v>51</v>
      </c>
      <c r="D1751" t="s">
        <v>25</v>
      </c>
      <c r="E1751" t="s">
        <v>45</v>
      </c>
      <c r="F1751" t="s">
        <v>46</v>
      </c>
      <c r="G1751" s="58">
        <v>225255</v>
      </c>
      <c r="H1751" s="1" t="s">
        <v>48</v>
      </c>
      <c r="I1751" s="1" t="s">
        <v>108</v>
      </c>
      <c r="J1751" s="58">
        <v>5856630</v>
      </c>
      <c r="K1751" s="1" t="s">
        <v>106</v>
      </c>
      <c r="L1751" s="1" t="s">
        <v>120</v>
      </c>
      <c r="M1751" s="1" t="s">
        <v>117</v>
      </c>
      <c r="N1751" s="1">
        <v>1</v>
      </c>
      <c r="O1751" s="58"/>
      <c r="P1751" s="58">
        <v>159931.04999999999</v>
      </c>
      <c r="Q1751" t="s">
        <v>118</v>
      </c>
      <c r="R1751" s="1" t="s">
        <v>158</v>
      </c>
    </row>
    <row r="1752" spans="3:18" x14ac:dyDescent="0.35">
      <c r="C1752" t="s">
        <v>53</v>
      </c>
      <c r="D1752" t="s">
        <v>19</v>
      </c>
      <c r="E1752" t="s">
        <v>49</v>
      </c>
      <c r="F1752" t="s">
        <v>46</v>
      </c>
      <c r="G1752" s="58">
        <v>2123916</v>
      </c>
      <c r="H1752" s="1" t="s">
        <v>59</v>
      </c>
      <c r="I1752" s="1" t="s">
        <v>119</v>
      </c>
      <c r="J1752" s="58">
        <v>16991328</v>
      </c>
      <c r="K1752" s="1" t="s">
        <v>106</v>
      </c>
      <c r="L1752" s="1" t="s">
        <v>120</v>
      </c>
      <c r="N1752" s="1">
        <v>1</v>
      </c>
      <c r="O1752" s="58"/>
      <c r="P1752" s="58">
        <v>2102676.84</v>
      </c>
      <c r="Q1752" t="s">
        <v>127</v>
      </c>
      <c r="R1752" s="1" t="s">
        <v>158</v>
      </c>
    </row>
    <row r="1753" spans="3:18" x14ac:dyDescent="0.35">
      <c r="C1753" t="s">
        <v>51</v>
      </c>
      <c r="D1753" t="s">
        <v>21</v>
      </c>
      <c r="E1753" t="s">
        <v>55</v>
      </c>
      <c r="F1753" t="s">
        <v>46</v>
      </c>
      <c r="G1753" s="58">
        <v>180662</v>
      </c>
      <c r="H1753" s="1" t="s">
        <v>48</v>
      </c>
      <c r="I1753" s="1" t="s">
        <v>108</v>
      </c>
      <c r="J1753" s="58">
        <v>6323170</v>
      </c>
      <c r="K1753" s="1" t="s">
        <v>112</v>
      </c>
      <c r="N1753" s="1">
        <v>1</v>
      </c>
      <c r="O1753" s="58"/>
      <c r="P1753" s="58">
        <v>153562.70000000001</v>
      </c>
      <c r="Q1753" t="s">
        <v>127</v>
      </c>
      <c r="R1753" s="1" t="s">
        <v>158</v>
      </c>
    </row>
    <row r="1754" spans="3:18" x14ac:dyDescent="0.35">
      <c r="C1754" t="s">
        <v>51</v>
      </c>
      <c r="D1754" t="s">
        <v>92</v>
      </c>
      <c r="E1754" t="s">
        <v>45</v>
      </c>
      <c r="F1754" t="s">
        <v>46</v>
      </c>
      <c r="G1754" s="58">
        <v>313884</v>
      </c>
      <c r="H1754" s="1" t="s">
        <v>47</v>
      </c>
      <c r="I1754" s="1" t="s">
        <v>111</v>
      </c>
      <c r="J1754" s="58">
        <v>4394376</v>
      </c>
      <c r="K1754" s="1" t="s">
        <v>106</v>
      </c>
      <c r="L1754" s="1" t="s">
        <v>120</v>
      </c>
      <c r="N1754" s="1">
        <v>1</v>
      </c>
      <c r="O1754" s="58"/>
      <c r="P1754" s="58">
        <v>72193.320000000007</v>
      </c>
      <c r="Q1754" t="s">
        <v>107</v>
      </c>
      <c r="R1754" s="1" t="s">
        <v>158</v>
      </c>
    </row>
    <row r="1755" spans="3:18" x14ac:dyDescent="0.35">
      <c r="C1755" t="s">
        <v>51</v>
      </c>
      <c r="D1755" t="s">
        <v>24</v>
      </c>
      <c r="E1755" t="s">
        <v>55</v>
      </c>
      <c r="F1755" t="s">
        <v>46</v>
      </c>
      <c r="G1755" s="58">
        <v>49812</v>
      </c>
      <c r="H1755" s="1" t="s">
        <v>56</v>
      </c>
      <c r="I1755" s="1" t="s">
        <v>111</v>
      </c>
      <c r="J1755" s="58">
        <v>996240</v>
      </c>
      <c r="K1755" s="1" t="s">
        <v>112</v>
      </c>
      <c r="N1755" s="1">
        <v>1</v>
      </c>
      <c r="O1755" s="58"/>
      <c r="P1755" s="58">
        <v>39849.599999999999</v>
      </c>
      <c r="Q1755" t="s">
        <v>118</v>
      </c>
      <c r="R1755" s="1" t="s">
        <v>158</v>
      </c>
    </row>
    <row r="1756" spans="3:18" x14ac:dyDescent="0.35">
      <c r="C1756" t="s">
        <v>51</v>
      </c>
      <c r="D1756" t="s">
        <v>24</v>
      </c>
      <c r="E1756" t="s">
        <v>50</v>
      </c>
      <c r="F1756" t="s">
        <v>46</v>
      </c>
      <c r="G1756" s="58">
        <v>15299</v>
      </c>
      <c r="H1756" s="1" t="s">
        <v>47</v>
      </c>
      <c r="I1756" s="1" t="s">
        <v>119</v>
      </c>
      <c r="J1756" s="58">
        <v>91794</v>
      </c>
      <c r="K1756" s="1" t="s">
        <v>106</v>
      </c>
      <c r="L1756" s="1" t="s">
        <v>124</v>
      </c>
      <c r="N1756" s="1">
        <v>1</v>
      </c>
      <c r="O1756" s="58"/>
      <c r="P1756" s="58">
        <v>1682.89</v>
      </c>
      <c r="Q1756" t="s">
        <v>107</v>
      </c>
      <c r="R1756" s="1" t="s">
        <v>158</v>
      </c>
    </row>
    <row r="1757" spans="3:18" x14ac:dyDescent="0.35">
      <c r="C1757" t="s">
        <v>51</v>
      </c>
      <c r="D1757" t="s">
        <v>22</v>
      </c>
      <c r="E1757" t="s">
        <v>45</v>
      </c>
      <c r="F1757" t="s">
        <v>46</v>
      </c>
      <c r="G1757" s="58">
        <v>37881</v>
      </c>
      <c r="H1757" s="1" t="s">
        <v>47</v>
      </c>
      <c r="I1757" s="1" t="s">
        <v>105</v>
      </c>
      <c r="J1757" s="58">
        <v>113643</v>
      </c>
      <c r="K1757" s="1" t="s">
        <v>106</v>
      </c>
      <c r="L1757" s="1" t="s">
        <v>116</v>
      </c>
      <c r="N1757" s="1">
        <v>1</v>
      </c>
      <c r="O1757" s="58"/>
      <c r="P1757" s="58">
        <v>3788.1</v>
      </c>
      <c r="Q1757" t="s">
        <v>107</v>
      </c>
      <c r="R1757" s="1" t="s">
        <v>158</v>
      </c>
    </row>
    <row r="1758" spans="3:18" x14ac:dyDescent="0.35">
      <c r="C1758" t="s">
        <v>51</v>
      </c>
      <c r="D1758" t="s">
        <v>21</v>
      </c>
      <c r="E1758" t="s">
        <v>49</v>
      </c>
      <c r="F1758" t="s">
        <v>46</v>
      </c>
      <c r="G1758" s="58">
        <v>126227233</v>
      </c>
      <c r="H1758" s="1" t="s">
        <v>56</v>
      </c>
      <c r="I1758" s="1" t="s">
        <v>111</v>
      </c>
      <c r="J1758" s="58">
        <v>1767181262</v>
      </c>
      <c r="K1758" s="1" t="s">
        <v>106</v>
      </c>
      <c r="L1758" s="1" t="s">
        <v>124</v>
      </c>
      <c r="N1758" s="1">
        <v>1</v>
      </c>
      <c r="O1758" s="58"/>
      <c r="P1758" s="58">
        <v>35343625.240000002</v>
      </c>
      <c r="Q1758" t="s">
        <v>107</v>
      </c>
      <c r="R1758" s="1" t="s">
        <v>158</v>
      </c>
    </row>
    <row r="1759" spans="3:18" x14ac:dyDescent="0.35">
      <c r="C1759" t="s">
        <v>51</v>
      </c>
      <c r="D1759" t="s">
        <v>24</v>
      </c>
      <c r="E1759" t="s">
        <v>55</v>
      </c>
      <c r="F1759" t="s">
        <v>46</v>
      </c>
      <c r="G1759" s="58">
        <v>6322894</v>
      </c>
      <c r="H1759" s="1" t="s">
        <v>56</v>
      </c>
      <c r="I1759" s="1" t="s">
        <v>111</v>
      </c>
      <c r="J1759" s="58">
        <v>101166304</v>
      </c>
      <c r="K1759" s="1" t="s">
        <v>106</v>
      </c>
      <c r="L1759" s="1" t="s">
        <v>114</v>
      </c>
      <c r="N1759" s="1">
        <v>1</v>
      </c>
      <c r="O1759" s="58"/>
      <c r="P1759" s="58">
        <v>3224675.94</v>
      </c>
      <c r="Q1759" t="s">
        <v>113</v>
      </c>
      <c r="R1759" s="1" t="s">
        <v>158</v>
      </c>
    </row>
    <row r="1760" spans="3:18" x14ac:dyDescent="0.35">
      <c r="C1760" t="s">
        <v>51</v>
      </c>
      <c r="D1760" t="s">
        <v>22</v>
      </c>
      <c r="E1760" t="s">
        <v>50</v>
      </c>
      <c r="F1760" t="s">
        <v>46</v>
      </c>
      <c r="G1760" s="58">
        <v>323603</v>
      </c>
      <c r="H1760" s="1" t="s">
        <v>48</v>
      </c>
      <c r="I1760" s="1" t="s">
        <v>111</v>
      </c>
      <c r="J1760" s="58">
        <v>6148457</v>
      </c>
      <c r="K1760" s="1" t="s">
        <v>106</v>
      </c>
      <c r="L1760" s="1" t="s">
        <v>124</v>
      </c>
      <c r="M1760" s="1" t="s">
        <v>126</v>
      </c>
      <c r="N1760" s="1">
        <v>1</v>
      </c>
      <c r="O1760" s="58"/>
      <c r="P1760" s="58">
        <v>174745.62</v>
      </c>
      <c r="Q1760" t="s">
        <v>113</v>
      </c>
      <c r="R1760" s="1" t="s">
        <v>48</v>
      </c>
    </row>
    <row r="1761" spans="3:18" x14ac:dyDescent="0.35">
      <c r="C1761" t="s">
        <v>51</v>
      </c>
      <c r="D1761" t="s">
        <v>24</v>
      </c>
      <c r="E1761" t="s">
        <v>49</v>
      </c>
      <c r="F1761" t="s">
        <v>46</v>
      </c>
      <c r="G1761" s="58">
        <v>236723</v>
      </c>
      <c r="H1761" s="1" t="s">
        <v>48</v>
      </c>
      <c r="I1761" s="1" t="s">
        <v>108</v>
      </c>
      <c r="J1761" s="58">
        <v>6391521</v>
      </c>
      <c r="K1761" s="1" t="s">
        <v>106</v>
      </c>
      <c r="L1761" s="1" t="s">
        <v>114</v>
      </c>
      <c r="M1761" s="1" t="s">
        <v>121</v>
      </c>
      <c r="N1761" s="1">
        <v>1</v>
      </c>
      <c r="O1761" s="58"/>
      <c r="P1761" s="58">
        <v>115994.27</v>
      </c>
      <c r="Q1761" t="s">
        <v>113</v>
      </c>
      <c r="R1761" s="1" t="s">
        <v>158</v>
      </c>
    </row>
    <row r="1762" spans="3:18" x14ac:dyDescent="0.35">
      <c r="C1762" t="s">
        <v>51</v>
      </c>
      <c r="D1762" t="s">
        <v>23</v>
      </c>
      <c r="E1762" t="s">
        <v>52</v>
      </c>
      <c r="F1762" t="s">
        <v>46</v>
      </c>
      <c r="G1762" s="58">
        <v>607235</v>
      </c>
      <c r="H1762" s="1" t="s">
        <v>48</v>
      </c>
      <c r="I1762" s="1" t="s">
        <v>108</v>
      </c>
      <c r="J1762" s="58">
        <v>21860460</v>
      </c>
      <c r="K1762" s="1" t="s">
        <v>106</v>
      </c>
      <c r="L1762" s="1" t="s">
        <v>114</v>
      </c>
      <c r="M1762" s="1" t="s">
        <v>125</v>
      </c>
      <c r="N1762" s="1">
        <v>1</v>
      </c>
      <c r="O1762" s="58"/>
      <c r="P1762" s="58">
        <v>352196.3</v>
      </c>
      <c r="Q1762" t="s">
        <v>113</v>
      </c>
      <c r="R1762" s="1" t="s">
        <v>48</v>
      </c>
    </row>
    <row r="1763" spans="3:18" x14ac:dyDescent="0.35">
      <c r="C1763" t="s">
        <v>53</v>
      </c>
      <c r="D1763" t="s">
        <v>22</v>
      </c>
      <c r="E1763" t="s">
        <v>49</v>
      </c>
      <c r="F1763" t="s">
        <v>46</v>
      </c>
      <c r="G1763" s="58">
        <v>3836736</v>
      </c>
      <c r="H1763" s="1" t="s">
        <v>48</v>
      </c>
      <c r="I1763" s="1" t="s">
        <v>119</v>
      </c>
      <c r="J1763" s="58">
        <v>26857152</v>
      </c>
      <c r="K1763" s="1" t="s">
        <v>106</v>
      </c>
      <c r="L1763" s="1" t="s">
        <v>124</v>
      </c>
      <c r="M1763" s="1" t="s">
        <v>115</v>
      </c>
      <c r="N1763" s="1">
        <v>1</v>
      </c>
      <c r="O1763" s="58"/>
      <c r="P1763" s="58">
        <v>652245.12</v>
      </c>
      <c r="Q1763" t="s">
        <v>107</v>
      </c>
      <c r="R1763" s="1" t="s">
        <v>158</v>
      </c>
    </row>
    <row r="1764" spans="3:18" x14ac:dyDescent="0.35">
      <c r="C1764" t="s">
        <v>51</v>
      </c>
      <c r="D1764" t="s">
        <v>22</v>
      </c>
      <c r="E1764" t="s">
        <v>45</v>
      </c>
      <c r="F1764" t="s">
        <v>46</v>
      </c>
      <c r="G1764" s="58">
        <v>726753</v>
      </c>
      <c r="H1764" s="1" t="s">
        <v>47</v>
      </c>
      <c r="I1764" s="1" t="s">
        <v>119</v>
      </c>
      <c r="J1764" s="58">
        <v>5814024</v>
      </c>
      <c r="K1764" s="1" t="s">
        <v>106</v>
      </c>
      <c r="L1764" s="1" t="s">
        <v>124</v>
      </c>
      <c r="N1764" s="1">
        <v>1</v>
      </c>
      <c r="O1764" s="58"/>
      <c r="P1764" s="58">
        <v>341573.91</v>
      </c>
      <c r="Q1764" t="s">
        <v>113</v>
      </c>
      <c r="R1764" s="1" t="s">
        <v>158</v>
      </c>
    </row>
    <row r="1765" spans="3:18" x14ac:dyDescent="0.35">
      <c r="C1765" t="s">
        <v>51</v>
      </c>
      <c r="D1765" t="s">
        <v>20</v>
      </c>
      <c r="E1765" t="s">
        <v>49</v>
      </c>
      <c r="F1765" t="s">
        <v>46</v>
      </c>
      <c r="G1765" s="58">
        <v>11434144</v>
      </c>
      <c r="H1765" s="1" t="s">
        <v>56</v>
      </c>
      <c r="I1765" s="1" t="s">
        <v>111</v>
      </c>
      <c r="J1765" s="58">
        <v>171512160</v>
      </c>
      <c r="K1765" s="1" t="s">
        <v>106</v>
      </c>
      <c r="L1765" s="1" t="s">
        <v>124</v>
      </c>
      <c r="N1765" s="1">
        <v>1</v>
      </c>
      <c r="O1765" s="58"/>
      <c r="P1765" s="58">
        <v>3087218.88</v>
      </c>
      <c r="Q1765" t="s">
        <v>107</v>
      </c>
      <c r="R1765" s="1" t="s">
        <v>158</v>
      </c>
    </row>
    <row r="1766" spans="3:18" x14ac:dyDescent="0.35">
      <c r="C1766" t="s">
        <v>51</v>
      </c>
      <c r="D1766" t="s">
        <v>21</v>
      </c>
      <c r="E1766" t="s">
        <v>45</v>
      </c>
      <c r="F1766" t="s">
        <v>46</v>
      </c>
      <c r="G1766" s="58">
        <v>1100627</v>
      </c>
      <c r="H1766" s="1" t="s">
        <v>54</v>
      </c>
      <c r="I1766" s="1" t="s">
        <v>108</v>
      </c>
      <c r="J1766" s="58">
        <v>26415048</v>
      </c>
      <c r="K1766" s="1" t="s">
        <v>106</v>
      </c>
      <c r="L1766" s="1" t="s">
        <v>124</v>
      </c>
      <c r="N1766" s="1">
        <v>1</v>
      </c>
      <c r="O1766" s="58"/>
      <c r="P1766" s="58">
        <v>539307.23</v>
      </c>
      <c r="Q1766" t="s">
        <v>113</v>
      </c>
      <c r="R1766" s="1" t="s">
        <v>158</v>
      </c>
    </row>
    <row r="1767" spans="3:18" x14ac:dyDescent="0.35">
      <c r="C1767" t="s">
        <v>53</v>
      </c>
      <c r="D1767" t="s">
        <v>22</v>
      </c>
      <c r="E1767" t="s">
        <v>49</v>
      </c>
      <c r="F1767" t="s">
        <v>46</v>
      </c>
      <c r="G1767" s="58">
        <v>506031</v>
      </c>
      <c r="H1767" s="1" t="s">
        <v>54</v>
      </c>
      <c r="I1767" s="1" t="s">
        <v>111</v>
      </c>
      <c r="J1767" s="58">
        <v>7084434</v>
      </c>
      <c r="K1767" s="1" t="s">
        <v>106</v>
      </c>
      <c r="L1767" s="1" t="s">
        <v>124</v>
      </c>
      <c r="N1767" s="1">
        <v>1</v>
      </c>
      <c r="O1767" s="58"/>
      <c r="P1767" s="58">
        <v>420005.73</v>
      </c>
      <c r="Q1767" t="s">
        <v>127</v>
      </c>
      <c r="R1767" s="1" t="s">
        <v>158</v>
      </c>
    </row>
    <row r="1768" spans="3:18" x14ac:dyDescent="0.35">
      <c r="C1768" t="s">
        <v>53</v>
      </c>
      <c r="D1768" t="s">
        <v>92</v>
      </c>
      <c r="E1768" t="s">
        <v>45</v>
      </c>
      <c r="F1768" t="s">
        <v>46</v>
      </c>
      <c r="G1768" s="58">
        <v>1548015</v>
      </c>
      <c r="H1768" s="1" t="s">
        <v>48</v>
      </c>
      <c r="I1768" s="1" t="s">
        <v>111</v>
      </c>
      <c r="J1768" s="58">
        <v>20124195</v>
      </c>
      <c r="K1768" s="1" t="s">
        <v>106</v>
      </c>
      <c r="L1768" s="1" t="s">
        <v>120</v>
      </c>
      <c r="M1768" s="1" t="s">
        <v>123</v>
      </c>
      <c r="N1768" s="1">
        <v>1</v>
      </c>
      <c r="O1768" s="58"/>
      <c r="P1768" s="58">
        <v>340563.3</v>
      </c>
      <c r="Q1768" t="s">
        <v>107</v>
      </c>
      <c r="R1768" s="1" t="s">
        <v>158</v>
      </c>
    </row>
    <row r="1769" spans="3:18" x14ac:dyDescent="0.35">
      <c r="C1769" t="s">
        <v>51</v>
      </c>
      <c r="D1769" t="s">
        <v>24</v>
      </c>
      <c r="E1769" t="s">
        <v>55</v>
      </c>
      <c r="F1769" t="s">
        <v>46</v>
      </c>
      <c r="G1769" s="58">
        <v>424090</v>
      </c>
      <c r="H1769" s="1" t="s">
        <v>54</v>
      </c>
      <c r="I1769" s="1" t="s">
        <v>111</v>
      </c>
      <c r="J1769" s="58">
        <v>6361350</v>
      </c>
      <c r="K1769" s="1" t="s">
        <v>106</v>
      </c>
      <c r="L1769" s="1" t="s">
        <v>120</v>
      </c>
      <c r="N1769" s="1">
        <v>1</v>
      </c>
      <c r="O1769" s="58"/>
      <c r="P1769" s="58">
        <v>114504.3</v>
      </c>
      <c r="Q1769" t="s">
        <v>107</v>
      </c>
      <c r="R1769" s="1" t="s">
        <v>158</v>
      </c>
    </row>
    <row r="1770" spans="3:18" x14ac:dyDescent="0.35">
      <c r="C1770" t="s">
        <v>53</v>
      </c>
      <c r="D1770" t="s">
        <v>92</v>
      </c>
      <c r="E1770" t="s">
        <v>49</v>
      </c>
      <c r="F1770" t="s">
        <v>46</v>
      </c>
      <c r="G1770" s="58">
        <v>63998</v>
      </c>
      <c r="H1770" s="1" t="s">
        <v>59</v>
      </c>
      <c r="I1770" s="1" t="s">
        <v>111</v>
      </c>
      <c r="J1770" s="58">
        <v>703978</v>
      </c>
      <c r="K1770" s="1" t="s">
        <v>106</v>
      </c>
      <c r="L1770" s="1" t="s">
        <v>124</v>
      </c>
      <c r="N1770" s="1">
        <v>1</v>
      </c>
      <c r="O1770" s="58"/>
      <c r="P1770" s="58">
        <v>14719.54</v>
      </c>
      <c r="Q1770" t="s">
        <v>107</v>
      </c>
      <c r="R1770" s="1" t="s">
        <v>158</v>
      </c>
    </row>
    <row r="1771" spans="3:18" x14ac:dyDescent="0.35">
      <c r="C1771" t="s">
        <v>51</v>
      </c>
      <c r="D1771" t="s">
        <v>23</v>
      </c>
      <c r="E1771" t="s">
        <v>55</v>
      </c>
      <c r="F1771" t="s">
        <v>46</v>
      </c>
      <c r="G1771" s="58">
        <v>90696</v>
      </c>
      <c r="H1771" s="1" t="s">
        <v>59</v>
      </c>
      <c r="I1771" s="1" t="s">
        <v>111</v>
      </c>
      <c r="J1771" s="58">
        <v>1541832</v>
      </c>
      <c r="K1771" s="1" t="s">
        <v>106</v>
      </c>
      <c r="L1771" s="1" t="s">
        <v>114</v>
      </c>
      <c r="N1771" s="1">
        <v>1</v>
      </c>
      <c r="O1771" s="58"/>
      <c r="P1771" s="58">
        <v>98858.64</v>
      </c>
      <c r="Q1771" t="s">
        <v>110</v>
      </c>
      <c r="R1771" s="1" t="s">
        <v>158</v>
      </c>
    </row>
    <row r="1772" spans="3:18" x14ac:dyDescent="0.35">
      <c r="C1772" t="s">
        <v>51</v>
      </c>
      <c r="D1772" t="s">
        <v>21</v>
      </c>
      <c r="E1772" t="s">
        <v>55</v>
      </c>
      <c r="F1772" t="s">
        <v>46</v>
      </c>
      <c r="G1772" s="58">
        <v>786131</v>
      </c>
      <c r="H1772" s="1" t="s">
        <v>48</v>
      </c>
      <c r="I1772" s="1" t="s">
        <v>119</v>
      </c>
      <c r="J1772" s="58">
        <v>6289048</v>
      </c>
      <c r="K1772" s="1" t="s">
        <v>106</v>
      </c>
      <c r="L1772" s="1" t="s">
        <v>114</v>
      </c>
      <c r="M1772" s="1" t="s">
        <v>126</v>
      </c>
      <c r="N1772" s="1">
        <v>1</v>
      </c>
      <c r="O1772" s="58"/>
      <c r="P1772" s="58">
        <v>172948.82</v>
      </c>
      <c r="Q1772" t="s">
        <v>107</v>
      </c>
      <c r="R1772" s="1" t="s">
        <v>48</v>
      </c>
    </row>
    <row r="1773" spans="3:18" x14ac:dyDescent="0.35">
      <c r="C1773" t="s">
        <v>51</v>
      </c>
      <c r="D1773" t="s">
        <v>92</v>
      </c>
      <c r="E1773" t="s">
        <v>55</v>
      </c>
      <c r="F1773" t="s">
        <v>46</v>
      </c>
      <c r="G1773" s="58">
        <v>459754</v>
      </c>
      <c r="H1773" s="1" t="s">
        <v>48</v>
      </c>
      <c r="I1773" s="1" t="s">
        <v>111</v>
      </c>
      <c r="J1773" s="58">
        <v>5976802</v>
      </c>
      <c r="K1773" s="1" t="s">
        <v>106</v>
      </c>
      <c r="L1773" s="1" t="s">
        <v>114</v>
      </c>
      <c r="M1773" s="1" t="s">
        <v>123</v>
      </c>
      <c r="N1773" s="1">
        <v>1</v>
      </c>
      <c r="O1773" s="58"/>
      <c r="P1773" s="58">
        <v>96548.34</v>
      </c>
      <c r="Q1773" t="s">
        <v>107</v>
      </c>
      <c r="R1773" s="1" t="s">
        <v>158</v>
      </c>
    </row>
    <row r="1774" spans="3:18" x14ac:dyDescent="0.35">
      <c r="C1774" t="s">
        <v>51</v>
      </c>
      <c r="D1774" t="s">
        <v>22</v>
      </c>
      <c r="E1774" t="s">
        <v>45</v>
      </c>
      <c r="F1774" t="s">
        <v>46</v>
      </c>
      <c r="G1774" s="58">
        <v>251535</v>
      </c>
      <c r="H1774" s="1" t="s">
        <v>48</v>
      </c>
      <c r="I1774" s="1" t="s">
        <v>108</v>
      </c>
      <c r="J1774" s="58">
        <v>6791445</v>
      </c>
      <c r="K1774" s="1" t="s">
        <v>106</v>
      </c>
      <c r="L1774" s="1" t="s">
        <v>114</v>
      </c>
      <c r="M1774" s="1" t="s">
        <v>121</v>
      </c>
      <c r="N1774" s="1">
        <v>1</v>
      </c>
      <c r="O1774" s="58"/>
      <c r="P1774" s="58">
        <v>196197.3</v>
      </c>
      <c r="Q1774" t="s">
        <v>118</v>
      </c>
      <c r="R1774" s="1" t="s">
        <v>158</v>
      </c>
    </row>
    <row r="1775" spans="3:18" x14ac:dyDescent="0.35">
      <c r="C1775" t="s">
        <v>53</v>
      </c>
      <c r="D1775" t="s">
        <v>21</v>
      </c>
      <c r="E1775" t="s">
        <v>49</v>
      </c>
      <c r="F1775" t="s">
        <v>46</v>
      </c>
      <c r="G1775" s="58">
        <v>11753324</v>
      </c>
      <c r="H1775" s="1" t="s">
        <v>47</v>
      </c>
      <c r="I1775" s="1" t="s">
        <v>105</v>
      </c>
      <c r="J1775" s="58">
        <v>47013296</v>
      </c>
      <c r="K1775" s="1" t="s">
        <v>106</v>
      </c>
      <c r="L1775" s="1" t="s">
        <v>114</v>
      </c>
      <c r="N1775" s="1">
        <v>1</v>
      </c>
      <c r="O1775" s="58"/>
      <c r="P1775" s="58">
        <v>3290930.72</v>
      </c>
      <c r="Q1775" t="s">
        <v>107</v>
      </c>
      <c r="R1775" s="1" t="s">
        <v>158</v>
      </c>
    </row>
    <row r="1776" spans="3:18" x14ac:dyDescent="0.35">
      <c r="C1776" t="s">
        <v>51</v>
      </c>
      <c r="D1776" t="s">
        <v>22</v>
      </c>
      <c r="E1776" t="s">
        <v>52</v>
      </c>
      <c r="F1776" t="s">
        <v>46</v>
      </c>
      <c r="G1776" s="58">
        <v>3963795</v>
      </c>
      <c r="H1776" s="1" t="s">
        <v>48</v>
      </c>
      <c r="I1776" s="1" t="s">
        <v>108</v>
      </c>
      <c r="J1776" s="58">
        <v>107022465</v>
      </c>
      <c r="K1776" s="1" t="s">
        <v>106</v>
      </c>
      <c r="L1776" s="1" t="s">
        <v>130</v>
      </c>
      <c r="M1776" s="1" t="s">
        <v>115</v>
      </c>
      <c r="N1776" s="1">
        <v>1</v>
      </c>
      <c r="O1776" s="58"/>
      <c r="P1776" s="58">
        <v>1981897.5</v>
      </c>
      <c r="Q1776" t="s">
        <v>113</v>
      </c>
      <c r="R1776" s="1" t="s">
        <v>48</v>
      </c>
    </row>
    <row r="1777" spans="3:18" x14ac:dyDescent="0.35">
      <c r="C1777" t="s">
        <v>53</v>
      </c>
      <c r="D1777" t="s">
        <v>60</v>
      </c>
      <c r="E1777" t="s">
        <v>60</v>
      </c>
      <c r="F1777" t="s">
        <v>46</v>
      </c>
      <c r="G1777" s="58">
        <v>128641</v>
      </c>
      <c r="H1777" s="1" t="s">
        <v>90</v>
      </c>
      <c r="I1777" s="1" t="s">
        <v>108</v>
      </c>
      <c r="J1777" s="58">
        <v>3216025</v>
      </c>
      <c r="K1777" s="1" t="s">
        <v>106</v>
      </c>
      <c r="N1777" s="1">
        <v>1</v>
      </c>
      <c r="O1777" s="58"/>
      <c r="P1777" s="58">
        <v>169806.12</v>
      </c>
      <c r="Q1777" t="s">
        <v>110</v>
      </c>
      <c r="R1777" s="1" t="s">
        <v>90</v>
      </c>
    </row>
    <row r="1778" spans="3:18" x14ac:dyDescent="0.35">
      <c r="C1778" t="s">
        <v>51</v>
      </c>
      <c r="D1778" t="s">
        <v>19</v>
      </c>
      <c r="E1778" t="s">
        <v>55</v>
      </c>
      <c r="F1778" t="s">
        <v>46</v>
      </c>
      <c r="G1778" s="58">
        <v>1045053</v>
      </c>
      <c r="H1778" s="1" t="s">
        <v>48</v>
      </c>
      <c r="I1778" s="1" t="s">
        <v>111</v>
      </c>
      <c r="J1778" s="58">
        <v>15675795</v>
      </c>
      <c r="K1778" s="1" t="s">
        <v>106</v>
      </c>
      <c r="L1778" s="1" t="s">
        <v>114</v>
      </c>
      <c r="M1778" s="1" t="s">
        <v>122</v>
      </c>
      <c r="N1778" s="1">
        <v>1</v>
      </c>
      <c r="O1778" s="58"/>
      <c r="P1778" s="58">
        <v>261263.25</v>
      </c>
      <c r="Q1778" t="s">
        <v>107</v>
      </c>
      <c r="R1778" s="1" t="s">
        <v>158</v>
      </c>
    </row>
    <row r="1779" spans="3:18" x14ac:dyDescent="0.35">
      <c r="C1779" t="s">
        <v>51</v>
      </c>
      <c r="D1779" t="s">
        <v>92</v>
      </c>
      <c r="E1779" t="s">
        <v>45</v>
      </c>
      <c r="F1779" t="s">
        <v>46</v>
      </c>
      <c r="G1779" s="58">
        <v>299725</v>
      </c>
      <c r="H1779" s="1" t="s">
        <v>48</v>
      </c>
      <c r="I1779" s="1" t="s">
        <v>108</v>
      </c>
      <c r="J1779" s="58">
        <v>9291475</v>
      </c>
      <c r="K1779" s="1" t="s">
        <v>112</v>
      </c>
      <c r="N1779" s="1">
        <v>1</v>
      </c>
      <c r="O1779" s="58"/>
      <c r="P1779" s="58">
        <v>158854.25</v>
      </c>
      <c r="Q1779" t="s">
        <v>113</v>
      </c>
      <c r="R1779" s="1" t="s">
        <v>158</v>
      </c>
    </row>
    <row r="1780" spans="3:18" x14ac:dyDescent="0.35">
      <c r="C1780" t="s">
        <v>51</v>
      </c>
      <c r="D1780" t="s">
        <v>24</v>
      </c>
      <c r="E1780" t="s">
        <v>55</v>
      </c>
      <c r="F1780" t="s">
        <v>46</v>
      </c>
      <c r="G1780" s="58">
        <v>377931</v>
      </c>
      <c r="H1780" s="1" t="s">
        <v>48</v>
      </c>
      <c r="I1780" s="1" t="s">
        <v>111</v>
      </c>
      <c r="J1780" s="58">
        <v>6424827</v>
      </c>
      <c r="K1780" s="1" t="s">
        <v>112</v>
      </c>
      <c r="N1780" s="1">
        <v>1</v>
      </c>
      <c r="O1780" s="58"/>
      <c r="P1780" s="58">
        <v>60468.959999999999</v>
      </c>
      <c r="Q1780" t="s">
        <v>107</v>
      </c>
      <c r="R1780" s="1" t="s">
        <v>158</v>
      </c>
    </row>
    <row r="1781" spans="3:18" x14ac:dyDescent="0.35">
      <c r="C1781" t="s">
        <v>53</v>
      </c>
      <c r="D1781" t="s">
        <v>21</v>
      </c>
      <c r="E1781" t="s">
        <v>45</v>
      </c>
      <c r="F1781" t="s">
        <v>46</v>
      </c>
      <c r="G1781" s="58">
        <v>676964</v>
      </c>
      <c r="H1781" s="1" t="s">
        <v>47</v>
      </c>
      <c r="I1781" s="1" t="s">
        <v>111</v>
      </c>
      <c r="J1781" s="58">
        <v>10154460</v>
      </c>
      <c r="K1781" s="1" t="s">
        <v>106</v>
      </c>
      <c r="L1781" s="1" t="s">
        <v>120</v>
      </c>
      <c r="N1781" s="1">
        <v>1</v>
      </c>
      <c r="O1781" s="58"/>
      <c r="P1781" s="58">
        <v>893592.48</v>
      </c>
      <c r="Q1781" t="s">
        <v>110</v>
      </c>
      <c r="R1781" s="1" t="s">
        <v>158</v>
      </c>
    </row>
    <row r="1782" spans="3:18" x14ac:dyDescent="0.35">
      <c r="C1782" t="s">
        <v>51</v>
      </c>
      <c r="D1782" t="s">
        <v>21</v>
      </c>
      <c r="E1782" t="s">
        <v>45</v>
      </c>
      <c r="F1782" t="s">
        <v>46</v>
      </c>
      <c r="G1782" s="58">
        <v>101841</v>
      </c>
      <c r="H1782" s="1" t="s">
        <v>48</v>
      </c>
      <c r="I1782" s="1" t="s">
        <v>111</v>
      </c>
      <c r="J1782" s="58">
        <v>1120251</v>
      </c>
      <c r="K1782" s="1" t="s">
        <v>106</v>
      </c>
      <c r="L1782" s="1" t="s">
        <v>120</v>
      </c>
      <c r="M1782" s="1" t="s">
        <v>115</v>
      </c>
      <c r="N1782" s="1">
        <v>1</v>
      </c>
      <c r="O1782" s="58"/>
      <c r="P1782" s="58">
        <v>35644.35</v>
      </c>
      <c r="Q1782" t="s">
        <v>107</v>
      </c>
      <c r="R1782" s="1" t="s">
        <v>158</v>
      </c>
    </row>
    <row r="1783" spans="3:18" x14ac:dyDescent="0.35">
      <c r="C1783" t="s">
        <v>51</v>
      </c>
      <c r="D1783" t="s">
        <v>23</v>
      </c>
      <c r="E1783" t="s">
        <v>45</v>
      </c>
      <c r="F1783" t="s">
        <v>46</v>
      </c>
      <c r="G1783" s="58">
        <v>2458859</v>
      </c>
      <c r="H1783" s="1" t="s">
        <v>47</v>
      </c>
      <c r="I1783" s="1" t="s">
        <v>108</v>
      </c>
      <c r="J1783" s="58">
        <v>73765770</v>
      </c>
      <c r="K1783" s="1" t="s">
        <v>106</v>
      </c>
      <c r="L1783" s="1" t="s">
        <v>124</v>
      </c>
      <c r="N1783" s="1">
        <v>1</v>
      </c>
      <c r="O1783" s="58"/>
      <c r="P1783" s="58">
        <v>663891.93000000005</v>
      </c>
      <c r="Q1783" t="s">
        <v>107</v>
      </c>
      <c r="R1783" s="1" t="s">
        <v>158</v>
      </c>
    </row>
    <row r="1784" spans="3:18" x14ac:dyDescent="0.35">
      <c r="C1784" t="s">
        <v>51</v>
      </c>
      <c r="D1784" t="s">
        <v>20</v>
      </c>
      <c r="E1784" t="s">
        <v>49</v>
      </c>
      <c r="F1784" t="s">
        <v>46</v>
      </c>
      <c r="G1784" s="58">
        <v>166708</v>
      </c>
      <c r="H1784" s="1" t="s">
        <v>59</v>
      </c>
      <c r="I1784" s="1" t="s">
        <v>111</v>
      </c>
      <c r="J1784" s="58">
        <v>3167452</v>
      </c>
      <c r="K1784" s="1" t="s">
        <v>106</v>
      </c>
      <c r="L1784" s="1" t="s">
        <v>124</v>
      </c>
      <c r="N1784" s="1">
        <v>1</v>
      </c>
      <c r="O1784" s="58"/>
      <c r="P1784" s="58">
        <v>203383.76</v>
      </c>
      <c r="Q1784" t="s">
        <v>110</v>
      </c>
      <c r="R1784" s="1" t="s">
        <v>158</v>
      </c>
    </row>
    <row r="1785" spans="3:18" x14ac:dyDescent="0.35">
      <c r="C1785" t="s">
        <v>51</v>
      </c>
      <c r="D1785" t="s">
        <v>21</v>
      </c>
      <c r="E1785" t="s">
        <v>49</v>
      </c>
      <c r="F1785" t="s">
        <v>46</v>
      </c>
      <c r="G1785" s="58">
        <v>8709083</v>
      </c>
      <c r="H1785" s="1" t="s">
        <v>48</v>
      </c>
      <c r="I1785" s="1" t="s">
        <v>108</v>
      </c>
      <c r="J1785" s="58">
        <v>261272490</v>
      </c>
      <c r="K1785" s="1" t="s">
        <v>112</v>
      </c>
      <c r="N1785" s="1">
        <v>1</v>
      </c>
      <c r="O1785" s="58"/>
      <c r="P1785" s="58">
        <v>2525634.0699999998</v>
      </c>
      <c r="Q1785" t="s">
        <v>107</v>
      </c>
      <c r="R1785" s="1" t="s">
        <v>48</v>
      </c>
    </row>
    <row r="1786" spans="3:18" x14ac:dyDescent="0.35">
      <c r="C1786" t="s">
        <v>51</v>
      </c>
      <c r="D1786" t="s">
        <v>22</v>
      </c>
      <c r="E1786" t="s">
        <v>55</v>
      </c>
      <c r="F1786" t="s">
        <v>46</v>
      </c>
      <c r="G1786" s="58">
        <v>207144</v>
      </c>
      <c r="H1786" s="1" t="s">
        <v>47</v>
      </c>
      <c r="I1786" s="1" t="s">
        <v>108</v>
      </c>
      <c r="J1786" s="58">
        <v>6007176</v>
      </c>
      <c r="K1786" s="1" t="s">
        <v>106</v>
      </c>
      <c r="L1786" s="1" t="s">
        <v>114</v>
      </c>
      <c r="N1786" s="1">
        <v>1</v>
      </c>
      <c r="O1786" s="58"/>
      <c r="P1786" s="58">
        <v>217501.2</v>
      </c>
      <c r="Q1786" t="s">
        <v>110</v>
      </c>
      <c r="R1786" s="1" t="s">
        <v>158</v>
      </c>
    </row>
    <row r="1787" spans="3:18" x14ac:dyDescent="0.35">
      <c r="C1787" t="s">
        <v>51</v>
      </c>
      <c r="D1787" t="s">
        <v>23</v>
      </c>
      <c r="E1787" t="s">
        <v>55</v>
      </c>
      <c r="F1787" t="s">
        <v>46</v>
      </c>
      <c r="G1787" s="58">
        <v>186170</v>
      </c>
      <c r="H1787" s="1" t="s">
        <v>47</v>
      </c>
      <c r="I1787" s="1" t="s">
        <v>108</v>
      </c>
      <c r="J1787" s="58">
        <v>4654250</v>
      </c>
      <c r="K1787" s="1" t="s">
        <v>106</v>
      </c>
      <c r="L1787" s="1" t="s">
        <v>116</v>
      </c>
      <c r="N1787" s="1">
        <v>1</v>
      </c>
      <c r="O1787" s="58"/>
      <c r="P1787" s="58">
        <v>50265.9</v>
      </c>
      <c r="Q1787" t="s">
        <v>107</v>
      </c>
      <c r="R1787" s="1" t="s">
        <v>158</v>
      </c>
    </row>
    <row r="1788" spans="3:18" x14ac:dyDescent="0.35">
      <c r="C1788" t="s">
        <v>51</v>
      </c>
      <c r="D1788" t="s">
        <v>22</v>
      </c>
      <c r="E1788" t="s">
        <v>49</v>
      </c>
      <c r="F1788" t="s">
        <v>46</v>
      </c>
      <c r="G1788" s="58">
        <v>1468958</v>
      </c>
      <c r="H1788" s="1" t="s">
        <v>47</v>
      </c>
      <c r="I1788" s="1" t="s">
        <v>119</v>
      </c>
      <c r="J1788" s="58">
        <v>8813748</v>
      </c>
      <c r="K1788" s="1" t="s">
        <v>106</v>
      </c>
      <c r="L1788" s="1" t="s">
        <v>116</v>
      </c>
      <c r="N1788" s="1">
        <v>1</v>
      </c>
      <c r="O1788" s="58"/>
      <c r="P1788" s="58">
        <v>1087028.92</v>
      </c>
      <c r="Q1788" t="s">
        <v>118</v>
      </c>
      <c r="R1788" s="1" t="s">
        <v>158</v>
      </c>
    </row>
    <row r="1789" spans="3:18" x14ac:dyDescent="0.35">
      <c r="C1789" t="s">
        <v>51</v>
      </c>
      <c r="D1789" t="s">
        <v>22</v>
      </c>
      <c r="E1789" t="s">
        <v>49</v>
      </c>
      <c r="F1789" t="s">
        <v>46</v>
      </c>
      <c r="G1789" s="58">
        <v>77587</v>
      </c>
      <c r="H1789" s="1" t="s">
        <v>48</v>
      </c>
      <c r="I1789" s="1" t="s">
        <v>119</v>
      </c>
      <c r="J1789" s="58">
        <v>543109</v>
      </c>
      <c r="K1789" s="1" t="s">
        <v>112</v>
      </c>
      <c r="N1789" s="1">
        <v>1</v>
      </c>
      <c r="O1789" s="58"/>
      <c r="P1789" s="58">
        <v>21724.36</v>
      </c>
      <c r="Q1789" t="s">
        <v>107</v>
      </c>
      <c r="R1789" s="1" t="s">
        <v>158</v>
      </c>
    </row>
    <row r="1790" spans="3:18" x14ac:dyDescent="0.35">
      <c r="C1790" t="s">
        <v>51</v>
      </c>
      <c r="D1790" t="s">
        <v>22</v>
      </c>
      <c r="E1790" t="s">
        <v>45</v>
      </c>
      <c r="F1790" t="s">
        <v>46</v>
      </c>
      <c r="G1790" s="58">
        <v>1170472</v>
      </c>
      <c r="H1790" s="1" t="s">
        <v>54</v>
      </c>
      <c r="I1790" s="1" t="s">
        <v>119</v>
      </c>
      <c r="J1790" s="58">
        <v>9363776</v>
      </c>
      <c r="K1790" s="1" t="s">
        <v>106</v>
      </c>
      <c r="L1790" s="1" t="s">
        <v>120</v>
      </c>
      <c r="N1790" s="1">
        <v>1</v>
      </c>
      <c r="O1790" s="58"/>
      <c r="P1790" s="58">
        <v>807625.68</v>
      </c>
      <c r="Q1790" t="s">
        <v>118</v>
      </c>
      <c r="R1790" s="1" t="s">
        <v>158</v>
      </c>
    </row>
    <row r="1791" spans="3:18" x14ac:dyDescent="0.35">
      <c r="C1791" t="s">
        <v>51</v>
      </c>
      <c r="D1791" t="s">
        <v>19</v>
      </c>
      <c r="E1791" t="s">
        <v>49</v>
      </c>
      <c r="F1791" t="s">
        <v>46</v>
      </c>
      <c r="G1791" s="58">
        <v>863502</v>
      </c>
      <c r="H1791" s="1" t="s">
        <v>48</v>
      </c>
      <c r="I1791" s="1" t="s">
        <v>108</v>
      </c>
      <c r="J1791" s="58">
        <v>27632064</v>
      </c>
      <c r="K1791" s="1" t="s">
        <v>106</v>
      </c>
      <c r="L1791" s="1" t="s">
        <v>114</v>
      </c>
      <c r="M1791" s="1" t="s">
        <v>121</v>
      </c>
      <c r="N1791" s="1">
        <v>1</v>
      </c>
      <c r="O1791" s="58"/>
      <c r="P1791" s="58">
        <v>967122.24</v>
      </c>
      <c r="Q1791" t="s">
        <v>110</v>
      </c>
      <c r="R1791" s="1" t="s">
        <v>158</v>
      </c>
    </row>
    <row r="1792" spans="3:18" x14ac:dyDescent="0.35">
      <c r="C1792" t="s">
        <v>51</v>
      </c>
      <c r="D1792" t="s">
        <v>19</v>
      </c>
      <c r="E1792" t="s">
        <v>49</v>
      </c>
      <c r="F1792" t="s">
        <v>46</v>
      </c>
      <c r="G1792" s="58">
        <v>21622392</v>
      </c>
      <c r="H1792" s="1" t="s">
        <v>59</v>
      </c>
      <c r="I1792" s="1" t="s">
        <v>108</v>
      </c>
      <c r="J1792" s="58">
        <v>605426976</v>
      </c>
      <c r="K1792" s="1" t="s">
        <v>106</v>
      </c>
      <c r="L1792" s="1" t="s">
        <v>124</v>
      </c>
      <c r="N1792" s="1">
        <v>1</v>
      </c>
      <c r="O1792" s="58"/>
      <c r="P1792" s="58">
        <v>6054269.7599999998</v>
      </c>
      <c r="Q1792" t="s">
        <v>107</v>
      </c>
      <c r="R1792" s="1" t="s">
        <v>158</v>
      </c>
    </row>
    <row r="1793" spans="3:18" x14ac:dyDescent="0.35">
      <c r="C1793" t="s">
        <v>51</v>
      </c>
      <c r="D1793" t="s">
        <v>21</v>
      </c>
      <c r="E1793" t="s">
        <v>49</v>
      </c>
      <c r="F1793" t="s">
        <v>64</v>
      </c>
      <c r="G1793" s="58">
        <v>43347</v>
      </c>
      <c r="H1793" s="1" t="s">
        <v>54</v>
      </c>
      <c r="I1793" s="1" t="s">
        <v>105</v>
      </c>
      <c r="J1793" s="58">
        <v>86694</v>
      </c>
      <c r="K1793" s="1" t="s">
        <v>106</v>
      </c>
      <c r="L1793" s="1" t="s">
        <v>124</v>
      </c>
      <c r="N1793" s="1">
        <v>1</v>
      </c>
      <c r="O1793" s="58"/>
      <c r="P1793" s="58">
        <v>3034.29</v>
      </c>
      <c r="Q1793" t="s">
        <v>107</v>
      </c>
      <c r="R1793" s="1" t="s">
        <v>158</v>
      </c>
    </row>
    <row r="1794" spans="3:18" x14ac:dyDescent="0.35">
      <c r="C1794" t="s">
        <v>51</v>
      </c>
      <c r="D1794" t="s">
        <v>19</v>
      </c>
      <c r="E1794" t="s">
        <v>49</v>
      </c>
      <c r="F1794" t="s">
        <v>46</v>
      </c>
      <c r="G1794" s="58">
        <v>113008223</v>
      </c>
      <c r="H1794" s="1" t="s">
        <v>48</v>
      </c>
      <c r="I1794" s="1" t="s">
        <v>108</v>
      </c>
      <c r="J1794" s="58">
        <v>3616263136</v>
      </c>
      <c r="K1794" s="1" t="s">
        <v>106</v>
      </c>
      <c r="L1794" s="1" t="s">
        <v>124</v>
      </c>
      <c r="M1794" s="1" t="s">
        <v>122</v>
      </c>
      <c r="N1794" s="1">
        <v>1</v>
      </c>
      <c r="O1794" s="58"/>
      <c r="P1794" s="58">
        <v>79105756.099999994</v>
      </c>
      <c r="Q1794" t="s">
        <v>118</v>
      </c>
      <c r="R1794" s="1" t="s">
        <v>48</v>
      </c>
    </row>
    <row r="1795" spans="3:18" x14ac:dyDescent="0.35">
      <c r="C1795" t="s">
        <v>51</v>
      </c>
      <c r="D1795" t="s">
        <v>20</v>
      </c>
      <c r="E1795" t="s">
        <v>49</v>
      </c>
      <c r="F1795" t="s">
        <v>46</v>
      </c>
      <c r="G1795" s="58">
        <v>11548413</v>
      </c>
      <c r="H1795" s="1" t="s">
        <v>48</v>
      </c>
      <c r="I1795" s="1" t="s">
        <v>108</v>
      </c>
      <c r="J1795" s="58">
        <v>323355564</v>
      </c>
      <c r="K1795" s="1" t="s">
        <v>106</v>
      </c>
      <c r="L1795" s="1" t="s">
        <v>124</v>
      </c>
      <c r="M1795" s="1" t="s">
        <v>123</v>
      </c>
      <c r="N1795" s="1">
        <v>1</v>
      </c>
      <c r="O1795" s="58"/>
      <c r="P1795" s="58">
        <v>3002587.38</v>
      </c>
      <c r="Q1795" t="s">
        <v>107</v>
      </c>
      <c r="R1795" s="1" t="s">
        <v>48</v>
      </c>
    </row>
    <row r="1796" spans="3:18" x14ac:dyDescent="0.35">
      <c r="C1796" t="s">
        <v>51</v>
      </c>
      <c r="D1796" t="s">
        <v>92</v>
      </c>
      <c r="E1796" t="s">
        <v>50</v>
      </c>
      <c r="F1796" t="s">
        <v>46</v>
      </c>
      <c r="G1796" s="58">
        <v>94487</v>
      </c>
      <c r="H1796" s="1" t="s">
        <v>48</v>
      </c>
      <c r="I1796" s="1" t="s">
        <v>108</v>
      </c>
      <c r="J1796" s="58">
        <v>2740123</v>
      </c>
      <c r="K1796" s="1" t="s">
        <v>106</v>
      </c>
      <c r="L1796" s="1" t="s">
        <v>109</v>
      </c>
      <c r="M1796" s="1" t="s">
        <v>123</v>
      </c>
      <c r="N1796" s="1">
        <v>1</v>
      </c>
      <c r="O1796" s="58"/>
      <c r="P1796" s="58">
        <v>78424.210000000006</v>
      </c>
      <c r="Q1796" t="s">
        <v>127</v>
      </c>
      <c r="R1796" s="1" t="s">
        <v>158</v>
      </c>
    </row>
    <row r="1797" spans="3:18" x14ac:dyDescent="0.35">
      <c r="C1797" t="s">
        <v>51</v>
      </c>
      <c r="D1797" t="s">
        <v>24</v>
      </c>
      <c r="E1797" t="s">
        <v>62</v>
      </c>
      <c r="F1797" t="s">
        <v>46</v>
      </c>
      <c r="G1797" s="58">
        <v>448640</v>
      </c>
      <c r="H1797" s="1" t="s">
        <v>48</v>
      </c>
      <c r="I1797" s="1" t="s">
        <v>111</v>
      </c>
      <c r="J1797" s="58">
        <v>6280960</v>
      </c>
      <c r="K1797" s="1" t="s">
        <v>112</v>
      </c>
      <c r="N1797" s="1">
        <v>1</v>
      </c>
      <c r="O1797" s="58"/>
      <c r="P1797" s="58">
        <v>376857.59999999998</v>
      </c>
      <c r="Q1797" t="s">
        <v>127</v>
      </c>
      <c r="R1797" s="1" t="s">
        <v>48</v>
      </c>
    </row>
    <row r="1798" spans="3:18" x14ac:dyDescent="0.35">
      <c r="C1798" t="s">
        <v>51</v>
      </c>
      <c r="D1798" t="s">
        <v>92</v>
      </c>
      <c r="E1798" t="s">
        <v>49</v>
      </c>
      <c r="F1798" t="s">
        <v>46</v>
      </c>
      <c r="G1798" s="58">
        <v>29454536</v>
      </c>
      <c r="H1798" s="1" t="s">
        <v>59</v>
      </c>
      <c r="I1798" s="1" t="s">
        <v>108</v>
      </c>
      <c r="J1798" s="58">
        <v>795272472</v>
      </c>
      <c r="K1798" s="1" t="s">
        <v>106</v>
      </c>
      <c r="L1798" s="1" t="s">
        <v>124</v>
      </c>
      <c r="N1798" s="1">
        <v>1</v>
      </c>
      <c r="O1798" s="58"/>
      <c r="P1798" s="58">
        <v>8541815.4399999995</v>
      </c>
      <c r="Q1798" t="s">
        <v>107</v>
      </c>
      <c r="R1798" s="1" t="s">
        <v>158</v>
      </c>
    </row>
    <row r="1799" spans="3:18" x14ac:dyDescent="0.35">
      <c r="C1799" t="s">
        <v>53</v>
      </c>
      <c r="D1799" t="s">
        <v>91</v>
      </c>
      <c r="E1799" t="s">
        <v>49</v>
      </c>
      <c r="F1799" t="s">
        <v>46</v>
      </c>
      <c r="G1799" s="58">
        <v>3577</v>
      </c>
      <c r="H1799" s="1" t="s">
        <v>47</v>
      </c>
      <c r="I1799" s="1" t="s">
        <v>119</v>
      </c>
      <c r="J1799" s="58">
        <v>28616</v>
      </c>
      <c r="K1799" s="1" t="s">
        <v>106</v>
      </c>
      <c r="L1799" s="1" t="s">
        <v>124</v>
      </c>
      <c r="N1799" s="1">
        <v>1</v>
      </c>
      <c r="O1799" s="58"/>
      <c r="P1799" s="58">
        <v>286.16000000000003</v>
      </c>
      <c r="Q1799" t="s">
        <v>107</v>
      </c>
      <c r="R1799" s="1" t="s">
        <v>158</v>
      </c>
    </row>
    <row r="1800" spans="3:18" x14ac:dyDescent="0.35">
      <c r="C1800" t="s">
        <v>51</v>
      </c>
      <c r="D1800" t="s">
        <v>24</v>
      </c>
      <c r="E1800" t="s">
        <v>52</v>
      </c>
      <c r="F1800" t="s">
        <v>64</v>
      </c>
      <c r="G1800" s="58">
        <v>440162</v>
      </c>
      <c r="H1800" s="1" t="s">
        <v>48</v>
      </c>
      <c r="I1800" s="1" t="s">
        <v>108</v>
      </c>
      <c r="J1800" s="58">
        <v>10563888</v>
      </c>
      <c r="K1800" s="1" t="s">
        <v>112</v>
      </c>
      <c r="N1800" s="1">
        <v>1</v>
      </c>
      <c r="O1800" s="58"/>
      <c r="P1800" s="58">
        <v>259695.58</v>
      </c>
      <c r="Q1800" t="s">
        <v>113</v>
      </c>
      <c r="R1800" s="1" t="s">
        <v>48</v>
      </c>
    </row>
    <row r="1801" spans="3:18" x14ac:dyDescent="0.35">
      <c r="C1801" t="s">
        <v>53</v>
      </c>
      <c r="D1801" t="s">
        <v>24</v>
      </c>
      <c r="E1801" t="s">
        <v>55</v>
      </c>
      <c r="F1801" t="s">
        <v>46</v>
      </c>
      <c r="G1801" s="58">
        <v>1319200</v>
      </c>
      <c r="H1801" s="1" t="s">
        <v>47</v>
      </c>
      <c r="I1801" s="1" t="s">
        <v>105</v>
      </c>
      <c r="J1801" s="58">
        <v>5276800</v>
      </c>
      <c r="K1801" s="1" t="s">
        <v>106</v>
      </c>
      <c r="L1801" s="1" t="s">
        <v>114</v>
      </c>
      <c r="N1801" s="1">
        <v>1</v>
      </c>
      <c r="O1801" s="58"/>
      <c r="P1801" s="58">
        <v>1912840</v>
      </c>
      <c r="Q1801" t="s">
        <v>110</v>
      </c>
      <c r="R1801" s="1" t="s">
        <v>158</v>
      </c>
    </row>
    <row r="1802" spans="3:18" x14ac:dyDescent="0.35">
      <c r="C1802" t="s">
        <v>51</v>
      </c>
      <c r="D1802" t="s">
        <v>22</v>
      </c>
      <c r="E1802" t="s">
        <v>49</v>
      </c>
      <c r="F1802" t="s">
        <v>46</v>
      </c>
      <c r="G1802" s="58">
        <v>233758</v>
      </c>
      <c r="H1802" s="1" t="s">
        <v>48</v>
      </c>
      <c r="I1802" s="1" t="s">
        <v>111</v>
      </c>
      <c r="J1802" s="58">
        <v>4675160</v>
      </c>
      <c r="K1802" s="1" t="s">
        <v>112</v>
      </c>
      <c r="N1802" s="1">
        <v>1</v>
      </c>
      <c r="O1802" s="58"/>
      <c r="P1802" s="58">
        <v>133242.06</v>
      </c>
      <c r="Q1802" t="s">
        <v>113</v>
      </c>
      <c r="R1802" s="1" t="s">
        <v>158</v>
      </c>
    </row>
    <row r="1803" spans="3:18" x14ac:dyDescent="0.35">
      <c r="C1803" t="s">
        <v>51</v>
      </c>
      <c r="D1803" t="s">
        <v>22</v>
      </c>
      <c r="E1803" t="s">
        <v>55</v>
      </c>
      <c r="F1803" t="s">
        <v>46</v>
      </c>
      <c r="G1803" s="58">
        <v>3978399</v>
      </c>
      <c r="H1803" s="1" t="s">
        <v>48</v>
      </c>
      <c r="I1803" s="1" t="s">
        <v>108</v>
      </c>
      <c r="J1803" s="58">
        <v>107416773</v>
      </c>
      <c r="K1803" s="1" t="s">
        <v>106</v>
      </c>
      <c r="L1803" s="1" t="s">
        <v>114</v>
      </c>
      <c r="M1803" s="1" t="s">
        <v>115</v>
      </c>
      <c r="N1803" s="1">
        <v>1</v>
      </c>
      <c r="O1803" s="58"/>
      <c r="P1803" s="58">
        <v>1193519.7</v>
      </c>
      <c r="Q1803" t="s">
        <v>107</v>
      </c>
      <c r="R1803" s="1" t="s">
        <v>158</v>
      </c>
    </row>
    <row r="1804" spans="3:18" x14ac:dyDescent="0.35">
      <c r="C1804" t="s">
        <v>51</v>
      </c>
      <c r="D1804" t="s">
        <v>23</v>
      </c>
      <c r="E1804" t="s">
        <v>45</v>
      </c>
      <c r="F1804" t="s">
        <v>46</v>
      </c>
      <c r="G1804" s="58">
        <v>121090</v>
      </c>
      <c r="H1804" s="1" t="s">
        <v>56</v>
      </c>
      <c r="I1804" s="1" t="s">
        <v>108</v>
      </c>
      <c r="J1804" s="58">
        <v>4359240</v>
      </c>
      <c r="K1804" s="1" t="s">
        <v>106</v>
      </c>
      <c r="L1804" s="1" t="s">
        <v>124</v>
      </c>
      <c r="N1804" s="1">
        <v>1</v>
      </c>
      <c r="O1804" s="58"/>
      <c r="P1804" s="58">
        <v>44803.3</v>
      </c>
      <c r="Q1804" t="s">
        <v>107</v>
      </c>
      <c r="R1804" s="1" t="s">
        <v>158</v>
      </c>
    </row>
    <row r="1805" spans="3:18" x14ac:dyDescent="0.35">
      <c r="C1805" t="s">
        <v>53</v>
      </c>
      <c r="D1805" t="s">
        <v>21</v>
      </c>
      <c r="E1805" t="s">
        <v>45</v>
      </c>
      <c r="F1805" t="s">
        <v>46</v>
      </c>
      <c r="G1805" s="58">
        <v>1138704</v>
      </c>
      <c r="H1805" s="1" t="s">
        <v>54</v>
      </c>
      <c r="I1805" s="1" t="s">
        <v>105</v>
      </c>
      <c r="J1805" s="58">
        <v>3416112</v>
      </c>
      <c r="K1805" s="1" t="s">
        <v>106</v>
      </c>
      <c r="L1805" s="1" t="s">
        <v>120</v>
      </c>
      <c r="N1805" s="1">
        <v>1</v>
      </c>
      <c r="O1805" s="58"/>
      <c r="P1805" s="58">
        <v>535190.88</v>
      </c>
      <c r="Q1805" t="s">
        <v>113</v>
      </c>
      <c r="R1805" s="1" t="s">
        <v>158</v>
      </c>
    </row>
    <row r="1806" spans="3:18" x14ac:dyDescent="0.35">
      <c r="C1806" t="s">
        <v>51</v>
      </c>
      <c r="D1806" t="s">
        <v>22</v>
      </c>
      <c r="E1806" t="s">
        <v>49</v>
      </c>
      <c r="F1806" t="s">
        <v>46</v>
      </c>
      <c r="G1806" s="58">
        <v>9182172</v>
      </c>
      <c r="H1806" s="1" t="s">
        <v>54</v>
      </c>
      <c r="I1806" s="1" t="s">
        <v>108</v>
      </c>
      <c r="J1806" s="58">
        <v>275465160</v>
      </c>
      <c r="K1806" s="1" t="s">
        <v>106</v>
      </c>
      <c r="L1806" s="1" t="s">
        <v>124</v>
      </c>
      <c r="N1806" s="1">
        <v>1</v>
      </c>
      <c r="O1806" s="58"/>
      <c r="P1806" s="58">
        <v>11385893.279999999</v>
      </c>
      <c r="Q1806" t="s">
        <v>110</v>
      </c>
      <c r="R1806" s="1" t="s">
        <v>158</v>
      </c>
    </row>
    <row r="1807" spans="3:18" x14ac:dyDescent="0.35">
      <c r="C1807" t="s">
        <v>51</v>
      </c>
      <c r="D1807" t="s">
        <v>20</v>
      </c>
      <c r="E1807" t="s">
        <v>49</v>
      </c>
      <c r="F1807" t="s">
        <v>46</v>
      </c>
      <c r="G1807" s="58">
        <v>195134</v>
      </c>
      <c r="H1807" s="1" t="s">
        <v>48</v>
      </c>
      <c r="I1807" s="1" t="s">
        <v>108</v>
      </c>
      <c r="J1807" s="58">
        <v>7219958</v>
      </c>
      <c r="K1807" s="1" t="s">
        <v>106</v>
      </c>
      <c r="L1807" s="1" t="s">
        <v>114</v>
      </c>
      <c r="M1807" s="1" t="s">
        <v>125</v>
      </c>
      <c r="N1807" s="1">
        <v>1</v>
      </c>
      <c r="O1807" s="58"/>
      <c r="P1807" s="58">
        <v>78053.600000000006</v>
      </c>
      <c r="Q1807" t="s">
        <v>107</v>
      </c>
      <c r="R1807" s="1" t="s">
        <v>158</v>
      </c>
    </row>
    <row r="1808" spans="3:18" x14ac:dyDescent="0.35">
      <c r="C1808" t="s">
        <v>51</v>
      </c>
      <c r="D1808" t="s">
        <v>24</v>
      </c>
      <c r="E1808" t="s">
        <v>45</v>
      </c>
      <c r="F1808" t="s">
        <v>46</v>
      </c>
      <c r="G1808" s="58">
        <v>58063</v>
      </c>
      <c r="H1808" s="1" t="s">
        <v>56</v>
      </c>
      <c r="I1808" s="1" t="s">
        <v>108</v>
      </c>
      <c r="J1808" s="58">
        <v>1858016</v>
      </c>
      <c r="K1808" s="1" t="s">
        <v>112</v>
      </c>
      <c r="N1808" s="1">
        <v>1</v>
      </c>
      <c r="O1808" s="58"/>
      <c r="P1808" s="58">
        <v>46450.400000000001</v>
      </c>
      <c r="Q1808" t="s">
        <v>118</v>
      </c>
      <c r="R1808" s="1" t="s">
        <v>158</v>
      </c>
    </row>
    <row r="1809" spans="3:18" x14ac:dyDescent="0.35">
      <c r="C1809" t="s">
        <v>53</v>
      </c>
      <c r="D1809" t="s">
        <v>21</v>
      </c>
      <c r="E1809" t="s">
        <v>45</v>
      </c>
      <c r="F1809" t="s">
        <v>46</v>
      </c>
      <c r="G1809" s="58">
        <v>6611090</v>
      </c>
      <c r="H1809" s="1" t="s">
        <v>48</v>
      </c>
      <c r="I1809" s="1" t="s">
        <v>111</v>
      </c>
      <c r="J1809" s="58">
        <v>72721990</v>
      </c>
      <c r="K1809" s="1" t="s">
        <v>112</v>
      </c>
      <c r="N1809" s="1">
        <v>1</v>
      </c>
      <c r="O1809" s="58"/>
      <c r="P1809" s="58">
        <v>3305545</v>
      </c>
      <c r="Q1809" t="s">
        <v>113</v>
      </c>
      <c r="R1809" s="1" t="s">
        <v>158</v>
      </c>
    </row>
    <row r="1810" spans="3:18" x14ac:dyDescent="0.35">
      <c r="C1810" t="s">
        <v>51</v>
      </c>
      <c r="D1810" t="s">
        <v>22</v>
      </c>
      <c r="E1810" t="s">
        <v>50</v>
      </c>
      <c r="F1810" t="s">
        <v>46</v>
      </c>
      <c r="G1810" s="58">
        <v>457118</v>
      </c>
      <c r="H1810" s="1" t="s">
        <v>48</v>
      </c>
      <c r="I1810" s="1" t="s">
        <v>108</v>
      </c>
      <c r="J1810" s="58">
        <v>13713540</v>
      </c>
      <c r="K1810" s="1" t="s">
        <v>106</v>
      </c>
      <c r="L1810" s="1" t="s">
        <v>124</v>
      </c>
      <c r="M1810" s="1" t="s">
        <v>115</v>
      </c>
      <c r="N1810" s="1">
        <v>1</v>
      </c>
      <c r="O1810" s="58"/>
      <c r="P1810" s="58">
        <v>246843.72</v>
      </c>
      <c r="Q1810" t="s">
        <v>113</v>
      </c>
      <c r="R1810" s="1" t="s">
        <v>48</v>
      </c>
    </row>
    <row r="1811" spans="3:18" x14ac:dyDescent="0.35">
      <c r="C1811" t="s">
        <v>53</v>
      </c>
      <c r="D1811" t="s">
        <v>92</v>
      </c>
      <c r="E1811" t="s">
        <v>45</v>
      </c>
      <c r="F1811" t="s">
        <v>46</v>
      </c>
      <c r="G1811" s="58">
        <v>10323633</v>
      </c>
      <c r="H1811" s="1" t="s">
        <v>47</v>
      </c>
      <c r="I1811" s="1" t="s">
        <v>105</v>
      </c>
      <c r="J1811" s="58">
        <v>30970899</v>
      </c>
      <c r="K1811" s="1" t="s">
        <v>106</v>
      </c>
      <c r="L1811" s="1" t="s">
        <v>120</v>
      </c>
      <c r="N1811" s="1">
        <v>1</v>
      </c>
      <c r="O1811" s="58"/>
      <c r="P1811" s="58">
        <v>1961490.27</v>
      </c>
      <c r="Q1811" t="s">
        <v>107</v>
      </c>
      <c r="R1811" s="1" t="s">
        <v>158</v>
      </c>
    </row>
    <row r="1812" spans="3:18" x14ac:dyDescent="0.35">
      <c r="C1812" t="s">
        <v>51</v>
      </c>
      <c r="D1812" t="s">
        <v>22</v>
      </c>
      <c r="E1812" t="s">
        <v>45</v>
      </c>
      <c r="F1812" t="s">
        <v>46</v>
      </c>
      <c r="G1812" s="58">
        <v>63092</v>
      </c>
      <c r="H1812" s="1" t="s">
        <v>48</v>
      </c>
      <c r="I1812" s="1" t="s">
        <v>119</v>
      </c>
      <c r="J1812" s="58">
        <v>567828</v>
      </c>
      <c r="K1812" s="1" t="s">
        <v>112</v>
      </c>
      <c r="N1812" s="1">
        <v>1</v>
      </c>
      <c r="O1812" s="58"/>
      <c r="P1812" s="58">
        <v>30284.16</v>
      </c>
      <c r="Q1812" t="s">
        <v>113</v>
      </c>
      <c r="R1812" s="1" t="s">
        <v>158</v>
      </c>
    </row>
    <row r="1813" spans="3:18" x14ac:dyDescent="0.35">
      <c r="C1813" t="s">
        <v>51</v>
      </c>
      <c r="D1813" t="s">
        <v>92</v>
      </c>
      <c r="E1813" t="s">
        <v>49</v>
      </c>
      <c r="F1813" t="s">
        <v>46</v>
      </c>
      <c r="G1813" s="58">
        <v>177228</v>
      </c>
      <c r="H1813" s="1" t="s">
        <v>48</v>
      </c>
      <c r="I1813" s="1" t="s">
        <v>108</v>
      </c>
      <c r="J1813" s="58">
        <v>6202980</v>
      </c>
      <c r="K1813" s="1" t="s">
        <v>106</v>
      </c>
      <c r="L1813" s="1" t="s">
        <v>120</v>
      </c>
      <c r="M1813" s="1" t="s">
        <v>126</v>
      </c>
      <c r="N1813" s="1">
        <v>1</v>
      </c>
      <c r="O1813" s="58"/>
      <c r="P1813" s="58">
        <v>143554.68</v>
      </c>
      <c r="Q1813" t="s">
        <v>127</v>
      </c>
      <c r="R1813" s="1" t="s">
        <v>48</v>
      </c>
    </row>
    <row r="1814" spans="3:18" x14ac:dyDescent="0.35">
      <c r="C1814" t="s">
        <v>53</v>
      </c>
      <c r="D1814" t="s">
        <v>24</v>
      </c>
      <c r="E1814" t="s">
        <v>55</v>
      </c>
      <c r="F1814" t="s">
        <v>46</v>
      </c>
      <c r="G1814" s="58">
        <v>577270</v>
      </c>
      <c r="H1814" s="1" t="s">
        <v>59</v>
      </c>
      <c r="I1814" s="1" t="s">
        <v>111</v>
      </c>
      <c r="J1814" s="58">
        <v>6927240</v>
      </c>
      <c r="K1814" s="1" t="s">
        <v>106</v>
      </c>
      <c r="L1814" s="1" t="s">
        <v>114</v>
      </c>
      <c r="N1814" s="1">
        <v>1</v>
      </c>
      <c r="O1814" s="58"/>
      <c r="P1814" s="58">
        <v>375225.5</v>
      </c>
      <c r="Q1814" t="s">
        <v>118</v>
      </c>
      <c r="R1814" s="1" t="s">
        <v>158</v>
      </c>
    </row>
    <row r="1815" spans="3:18" x14ac:dyDescent="0.35">
      <c r="C1815" t="s">
        <v>51</v>
      </c>
      <c r="D1815" t="s">
        <v>21</v>
      </c>
      <c r="E1815" t="s">
        <v>49</v>
      </c>
      <c r="F1815" t="s">
        <v>46</v>
      </c>
      <c r="G1815" s="58">
        <v>9572636</v>
      </c>
      <c r="H1815" s="1" t="s">
        <v>47</v>
      </c>
      <c r="I1815" s="1" t="s">
        <v>119</v>
      </c>
      <c r="J1815" s="58">
        <v>76581088</v>
      </c>
      <c r="K1815" s="1" t="s">
        <v>106</v>
      </c>
      <c r="L1815" s="1" t="s">
        <v>124</v>
      </c>
      <c r="N1815" s="1">
        <v>1</v>
      </c>
      <c r="O1815" s="58"/>
      <c r="P1815" s="58">
        <v>6413666.1200000001</v>
      </c>
      <c r="Q1815" t="s">
        <v>118</v>
      </c>
      <c r="R1815" s="1" t="s">
        <v>158</v>
      </c>
    </row>
    <row r="1816" spans="3:18" x14ac:dyDescent="0.35">
      <c r="C1816" t="s">
        <v>51</v>
      </c>
      <c r="D1816" t="s">
        <v>23</v>
      </c>
      <c r="E1816" t="s">
        <v>55</v>
      </c>
      <c r="F1816" t="s">
        <v>46</v>
      </c>
      <c r="G1816" s="58">
        <v>406983</v>
      </c>
      <c r="H1816" s="1" t="s">
        <v>56</v>
      </c>
      <c r="I1816" s="1" t="s">
        <v>119</v>
      </c>
      <c r="J1816" s="58">
        <v>3255864</v>
      </c>
      <c r="K1816" s="1" t="s">
        <v>106</v>
      </c>
      <c r="L1816" s="1" t="s">
        <v>114</v>
      </c>
      <c r="N1816" s="1">
        <v>1</v>
      </c>
      <c r="O1816" s="58"/>
      <c r="P1816" s="58">
        <v>199421.67</v>
      </c>
      <c r="Q1816" t="s">
        <v>113</v>
      </c>
      <c r="R1816" s="1" t="s">
        <v>158</v>
      </c>
    </row>
    <row r="1817" spans="3:18" x14ac:dyDescent="0.35">
      <c r="C1817" t="s">
        <v>51</v>
      </c>
      <c r="D1817" t="s">
        <v>25</v>
      </c>
      <c r="E1817" t="s">
        <v>45</v>
      </c>
      <c r="F1817" t="s">
        <v>46</v>
      </c>
      <c r="G1817" s="58">
        <v>319057</v>
      </c>
      <c r="H1817" s="1" t="s">
        <v>47</v>
      </c>
      <c r="I1817" s="1" t="s">
        <v>108</v>
      </c>
      <c r="J1817" s="58">
        <v>7338311</v>
      </c>
      <c r="K1817" s="1" t="s">
        <v>106</v>
      </c>
      <c r="L1817" s="1" t="s">
        <v>124</v>
      </c>
      <c r="N1817" s="1">
        <v>1</v>
      </c>
      <c r="O1817" s="58"/>
      <c r="P1817" s="58">
        <v>41477.410000000003</v>
      </c>
      <c r="Q1817" t="s">
        <v>107</v>
      </c>
      <c r="R1817" s="1" t="s">
        <v>158</v>
      </c>
    </row>
    <row r="1818" spans="3:18" x14ac:dyDescent="0.35">
      <c r="C1818" t="s">
        <v>51</v>
      </c>
      <c r="D1818" t="s">
        <v>20</v>
      </c>
      <c r="E1818" t="s">
        <v>49</v>
      </c>
      <c r="F1818" t="s">
        <v>46</v>
      </c>
      <c r="G1818" s="58">
        <v>428239</v>
      </c>
      <c r="H1818" s="1" t="s">
        <v>56</v>
      </c>
      <c r="I1818" s="1" t="s">
        <v>108</v>
      </c>
      <c r="J1818" s="58">
        <v>10705975</v>
      </c>
      <c r="K1818" s="1" t="s">
        <v>112</v>
      </c>
      <c r="N1818" s="1">
        <v>1</v>
      </c>
      <c r="O1818" s="58"/>
      <c r="P1818" s="58">
        <v>145601.26</v>
      </c>
      <c r="Q1818" t="s">
        <v>107</v>
      </c>
      <c r="R1818" s="1" t="s">
        <v>158</v>
      </c>
    </row>
    <row r="1819" spans="3:18" x14ac:dyDescent="0.35">
      <c r="C1819" t="s">
        <v>51</v>
      </c>
      <c r="D1819" t="s">
        <v>23</v>
      </c>
      <c r="E1819" t="s">
        <v>52</v>
      </c>
      <c r="F1819" t="s">
        <v>46</v>
      </c>
      <c r="G1819" s="58">
        <v>94512</v>
      </c>
      <c r="H1819" s="1" t="s">
        <v>48</v>
      </c>
      <c r="I1819" s="1" t="s">
        <v>111</v>
      </c>
      <c r="J1819" s="58">
        <v>1228656</v>
      </c>
      <c r="K1819" s="1" t="s">
        <v>106</v>
      </c>
      <c r="L1819" s="1" t="s">
        <v>124</v>
      </c>
      <c r="M1819" s="1" t="s">
        <v>125</v>
      </c>
      <c r="N1819" s="1">
        <v>1</v>
      </c>
      <c r="O1819" s="58"/>
      <c r="P1819" s="58">
        <v>29298.720000000001</v>
      </c>
      <c r="Q1819" t="s">
        <v>107</v>
      </c>
      <c r="R1819" s="1" t="s">
        <v>48</v>
      </c>
    </row>
    <row r="1820" spans="3:18" x14ac:dyDescent="0.35">
      <c r="C1820" t="s">
        <v>51</v>
      </c>
      <c r="D1820" t="s">
        <v>23</v>
      </c>
      <c r="E1820" t="s">
        <v>49</v>
      </c>
      <c r="F1820" t="s">
        <v>46</v>
      </c>
      <c r="G1820" s="58">
        <v>100227</v>
      </c>
      <c r="H1820" s="1" t="s">
        <v>54</v>
      </c>
      <c r="I1820" s="1" t="s">
        <v>111</v>
      </c>
      <c r="J1820" s="58">
        <v>1703859</v>
      </c>
      <c r="K1820" s="1" t="s">
        <v>112</v>
      </c>
      <c r="N1820" s="1">
        <v>1</v>
      </c>
      <c r="O1820" s="58"/>
      <c r="P1820" s="58">
        <v>36081.72</v>
      </c>
      <c r="Q1820" t="s">
        <v>107</v>
      </c>
      <c r="R1820" s="1" t="s">
        <v>158</v>
      </c>
    </row>
    <row r="1821" spans="3:18" x14ac:dyDescent="0.35">
      <c r="C1821" t="s">
        <v>51</v>
      </c>
      <c r="D1821" t="s">
        <v>23</v>
      </c>
      <c r="E1821" t="s">
        <v>55</v>
      </c>
      <c r="F1821" t="s">
        <v>46</v>
      </c>
      <c r="G1821" s="58">
        <v>655468</v>
      </c>
      <c r="H1821" s="1" t="s">
        <v>48</v>
      </c>
      <c r="I1821" s="1" t="s">
        <v>108</v>
      </c>
      <c r="J1821" s="58">
        <v>22941380</v>
      </c>
      <c r="K1821" s="1" t="s">
        <v>106</v>
      </c>
      <c r="L1821" s="1" t="s">
        <v>120</v>
      </c>
      <c r="M1821" s="1" t="s">
        <v>125</v>
      </c>
      <c r="N1821" s="1">
        <v>1</v>
      </c>
      <c r="O1821" s="58"/>
      <c r="P1821" s="58">
        <v>471936.96</v>
      </c>
      <c r="Q1821" t="s">
        <v>118</v>
      </c>
      <c r="R1821" s="1" t="s">
        <v>158</v>
      </c>
    </row>
    <row r="1822" spans="3:18" x14ac:dyDescent="0.35">
      <c r="C1822" t="s">
        <v>51</v>
      </c>
      <c r="D1822" t="s">
        <v>20</v>
      </c>
      <c r="E1822" t="s">
        <v>55</v>
      </c>
      <c r="F1822" t="s">
        <v>46</v>
      </c>
      <c r="G1822" s="58">
        <v>415956</v>
      </c>
      <c r="H1822" s="1" t="s">
        <v>48</v>
      </c>
      <c r="I1822" s="1" t="s">
        <v>108</v>
      </c>
      <c r="J1822" s="58">
        <v>15806328</v>
      </c>
      <c r="K1822" s="1" t="s">
        <v>106</v>
      </c>
      <c r="L1822" s="1" t="s">
        <v>114</v>
      </c>
      <c r="M1822" s="1" t="s">
        <v>123</v>
      </c>
      <c r="N1822" s="1">
        <v>1</v>
      </c>
      <c r="O1822" s="58"/>
      <c r="P1822" s="58">
        <v>287009.64</v>
      </c>
      <c r="Q1822" t="s">
        <v>118</v>
      </c>
      <c r="R1822" s="1" t="s">
        <v>48</v>
      </c>
    </row>
    <row r="1823" spans="3:18" x14ac:dyDescent="0.35">
      <c r="C1823" t="s">
        <v>51</v>
      </c>
      <c r="D1823" t="s">
        <v>21</v>
      </c>
      <c r="E1823" t="s">
        <v>49</v>
      </c>
      <c r="F1823" t="s">
        <v>64</v>
      </c>
      <c r="G1823" s="58">
        <v>817812</v>
      </c>
      <c r="H1823" s="1" t="s">
        <v>54</v>
      </c>
      <c r="I1823" s="1" t="s">
        <v>111</v>
      </c>
      <c r="J1823" s="58">
        <v>15538428</v>
      </c>
      <c r="K1823" s="1" t="s">
        <v>112</v>
      </c>
      <c r="N1823" s="1">
        <v>1</v>
      </c>
      <c r="O1823" s="58"/>
      <c r="P1823" s="58">
        <v>531577.80000000005</v>
      </c>
      <c r="Q1823" t="s">
        <v>118</v>
      </c>
      <c r="R1823" s="1" t="s">
        <v>158</v>
      </c>
    </row>
    <row r="1824" spans="3:18" x14ac:dyDescent="0.35">
      <c r="C1824" t="s">
        <v>51</v>
      </c>
      <c r="D1824" t="s">
        <v>25</v>
      </c>
      <c r="E1824" t="s">
        <v>45</v>
      </c>
      <c r="F1824" t="s">
        <v>46</v>
      </c>
      <c r="G1824" s="58">
        <v>1340989</v>
      </c>
      <c r="H1824" s="1" t="s">
        <v>59</v>
      </c>
      <c r="I1824" s="1" t="s">
        <v>108</v>
      </c>
      <c r="J1824" s="58">
        <v>36206703</v>
      </c>
      <c r="K1824" s="1" t="s">
        <v>106</v>
      </c>
      <c r="L1824" s="1" t="s">
        <v>120</v>
      </c>
      <c r="N1824" s="1">
        <v>1</v>
      </c>
      <c r="O1824" s="58"/>
      <c r="P1824" s="58">
        <v>697314.28</v>
      </c>
      <c r="Q1824" t="s">
        <v>113</v>
      </c>
      <c r="R1824" s="1" t="s">
        <v>158</v>
      </c>
    </row>
    <row r="1825" spans="3:18" x14ac:dyDescent="0.35">
      <c r="C1825" t="s">
        <v>51</v>
      </c>
      <c r="D1825" t="s">
        <v>92</v>
      </c>
      <c r="E1825" t="s">
        <v>49</v>
      </c>
      <c r="F1825" t="s">
        <v>46</v>
      </c>
      <c r="G1825" s="58">
        <v>1996246</v>
      </c>
      <c r="H1825" s="1" t="s">
        <v>48</v>
      </c>
      <c r="I1825" s="1" t="s">
        <v>111</v>
      </c>
      <c r="J1825" s="58">
        <v>37928674</v>
      </c>
      <c r="K1825" s="1" t="s">
        <v>106</v>
      </c>
      <c r="L1825" s="1" t="s">
        <v>124</v>
      </c>
      <c r="M1825" s="1" t="s">
        <v>123</v>
      </c>
      <c r="N1825" s="1">
        <v>1</v>
      </c>
      <c r="O1825" s="58"/>
      <c r="P1825" s="58">
        <v>1636921.72</v>
      </c>
      <c r="Q1825" t="s">
        <v>127</v>
      </c>
      <c r="R1825" s="1" t="s">
        <v>158</v>
      </c>
    </row>
    <row r="1826" spans="3:18" x14ac:dyDescent="0.35">
      <c r="C1826" t="s">
        <v>51</v>
      </c>
      <c r="D1826" t="s">
        <v>23</v>
      </c>
      <c r="E1826" t="s">
        <v>45</v>
      </c>
      <c r="F1826" t="s">
        <v>46</v>
      </c>
      <c r="G1826" s="58">
        <v>241651</v>
      </c>
      <c r="H1826" s="1" t="s">
        <v>48</v>
      </c>
      <c r="I1826" s="1" t="s">
        <v>108</v>
      </c>
      <c r="J1826" s="58">
        <v>8216134</v>
      </c>
      <c r="K1826" s="1" t="s">
        <v>106</v>
      </c>
      <c r="L1826" s="1" t="s">
        <v>114</v>
      </c>
      <c r="M1826" s="1" t="s">
        <v>121</v>
      </c>
      <c r="N1826" s="1">
        <v>1</v>
      </c>
      <c r="O1826" s="58"/>
      <c r="P1826" s="58">
        <v>202986.84</v>
      </c>
      <c r="Q1826" t="s">
        <v>127</v>
      </c>
      <c r="R1826" s="1" t="s">
        <v>158</v>
      </c>
    </row>
    <row r="1827" spans="3:18" x14ac:dyDescent="0.35">
      <c r="C1827" t="s">
        <v>51</v>
      </c>
      <c r="D1827" t="s">
        <v>24</v>
      </c>
      <c r="E1827" t="s">
        <v>50</v>
      </c>
      <c r="F1827" t="s">
        <v>46</v>
      </c>
      <c r="G1827" s="58">
        <v>499722</v>
      </c>
      <c r="H1827" s="1" t="s">
        <v>48</v>
      </c>
      <c r="I1827" s="1" t="s">
        <v>108</v>
      </c>
      <c r="J1827" s="58">
        <v>17490270</v>
      </c>
      <c r="K1827" s="1" t="s">
        <v>106</v>
      </c>
      <c r="L1827" s="1" t="s">
        <v>114</v>
      </c>
      <c r="M1827" s="1" t="s">
        <v>121</v>
      </c>
      <c r="N1827" s="1">
        <v>1</v>
      </c>
      <c r="O1827" s="58"/>
      <c r="P1827" s="58">
        <v>359799.84</v>
      </c>
      <c r="Q1827" t="s">
        <v>118</v>
      </c>
      <c r="R1827" s="1" t="s">
        <v>158</v>
      </c>
    </row>
    <row r="1828" spans="3:18" x14ac:dyDescent="0.35">
      <c r="C1828" t="s">
        <v>51</v>
      </c>
      <c r="D1828" t="s">
        <v>24</v>
      </c>
      <c r="E1828" t="s">
        <v>55</v>
      </c>
      <c r="F1828" t="s">
        <v>46</v>
      </c>
      <c r="G1828" s="58">
        <v>14756948</v>
      </c>
      <c r="H1828" s="1" t="s">
        <v>54</v>
      </c>
      <c r="I1828" s="1" t="s">
        <v>108</v>
      </c>
      <c r="J1828" s="58">
        <v>383680648</v>
      </c>
      <c r="K1828" s="1" t="s">
        <v>106</v>
      </c>
      <c r="L1828" s="1" t="s">
        <v>114</v>
      </c>
      <c r="N1828" s="1">
        <v>1</v>
      </c>
      <c r="O1828" s="58"/>
      <c r="P1828" s="58">
        <v>4279514.92</v>
      </c>
      <c r="Q1828" t="s">
        <v>107</v>
      </c>
      <c r="R1828" s="1" t="s">
        <v>158</v>
      </c>
    </row>
    <row r="1829" spans="3:18" x14ac:dyDescent="0.35">
      <c r="C1829" t="s">
        <v>51</v>
      </c>
      <c r="D1829" t="s">
        <v>19</v>
      </c>
      <c r="E1829" t="s">
        <v>49</v>
      </c>
      <c r="F1829" t="s">
        <v>46</v>
      </c>
      <c r="G1829" s="58">
        <v>3048304</v>
      </c>
      <c r="H1829" s="1" t="s">
        <v>48</v>
      </c>
      <c r="I1829" s="1" t="s">
        <v>105</v>
      </c>
      <c r="J1829" s="58">
        <v>6096608</v>
      </c>
      <c r="K1829" s="1" t="s">
        <v>106</v>
      </c>
      <c r="L1829" s="1" t="s">
        <v>124</v>
      </c>
      <c r="M1829" s="1" t="s">
        <v>122</v>
      </c>
      <c r="N1829" s="1">
        <v>1</v>
      </c>
      <c r="O1829" s="58"/>
      <c r="P1829" s="58">
        <v>1524152</v>
      </c>
      <c r="Q1829" t="s">
        <v>113</v>
      </c>
      <c r="R1829" s="1" t="s">
        <v>48</v>
      </c>
    </row>
    <row r="1830" spans="3:18" x14ac:dyDescent="0.35">
      <c r="C1830" t="s">
        <v>51</v>
      </c>
      <c r="D1830" t="s">
        <v>24</v>
      </c>
      <c r="E1830" t="s">
        <v>55</v>
      </c>
      <c r="F1830" t="s">
        <v>46</v>
      </c>
      <c r="G1830" s="58">
        <v>696018</v>
      </c>
      <c r="H1830" s="1" t="s">
        <v>47</v>
      </c>
      <c r="I1830" s="1" t="s">
        <v>108</v>
      </c>
      <c r="J1830" s="58">
        <v>20880540</v>
      </c>
      <c r="K1830" s="1" t="s">
        <v>106</v>
      </c>
      <c r="L1830" s="1" t="s">
        <v>120</v>
      </c>
      <c r="N1830" s="1">
        <v>1</v>
      </c>
      <c r="O1830" s="58"/>
      <c r="P1830" s="58">
        <v>584655.12</v>
      </c>
      <c r="Q1830" t="s">
        <v>127</v>
      </c>
      <c r="R1830" s="1" t="s">
        <v>158</v>
      </c>
    </row>
    <row r="1831" spans="3:18" x14ac:dyDescent="0.35">
      <c r="C1831" t="s">
        <v>53</v>
      </c>
      <c r="D1831" t="s">
        <v>21</v>
      </c>
      <c r="E1831" t="s">
        <v>45</v>
      </c>
      <c r="F1831" t="s">
        <v>46</v>
      </c>
      <c r="G1831" s="58">
        <v>50287727</v>
      </c>
      <c r="H1831" s="1" t="s">
        <v>54</v>
      </c>
      <c r="I1831" s="1" t="s">
        <v>119</v>
      </c>
      <c r="J1831" s="58">
        <v>352014089</v>
      </c>
      <c r="K1831" s="1" t="s">
        <v>106</v>
      </c>
      <c r="L1831" s="1" t="s">
        <v>120</v>
      </c>
      <c r="N1831" s="1">
        <v>1</v>
      </c>
      <c r="O1831" s="58"/>
      <c r="P1831" s="58">
        <v>11566177.210000001</v>
      </c>
      <c r="Q1831" t="s">
        <v>107</v>
      </c>
      <c r="R1831" s="1" t="s">
        <v>158</v>
      </c>
    </row>
    <row r="1832" spans="3:18" x14ac:dyDescent="0.35">
      <c r="C1832" t="s">
        <v>53</v>
      </c>
      <c r="D1832" t="s">
        <v>19</v>
      </c>
      <c r="E1832" t="s">
        <v>49</v>
      </c>
      <c r="F1832" t="s">
        <v>46</v>
      </c>
      <c r="G1832" s="58">
        <v>5631</v>
      </c>
      <c r="H1832" s="1" t="s">
        <v>54</v>
      </c>
      <c r="I1832" s="1" t="s">
        <v>108</v>
      </c>
      <c r="J1832" s="58">
        <v>146406</v>
      </c>
      <c r="K1832" s="1" t="s">
        <v>106</v>
      </c>
      <c r="L1832" s="1" t="s">
        <v>124</v>
      </c>
      <c r="N1832" s="1">
        <v>1</v>
      </c>
      <c r="O1832" s="58"/>
      <c r="P1832" s="58">
        <v>1970.85</v>
      </c>
      <c r="Q1832" t="s">
        <v>107</v>
      </c>
      <c r="R1832" s="1" t="s">
        <v>158</v>
      </c>
    </row>
    <row r="1833" spans="3:18" x14ac:dyDescent="0.35">
      <c r="C1833" t="s">
        <v>51</v>
      </c>
      <c r="D1833" t="s">
        <v>92</v>
      </c>
      <c r="E1833" t="s">
        <v>45</v>
      </c>
      <c r="F1833" t="s">
        <v>46</v>
      </c>
      <c r="G1833" s="58">
        <v>613241</v>
      </c>
      <c r="H1833" s="1" t="s">
        <v>59</v>
      </c>
      <c r="I1833" s="1" t="s">
        <v>108</v>
      </c>
      <c r="J1833" s="58">
        <v>18397230</v>
      </c>
      <c r="K1833" s="1" t="s">
        <v>106</v>
      </c>
      <c r="L1833" s="1" t="s">
        <v>120</v>
      </c>
      <c r="N1833" s="1">
        <v>1</v>
      </c>
      <c r="O1833" s="58"/>
      <c r="P1833" s="58">
        <v>410871.47</v>
      </c>
      <c r="Q1833" t="s">
        <v>118</v>
      </c>
      <c r="R1833" s="1" t="s">
        <v>158</v>
      </c>
    </row>
    <row r="1834" spans="3:18" x14ac:dyDescent="0.35">
      <c r="C1834" t="s">
        <v>51</v>
      </c>
      <c r="D1834" t="s">
        <v>20</v>
      </c>
      <c r="E1834" t="s">
        <v>49</v>
      </c>
      <c r="F1834" t="s">
        <v>46</v>
      </c>
      <c r="G1834" s="58">
        <v>6032105</v>
      </c>
      <c r="H1834" s="1" t="s">
        <v>47</v>
      </c>
      <c r="I1834" s="1" t="s">
        <v>108</v>
      </c>
      <c r="J1834" s="58">
        <v>193027360</v>
      </c>
      <c r="K1834" s="1" t="s">
        <v>106</v>
      </c>
      <c r="L1834" s="1" t="s">
        <v>124</v>
      </c>
      <c r="N1834" s="1">
        <v>1</v>
      </c>
      <c r="O1834" s="58"/>
      <c r="P1834" s="58">
        <v>7359168.0999999996</v>
      </c>
      <c r="Q1834" t="s">
        <v>110</v>
      </c>
      <c r="R1834" s="1" t="s">
        <v>158</v>
      </c>
    </row>
    <row r="1835" spans="3:18" x14ac:dyDescent="0.35">
      <c r="C1835" t="s">
        <v>51</v>
      </c>
      <c r="D1835" t="s">
        <v>21</v>
      </c>
      <c r="E1835" t="s">
        <v>49</v>
      </c>
      <c r="F1835" t="s">
        <v>46</v>
      </c>
      <c r="G1835" s="58">
        <v>139281</v>
      </c>
      <c r="H1835" s="1" t="s">
        <v>56</v>
      </c>
      <c r="I1835" s="1" t="s">
        <v>105</v>
      </c>
      <c r="J1835" s="58"/>
      <c r="K1835" s="1" t="s">
        <v>106</v>
      </c>
      <c r="L1835" s="1" t="s">
        <v>124</v>
      </c>
      <c r="N1835" s="1">
        <v>0</v>
      </c>
      <c r="O1835" s="58"/>
      <c r="P1835" s="58">
        <v>13928.1</v>
      </c>
      <c r="Q1835" t="s">
        <v>107</v>
      </c>
      <c r="R1835" s="1" t="s">
        <v>158</v>
      </c>
    </row>
    <row r="1836" spans="3:18" x14ac:dyDescent="0.35">
      <c r="C1836" t="s">
        <v>51</v>
      </c>
      <c r="D1836" t="s">
        <v>23</v>
      </c>
      <c r="E1836" t="s">
        <v>45</v>
      </c>
      <c r="F1836" t="s">
        <v>46</v>
      </c>
      <c r="G1836" s="58">
        <v>2026878</v>
      </c>
      <c r="H1836" s="1" t="s">
        <v>47</v>
      </c>
      <c r="I1836" s="1" t="s">
        <v>105</v>
      </c>
      <c r="J1836" s="58">
        <v>6080634</v>
      </c>
      <c r="K1836" s="1" t="s">
        <v>106</v>
      </c>
      <c r="L1836" s="1" t="s">
        <v>124</v>
      </c>
      <c r="N1836" s="1">
        <v>1</v>
      </c>
      <c r="O1836" s="58"/>
      <c r="P1836" s="58">
        <v>222956.58</v>
      </c>
      <c r="Q1836" t="s">
        <v>107</v>
      </c>
      <c r="R1836" s="1" t="s">
        <v>158</v>
      </c>
    </row>
    <row r="1837" spans="3:18" x14ac:dyDescent="0.35">
      <c r="C1837" t="s">
        <v>51</v>
      </c>
      <c r="D1837" t="s">
        <v>19</v>
      </c>
      <c r="E1837" t="s">
        <v>49</v>
      </c>
      <c r="F1837" t="s">
        <v>46</v>
      </c>
      <c r="G1837" s="58">
        <v>2462036</v>
      </c>
      <c r="H1837" s="1" t="s">
        <v>47</v>
      </c>
      <c r="I1837" s="1" t="s">
        <v>111</v>
      </c>
      <c r="J1837" s="58">
        <v>39392576</v>
      </c>
      <c r="K1837" s="1" t="s">
        <v>106</v>
      </c>
      <c r="L1837" s="1" t="s">
        <v>120</v>
      </c>
      <c r="N1837" s="1">
        <v>1</v>
      </c>
      <c r="O1837" s="58"/>
      <c r="P1837" s="58">
        <v>541647.92000000004</v>
      </c>
      <c r="Q1837" t="s">
        <v>107</v>
      </c>
      <c r="R1837" s="1" t="s">
        <v>158</v>
      </c>
    </row>
    <row r="1838" spans="3:18" x14ac:dyDescent="0.35">
      <c r="C1838" t="s">
        <v>51</v>
      </c>
      <c r="D1838" t="s">
        <v>19</v>
      </c>
      <c r="E1838" t="s">
        <v>45</v>
      </c>
      <c r="F1838" t="s">
        <v>46</v>
      </c>
      <c r="G1838" s="58">
        <v>46077951</v>
      </c>
      <c r="H1838" s="1" t="s">
        <v>48</v>
      </c>
      <c r="I1838" s="1" t="s">
        <v>108</v>
      </c>
      <c r="J1838" s="58">
        <v>1428416481</v>
      </c>
      <c r="K1838" s="1" t="s">
        <v>106</v>
      </c>
      <c r="L1838" s="1" t="s">
        <v>120</v>
      </c>
      <c r="M1838" s="1" t="s">
        <v>122</v>
      </c>
      <c r="N1838" s="1">
        <v>1</v>
      </c>
      <c r="O1838" s="58"/>
      <c r="P1838" s="58">
        <v>32715345.210000001</v>
      </c>
      <c r="Q1838" t="s">
        <v>118</v>
      </c>
      <c r="R1838" s="1" t="s">
        <v>158</v>
      </c>
    </row>
    <row r="1839" spans="3:18" x14ac:dyDescent="0.35">
      <c r="C1839" t="s">
        <v>51</v>
      </c>
      <c r="D1839" t="s">
        <v>23</v>
      </c>
      <c r="E1839" t="s">
        <v>45</v>
      </c>
      <c r="F1839" t="s">
        <v>46</v>
      </c>
      <c r="G1839" s="58">
        <v>1522329</v>
      </c>
      <c r="H1839" s="1" t="s">
        <v>56</v>
      </c>
      <c r="I1839" s="1" t="s">
        <v>108</v>
      </c>
      <c r="J1839" s="58">
        <v>51759186</v>
      </c>
      <c r="K1839" s="1" t="s">
        <v>112</v>
      </c>
      <c r="N1839" s="1">
        <v>1</v>
      </c>
      <c r="O1839" s="58"/>
      <c r="P1839" s="58">
        <v>1263533.07</v>
      </c>
      <c r="Q1839" t="s">
        <v>127</v>
      </c>
      <c r="R1839" s="1" t="s">
        <v>158</v>
      </c>
    </row>
    <row r="1840" spans="3:18" x14ac:dyDescent="0.35">
      <c r="C1840" t="s">
        <v>53</v>
      </c>
      <c r="D1840" t="s">
        <v>19</v>
      </c>
      <c r="E1840" t="s">
        <v>49</v>
      </c>
      <c r="F1840" t="s">
        <v>46</v>
      </c>
      <c r="G1840" s="58">
        <v>7913113</v>
      </c>
      <c r="H1840" s="1" t="s">
        <v>59</v>
      </c>
      <c r="I1840" s="1" t="s">
        <v>119</v>
      </c>
      <c r="J1840" s="58">
        <v>47478678</v>
      </c>
      <c r="K1840" s="1" t="s">
        <v>106</v>
      </c>
      <c r="L1840" s="1" t="s">
        <v>124</v>
      </c>
      <c r="N1840" s="1">
        <v>1</v>
      </c>
      <c r="O1840" s="58"/>
      <c r="P1840" s="58">
        <v>1107835.82</v>
      </c>
      <c r="Q1840" t="s">
        <v>107</v>
      </c>
      <c r="R1840" s="1" t="s">
        <v>158</v>
      </c>
    </row>
    <row r="1841" spans="3:18" x14ac:dyDescent="0.35">
      <c r="C1841" t="s">
        <v>51</v>
      </c>
      <c r="D1841" t="s">
        <v>25</v>
      </c>
      <c r="E1841" t="s">
        <v>45</v>
      </c>
      <c r="F1841" t="s">
        <v>46</v>
      </c>
      <c r="G1841" s="58">
        <v>267237</v>
      </c>
      <c r="H1841" s="1" t="s">
        <v>59</v>
      </c>
      <c r="I1841" s="1" t="s">
        <v>111</v>
      </c>
      <c r="J1841" s="58">
        <v>2939607</v>
      </c>
      <c r="K1841" s="1" t="s">
        <v>106</v>
      </c>
      <c r="L1841" s="1" t="s">
        <v>120</v>
      </c>
      <c r="N1841" s="1">
        <v>1</v>
      </c>
      <c r="O1841" s="58"/>
      <c r="P1841" s="58">
        <v>165686.94</v>
      </c>
      <c r="Q1841" t="s">
        <v>118</v>
      </c>
      <c r="R1841" s="1" t="s">
        <v>158</v>
      </c>
    </row>
    <row r="1842" spans="3:18" x14ac:dyDescent="0.35">
      <c r="C1842" t="s">
        <v>51</v>
      </c>
      <c r="D1842" t="s">
        <v>24</v>
      </c>
      <c r="E1842" t="s">
        <v>45</v>
      </c>
      <c r="F1842" t="s">
        <v>46</v>
      </c>
      <c r="G1842" s="58">
        <v>159741</v>
      </c>
      <c r="H1842" s="1" t="s">
        <v>59</v>
      </c>
      <c r="I1842" s="1" t="s">
        <v>111</v>
      </c>
      <c r="J1842" s="58">
        <v>2236374</v>
      </c>
      <c r="K1842" s="1" t="s">
        <v>106</v>
      </c>
      <c r="L1842" s="1" t="s">
        <v>124</v>
      </c>
      <c r="N1842" s="1">
        <v>1</v>
      </c>
      <c r="O1842" s="58"/>
      <c r="P1842" s="58">
        <v>68688.63</v>
      </c>
      <c r="Q1842" t="s">
        <v>113</v>
      </c>
      <c r="R1842" s="1" t="s">
        <v>158</v>
      </c>
    </row>
    <row r="1843" spans="3:18" x14ac:dyDescent="0.35">
      <c r="C1843" t="s">
        <v>51</v>
      </c>
      <c r="D1843" t="s">
        <v>21</v>
      </c>
      <c r="E1843" t="s">
        <v>49</v>
      </c>
      <c r="F1843" t="s">
        <v>46</v>
      </c>
      <c r="G1843" s="58">
        <v>18521158</v>
      </c>
      <c r="H1843" s="1" t="s">
        <v>56</v>
      </c>
      <c r="I1843" s="1" t="s">
        <v>108</v>
      </c>
      <c r="J1843" s="58">
        <v>574155898</v>
      </c>
      <c r="K1843" s="1" t="s">
        <v>112</v>
      </c>
      <c r="N1843" s="1">
        <v>1</v>
      </c>
      <c r="O1843" s="58"/>
      <c r="P1843" s="58">
        <v>12779599.02</v>
      </c>
      <c r="Q1843" t="s">
        <v>118</v>
      </c>
      <c r="R1843" s="1" t="s">
        <v>158</v>
      </c>
    </row>
    <row r="1844" spans="3:18" x14ac:dyDescent="0.35">
      <c r="C1844" t="s">
        <v>53</v>
      </c>
      <c r="D1844" t="s">
        <v>19</v>
      </c>
      <c r="E1844" t="s">
        <v>49</v>
      </c>
      <c r="F1844" t="s">
        <v>46</v>
      </c>
      <c r="G1844" s="58">
        <v>507706</v>
      </c>
      <c r="H1844" s="1" t="s">
        <v>48</v>
      </c>
      <c r="I1844" s="1" t="s">
        <v>105</v>
      </c>
      <c r="J1844" s="58">
        <v>1523118</v>
      </c>
      <c r="K1844" s="1" t="s">
        <v>106</v>
      </c>
      <c r="L1844" s="1" t="s">
        <v>124</v>
      </c>
      <c r="M1844" s="1" t="s">
        <v>122</v>
      </c>
      <c r="N1844" s="1">
        <v>1</v>
      </c>
      <c r="O1844" s="58"/>
      <c r="P1844" s="58">
        <v>258930.06</v>
      </c>
      <c r="Q1844" t="s">
        <v>113</v>
      </c>
      <c r="R1844" s="1" t="s">
        <v>48</v>
      </c>
    </row>
    <row r="1845" spans="3:18" x14ac:dyDescent="0.35">
      <c r="C1845" t="s">
        <v>51</v>
      </c>
      <c r="D1845" t="s">
        <v>24</v>
      </c>
      <c r="E1845" t="s">
        <v>55</v>
      </c>
      <c r="F1845" t="s">
        <v>46</v>
      </c>
      <c r="G1845" s="58">
        <v>1537599</v>
      </c>
      <c r="H1845" s="1" t="s">
        <v>59</v>
      </c>
      <c r="I1845" s="1" t="s">
        <v>119</v>
      </c>
      <c r="J1845" s="58">
        <v>12300792</v>
      </c>
      <c r="K1845" s="1" t="s">
        <v>106</v>
      </c>
      <c r="L1845" s="1" t="s">
        <v>114</v>
      </c>
      <c r="N1845" s="1">
        <v>1</v>
      </c>
      <c r="O1845" s="58"/>
      <c r="P1845" s="58">
        <v>707295.54</v>
      </c>
      <c r="Q1845" t="s">
        <v>113</v>
      </c>
      <c r="R1845" s="1" t="s">
        <v>158</v>
      </c>
    </row>
    <row r="1846" spans="3:18" x14ac:dyDescent="0.35">
      <c r="C1846" t="s">
        <v>51</v>
      </c>
      <c r="D1846" t="s">
        <v>24</v>
      </c>
      <c r="E1846" t="s">
        <v>55</v>
      </c>
      <c r="F1846" t="s">
        <v>64</v>
      </c>
      <c r="G1846" s="58">
        <v>54504</v>
      </c>
      <c r="H1846" s="1" t="s">
        <v>59</v>
      </c>
      <c r="I1846" s="1" t="s">
        <v>108</v>
      </c>
      <c r="J1846" s="58">
        <v>2016648</v>
      </c>
      <c r="K1846" s="1" t="s">
        <v>112</v>
      </c>
      <c r="N1846" s="1">
        <v>1</v>
      </c>
      <c r="O1846" s="58"/>
      <c r="P1846" s="58">
        <v>5995.44</v>
      </c>
      <c r="Q1846" t="s">
        <v>107</v>
      </c>
      <c r="R1846" s="1" t="s">
        <v>158</v>
      </c>
    </row>
    <row r="1847" spans="3:18" x14ac:dyDescent="0.35">
      <c r="C1847" t="s">
        <v>51</v>
      </c>
      <c r="D1847" t="s">
        <v>24</v>
      </c>
      <c r="E1847" t="s">
        <v>50</v>
      </c>
      <c r="F1847" t="s">
        <v>46</v>
      </c>
      <c r="G1847" s="58">
        <v>3613921</v>
      </c>
      <c r="H1847" s="1" t="s">
        <v>47</v>
      </c>
      <c r="I1847" s="1" t="s">
        <v>108</v>
      </c>
      <c r="J1847" s="58">
        <v>122873314</v>
      </c>
      <c r="K1847" s="1" t="s">
        <v>112</v>
      </c>
      <c r="N1847" s="1">
        <v>1</v>
      </c>
      <c r="O1847" s="58"/>
      <c r="P1847" s="58">
        <v>686644.99</v>
      </c>
      <c r="Q1847" t="s">
        <v>107</v>
      </c>
      <c r="R1847" s="1" t="s">
        <v>158</v>
      </c>
    </row>
    <row r="1848" spans="3:18" x14ac:dyDescent="0.35">
      <c r="C1848" t="s">
        <v>51</v>
      </c>
      <c r="D1848" t="s">
        <v>24</v>
      </c>
      <c r="E1848" t="s">
        <v>45</v>
      </c>
      <c r="F1848" t="s">
        <v>46</v>
      </c>
      <c r="G1848" s="58">
        <v>6537346</v>
      </c>
      <c r="H1848" s="1" t="s">
        <v>48</v>
      </c>
      <c r="I1848" s="1" t="s">
        <v>111</v>
      </c>
      <c r="J1848" s="58">
        <v>111134882</v>
      </c>
      <c r="K1848" s="1" t="s">
        <v>106</v>
      </c>
      <c r="L1848" s="1" t="s">
        <v>120</v>
      </c>
      <c r="M1848" s="1" t="s">
        <v>121</v>
      </c>
      <c r="N1848" s="1">
        <v>1</v>
      </c>
      <c r="O1848" s="58"/>
      <c r="P1848" s="58">
        <v>4445395.28</v>
      </c>
      <c r="Q1848" t="s">
        <v>118</v>
      </c>
      <c r="R1848" s="1" t="s">
        <v>158</v>
      </c>
    </row>
    <row r="1849" spans="3:18" x14ac:dyDescent="0.35">
      <c r="C1849" t="s">
        <v>51</v>
      </c>
      <c r="D1849" t="s">
        <v>91</v>
      </c>
      <c r="E1849" t="s">
        <v>49</v>
      </c>
      <c r="F1849" t="s">
        <v>64</v>
      </c>
      <c r="G1849" s="58">
        <v>874016</v>
      </c>
      <c r="H1849" s="1" t="s">
        <v>47</v>
      </c>
      <c r="I1849" s="1" t="s">
        <v>108</v>
      </c>
      <c r="J1849" s="58">
        <v>24472448</v>
      </c>
      <c r="K1849" s="1" t="s">
        <v>112</v>
      </c>
      <c r="N1849" s="1">
        <v>1</v>
      </c>
      <c r="O1849" s="58"/>
      <c r="P1849" s="58">
        <v>734173.44</v>
      </c>
      <c r="Q1849" t="s">
        <v>127</v>
      </c>
      <c r="R1849" s="1" t="s">
        <v>158</v>
      </c>
    </row>
    <row r="1850" spans="3:18" x14ac:dyDescent="0.35">
      <c r="C1850" t="s">
        <v>51</v>
      </c>
      <c r="D1850" t="s">
        <v>20</v>
      </c>
      <c r="E1850" t="s">
        <v>49</v>
      </c>
      <c r="F1850" t="s">
        <v>46</v>
      </c>
      <c r="G1850" s="58">
        <v>36883244</v>
      </c>
      <c r="H1850" s="1" t="s">
        <v>48</v>
      </c>
      <c r="I1850" s="1" t="s">
        <v>108</v>
      </c>
      <c r="J1850" s="58">
        <v>1069614076</v>
      </c>
      <c r="K1850" s="1" t="s">
        <v>106</v>
      </c>
      <c r="L1850" s="1" t="s">
        <v>124</v>
      </c>
      <c r="M1850" s="1" t="s">
        <v>123</v>
      </c>
      <c r="N1850" s="1">
        <v>1</v>
      </c>
      <c r="O1850" s="58"/>
      <c r="P1850" s="58">
        <v>18810454.440000001</v>
      </c>
      <c r="Q1850" t="s">
        <v>113</v>
      </c>
      <c r="R1850" s="1" t="s">
        <v>48</v>
      </c>
    </row>
    <row r="1851" spans="3:18" x14ac:dyDescent="0.35">
      <c r="C1851" t="s">
        <v>51</v>
      </c>
      <c r="D1851" t="s">
        <v>92</v>
      </c>
      <c r="E1851" t="s">
        <v>49</v>
      </c>
      <c r="F1851" t="s">
        <v>64</v>
      </c>
      <c r="G1851" s="58">
        <v>14600</v>
      </c>
      <c r="H1851" s="1" t="s">
        <v>47</v>
      </c>
      <c r="I1851" s="1" t="s">
        <v>105</v>
      </c>
      <c r="J1851" s="58">
        <v>58400</v>
      </c>
      <c r="K1851" s="1" t="s">
        <v>106</v>
      </c>
      <c r="L1851" s="1" t="s">
        <v>124</v>
      </c>
      <c r="N1851" s="1">
        <v>1</v>
      </c>
      <c r="O1851" s="58"/>
      <c r="P1851" s="58">
        <v>2482</v>
      </c>
      <c r="Q1851" t="s">
        <v>107</v>
      </c>
      <c r="R1851" s="1" t="s">
        <v>158</v>
      </c>
    </row>
    <row r="1852" spans="3:18" x14ac:dyDescent="0.35">
      <c r="C1852" t="s">
        <v>53</v>
      </c>
      <c r="D1852" t="s">
        <v>20</v>
      </c>
      <c r="E1852" t="s">
        <v>45</v>
      </c>
      <c r="F1852" t="s">
        <v>46</v>
      </c>
      <c r="G1852" s="58">
        <v>3708120</v>
      </c>
      <c r="H1852" s="1" t="s">
        <v>48</v>
      </c>
      <c r="I1852" s="1" t="s">
        <v>111</v>
      </c>
      <c r="J1852" s="58">
        <v>40789320</v>
      </c>
      <c r="K1852" s="1" t="s">
        <v>106</v>
      </c>
      <c r="L1852" s="1" t="s">
        <v>120</v>
      </c>
      <c r="M1852" s="1" t="s">
        <v>123</v>
      </c>
      <c r="N1852" s="1">
        <v>1</v>
      </c>
      <c r="O1852" s="58"/>
      <c r="P1852" s="58">
        <v>1928222.4</v>
      </c>
      <c r="Q1852" t="s">
        <v>113</v>
      </c>
      <c r="R1852" s="1" t="s">
        <v>158</v>
      </c>
    </row>
    <row r="1853" spans="3:18" x14ac:dyDescent="0.35">
      <c r="C1853" t="s">
        <v>51</v>
      </c>
      <c r="D1853" t="s">
        <v>92</v>
      </c>
      <c r="E1853" t="s">
        <v>45</v>
      </c>
      <c r="F1853" t="s">
        <v>46</v>
      </c>
      <c r="G1853" s="58">
        <v>190822</v>
      </c>
      <c r="H1853" s="1" t="s">
        <v>56</v>
      </c>
      <c r="I1853" s="1" t="s">
        <v>108</v>
      </c>
      <c r="J1853" s="58">
        <v>5152194</v>
      </c>
      <c r="K1853" s="1" t="s">
        <v>106</v>
      </c>
      <c r="L1853" s="1" t="s">
        <v>120</v>
      </c>
      <c r="N1853" s="1">
        <v>1</v>
      </c>
      <c r="O1853" s="58"/>
      <c r="P1853" s="58">
        <v>85869.9</v>
      </c>
      <c r="Q1853" t="s">
        <v>113</v>
      </c>
      <c r="R1853" s="1" t="s">
        <v>158</v>
      </c>
    </row>
    <row r="1854" spans="3:18" x14ac:dyDescent="0.35">
      <c r="C1854" t="s">
        <v>51</v>
      </c>
      <c r="D1854" t="s">
        <v>91</v>
      </c>
      <c r="E1854" t="s">
        <v>49</v>
      </c>
      <c r="F1854" t="s">
        <v>46</v>
      </c>
      <c r="G1854" s="58">
        <v>920584</v>
      </c>
      <c r="H1854" s="1" t="s">
        <v>56</v>
      </c>
      <c r="I1854" s="1" t="s">
        <v>111</v>
      </c>
      <c r="J1854" s="58">
        <v>14729344</v>
      </c>
      <c r="K1854" s="1" t="s">
        <v>106</v>
      </c>
      <c r="L1854" s="1" t="s">
        <v>124</v>
      </c>
      <c r="N1854" s="1">
        <v>1</v>
      </c>
      <c r="O1854" s="58"/>
      <c r="P1854" s="58">
        <v>451086.16</v>
      </c>
      <c r="Q1854" t="s">
        <v>113</v>
      </c>
      <c r="R1854" s="1" t="s">
        <v>158</v>
      </c>
    </row>
    <row r="1855" spans="3:18" x14ac:dyDescent="0.35">
      <c r="C1855" t="s">
        <v>53</v>
      </c>
      <c r="D1855" t="s">
        <v>22</v>
      </c>
      <c r="E1855" t="s">
        <v>45</v>
      </c>
      <c r="F1855" t="s">
        <v>46</v>
      </c>
      <c r="G1855" s="58">
        <v>240811</v>
      </c>
      <c r="H1855" s="1" t="s">
        <v>58</v>
      </c>
      <c r="I1855" s="1" t="s">
        <v>105</v>
      </c>
      <c r="J1855" s="58">
        <v>240811</v>
      </c>
      <c r="K1855" s="1" t="s">
        <v>106</v>
      </c>
      <c r="L1855" s="1" t="s">
        <v>120</v>
      </c>
      <c r="N1855" s="1">
        <v>1</v>
      </c>
      <c r="O1855" s="58"/>
      <c r="P1855" s="58">
        <v>19264.88</v>
      </c>
      <c r="Q1855" t="s">
        <v>107</v>
      </c>
      <c r="R1855" s="1" t="s">
        <v>158</v>
      </c>
    </row>
    <row r="1856" spans="3:18" x14ac:dyDescent="0.35">
      <c r="C1856" t="s">
        <v>51</v>
      </c>
      <c r="D1856" t="s">
        <v>19</v>
      </c>
      <c r="E1856" t="s">
        <v>52</v>
      </c>
      <c r="F1856" t="s">
        <v>46</v>
      </c>
      <c r="G1856" s="58">
        <v>60891</v>
      </c>
      <c r="H1856" s="1" t="s">
        <v>48</v>
      </c>
      <c r="I1856" s="1" t="s">
        <v>111</v>
      </c>
      <c r="J1856" s="58">
        <v>913365</v>
      </c>
      <c r="K1856" s="1" t="s">
        <v>106</v>
      </c>
      <c r="L1856" s="1" t="s">
        <v>130</v>
      </c>
      <c r="M1856" s="1" t="s">
        <v>122</v>
      </c>
      <c r="N1856" s="1">
        <v>1</v>
      </c>
      <c r="O1856" s="58"/>
      <c r="P1856" s="58">
        <v>21920.76</v>
      </c>
      <c r="Q1856" t="s">
        <v>107</v>
      </c>
      <c r="R1856" s="1" t="s">
        <v>48</v>
      </c>
    </row>
    <row r="1857" spans="3:18" x14ac:dyDescent="0.35">
      <c r="C1857" t="s">
        <v>53</v>
      </c>
      <c r="D1857" t="s">
        <v>21</v>
      </c>
      <c r="E1857" t="s">
        <v>55</v>
      </c>
      <c r="F1857" t="s">
        <v>46</v>
      </c>
      <c r="G1857" s="58">
        <v>89199</v>
      </c>
      <c r="H1857" s="1" t="s">
        <v>48</v>
      </c>
      <c r="I1857" s="1" t="s">
        <v>119</v>
      </c>
      <c r="J1857" s="58">
        <v>891990</v>
      </c>
      <c r="K1857" s="1" t="s">
        <v>112</v>
      </c>
      <c r="N1857" s="1">
        <v>1</v>
      </c>
      <c r="O1857" s="58"/>
      <c r="P1857" s="58">
        <v>71359.199999999997</v>
      </c>
      <c r="Q1857" t="s">
        <v>127</v>
      </c>
      <c r="R1857" s="1" t="s">
        <v>158</v>
      </c>
    </row>
    <row r="1858" spans="3:18" x14ac:dyDescent="0.35">
      <c r="C1858" t="s">
        <v>51</v>
      </c>
      <c r="D1858" t="s">
        <v>20</v>
      </c>
      <c r="E1858" t="s">
        <v>49</v>
      </c>
      <c r="F1858" t="s">
        <v>46</v>
      </c>
      <c r="G1858" s="58">
        <v>382569</v>
      </c>
      <c r="H1858" s="1" t="s">
        <v>48</v>
      </c>
      <c r="I1858" s="1" t="s">
        <v>111</v>
      </c>
      <c r="J1858" s="58">
        <v>6121104</v>
      </c>
      <c r="K1858" s="1" t="s">
        <v>112</v>
      </c>
      <c r="N1858" s="1">
        <v>1</v>
      </c>
      <c r="O1858" s="58"/>
      <c r="P1858" s="58">
        <v>164504.67000000001</v>
      </c>
      <c r="Q1858" t="s">
        <v>113</v>
      </c>
      <c r="R1858" s="1" t="s">
        <v>158</v>
      </c>
    </row>
    <row r="1859" spans="3:18" x14ac:dyDescent="0.35">
      <c r="C1859" t="s">
        <v>53</v>
      </c>
      <c r="D1859" t="s">
        <v>20</v>
      </c>
      <c r="E1859" t="s">
        <v>45</v>
      </c>
      <c r="F1859" t="s">
        <v>46</v>
      </c>
      <c r="G1859" s="58">
        <v>1691</v>
      </c>
      <c r="H1859" s="1" t="s">
        <v>59</v>
      </c>
      <c r="I1859" s="1" t="s">
        <v>105</v>
      </c>
      <c r="J1859" s="58"/>
      <c r="K1859" s="1" t="s">
        <v>106</v>
      </c>
      <c r="L1859" s="1" t="s">
        <v>120</v>
      </c>
      <c r="N1859" s="1">
        <v>0</v>
      </c>
      <c r="O1859" s="58"/>
      <c r="P1859" s="58">
        <v>0</v>
      </c>
      <c r="Q1859" t="s">
        <v>107</v>
      </c>
      <c r="R1859" s="1" t="s">
        <v>158</v>
      </c>
    </row>
    <row r="1860" spans="3:18" x14ac:dyDescent="0.35">
      <c r="C1860" t="s">
        <v>53</v>
      </c>
      <c r="D1860" t="s">
        <v>20</v>
      </c>
      <c r="E1860" t="s">
        <v>45</v>
      </c>
      <c r="F1860" t="s">
        <v>46</v>
      </c>
      <c r="G1860" s="58">
        <v>7327832</v>
      </c>
      <c r="H1860" s="1" t="s">
        <v>47</v>
      </c>
      <c r="I1860" s="1" t="s">
        <v>105</v>
      </c>
      <c r="J1860" s="58">
        <v>14655664</v>
      </c>
      <c r="K1860" s="1" t="s">
        <v>106</v>
      </c>
      <c r="L1860" s="1" t="s">
        <v>120</v>
      </c>
      <c r="N1860" s="1">
        <v>1</v>
      </c>
      <c r="O1860" s="58"/>
      <c r="P1860" s="58">
        <v>1172453.1200000001</v>
      </c>
      <c r="Q1860" t="s">
        <v>107</v>
      </c>
      <c r="R1860" s="1" t="s">
        <v>158</v>
      </c>
    </row>
    <row r="1861" spans="3:18" x14ac:dyDescent="0.35">
      <c r="C1861" t="s">
        <v>51</v>
      </c>
      <c r="D1861" t="s">
        <v>23</v>
      </c>
      <c r="E1861" t="s">
        <v>55</v>
      </c>
      <c r="F1861" t="s">
        <v>46</v>
      </c>
      <c r="G1861" s="58">
        <v>3574228</v>
      </c>
      <c r="H1861" s="1" t="s">
        <v>48</v>
      </c>
      <c r="I1861" s="1" t="s">
        <v>119</v>
      </c>
      <c r="J1861" s="58">
        <v>28593824</v>
      </c>
      <c r="K1861" s="1" t="s">
        <v>106</v>
      </c>
      <c r="L1861" s="1" t="s">
        <v>114</v>
      </c>
      <c r="M1861" s="1" t="s">
        <v>125</v>
      </c>
      <c r="N1861" s="1">
        <v>1</v>
      </c>
      <c r="O1861" s="58"/>
      <c r="P1861" s="58">
        <v>929299.28</v>
      </c>
      <c r="Q1861" t="s">
        <v>107</v>
      </c>
      <c r="R1861" s="1" t="s">
        <v>158</v>
      </c>
    </row>
    <row r="1862" spans="3:18" x14ac:dyDescent="0.35">
      <c r="C1862" t="s">
        <v>51</v>
      </c>
      <c r="D1862" t="s">
        <v>21</v>
      </c>
      <c r="E1862" t="s">
        <v>49</v>
      </c>
      <c r="F1862" t="s">
        <v>46</v>
      </c>
      <c r="G1862" s="58">
        <v>22190205</v>
      </c>
      <c r="H1862" s="1" t="s">
        <v>54</v>
      </c>
      <c r="I1862" s="1" t="s">
        <v>105</v>
      </c>
      <c r="J1862" s="58">
        <v>66570615</v>
      </c>
      <c r="K1862" s="1" t="s">
        <v>112</v>
      </c>
      <c r="N1862" s="1">
        <v>1</v>
      </c>
      <c r="O1862" s="58"/>
      <c r="P1862" s="58">
        <v>3106628.7</v>
      </c>
      <c r="Q1862" t="s">
        <v>107</v>
      </c>
      <c r="R1862" s="1" t="s">
        <v>158</v>
      </c>
    </row>
    <row r="1863" spans="3:18" x14ac:dyDescent="0.35">
      <c r="C1863" t="s">
        <v>51</v>
      </c>
      <c r="D1863" t="s">
        <v>21</v>
      </c>
      <c r="E1863" t="s">
        <v>49</v>
      </c>
      <c r="F1863" t="s">
        <v>46</v>
      </c>
      <c r="G1863" s="58">
        <v>6273395</v>
      </c>
      <c r="H1863" s="1" t="s">
        <v>48</v>
      </c>
      <c r="I1863" s="1" t="s">
        <v>111</v>
      </c>
      <c r="J1863" s="58">
        <v>100374320</v>
      </c>
      <c r="K1863" s="1" t="s">
        <v>112</v>
      </c>
      <c r="N1863" s="1">
        <v>1</v>
      </c>
      <c r="O1863" s="58"/>
      <c r="P1863" s="58">
        <v>4328642.55</v>
      </c>
      <c r="Q1863" t="s">
        <v>118</v>
      </c>
      <c r="R1863" s="1" t="s">
        <v>158</v>
      </c>
    </row>
    <row r="1864" spans="3:18" x14ac:dyDescent="0.35">
      <c r="C1864" t="s">
        <v>51</v>
      </c>
      <c r="D1864" t="s">
        <v>21</v>
      </c>
      <c r="E1864" t="s">
        <v>49</v>
      </c>
      <c r="F1864" t="s">
        <v>46</v>
      </c>
      <c r="G1864" s="58">
        <v>790315</v>
      </c>
      <c r="H1864" s="1" t="s">
        <v>47</v>
      </c>
      <c r="I1864" s="1" t="s">
        <v>108</v>
      </c>
      <c r="J1864" s="58">
        <v>21338505</v>
      </c>
      <c r="K1864" s="1" t="s">
        <v>106</v>
      </c>
      <c r="L1864" s="1" t="s">
        <v>114</v>
      </c>
      <c r="N1864" s="1">
        <v>1</v>
      </c>
      <c r="O1864" s="58"/>
      <c r="P1864" s="58">
        <v>221288.2</v>
      </c>
      <c r="Q1864" t="s">
        <v>107</v>
      </c>
      <c r="R1864" s="1" t="s">
        <v>158</v>
      </c>
    </row>
    <row r="1865" spans="3:18" x14ac:dyDescent="0.35">
      <c r="C1865" t="s">
        <v>53</v>
      </c>
      <c r="D1865" t="s">
        <v>24</v>
      </c>
      <c r="E1865" t="s">
        <v>49</v>
      </c>
      <c r="F1865" t="s">
        <v>46</v>
      </c>
      <c r="G1865" s="58">
        <v>95958</v>
      </c>
      <c r="H1865" s="1" t="s">
        <v>48</v>
      </c>
      <c r="I1865" s="1" t="s">
        <v>111</v>
      </c>
      <c r="J1865" s="58">
        <v>1151496</v>
      </c>
      <c r="K1865" s="1" t="s">
        <v>106</v>
      </c>
      <c r="L1865" s="1" t="s">
        <v>124</v>
      </c>
      <c r="M1865" s="1" t="s">
        <v>121</v>
      </c>
      <c r="N1865" s="1">
        <v>1</v>
      </c>
      <c r="O1865" s="58"/>
      <c r="P1865" s="58">
        <v>11514.96</v>
      </c>
      <c r="Q1865" t="s">
        <v>107</v>
      </c>
      <c r="R1865" s="1" t="s">
        <v>158</v>
      </c>
    </row>
    <row r="1866" spans="3:18" x14ac:dyDescent="0.35">
      <c r="C1866" t="s">
        <v>44</v>
      </c>
      <c r="D1866" t="s">
        <v>21</v>
      </c>
      <c r="E1866" t="s">
        <v>49</v>
      </c>
      <c r="F1866" t="s">
        <v>46</v>
      </c>
      <c r="G1866" s="58">
        <v>349917</v>
      </c>
      <c r="H1866" s="1" t="s">
        <v>59</v>
      </c>
      <c r="I1866" s="1" t="s">
        <v>108</v>
      </c>
      <c r="J1866" s="58"/>
      <c r="N1866" s="1">
        <v>0</v>
      </c>
      <c r="O1866" s="58"/>
      <c r="P1866" s="58"/>
      <c r="R1866" s="1" t="s">
        <v>158</v>
      </c>
    </row>
    <row r="1867" spans="3:18" x14ac:dyDescent="0.35">
      <c r="C1867" t="s">
        <v>53</v>
      </c>
      <c r="D1867" t="s">
        <v>21</v>
      </c>
      <c r="E1867" t="s">
        <v>45</v>
      </c>
      <c r="F1867" t="s">
        <v>46</v>
      </c>
      <c r="G1867" s="58">
        <v>16981372</v>
      </c>
      <c r="H1867" s="1" t="s">
        <v>48</v>
      </c>
      <c r="I1867" s="1" t="s">
        <v>119</v>
      </c>
      <c r="J1867" s="58">
        <v>135850976</v>
      </c>
      <c r="K1867" s="1" t="s">
        <v>106</v>
      </c>
      <c r="L1867" s="1" t="s">
        <v>120</v>
      </c>
      <c r="M1867" s="1" t="s">
        <v>126</v>
      </c>
      <c r="N1867" s="1">
        <v>1</v>
      </c>
      <c r="O1867" s="58"/>
      <c r="P1867" s="58">
        <v>11207705.52</v>
      </c>
      <c r="Q1867" t="s">
        <v>118</v>
      </c>
      <c r="R1867" s="1" t="s">
        <v>158</v>
      </c>
    </row>
    <row r="1868" spans="3:18" x14ac:dyDescent="0.35">
      <c r="C1868" t="s">
        <v>51</v>
      </c>
      <c r="D1868" t="s">
        <v>22</v>
      </c>
      <c r="E1868" t="s">
        <v>62</v>
      </c>
      <c r="F1868" t="s">
        <v>46</v>
      </c>
      <c r="G1868" s="58">
        <v>5338201</v>
      </c>
      <c r="H1868" s="1" t="s">
        <v>48</v>
      </c>
      <c r="I1868" s="1" t="s">
        <v>108</v>
      </c>
      <c r="J1868" s="58">
        <v>170822432</v>
      </c>
      <c r="K1868" s="1" t="s">
        <v>106</v>
      </c>
      <c r="L1868" s="1" t="s">
        <v>131</v>
      </c>
      <c r="M1868" s="1" t="s">
        <v>115</v>
      </c>
      <c r="N1868" s="1">
        <v>1</v>
      </c>
      <c r="O1868" s="58"/>
      <c r="P1868" s="58">
        <v>3790122.71</v>
      </c>
      <c r="Q1868" t="s">
        <v>118</v>
      </c>
      <c r="R1868" s="1" t="s">
        <v>48</v>
      </c>
    </row>
    <row r="1869" spans="3:18" x14ac:dyDescent="0.35">
      <c r="C1869" t="s">
        <v>51</v>
      </c>
      <c r="D1869" t="s">
        <v>21</v>
      </c>
      <c r="E1869" t="s">
        <v>49</v>
      </c>
      <c r="F1869" t="s">
        <v>46</v>
      </c>
      <c r="G1869" s="58">
        <v>63707</v>
      </c>
      <c r="H1869" s="1" t="s">
        <v>47</v>
      </c>
      <c r="I1869" s="1" t="s">
        <v>119</v>
      </c>
      <c r="J1869" s="58">
        <v>445949</v>
      </c>
      <c r="K1869" s="1" t="s">
        <v>106</v>
      </c>
      <c r="L1869" s="1" t="s">
        <v>114</v>
      </c>
      <c r="N1869" s="1">
        <v>1</v>
      </c>
      <c r="O1869" s="58"/>
      <c r="P1869" s="58">
        <v>30579.360000000001</v>
      </c>
      <c r="Q1869" t="s">
        <v>113</v>
      </c>
      <c r="R1869" s="1" t="s">
        <v>158</v>
      </c>
    </row>
    <row r="1870" spans="3:18" x14ac:dyDescent="0.35">
      <c r="C1870" t="s">
        <v>51</v>
      </c>
      <c r="D1870" t="s">
        <v>91</v>
      </c>
      <c r="E1870" t="s">
        <v>49</v>
      </c>
      <c r="F1870" t="s">
        <v>46</v>
      </c>
      <c r="G1870" s="58">
        <v>1436324</v>
      </c>
      <c r="H1870" s="1" t="s">
        <v>59</v>
      </c>
      <c r="I1870" s="1" t="s">
        <v>108</v>
      </c>
      <c r="J1870" s="58">
        <v>45962368</v>
      </c>
      <c r="K1870" s="1" t="s">
        <v>112</v>
      </c>
      <c r="N1870" s="1">
        <v>1</v>
      </c>
      <c r="O1870" s="58"/>
      <c r="P1870" s="58">
        <v>459623.67999999999</v>
      </c>
      <c r="Q1870" t="s">
        <v>107</v>
      </c>
      <c r="R1870" s="1" t="s">
        <v>158</v>
      </c>
    </row>
    <row r="1871" spans="3:18" x14ac:dyDescent="0.35">
      <c r="C1871" t="s">
        <v>53</v>
      </c>
      <c r="D1871" t="s">
        <v>92</v>
      </c>
      <c r="E1871" t="s">
        <v>49</v>
      </c>
      <c r="F1871" t="s">
        <v>46</v>
      </c>
      <c r="G1871" s="58">
        <v>769763</v>
      </c>
      <c r="H1871" s="1" t="s">
        <v>54</v>
      </c>
      <c r="I1871" s="1" t="s">
        <v>111</v>
      </c>
      <c r="J1871" s="58">
        <v>8467393</v>
      </c>
      <c r="K1871" s="1" t="s">
        <v>106</v>
      </c>
      <c r="L1871" s="1" t="s">
        <v>124</v>
      </c>
      <c r="N1871" s="1">
        <v>1</v>
      </c>
      <c r="O1871" s="58"/>
      <c r="P1871" s="58">
        <v>330998.09000000003</v>
      </c>
      <c r="Q1871" t="s">
        <v>113</v>
      </c>
      <c r="R1871" s="1" t="s">
        <v>158</v>
      </c>
    </row>
    <row r="1872" spans="3:18" x14ac:dyDescent="0.35">
      <c r="C1872" t="s">
        <v>51</v>
      </c>
      <c r="D1872" t="s">
        <v>22</v>
      </c>
      <c r="E1872" t="s">
        <v>49</v>
      </c>
      <c r="F1872" t="s">
        <v>46</v>
      </c>
      <c r="G1872" s="58">
        <v>28441</v>
      </c>
      <c r="H1872" s="1" t="s">
        <v>54</v>
      </c>
      <c r="I1872" s="1" t="s">
        <v>119</v>
      </c>
      <c r="J1872" s="58">
        <v>199087</v>
      </c>
      <c r="K1872" s="1" t="s">
        <v>106</v>
      </c>
      <c r="L1872" s="1" t="s">
        <v>124</v>
      </c>
      <c r="N1872" s="1">
        <v>1</v>
      </c>
      <c r="O1872" s="58"/>
      <c r="P1872" s="58">
        <v>42092.68</v>
      </c>
      <c r="Q1872" t="s">
        <v>110</v>
      </c>
      <c r="R1872" s="1" t="s">
        <v>158</v>
      </c>
    </row>
    <row r="1873" spans="3:18" x14ac:dyDescent="0.35">
      <c r="C1873" t="s">
        <v>53</v>
      </c>
      <c r="D1873" t="s">
        <v>23</v>
      </c>
      <c r="E1873" t="s">
        <v>55</v>
      </c>
      <c r="F1873" t="s">
        <v>46</v>
      </c>
      <c r="G1873" s="58">
        <v>266769</v>
      </c>
      <c r="H1873" s="1" t="s">
        <v>54</v>
      </c>
      <c r="I1873" s="1" t="s">
        <v>119</v>
      </c>
      <c r="J1873" s="58">
        <v>1600614</v>
      </c>
      <c r="K1873" s="1" t="s">
        <v>106</v>
      </c>
      <c r="L1873" s="1" t="s">
        <v>120</v>
      </c>
      <c r="N1873" s="1">
        <v>1</v>
      </c>
      <c r="O1873" s="58"/>
      <c r="P1873" s="58">
        <v>16006.14</v>
      </c>
      <c r="Q1873" t="s">
        <v>107</v>
      </c>
      <c r="R1873" s="1" t="s">
        <v>158</v>
      </c>
    </row>
    <row r="1874" spans="3:18" x14ac:dyDescent="0.35">
      <c r="C1874" t="s">
        <v>51</v>
      </c>
      <c r="D1874" t="s">
        <v>23</v>
      </c>
      <c r="E1874" t="s">
        <v>50</v>
      </c>
      <c r="F1874" t="s">
        <v>46</v>
      </c>
      <c r="G1874" s="58">
        <v>336457</v>
      </c>
      <c r="H1874" s="1" t="s">
        <v>48</v>
      </c>
      <c r="I1874" s="1" t="s">
        <v>108</v>
      </c>
      <c r="J1874" s="58">
        <v>11103081</v>
      </c>
      <c r="K1874" s="1" t="s">
        <v>106</v>
      </c>
      <c r="L1874" s="1" t="s">
        <v>124</v>
      </c>
      <c r="M1874" s="1" t="s">
        <v>126</v>
      </c>
      <c r="N1874" s="1">
        <v>1</v>
      </c>
      <c r="O1874" s="58"/>
      <c r="P1874" s="58">
        <v>252342.75</v>
      </c>
      <c r="Q1874" t="s">
        <v>118</v>
      </c>
      <c r="R1874" s="1" t="s">
        <v>48</v>
      </c>
    </row>
    <row r="1875" spans="3:18" x14ac:dyDescent="0.35">
      <c r="C1875" t="s">
        <v>51</v>
      </c>
      <c r="D1875" t="s">
        <v>22</v>
      </c>
      <c r="E1875" t="s">
        <v>45</v>
      </c>
      <c r="F1875" t="s">
        <v>46</v>
      </c>
      <c r="G1875" s="58">
        <v>345379</v>
      </c>
      <c r="H1875" s="1" t="s">
        <v>48</v>
      </c>
      <c r="I1875" s="1" t="s">
        <v>119</v>
      </c>
      <c r="J1875" s="58">
        <v>3108411</v>
      </c>
      <c r="K1875" s="1" t="s">
        <v>112</v>
      </c>
      <c r="N1875" s="1">
        <v>1</v>
      </c>
      <c r="O1875" s="58"/>
      <c r="P1875" s="58">
        <v>103613.7</v>
      </c>
      <c r="Q1875" t="s">
        <v>107</v>
      </c>
      <c r="R1875" s="1" t="s">
        <v>158</v>
      </c>
    </row>
    <row r="1876" spans="3:18" x14ac:dyDescent="0.35">
      <c r="C1876" t="s">
        <v>51</v>
      </c>
      <c r="D1876" t="s">
        <v>23</v>
      </c>
      <c r="E1876" t="s">
        <v>55</v>
      </c>
      <c r="F1876" t="s">
        <v>46</v>
      </c>
      <c r="G1876" s="58">
        <v>7470941</v>
      </c>
      <c r="H1876" s="1" t="s">
        <v>47</v>
      </c>
      <c r="I1876" s="1" t="s">
        <v>108</v>
      </c>
      <c r="J1876" s="58">
        <v>201715407</v>
      </c>
      <c r="K1876" s="1" t="s">
        <v>106</v>
      </c>
      <c r="L1876" s="1" t="s">
        <v>120</v>
      </c>
      <c r="N1876" s="1">
        <v>1</v>
      </c>
      <c r="O1876" s="58"/>
      <c r="P1876" s="58">
        <v>3884889.32</v>
      </c>
      <c r="Q1876" t="s">
        <v>113</v>
      </c>
      <c r="R1876" s="1" t="s">
        <v>158</v>
      </c>
    </row>
    <row r="1877" spans="3:18" x14ac:dyDescent="0.35">
      <c r="C1877" t="s">
        <v>53</v>
      </c>
      <c r="D1877" t="s">
        <v>23</v>
      </c>
      <c r="E1877" t="s">
        <v>45</v>
      </c>
      <c r="F1877" t="s">
        <v>46</v>
      </c>
      <c r="G1877" s="58">
        <v>737928</v>
      </c>
      <c r="H1877" s="1" t="s">
        <v>56</v>
      </c>
      <c r="I1877" s="1" t="s">
        <v>105</v>
      </c>
      <c r="J1877" s="58">
        <v>1475856</v>
      </c>
      <c r="K1877" s="1" t="s">
        <v>106</v>
      </c>
      <c r="L1877" s="1" t="s">
        <v>120</v>
      </c>
      <c r="N1877" s="1">
        <v>1</v>
      </c>
      <c r="O1877" s="58"/>
      <c r="P1877" s="58">
        <v>125447.76</v>
      </c>
      <c r="Q1877" t="s">
        <v>107</v>
      </c>
      <c r="R1877" s="1" t="s">
        <v>158</v>
      </c>
    </row>
    <row r="1878" spans="3:18" x14ac:dyDescent="0.35">
      <c r="C1878" t="s">
        <v>51</v>
      </c>
      <c r="D1878" t="s">
        <v>24</v>
      </c>
      <c r="E1878" t="s">
        <v>50</v>
      </c>
      <c r="F1878" t="s">
        <v>46</v>
      </c>
      <c r="G1878" s="58">
        <v>49313</v>
      </c>
      <c r="H1878" s="1" t="s">
        <v>59</v>
      </c>
      <c r="I1878" s="1" t="s">
        <v>108</v>
      </c>
      <c r="J1878" s="58">
        <v>1824581</v>
      </c>
      <c r="K1878" s="1" t="s">
        <v>112</v>
      </c>
      <c r="N1878" s="1">
        <v>1</v>
      </c>
      <c r="O1878" s="58"/>
      <c r="P1878" s="58">
        <v>3945.04</v>
      </c>
      <c r="Q1878" t="s">
        <v>107</v>
      </c>
      <c r="R1878" s="1" t="s">
        <v>158</v>
      </c>
    </row>
    <row r="1879" spans="3:18" x14ac:dyDescent="0.35">
      <c r="C1879" t="s">
        <v>51</v>
      </c>
      <c r="D1879" t="s">
        <v>24</v>
      </c>
      <c r="E1879" t="s">
        <v>55</v>
      </c>
      <c r="F1879" t="s">
        <v>46</v>
      </c>
      <c r="G1879" s="58">
        <v>3815853</v>
      </c>
      <c r="H1879" s="1" t="s">
        <v>47</v>
      </c>
      <c r="I1879" s="1" t="s">
        <v>111</v>
      </c>
      <c r="J1879" s="58">
        <v>68685354</v>
      </c>
      <c r="K1879" s="1" t="s">
        <v>112</v>
      </c>
      <c r="N1879" s="1">
        <v>1</v>
      </c>
      <c r="O1879" s="58"/>
      <c r="P1879" s="58">
        <v>2594780.04</v>
      </c>
      <c r="Q1879" t="s">
        <v>118</v>
      </c>
      <c r="R1879" s="1" t="s">
        <v>158</v>
      </c>
    </row>
    <row r="1880" spans="3:18" x14ac:dyDescent="0.35">
      <c r="C1880" t="s">
        <v>51</v>
      </c>
      <c r="D1880" t="s">
        <v>25</v>
      </c>
      <c r="E1880" t="s">
        <v>45</v>
      </c>
      <c r="F1880" t="s">
        <v>46</v>
      </c>
      <c r="G1880" s="58">
        <v>227638</v>
      </c>
      <c r="H1880" s="1" t="s">
        <v>47</v>
      </c>
      <c r="I1880" s="1" t="s">
        <v>111</v>
      </c>
      <c r="J1880" s="58">
        <v>4325122</v>
      </c>
      <c r="K1880" s="1" t="s">
        <v>106</v>
      </c>
      <c r="L1880" s="1" t="s">
        <v>120</v>
      </c>
      <c r="N1880" s="1">
        <v>1</v>
      </c>
      <c r="O1880" s="58"/>
      <c r="P1880" s="58">
        <v>136582.79999999999</v>
      </c>
      <c r="Q1880" t="s">
        <v>118</v>
      </c>
      <c r="R1880" s="1" t="s">
        <v>158</v>
      </c>
    </row>
    <row r="1881" spans="3:18" x14ac:dyDescent="0.35">
      <c r="C1881" t="s">
        <v>51</v>
      </c>
      <c r="D1881" t="s">
        <v>22</v>
      </c>
      <c r="E1881" t="s">
        <v>45</v>
      </c>
      <c r="F1881" t="s">
        <v>64</v>
      </c>
      <c r="G1881" s="58">
        <v>221205</v>
      </c>
      <c r="H1881" s="1" t="s">
        <v>56</v>
      </c>
      <c r="I1881" s="1" t="s">
        <v>108</v>
      </c>
      <c r="J1881" s="58">
        <v>6414945</v>
      </c>
      <c r="K1881" s="1" t="s">
        <v>106</v>
      </c>
      <c r="L1881" s="1" t="s">
        <v>120</v>
      </c>
      <c r="N1881" s="1">
        <v>1</v>
      </c>
      <c r="O1881" s="58"/>
      <c r="P1881" s="58">
        <v>70785.600000000006</v>
      </c>
      <c r="Q1881" t="s">
        <v>107</v>
      </c>
      <c r="R1881" s="1" t="s">
        <v>158</v>
      </c>
    </row>
    <row r="1882" spans="3:18" x14ac:dyDescent="0.35">
      <c r="C1882" t="s">
        <v>51</v>
      </c>
      <c r="D1882" t="s">
        <v>22</v>
      </c>
      <c r="E1882" t="s">
        <v>45</v>
      </c>
      <c r="F1882" t="s">
        <v>46</v>
      </c>
      <c r="G1882" s="58">
        <v>230950</v>
      </c>
      <c r="H1882" s="1" t="s">
        <v>56</v>
      </c>
      <c r="I1882" s="1" t="s">
        <v>119</v>
      </c>
      <c r="J1882" s="58">
        <v>2078550</v>
      </c>
      <c r="K1882" s="1" t="s">
        <v>106</v>
      </c>
      <c r="L1882" s="1" t="s">
        <v>120</v>
      </c>
      <c r="N1882" s="1">
        <v>1</v>
      </c>
      <c r="O1882" s="58"/>
      <c r="P1882" s="58">
        <v>189379</v>
      </c>
      <c r="Q1882" t="s">
        <v>127</v>
      </c>
      <c r="R1882" s="1" t="s">
        <v>158</v>
      </c>
    </row>
    <row r="1883" spans="3:18" x14ac:dyDescent="0.35">
      <c r="C1883" t="s">
        <v>51</v>
      </c>
      <c r="D1883" t="s">
        <v>92</v>
      </c>
      <c r="E1883" t="s">
        <v>49</v>
      </c>
      <c r="F1883" t="s">
        <v>46</v>
      </c>
      <c r="G1883" s="58">
        <v>289764</v>
      </c>
      <c r="H1883" s="1" t="s">
        <v>48</v>
      </c>
      <c r="I1883" s="1" t="s">
        <v>108</v>
      </c>
      <c r="J1883" s="58">
        <v>10721268</v>
      </c>
      <c r="K1883" s="1" t="s">
        <v>106</v>
      </c>
      <c r="L1883" s="1" t="s">
        <v>114</v>
      </c>
      <c r="M1883" s="1" t="s">
        <v>121</v>
      </c>
      <c r="N1883" s="1">
        <v>1</v>
      </c>
      <c r="O1883" s="58"/>
      <c r="P1883" s="58">
        <v>118803.24</v>
      </c>
      <c r="Q1883" t="s">
        <v>113</v>
      </c>
      <c r="R1883" s="1" t="s">
        <v>158</v>
      </c>
    </row>
    <row r="1884" spans="3:18" x14ac:dyDescent="0.35">
      <c r="C1884" t="s">
        <v>53</v>
      </c>
      <c r="D1884" t="s">
        <v>21</v>
      </c>
      <c r="E1884" t="s">
        <v>49</v>
      </c>
      <c r="F1884" t="s">
        <v>46</v>
      </c>
      <c r="G1884" s="58">
        <v>31215611</v>
      </c>
      <c r="H1884" s="1" t="s">
        <v>47</v>
      </c>
      <c r="I1884" s="1" t="s">
        <v>105</v>
      </c>
      <c r="J1884" s="58">
        <v>124862444</v>
      </c>
      <c r="K1884" s="1" t="s">
        <v>106</v>
      </c>
      <c r="L1884" s="1" t="s">
        <v>124</v>
      </c>
      <c r="N1884" s="1">
        <v>1</v>
      </c>
      <c r="O1884" s="58"/>
      <c r="P1884" s="58">
        <v>23411708.25</v>
      </c>
      <c r="Q1884" t="s">
        <v>118</v>
      </c>
      <c r="R1884" s="1" t="s">
        <v>158</v>
      </c>
    </row>
    <row r="1885" spans="3:18" x14ac:dyDescent="0.35">
      <c r="C1885" t="s">
        <v>51</v>
      </c>
      <c r="D1885" t="s">
        <v>23</v>
      </c>
      <c r="E1885" t="s">
        <v>55</v>
      </c>
      <c r="F1885" t="s">
        <v>46</v>
      </c>
      <c r="G1885" s="58">
        <v>323366</v>
      </c>
      <c r="H1885" s="1" t="s">
        <v>48</v>
      </c>
      <c r="I1885" s="1" t="s">
        <v>111</v>
      </c>
      <c r="J1885" s="58">
        <v>5497222</v>
      </c>
      <c r="K1885" s="1" t="s">
        <v>106</v>
      </c>
      <c r="L1885" s="1" t="s">
        <v>120</v>
      </c>
      <c r="M1885" s="1" t="s">
        <v>115</v>
      </c>
      <c r="N1885" s="1">
        <v>1</v>
      </c>
      <c r="O1885" s="58"/>
      <c r="P1885" s="58">
        <v>171383.98</v>
      </c>
      <c r="Q1885" t="s">
        <v>113</v>
      </c>
      <c r="R1885" s="1" t="s">
        <v>158</v>
      </c>
    </row>
    <row r="1886" spans="3:18" x14ac:dyDescent="0.35">
      <c r="C1886" t="s">
        <v>51</v>
      </c>
      <c r="D1886" t="s">
        <v>22</v>
      </c>
      <c r="E1886" t="s">
        <v>52</v>
      </c>
      <c r="F1886" t="s">
        <v>46</v>
      </c>
      <c r="G1886" s="58">
        <v>890828</v>
      </c>
      <c r="H1886" s="1" t="s">
        <v>48</v>
      </c>
      <c r="I1886" s="1" t="s">
        <v>111</v>
      </c>
      <c r="J1886" s="58">
        <v>15144076</v>
      </c>
      <c r="K1886" s="1" t="s">
        <v>106</v>
      </c>
      <c r="L1886" s="1" t="s">
        <v>130</v>
      </c>
      <c r="M1886" s="1" t="s">
        <v>115</v>
      </c>
      <c r="N1886" s="1">
        <v>1</v>
      </c>
      <c r="O1886" s="58"/>
      <c r="P1886" s="58">
        <v>623579.6</v>
      </c>
      <c r="Q1886" t="s">
        <v>118</v>
      </c>
      <c r="R1886" s="1" t="s">
        <v>48</v>
      </c>
    </row>
    <row r="1887" spans="3:18" x14ac:dyDescent="0.35">
      <c r="C1887" t="s">
        <v>51</v>
      </c>
      <c r="D1887" t="s">
        <v>20</v>
      </c>
      <c r="E1887" t="s">
        <v>49</v>
      </c>
      <c r="F1887" t="s">
        <v>64</v>
      </c>
      <c r="G1887" s="58">
        <v>199641</v>
      </c>
      <c r="H1887" s="1" t="s">
        <v>47</v>
      </c>
      <c r="I1887" s="1" t="s">
        <v>108</v>
      </c>
      <c r="J1887" s="58">
        <v>4192461</v>
      </c>
      <c r="K1887" s="1" t="s">
        <v>112</v>
      </c>
      <c r="N1887" s="1">
        <v>1</v>
      </c>
      <c r="O1887" s="58"/>
      <c r="P1887" s="58">
        <v>53903.07</v>
      </c>
      <c r="Q1887" t="s">
        <v>107</v>
      </c>
      <c r="R1887" s="1" t="s">
        <v>158</v>
      </c>
    </row>
    <row r="1888" spans="3:18" x14ac:dyDescent="0.35">
      <c r="C1888" t="s">
        <v>51</v>
      </c>
      <c r="D1888" t="s">
        <v>21</v>
      </c>
      <c r="E1888" t="s">
        <v>55</v>
      </c>
      <c r="F1888" t="s">
        <v>46</v>
      </c>
      <c r="G1888" s="58">
        <v>26144</v>
      </c>
      <c r="H1888" s="1" t="s">
        <v>48</v>
      </c>
      <c r="I1888" s="1" t="s">
        <v>119</v>
      </c>
      <c r="J1888" s="58">
        <v>183008</v>
      </c>
      <c r="K1888" s="1" t="s">
        <v>106</v>
      </c>
      <c r="L1888" s="1" t="s">
        <v>114</v>
      </c>
      <c r="M1888" s="1" t="s">
        <v>115</v>
      </c>
      <c r="N1888" s="1">
        <v>1</v>
      </c>
      <c r="O1888" s="58"/>
      <c r="P1888" s="58">
        <v>5228.8</v>
      </c>
      <c r="Q1888" t="s">
        <v>107</v>
      </c>
      <c r="R1888" s="1" t="s">
        <v>48</v>
      </c>
    </row>
    <row r="1889" spans="3:18" x14ac:dyDescent="0.35">
      <c r="C1889" t="s">
        <v>51</v>
      </c>
      <c r="D1889" t="s">
        <v>23</v>
      </c>
      <c r="E1889" t="s">
        <v>55</v>
      </c>
      <c r="F1889" t="s">
        <v>46</v>
      </c>
      <c r="G1889" s="58">
        <v>296490</v>
      </c>
      <c r="H1889" s="1" t="s">
        <v>47</v>
      </c>
      <c r="I1889" s="1" t="s">
        <v>111</v>
      </c>
      <c r="J1889" s="58">
        <v>5336820</v>
      </c>
      <c r="K1889" s="1" t="s">
        <v>106</v>
      </c>
      <c r="L1889" s="1" t="s">
        <v>124</v>
      </c>
      <c r="N1889" s="1">
        <v>1</v>
      </c>
      <c r="O1889" s="58"/>
      <c r="P1889" s="58">
        <v>228297.3</v>
      </c>
      <c r="Q1889" t="s">
        <v>118</v>
      </c>
      <c r="R1889" s="1" t="s">
        <v>158</v>
      </c>
    </row>
    <row r="1890" spans="3:18" x14ac:dyDescent="0.35">
      <c r="C1890" t="s">
        <v>53</v>
      </c>
      <c r="D1890" t="s">
        <v>24</v>
      </c>
      <c r="E1890" t="s">
        <v>50</v>
      </c>
      <c r="F1890" t="s">
        <v>46</v>
      </c>
      <c r="G1890" s="58">
        <v>92620</v>
      </c>
      <c r="H1890" s="1" t="s">
        <v>48</v>
      </c>
      <c r="I1890" s="1" t="s">
        <v>108</v>
      </c>
      <c r="J1890" s="58">
        <v>2222880</v>
      </c>
      <c r="K1890" s="1" t="s">
        <v>106</v>
      </c>
      <c r="L1890" s="1" t="s">
        <v>109</v>
      </c>
      <c r="M1890" s="1" t="s">
        <v>121</v>
      </c>
      <c r="N1890" s="1">
        <v>1</v>
      </c>
      <c r="O1890" s="58"/>
      <c r="P1890" s="58">
        <v>42605.2</v>
      </c>
      <c r="Q1890" t="s">
        <v>113</v>
      </c>
      <c r="R1890" s="1" t="s">
        <v>158</v>
      </c>
    </row>
    <row r="1891" spans="3:18" x14ac:dyDescent="0.35">
      <c r="C1891" t="s">
        <v>51</v>
      </c>
      <c r="D1891" t="s">
        <v>22</v>
      </c>
      <c r="E1891" t="s">
        <v>45</v>
      </c>
      <c r="F1891" t="s">
        <v>64</v>
      </c>
      <c r="G1891" s="58">
        <v>315283</v>
      </c>
      <c r="H1891" s="1" t="s">
        <v>48</v>
      </c>
      <c r="I1891" s="1" t="s">
        <v>111</v>
      </c>
      <c r="J1891" s="58">
        <v>5675094</v>
      </c>
      <c r="K1891" s="1" t="s">
        <v>112</v>
      </c>
      <c r="N1891" s="1">
        <v>1</v>
      </c>
      <c r="O1891" s="58"/>
      <c r="P1891" s="58">
        <v>217545.27</v>
      </c>
      <c r="Q1891" t="s">
        <v>118</v>
      </c>
      <c r="R1891" s="1" t="s">
        <v>158</v>
      </c>
    </row>
    <row r="1892" spans="3:18" x14ac:dyDescent="0.35">
      <c r="C1892" t="s">
        <v>51</v>
      </c>
      <c r="D1892" t="s">
        <v>22</v>
      </c>
      <c r="E1892" t="s">
        <v>45</v>
      </c>
      <c r="F1892" t="s">
        <v>46</v>
      </c>
      <c r="G1892" s="58">
        <v>3942</v>
      </c>
      <c r="H1892" s="1" t="s">
        <v>48</v>
      </c>
      <c r="I1892" s="1" t="s">
        <v>105</v>
      </c>
      <c r="J1892" s="58">
        <v>3942</v>
      </c>
      <c r="K1892" s="1" t="s">
        <v>106</v>
      </c>
      <c r="L1892" s="1" t="s">
        <v>120</v>
      </c>
      <c r="M1892" s="1" t="s">
        <v>115</v>
      </c>
      <c r="N1892" s="1">
        <v>1</v>
      </c>
      <c r="O1892" s="58"/>
      <c r="P1892" s="58">
        <v>2641.14</v>
      </c>
      <c r="Q1892" t="s">
        <v>118</v>
      </c>
      <c r="R1892" s="1" t="s">
        <v>158</v>
      </c>
    </row>
    <row r="1893" spans="3:18" x14ac:dyDescent="0.35">
      <c r="C1893" t="s">
        <v>53</v>
      </c>
      <c r="D1893" t="s">
        <v>20</v>
      </c>
      <c r="E1893" t="s">
        <v>45</v>
      </c>
      <c r="F1893" t="s">
        <v>46</v>
      </c>
      <c r="G1893" s="58">
        <v>865354</v>
      </c>
      <c r="H1893" s="1" t="s">
        <v>47</v>
      </c>
      <c r="I1893" s="1" t="s">
        <v>111</v>
      </c>
      <c r="J1893" s="58">
        <v>10384248</v>
      </c>
      <c r="K1893" s="1" t="s">
        <v>106</v>
      </c>
      <c r="L1893" s="1" t="s">
        <v>120</v>
      </c>
      <c r="N1893" s="1">
        <v>1</v>
      </c>
      <c r="O1893" s="58"/>
      <c r="P1893" s="58">
        <v>562480.1</v>
      </c>
      <c r="Q1893" t="s">
        <v>118</v>
      </c>
      <c r="R1893" s="1" t="s">
        <v>158</v>
      </c>
    </row>
    <row r="1894" spans="3:18" x14ac:dyDescent="0.35">
      <c r="C1894" t="s">
        <v>53</v>
      </c>
      <c r="D1894" t="s">
        <v>21</v>
      </c>
      <c r="E1894" t="s">
        <v>45</v>
      </c>
      <c r="F1894" t="s">
        <v>46</v>
      </c>
      <c r="G1894" s="58">
        <v>32103354</v>
      </c>
      <c r="H1894" s="1" t="s">
        <v>54</v>
      </c>
      <c r="I1894" s="1" t="s">
        <v>119</v>
      </c>
      <c r="J1894" s="58">
        <v>256826832</v>
      </c>
      <c r="K1894" s="1" t="s">
        <v>106</v>
      </c>
      <c r="L1894" s="1" t="s">
        <v>120</v>
      </c>
      <c r="N1894" s="1">
        <v>1</v>
      </c>
      <c r="O1894" s="58"/>
      <c r="P1894" s="58">
        <v>16372710.539999999</v>
      </c>
      <c r="Q1894" t="s">
        <v>113</v>
      </c>
      <c r="R1894" s="1" t="s">
        <v>158</v>
      </c>
    </row>
    <row r="1895" spans="3:18" x14ac:dyDescent="0.35">
      <c r="C1895" t="s">
        <v>44</v>
      </c>
      <c r="D1895" t="s">
        <v>19</v>
      </c>
      <c r="E1895" t="s">
        <v>49</v>
      </c>
      <c r="F1895" t="s">
        <v>46</v>
      </c>
      <c r="G1895" s="58">
        <v>2327766</v>
      </c>
      <c r="H1895" s="1" t="s">
        <v>47</v>
      </c>
      <c r="I1895" s="1" t="s">
        <v>108</v>
      </c>
      <c r="J1895" s="58"/>
      <c r="N1895" s="1">
        <v>0</v>
      </c>
      <c r="O1895" s="58"/>
      <c r="P1895" s="58"/>
      <c r="R1895" s="1" t="s">
        <v>158</v>
      </c>
    </row>
    <row r="1896" spans="3:18" x14ac:dyDescent="0.35">
      <c r="C1896" t="s">
        <v>51</v>
      </c>
      <c r="D1896" t="s">
        <v>21</v>
      </c>
      <c r="E1896" t="s">
        <v>45</v>
      </c>
      <c r="F1896" t="s">
        <v>46</v>
      </c>
      <c r="G1896" s="58">
        <v>216709</v>
      </c>
      <c r="H1896" s="1" t="s">
        <v>47</v>
      </c>
      <c r="I1896" s="1" t="s">
        <v>119</v>
      </c>
      <c r="J1896" s="58">
        <v>2167090</v>
      </c>
      <c r="K1896" s="1" t="s">
        <v>106</v>
      </c>
      <c r="L1896" s="1" t="s">
        <v>120</v>
      </c>
      <c r="N1896" s="1">
        <v>1</v>
      </c>
      <c r="O1896" s="58"/>
      <c r="P1896" s="58">
        <v>173367.2</v>
      </c>
      <c r="Q1896" t="s">
        <v>127</v>
      </c>
      <c r="R1896" s="1" t="s">
        <v>158</v>
      </c>
    </row>
    <row r="1897" spans="3:18" x14ac:dyDescent="0.35">
      <c r="C1897" t="s">
        <v>51</v>
      </c>
      <c r="D1897" t="s">
        <v>21</v>
      </c>
      <c r="E1897" t="s">
        <v>49</v>
      </c>
      <c r="F1897" t="s">
        <v>64</v>
      </c>
      <c r="G1897" s="58">
        <v>1366421</v>
      </c>
      <c r="H1897" s="1" t="s">
        <v>48</v>
      </c>
      <c r="I1897" s="1" t="s">
        <v>108</v>
      </c>
      <c r="J1897" s="58">
        <v>47824735</v>
      </c>
      <c r="K1897" s="1" t="s">
        <v>112</v>
      </c>
      <c r="N1897" s="1">
        <v>1</v>
      </c>
      <c r="O1897" s="58"/>
      <c r="P1897" s="58">
        <v>1065808.3799999999</v>
      </c>
      <c r="Q1897" t="s">
        <v>118</v>
      </c>
      <c r="R1897" s="1" t="s">
        <v>48</v>
      </c>
    </row>
    <row r="1898" spans="3:18" x14ac:dyDescent="0.35">
      <c r="C1898" t="s">
        <v>51</v>
      </c>
      <c r="D1898" t="s">
        <v>22</v>
      </c>
      <c r="E1898" t="s">
        <v>45</v>
      </c>
      <c r="F1898" t="s">
        <v>46</v>
      </c>
      <c r="G1898" s="58">
        <v>379068</v>
      </c>
      <c r="H1898" s="1" t="s">
        <v>48</v>
      </c>
      <c r="I1898" s="1" t="s">
        <v>108</v>
      </c>
      <c r="J1898" s="58">
        <v>7581360</v>
      </c>
      <c r="K1898" s="1" t="s">
        <v>106</v>
      </c>
      <c r="L1898" s="1" t="s">
        <v>120</v>
      </c>
      <c r="M1898" s="1" t="s">
        <v>125</v>
      </c>
      <c r="N1898" s="1">
        <v>1</v>
      </c>
      <c r="O1898" s="58"/>
      <c r="P1898" s="58">
        <v>223650.12</v>
      </c>
      <c r="Q1898" t="s">
        <v>113</v>
      </c>
      <c r="R1898" s="1" t="s">
        <v>158</v>
      </c>
    </row>
    <row r="1899" spans="3:18" x14ac:dyDescent="0.35">
      <c r="C1899" t="s">
        <v>53</v>
      </c>
      <c r="D1899" t="s">
        <v>21</v>
      </c>
      <c r="E1899" t="s">
        <v>45</v>
      </c>
      <c r="F1899" t="s">
        <v>46</v>
      </c>
      <c r="G1899" s="58">
        <v>29565</v>
      </c>
      <c r="H1899" s="1" t="s">
        <v>54</v>
      </c>
      <c r="I1899" s="1" t="s">
        <v>108</v>
      </c>
      <c r="J1899" s="58">
        <v>768690</v>
      </c>
      <c r="K1899" s="1" t="s">
        <v>106</v>
      </c>
      <c r="L1899" s="1" t="s">
        <v>120</v>
      </c>
      <c r="N1899" s="1">
        <v>1</v>
      </c>
      <c r="O1899" s="58"/>
      <c r="P1899" s="58">
        <v>10347.75</v>
      </c>
      <c r="Q1899" t="s">
        <v>107</v>
      </c>
      <c r="R1899" s="1" t="s">
        <v>158</v>
      </c>
    </row>
    <row r="1900" spans="3:18" x14ac:dyDescent="0.35">
      <c r="C1900" t="s">
        <v>51</v>
      </c>
      <c r="D1900" t="s">
        <v>22</v>
      </c>
      <c r="E1900" t="s">
        <v>45</v>
      </c>
      <c r="F1900" t="s">
        <v>46</v>
      </c>
      <c r="G1900" s="58">
        <v>681889</v>
      </c>
      <c r="H1900" s="1" t="s">
        <v>56</v>
      </c>
      <c r="I1900" s="1" t="s">
        <v>128</v>
      </c>
      <c r="J1900" s="58"/>
      <c r="K1900" s="1" t="s">
        <v>106</v>
      </c>
      <c r="L1900" s="1" t="s">
        <v>124</v>
      </c>
      <c r="N1900" s="1">
        <v>0</v>
      </c>
      <c r="O1900" s="58"/>
      <c r="P1900" s="58">
        <v>190928.92</v>
      </c>
      <c r="Q1900" t="s">
        <v>107</v>
      </c>
      <c r="R1900" s="1" t="s">
        <v>158</v>
      </c>
    </row>
    <row r="1901" spans="3:18" x14ac:dyDescent="0.35">
      <c r="C1901" t="s">
        <v>51</v>
      </c>
      <c r="D1901" t="s">
        <v>19</v>
      </c>
      <c r="E1901" t="s">
        <v>49</v>
      </c>
      <c r="F1901" t="s">
        <v>46</v>
      </c>
      <c r="G1901" s="58">
        <v>131559</v>
      </c>
      <c r="H1901" s="1" t="s">
        <v>54</v>
      </c>
      <c r="I1901" s="1" t="s">
        <v>105</v>
      </c>
      <c r="J1901" s="58">
        <v>526236</v>
      </c>
      <c r="K1901" s="1" t="s">
        <v>106</v>
      </c>
      <c r="L1901" s="1" t="s">
        <v>124</v>
      </c>
      <c r="N1901" s="1">
        <v>1</v>
      </c>
      <c r="O1901" s="58"/>
      <c r="P1901" s="58">
        <v>59201.55</v>
      </c>
      <c r="Q1901" t="s">
        <v>113</v>
      </c>
      <c r="R1901" s="1" t="s">
        <v>158</v>
      </c>
    </row>
    <row r="1902" spans="3:18" x14ac:dyDescent="0.35">
      <c r="C1902" t="s">
        <v>51</v>
      </c>
      <c r="D1902" t="s">
        <v>20</v>
      </c>
      <c r="E1902" t="s">
        <v>49</v>
      </c>
      <c r="F1902" t="s">
        <v>46</v>
      </c>
      <c r="G1902" s="58">
        <v>81814</v>
      </c>
      <c r="H1902" s="1" t="s">
        <v>48</v>
      </c>
      <c r="I1902" s="1" t="s">
        <v>108</v>
      </c>
      <c r="J1902" s="58">
        <v>3190746</v>
      </c>
      <c r="K1902" s="1" t="s">
        <v>106</v>
      </c>
      <c r="L1902" s="1" t="s">
        <v>114</v>
      </c>
      <c r="M1902" s="1" t="s">
        <v>123</v>
      </c>
      <c r="N1902" s="1">
        <v>1</v>
      </c>
      <c r="O1902" s="58"/>
      <c r="P1902" s="58">
        <v>28634.9</v>
      </c>
      <c r="Q1902" t="s">
        <v>107</v>
      </c>
      <c r="R1902" s="1" t="s">
        <v>48</v>
      </c>
    </row>
    <row r="1903" spans="3:18" x14ac:dyDescent="0.35">
      <c r="C1903" t="s">
        <v>53</v>
      </c>
      <c r="D1903" t="s">
        <v>23</v>
      </c>
      <c r="E1903" t="s">
        <v>55</v>
      </c>
      <c r="F1903" t="s">
        <v>46</v>
      </c>
      <c r="G1903" s="58">
        <v>10021</v>
      </c>
      <c r="H1903" s="1" t="s">
        <v>47</v>
      </c>
      <c r="I1903" s="1" t="s">
        <v>128</v>
      </c>
      <c r="J1903" s="58"/>
      <c r="K1903" s="1" t="s">
        <v>106</v>
      </c>
      <c r="L1903" s="1" t="s">
        <v>114</v>
      </c>
      <c r="N1903" s="1">
        <v>0</v>
      </c>
      <c r="O1903" s="58"/>
      <c r="P1903" s="58">
        <v>100.21</v>
      </c>
      <c r="Q1903" t="s">
        <v>107</v>
      </c>
      <c r="R1903" s="1" t="s">
        <v>158</v>
      </c>
    </row>
    <row r="1904" spans="3:18" x14ac:dyDescent="0.35">
      <c r="C1904" t="s">
        <v>53</v>
      </c>
      <c r="D1904" t="s">
        <v>22</v>
      </c>
      <c r="E1904" t="s">
        <v>49</v>
      </c>
      <c r="F1904" t="s">
        <v>46</v>
      </c>
      <c r="G1904" s="58">
        <v>617120</v>
      </c>
      <c r="H1904" s="1" t="s">
        <v>54</v>
      </c>
      <c r="I1904" s="1" t="s">
        <v>119</v>
      </c>
      <c r="J1904" s="58">
        <v>4319840</v>
      </c>
      <c r="K1904" s="1" t="s">
        <v>106</v>
      </c>
      <c r="L1904" s="1" t="s">
        <v>124</v>
      </c>
      <c r="N1904" s="1">
        <v>1</v>
      </c>
      <c r="O1904" s="58"/>
      <c r="P1904" s="58">
        <v>826940.8</v>
      </c>
      <c r="Q1904" t="s">
        <v>110</v>
      </c>
      <c r="R1904" s="1" t="s">
        <v>158</v>
      </c>
    </row>
    <row r="1905" spans="3:18" x14ac:dyDescent="0.35">
      <c r="C1905" t="s">
        <v>51</v>
      </c>
      <c r="D1905" t="s">
        <v>22</v>
      </c>
      <c r="E1905" t="s">
        <v>49</v>
      </c>
      <c r="F1905" t="s">
        <v>46</v>
      </c>
      <c r="G1905" s="58">
        <v>643649</v>
      </c>
      <c r="H1905" s="1" t="s">
        <v>59</v>
      </c>
      <c r="I1905" s="1" t="s">
        <v>108</v>
      </c>
      <c r="J1905" s="58">
        <v>18022172</v>
      </c>
      <c r="K1905" s="1" t="s">
        <v>112</v>
      </c>
      <c r="N1905" s="1">
        <v>1</v>
      </c>
      <c r="O1905" s="58"/>
      <c r="P1905" s="58">
        <v>186658.21</v>
      </c>
      <c r="Q1905" t="s">
        <v>107</v>
      </c>
      <c r="R1905" s="1" t="s">
        <v>158</v>
      </c>
    </row>
    <row r="1906" spans="3:18" x14ac:dyDescent="0.35">
      <c r="C1906" t="s">
        <v>53</v>
      </c>
      <c r="D1906" t="s">
        <v>23</v>
      </c>
      <c r="E1906" t="s">
        <v>55</v>
      </c>
      <c r="F1906" t="s">
        <v>46</v>
      </c>
      <c r="G1906" s="58">
        <v>90031</v>
      </c>
      <c r="H1906" s="1" t="s">
        <v>47</v>
      </c>
      <c r="I1906" s="1" t="s">
        <v>105</v>
      </c>
      <c r="J1906" s="58">
        <v>180062</v>
      </c>
      <c r="K1906" s="1" t="s">
        <v>106</v>
      </c>
      <c r="L1906" s="1" t="s">
        <v>114</v>
      </c>
      <c r="N1906" s="1">
        <v>1</v>
      </c>
      <c r="O1906" s="58"/>
      <c r="P1906" s="58">
        <v>57619.839999999997</v>
      </c>
      <c r="Q1906" t="s">
        <v>118</v>
      </c>
      <c r="R1906" s="1" t="s">
        <v>158</v>
      </c>
    </row>
    <row r="1907" spans="3:18" x14ac:dyDescent="0.35">
      <c r="C1907" t="s">
        <v>51</v>
      </c>
      <c r="D1907" t="s">
        <v>92</v>
      </c>
      <c r="E1907" t="s">
        <v>49</v>
      </c>
      <c r="F1907" t="s">
        <v>46</v>
      </c>
      <c r="G1907" s="58">
        <v>8193759</v>
      </c>
      <c r="H1907" s="1" t="s">
        <v>48</v>
      </c>
      <c r="I1907" s="1" t="s">
        <v>108</v>
      </c>
      <c r="J1907" s="58">
        <v>262200288</v>
      </c>
      <c r="K1907" s="1" t="s">
        <v>112</v>
      </c>
      <c r="N1907" s="1">
        <v>1</v>
      </c>
      <c r="O1907" s="58"/>
      <c r="P1907" s="58">
        <v>4178817.09</v>
      </c>
      <c r="Q1907" t="s">
        <v>113</v>
      </c>
      <c r="R1907" s="1" t="s">
        <v>158</v>
      </c>
    </row>
    <row r="1908" spans="3:18" x14ac:dyDescent="0.35">
      <c r="C1908" t="s">
        <v>51</v>
      </c>
      <c r="D1908" t="s">
        <v>23</v>
      </c>
      <c r="E1908" t="s">
        <v>62</v>
      </c>
      <c r="F1908" t="s">
        <v>46</v>
      </c>
      <c r="G1908" s="58">
        <v>1063997</v>
      </c>
      <c r="H1908" s="1" t="s">
        <v>48</v>
      </c>
      <c r="I1908" s="1" t="s">
        <v>108</v>
      </c>
      <c r="J1908" s="58">
        <v>36175898</v>
      </c>
      <c r="K1908" s="1" t="s">
        <v>112</v>
      </c>
      <c r="N1908" s="1">
        <v>1</v>
      </c>
      <c r="O1908" s="58"/>
      <c r="P1908" s="58">
        <v>265999.25</v>
      </c>
      <c r="Q1908" t="s">
        <v>107</v>
      </c>
      <c r="R1908" s="1" t="s">
        <v>48</v>
      </c>
    </row>
    <row r="1909" spans="3:18" x14ac:dyDescent="0.35">
      <c r="C1909" t="s">
        <v>51</v>
      </c>
      <c r="D1909" t="s">
        <v>92</v>
      </c>
      <c r="E1909" t="s">
        <v>49</v>
      </c>
      <c r="F1909" t="s">
        <v>46</v>
      </c>
      <c r="G1909" s="58">
        <v>151190</v>
      </c>
      <c r="H1909" s="1" t="s">
        <v>48</v>
      </c>
      <c r="I1909" s="1" t="s">
        <v>111</v>
      </c>
      <c r="J1909" s="58">
        <v>2721420</v>
      </c>
      <c r="K1909" s="1" t="s">
        <v>106</v>
      </c>
      <c r="L1909" s="1" t="s">
        <v>124</v>
      </c>
      <c r="M1909" s="1" t="s">
        <v>123</v>
      </c>
      <c r="N1909" s="1">
        <v>1</v>
      </c>
      <c r="O1909" s="58"/>
      <c r="P1909" s="58">
        <v>134559.1</v>
      </c>
      <c r="Q1909" t="s">
        <v>127</v>
      </c>
      <c r="R1909" s="1" t="s">
        <v>48</v>
      </c>
    </row>
    <row r="1910" spans="3:18" x14ac:dyDescent="0.35">
      <c r="C1910" t="s">
        <v>51</v>
      </c>
      <c r="D1910" t="s">
        <v>22</v>
      </c>
      <c r="E1910" t="s">
        <v>49</v>
      </c>
      <c r="F1910" t="s">
        <v>46</v>
      </c>
      <c r="G1910" s="58">
        <v>211351</v>
      </c>
      <c r="H1910" s="1" t="s">
        <v>48</v>
      </c>
      <c r="I1910" s="1" t="s">
        <v>119</v>
      </c>
      <c r="J1910" s="58">
        <v>1690808</v>
      </c>
      <c r="K1910" s="1" t="s">
        <v>106</v>
      </c>
      <c r="L1910" s="1" t="s">
        <v>124</v>
      </c>
      <c r="M1910" s="1" t="s">
        <v>115</v>
      </c>
      <c r="N1910" s="1">
        <v>1</v>
      </c>
      <c r="O1910" s="58"/>
      <c r="P1910" s="58">
        <v>156399.74</v>
      </c>
      <c r="Q1910" t="s">
        <v>118</v>
      </c>
      <c r="R1910" s="1" t="s">
        <v>158</v>
      </c>
    </row>
    <row r="1911" spans="3:18" x14ac:dyDescent="0.35">
      <c r="C1911" t="s">
        <v>51</v>
      </c>
      <c r="D1911" t="s">
        <v>24</v>
      </c>
      <c r="E1911" t="s">
        <v>55</v>
      </c>
      <c r="F1911" t="s">
        <v>46</v>
      </c>
      <c r="G1911" s="58">
        <v>26677629</v>
      </c>
      <c r="H1911" s="1" t="s">
        <v>48</v>
      </c>
      <c r="I1911" s="1" t="s">
        <v>111</v>
      </c>
      <c r="J1911" s="58">
        <v>453519693</v>
      </c>
      <c r="K1911" s="1" t="s">
        <v>106</v>
      </c>
      <c r="L1911" s="1" t="s">
        <v>114</v>
      </c>
      <c r="M1911" s="1" t="s">
        <v>121</v>
      </c>
      <c r="N1911" s="1">
        <v>1</v>
      </c>
      <c r="O1911" s="58"/>
      <c r="P1911" s="58">
        <v>17874011.43</v>
      </c>
      <c r="Q1911" t="s">
        <v>118</v>
      </c>
      <c r="R1911" s="1" t="s">
        <v>158</v>
      </c>
    </row>
    <row r="1912" spans="3:18" x14ac:dyDescent="0.35">
      <c r="C1912" t="s">
        <v>51</v>
      </c>
      <c r="D1912" t="s">
        <v>21</v>
      </c>
      <c r="E1912" t="s">
        <v>45</v>
      </c>
      <c r="F1912" t="s">
        <v>46</v>
      </c>
      <c r="G1912" s="58">
        <v>1550928</v>
      </c>
      <c r="H1912" s="1" t="s">
        <v>47</v>
      </c>
      <c r="I1912" s="1" t="s">
        <v>119</v>
      </c>
      <c r="J1912" s="58">
        <v>12407424</v>
      </c>
      <c r="K1912" s="1" t="s">
        <v>106</v>
      </c>
      <c r="L1912" s="1" t="s">
        <v>120</v>
      </c>
      <c r="N1912" s="1">
        <v>1</v>
      </c>
      <c r="O1912" s="58"/>
      <c r="P1912" s="58">
        <v>697917.6</v>
      </c>
      <c r="Q1912" t="s">
        <v>113</v>
      </c>
      <c r="R1912" s="1" t="s">
        <v>158</v>
      </c>
    </row>
    <row r="1913" spans="3:18" x14ac:dyDescent="0.35">
      <c r="C1913" t="s">
        <v>51</v>
      </c>
      <c r="D1913" t="s">
        <v>20</v>
      </c>
      <c r="E1913" t="s">
        <v>49</v>
      </c>
      <c r="F1913" t="s">
        <v>46</v>
      </c>
      <c r="G1913" s="58">
        <v>197606</v>
      </c>
      <c r="H1913" s="1" t="s">
        <v>59</v>
      </c>
      <c r="I1913" s="1" t="s">
        <v>108</v>
      </c>
      <c r="J1913" s="58">
        <v>7113816</v>
      </c>
      <c r="K1913" s="1" t="s">
        <v>106</v>
      </c>
      <c r="L1913" s="1" t="s">
        <v>116</v>
      </c>
      <c r="N1913" s="1">
        <v>1</v>
      </c>
      <c r="O1913" s="58"/>
      <c r="P1913" s="58">
        <v>77066.34</v>
      </c>
      <c r="Q1913" t="s">
        <v>107</v>
      </c>
      <c r="R1913" s="1" t="s">
        <v>158</v>
      </c>
    </row>
    <row r="1914" spans="3:18" x14ac:dyDescent="0.35">
      <c r="C1914" t="s">
        <v>51</v>
      </c>
      <c r="D1914" t="s">
        <v>20</v>
      </c>
      <c r="E1914" t="s">
        <v>49</v>
      </c>
      <c r="F1914" t="s">
        <v>46</v>
      </c>
      <c r="G1914" s="58">
        <v>1166560</v>
      </c>
      <c r="H1914" s="1" t="s">
        <v>48</v>
      </c>
      <c r="I1914" s="1" t="s">
        <v>111</v>
      </c>
      <c r="J1914" s="58">
        <v>18664960</v>
      </c>
      <c r="K1914" s="1" t="s">
        <v>112</v>
      </c>
      <c r="N1914" s="1">
        <v>1</v>
      </c>
      <c r="O1914" s="58"/>
      <c r="P1914" s="58">
        <v>279974.40000000002</v>
      </c>
      <c r="Q1914" t="s">
        <v>107</v>
      </c>
      <c r="R1914" s="1" t="s">
        <v>48</v>
      </c>
    </row>
    <row r="1915" spans="3:18" x14ac:dyDescent="0.35">
      <c r="C1915" t="s">
        <v>51</v>
      </c>
      <c r="D1915" t="s">
        <v>22</v>
      </c>
      <c r="E1915" t="s">
        <v>45</v>
      </c>
      <c r="F1915" t="s">
        <v>46</v>
      </c>
      <c r="G1915" s="58">
        <v>1676</v>
      </c>
      <c r="H1915" s="1" t="s">
        <v>47</v>
      </c>
      <c r="I1915" s="1" t="s">
        <v>105</v>
      </c>
      <c r="J1915" s="58"/>
      <c r="K1915" s="1" t="s">
        <v>106</v>
      </c>
      <c r="L1915" s="1" t="s">
        <v>124</v>
      </c>
      <c r="N1915" s="1">
        <v>0</v>
      </c>
      <c r="O1915" s="58"/>
      <c r="P1915" s="58">
        <v>0</v>
      </c>
      <c r="Q1915" t="s">
        <v>107</v>
      </c>
      <c r="R1915" s="1" t="s">
        <v>158</v>
      </c>
    </row>
    <row r="1916" spans="3:18" x14ac:dyDescent="0.35">
      <c r="C1916" t="s">
        <v>51</v>
      </c>
      <c r="D1916" t="s">
        <v>19</v>
      </c>
      <c r="E1916" t="s">
        <v>45</v>
      </c>
      <c r="F1916" t="s">
        <v>46</v>
      </c>
      <c r="G1916" s="58">
        <v>836972</v>
      </c>
      <c r="H1916" s="1" t="s">
        <v>48</v>
      </c>
      <c r="I1916" s="1" t="s">
        <v>108</v>
      </c>
      <c r="J1916" s="58">
        <v>28457048</v>
      </c>
      <c r="K1916" s="1" t="s">
        <v>106</v>
      </c>
      <c r="L1916" s="1" t="s">
        <v>120</v>
      </c>
      <c r="M1916" s="1" t="s">
        <v>122</v>
      </c>
      <c r="N1916" s="1">
        <v>1</v>
      </c>
      <c r="O1916" s="58"/>
      <c r="P1916" s="58">
        <v>418486</v>
      </c>
      <c r="Q1916" t="s">
        <v>113</v>
      </c>
      <c r="R1916" s="1" t="s">
        <v>48</v>
      </c>
    </row>
    <row r="1917" spans="3:18" x14ac:dyDescent="0.35">
      <c r="C1917" t="s">
        <v>53</v>
      </c>
      <c r="D1917" t="s">
        <v>60</v>
      </c>
      <c r="E1917" t="s">
        <v>60</v>
      </c>
      <c r="F1917" t="s">
        <v>46</v>
      </c>
      <c r="G1917" s="58">
        <v>0</v>
      </c>
      <c r="H1917" s="1" t="s">
        <v>61</v>
      </c>
      <c r="I1917" s="1" t="s">
        <v>105</v>
      </c>
      <c r="J1917" s="58">
        <v>0</v>
      </c>
      <c r="K1917" s="1" t="s">
        <v>106</v>
      </c>
      <c r="N1917" s="1">
        <v>1</v>
      </c>
      <c r="O1917" s="58"/>
      <c r="P1917" s="58">
        <v>0</v>
      </c>
      <c r="Q1917" t="s">
        <v>110</v>
      </c>
    </row>
    <row r="1918" spans="3:18" x14ac:dyDescent="0.35">
      <c r="C1918" t="s">
        <v>51</v>
      </c>
      <c r="D1918" t="s">
        <v>21</v>
      </c>
      <c r="E1918" t="s">
        <v>49</v>
      </c>
      <c r="F1918" t="s">
        <v>46</v>
      </c>
      <c r="G1918" s="58">
        <v>2495394</v>
      </c>
      <c r="H1918" s="1" t="s">
        <v>48</v>
      </c>
      <c r="I1918" s="1" t="s">
        <v>119</v>
      </c>
      <c r="J1918" s="58">
        <v>17467758</v>
      </c>
      <c r="K1918" s="1" t="s">
        <v>106</v>
      </c>
      <c r="L1918" s="1" t="s">
        <v>124</v>
      </c>
      <c r="M1918" s="1" t="s">
        <v>126</v>
      </c>
      <c r="N1918" s="1">
        <v>1</v>
      </c>
      <c r="O1918" s="58"/>
      <c r="P1918" s="58">
        <v>449170.92</v>
      </c>
      <c r="Q1918" t="s">
        <v>107</v>
      </c>
      <c r="R1918" s="1" t="s">
        <v>48</v>
      </c>
    </row>
    <row r="1919" spans="3:18" x14ac:dyDescent="0.35">
      <c r="C1919" t="s">
        <v>51</v>
      </c>
      <c r="D1919" t="s">
        <v>92</v>
      </c>
      <c r="E1919" t="s">
        <v>45</v>
      </c>
      <c r="F1919" t="s">
        <v>46</v>
      </c>
      <c r="G1919" s="58">
        <v>6810967</v>
      </c>
      <c r="H1919" s="1" t="s">
        <v>48</v>
      </c>
      <c r="I1919" s="1" t="s">
        <v>108</v>
      </c>
      <c r="J1919" s="58">
        <v>238383845</v>
      </c>
      <c r="K1919" s="1" t="s">
        <v>106</v>
      </c>
      <c r="L1919" s="1" t="s">
        <v>120</v>
      </c>
      <c r="M1919" s="1" t="s">
        <v>123</v>
      </c>
      <c r="N1919" s="1">
        <v>1</v>
      </c>
      <c r="O1919" s="58"/>
      <c r="P1919" s="58">
        <v>5653102.6100000003</v>
      </c>
      <c r="Q1919" t="s">
        <v>127</v>
      </c>
      <c r="R1919" s="1" t="s">
        <v>48</v>
      </c>
    </row>
    <row r="1920" spans="3:18" x14ac:dyDescent="0.35">
      <c r="C1920" t="s">
        <v>51</v>
      </c>
      <c r="D1920" t="s">
        <v>92</v>
      </c>
      <c r="E1920" t="s">
        <v>49</v>
      </c>
      <c r="F1920" t="s">
        <v>46</v>
      </c>
      <c r="G1920" s="58">
        <v>311172</v>
      </c>
      <c r="H1920" s="1" t="s">
        <v>59</v>
      </c>
      <c r="I1920" s="1" t="s">
        <v>108</v>
      </c>
      <c r="J1920" s="58">
        <v>9023988</v>
      </c>
      <c r="K1920" s="1" t="s">
        <v>106</v>
      </c>
      <c r="L1920" s="1" t="s">
        <v>120</v>
      </c>
      <c r="N1920" s="1">
        <v>1</v>
      </c>
      <c r="O1920" s="58"/>
      <c r="P1920" s="58">
        <v>248937.60000000001</v>
      </c>
      <c r="Q1920" t="s">
        <v>127</v>
      </c>
      <c r="R1920" s="1" t="s">
        <v>158</v>
      </c>
    </row>
    <row r="1921" spans="3:18" x14ac:dyDescent="0.35">
      <c r="C1921" t="s">
        <v>51</v>
      </c>
      <c r="D1921" t="s">
        <v>20</v>
      </c>
      <c r="E1921" t="s">
        <v>49</v>
      </c>
      <c r="F1921" t="s">
        <v>46</v>
      </c>
      <c r="G1921" s="58">
        <v>4978001</v>
      </c>
      <c r="H1921" s="1" t="s">
        <v>59</v>
      </c>
      <c r="I1921" s="1" t="s">
        <v>105</v>
      </c>
      <c r="J1921" s="58">
        <v>14934003</v>
      </c>
      <c r="K1921" s="1" t="s">
        <v>106</v>
      </c>
      <c r="L1921" s="1" t="s">
        <v>124</v>
      </c>
      <c r="N1921" s="1">
        <v>1</v>
      </c>
      <c r="O1921" s="58"/>
      <c r="P1921" s="58">
        <v>696920.14</v>
      </c>
      <c r="Q1921" t="s">
        <v>107</v>
      </c>
      <c r="R1921" s="1" t="s">
        <v>158</v>
      </c>
    </row>
    <row r="1922" spans="3:18" x14ac:dyDescent="0.35">
      <c r="C1922" t="s">
        <v>51</v>
      </c>
      <c r="D1922" t="s">
        <v>92</v>
      </c>
      <c r="E1922" t="s">
        <v>49</v>
      </c>
      <c r="F1922" t="s">
        <v>46</v>
      </c>
      <c r="G1922" s="58">
        <v>4698857</v>
      </c>
      <c r="H1922" s="1" t="s">
        <v>48</v>
      </c>
      <c r="I1922" s="1" t="s">
        <v>108</v>
      </c>
      <c r="J1922" s="58">
        <v>173857709</v>
      </c>
      <c r="K1922" s="1" t="s">
        <v>112</v>
      </c>
      <c r="N1922" s="1">
        <v>1</v>
      </c>
      <c r="O1922" s="58"/>
      <c r="P1922" s="58">
        <v>4181982.73</v>
      </c>
      <c r="Q1922" t="s">
        <v>127</v>
      </c>
      <c r="R1922" s="1" t="s">
        <v>158</v>
      </c>
    </row>
    <row r="1923" spans="3:18" x14ac:dyDescent="0.35">
      <c r="C1923" t="s">
        <v>53</v>
      </c>
      <c r="D1923" t="s">
        <v>92</v>
      </c>
      <c r="E1923" t="s">
        <v>49</v>
      </c>
      <c r="F1923" t="s">
        <v>46</v>
      </c>
      <c r="G1923" s="58">
        <v>378964</v>
      </c>
      <c r="H1923" s="1" t="s">
        <v>48</v>
      </c>
      <c r="I1923" s="1" t="s">
        <v>108</v>
      </c>
      <c r="J1923" s="58">
        <v>10989956</v>
      </c>
      <c r="K1923" s="1" t="s">
        <v>106</v>
      </c>
      <c r="L1923" s="1" t="s">
        <v>124</v>
      </c>
      <c r="M1923" s="1" t="s">
        <v>123</v>
      </c>
      <c r="N1923" s="1">
        <v>1</v>
      </c>
      <c r="O1923" s="58"/>
      <c r="P1923" s="58">
        <v>269064.44</v>
      </c>
      <c r="Q1923" t="s">
        <v>118</v>
      </c>
      <c r="R1923" s="1" t="s">
        <v>158</v>
      </c>
    </row>
    <row r="1924" spans="3:18" x14ac:dyDescent="0.35">
      <c r="C1924" t="s">
        <v>51</v>
      </c>
      <c r="D1924" t="s">
        <v>20</v>
      </c>
      <c r="E1924" t="s">
        <v>45</v>
      </c>
      <c r="F1924" t="s">
        <v>46</v>
      </c>
      <c r="G1924" s="58">
        <v>16308241</v>
      </c>
      <c r="H1924" s="1" t="s">
        <v>48</v>
      </c>
      <c r="I1924" s="1" t="s">
        <v>108</v>
      </c>
      <c r="J1924" s="58">
        <v>489247230</v>
      </c>
      <c r="K1924" s="1" t="s">
        <v>106</v>
      </c>
      <c r="L1924" s="1" t="s">
        <v>120</v>
      </c>
      <c r="M1924" s="1" t="s">
        <v>123</v>
      </c>
      <c r="N1924" s="1">
        <v>1</v>
      </c>
      <c r="O1924" s="58"/>
      <c r="P1924" s="58">
        <v>8317202.9100000001</v>
      </c>
      <c r="Q1924" t="s">
        <v>113</v>
      </c>
      <c r="R1924" s="1" t="s">
        <v>158</v>
      </c>
    </row>
    <row r="1925" spans="3:18" x14ac:dyDescent="0.35">
      <c r="C1925" t="s">
        <v>51</v>
      </c>
      <c r="D1925" t="s">
        <v>24</v>
      </c>
      <c r="E1925" t="s">
        <v>50</v>
      </c>
      <c r="F1925" t="s">
        <v>46</v>
      </c>
      <c r="G1925" s="58">
        <v>201712</v>
      </c>
      <c r="H1925" s="1" t="s">
        <v>48</v>
      </c>
      <c r="I1925" s="1" t="s">
        <v>119</v>
      </c>
      <c r="J1925" s="58">
        <v>1613696</v>
      </c>
      <c r="K1925" s="1" t="s">
        <v>106</v>
      </c>
      <c r="L1925" s="1" t="s">
        <v>109</v>
      </c>
      <c r="M1925" s="1" t="s">
        <v>121</v>
      </c>
      <c r="N1925" s="1">
        <v>1</v>
      </c>
      <c r="O1925" s="58"/>
      <c r="P1925" s="58">
        <v>46393.760000000002</v>
      </c>
      <c r="Q1925" t="s">
        <v>107</v>
      </c>
      <c r="R1925" s="1" t="s">
        <v>48</v>
      </c>
    </row>
    <row r="1926" spans="3:18" x14ac:dyDescent="0.35">
      <c r="C1926" t="s">
        <v>51</v>
      </c>
      <c r="D1926" t="s">
        <v>92</v>
      </c>
      <c r="E1926" t="s">
        <v>49</v>
      </c>
      <c r="F1926" t="s">
        <v>46</v>
      </c>
      <c r="G1926" s="58">
        <v>1757703</v>
      </c>
      <c r="H1926" s="1" t="s">
        <v>48</v>
      </c>
      <c r="I1926" s="1" t="s">
        <v>108</v>
      </c>
      <c r="J1926" s="58">
        <v>43942575</v>
      </c>
      <c r="K1926" s="1" t="s">
        <v>106</v>
      </c>
      <c r="L1926" s="1" t="s">
        <v>120</v>
      </c>
      <c r="M1926" s="1" t="s">
        <v>115</v>
      </c>
      <c r="N1926" s="1">
        <v>1</v>
      </c>
      <c r="O1926" s="58"/>
      <c r="P1926" s="58">
        <v>914005.56</v>
      </c>
      <c r="Q1926" t="s">
        <v>113</v>
      </c>
      <c r="R1926" s="1" t="s">
        <v>48</v>
      </c>
    </row>
    <row r="1927" spans="3:18" x14ac:dyDescent="0.35">
      <c r="C1927" t="s">
        <v>51</v>
      </c>
      <c r="D1927" t="s">
        <v>21</v>
      </c>
      <c r="E1927" t="s">
        <v>49</v>
      </c>
      <c r="F1927" t="s">
        <v>46</v>
      </c>
      <c r="G1927" s="58">
        <v>19348110</v>
      </c>
      <c r="H1927" s="1" t="s">
        <v>47</v>
      </c>
      <c r="I1927" s="1" t="s">
        <v>108</v>
      </c>
      <c r="J1927" s="58">
        <v>561095190</v>
      </c>
      <c r="K1927" s="1" t="s">
        <v>106</v>
      </c>
      <c r="L1927" s="1" t="s">
        <v>124</v>
      </c>
      <c r="N1927" s="1">
        <v>1</v>
      </c>
      <c r="O1927" s="58"/>
      <c r="P1927" s="58">
        <v>23024250.899999999</v>
      </c>
      <c r="Q1927" t="s">
        <v>110</v>
      </c>
      <c r="R1927" s="1" t="s">
        <v>158</v>
      </c>
    </row>
    <row r="1928" spans="3:18" x14ac:dyDescent="0.35">
      <c r="C1928" t="s">
        <v>51</v>
      </c>
      <c r="D1928" t="s">
        <v>20</v>
      </c>
      <c r="E1928" t="s">
        <v>45</v>
      </c>
      <c r="F1928" t="s">
        <v>46</v>
      </c>
      <c r="G1928" s="58">
        <v>10563060</v>
      </c>
      <c r="H1928" s="1" t="s">
        <v>48</v>
      </c>
      <c r="I1928" s="1" t="s">
        <v>108</v>
      </c>
      <c r="J1928" s="58">
        <v>327454860</v>
      </c>
      <c r="K1928" s="1" t="s">
        <v>106</v>
      </c>
      <c r="L1928" s="1" t="s">
        <v>120</v>
      </c>
      <c r="M1928" s="1" t="s">
        <v>123</v>
      </c>
      <c r="N1928" s="1">
        <v>1</v>
      </c>
      <c r="O1928" s="58"/>
      <c r="P1928" s="58">
        <v>7394142</v>
      </c>
      <c r="Q1928" t="s">
        <v>118</v>
      </c>
      <c r="R1928" s="1" t="s">
        <v>48</v>
      </c>
    </row>
    <row r="1929" spans="3:18" x14ac:dyDescent="0.35">
      <c r="C1929" t="s">
        <v>51</v>
      </c>
      <c r="D1929" t="s">
        <v>24</v>
      </c>
      <c r="E1929" t="s">
        <v>52</v>
      </c>
      <c r="F1929" t="s">
        <v>46</v>
      </c>
      <c r="G1929" s="58">
        <v>161673</v>
      </c>
      <c r="H1929" s="1" t="s">
        <v>48</v>
      </c>
      <c r="I1929" s="1" t="s">
        <v>111</v>
      </c>
      <c r="J1929" s="58">
        <v>2748441</v>
      </c>
      <c r="K1929" s="1" t="s">
        <v>106</v>
      </c>
      <c r="L1929" s="1" t="s">
        <v>124</v>
      </c>
      <c r="M1929" s="1" t="s">
        <v>121</v>
      </c>
      <c r="N1929" s="1">
        <v>1</v>
      </c>
      <c r="O1929" s="58"/>
      <c r="P1929" s="58">
        <v>84069.96</v>
      </c>
      <c r="Q1929" t="s">
        <v>113</v>
      </c>
      <c r="R1929" s="1" t="s">
        <v>48</v>
      </c>
    </row>
    <row r="1930" spans="3:18" x14ac:dyDescent="0.35">
      <c r="C1930" t="s">
        <v>51</v>
      </c>
      <c r="D1930" t="s">
        <v>20</v>
      </c>
      <c r="E1930" t="s">
        <v>49</v>
      </c>
      <c r="F1930" t="s">
        <v>46</v>
      </c>
      <c r="G1930" s="58">
        <v>78022</v>
      </c>
      <c r="H1930" s="1" t="s">
        <v>47</v>
      </c>
      <c r="I1930" s="1" t="s">
        <v>119</v>
      </c>
      <c r="J1930" s="58">
        <v>468132</v>
      </c>
      <c r="K1930" s="1" t="s">
        <v>106</v>
      </c>
      <c r="L1930" s="1" t="s">
        <v>114</v>
      </c>
      <c r="N1930" s="1">
        <v>1</v>
      </c>
      <c r="O1930" s="58"/>
      <c r="P1930" s="58">
        <v>39011</v>
      </c>
      <c r="Q1930" t="s">
        <v>113</v>
      </c>
      <c r="R1930" s="1" t="s">
        <v>158</v>
      </c>
    </row>
    <row r="1931" spans="3:18" x14ac:dyDescent="0.35">
      <c r="C1931" t="s">
        <v>51</v>
      </c>
      <c r="D1931" t="s">
        <v>23</v>
      </c>
      <c r="E1931" t="s">
        <v>49</v>
      </c>
      <c r="F1931" t="s">
        <v>46</v>
      </c>
      <c r="G1931" s="58">
        <v>67160</v>
      </c>
      <c r="H1931" s="1" t="s">
        <v>47</v>
      </c>
      <c r="I1931" s="1" t="s">
        <v>111</v>
      </c>
      <c r="J1931" s="58">
        <v>738760</v>
      </c>
      <c r="K1931" s="1" t="s">
        <v>106</v>
      </c>
      <c r="L1931" s="1" t="s">
        <v>120</v>
      </c>
      <c r="N1931" s="1">
        <v>1</v>
      </c>
      <c r="O1931" s="58"/>
      <c r="P1931" s="58">
        <v>11417.2</v>
      </c>
      <c r="Q1931" t="s">
        <v>107</v>
      </c>
      <c r="R1931" s="1" t="s">
        <v>158</v>
      </c>
    </row>
    <row r="1932" spans="3:18" x14ac:dyDescent="0.35">
      <c r="C1932" t="s">
        <v>53</v>
      </c>
      <c r="D1932" t="s">
        <v>24</v>
      </c>
      <c r="E1932" t="s">
        <v>55</v>
      </c>
      <c r="F1932" t="s">
        <v>46</v>
      </c>
      <c r="G1932" s="58">
        <v>600069</v>
      </c>
      <c r="H1932" s="1" t="s">
        <v>59</v>
      </c>
      <c r="I1932" s="1" t="s">
        <v>119</v>
      </c>
      <c r="J1932" s="58">
        <v>6000690</v>
      </c>
      <c r="K1932" s="1" t="s">
        <v>112</v>
      </c>
      <c r="N1932" s="1">
        <v>1</v>
      </c>
      <c r="O1932" s="58"/>
      <c r="P1932" s="58">
        <v>126014.49</v>
      </c>
      <c r="Q1932" t="s">
        <v>107</v>
      </c>
      <c r="R1932" s="1" t="s">
        <v>158</v>
      </c>
    </row>
    <row r="1933" spans="3:18" x14ac:dyDescent="0.35">
      <c r="C1933" t="s">
        <v>51</v>
      </c>
      <c r="D1933" t="s">
        <v>19</v>
      </c>
      <c r="E1933" t="s">
        <v>45</v>
      </c>
      <c r="F1933" t="s">
        <v>46</v>
      </c>
      <c r="G1933" s="58">
        <v>635692</v>
      </c>
      <c r="H1933" s="1" t="s">
        <v>48</v>
      </c>
      <c r="I1933" s="1" t="s">
        <v>119</v>
      </c>
      <c r="J1933" s="58">
        <v>5085536</v>
      </c>
      <c r="K1933" s="1" t="s">
        <v>106</v>
      </c>
      <c r="L1933" s="1" t="s">
        <v>120</v>
      </c>
      <c r="M1933" s="1" t="s">
        <v>122</v>
      </c>
      <c r="N1933" s="1">
        <v>1</v>
      </c>
      <c r="O1933" s="58"/>
      <c r="P1933" s="58">
        <v>286061.40000000002</v>
      </c>
      <c r="Q1933" t="s">
        <v>113</v>
      </c>
      <c r="R1933" s="1" t="s">
        <v>158</v>
      </c>
    </row>
    <row r="1934" spans="3:18" x14ac:dyDescent="0.35">
      <c r="C1934" t="s">
        <v>51</v>
      </c>
      <c r="D1934" t="s">
        <v>22</v>
      </c>
      <c r="E1934" t="s">
        <v>49</v>
      </c>
      <c r="F1934" t="s">
        <v>46</v>
      </c>
      <c r="G1934" s="58">
        <v>12087566</v>
      </c>
      <c r="H1934" s="1" t="s">
        <v>56</v>
      </c>
      <c r="I1934" s="1" t="s">
        <v>111</v>
      </c>
      <c r="J1934" s="58">
        <v>193401056</v>
      </c>
      <c r="K1934" s="1" t="s">
        <v>106</v>
      </c>
      <c r="L1934" s="1" t="s">
        <v>124</v>
      </c>
      <c r="N1934" s="1">
        <v>1</v>
      </c>
      <c r="O1934" s="58"/>
      <c r="P1934" s="58">
        <v>5922907.3399999999</v>
      </c>
      <c r="Q1934" t="s">
        <v>113</v>
      </c>
      <c r="R1934" s="1" t="s">
        <v>158</v>
      </c>
    </row>
    <row r="1935" spans="3:18" x14ac:dyDescent="0.35">
      <c r="C1935" t="s">
        <v>51</v>
      </c>
      <c r="D1935" t="s">
        <v>91</v>
      </c>
      <c r="E1935" t="s">
        <v>49</v>
      </c>
      <c r="F1935" t="s">
        <v>46</v>
      </c>
      <c r="G1935" s="58">
        <v>1556374</v>
      </c>
      <c r="H1935" s="1" t="s">
        <v>48</v>
      </c>
      <c r="I1935" s="1" t="s">
        <v>111</v>
      </c>
      <c r="J1935" s="58">
        <v>24901984</v>
      </c>
      <c r="K1935" s="1" t="s">
        <v>112</v>
      </c>
      <c r="N1935" s="1">
        <v>1</v>
      </c>
      <c r="O1935" s="58"/>
      <c r="P1935" s="58">
        <v>1011643.1</v>
      </c>
      <c r="Q1935" t="s">
        <v>118</v>
      </c>
      <c r="R1935" s="1" t="s">
        <v>48</v>
      </c>
    </row>
    <row r="1936" spans="3:18" x14ac:dyDescent="0.35">
      <c r="C1936" t="s">
        <v>51</v>
      </c>
      <c r="D1936" t="s">
        <v>24</v>
      </c>
      <c r="E1936" t="s">
        <v>55</v>
      </c>
      <c r="F1936" t="s">
        <v>46</v>
      </c>
      <c r="G1936" s="58">
        <v>277853</v>
      </c>
      <c r="H1936" s="1" t="s">
        <v>47</v>
      </c>
      <c r="I1936" s="1" t="s">
        <v>105</v>
      </c>
      <c r="J1936" s="58">
        <v>833559</v>
      </c>
      <c r="K1936" s="1" t="s">
        <v>106</v>
      </c>
      <c r="L1936" s="1" t="s">
        <v>120</v>
      </c>
      <c r="N1936" s="1">
        <v>1</v>
      </c>
      <c r="O1936" s="58"/>
      <c r="P1936" s="58">
        <v>25006.77</v>
      </c>
      <c r="Q1936" t="s">
        <v>107</v>
      </c>
      <c r="R1936" s="1" t="s">
        <v>158</v>
      </c>
    </row>
    <row r="1937" spans="3:18" x14ac:dyDescent="0.35">
      <c r="C1937" t="s">
        <v>53</v>
      </c>
      <c r="D1937" t="s">
        <v>21</v>
      </c>
      <c r="E1937" t="s">
        <v>49</v>
      </c>
      <c r="F1937" t="s">
        <v>46</v>
      </c>
      <c r="G1937" s="58">
        <v>961084</v>
      </c>
      <c r="H1937" s="1" t="s">
        <v>47</v>
      </c>
      <c r="I1937" s="1" t="s">
        <v>119</v>
      </c>
      <c r="J1937" s="58">
        <v>5766504</v>
      </c>
      <c r="K1937" s="1" t="s">
        <v>112</v>
      </c>
      <c r="N1937" s="1">
        <v>1</v>
      </c>
      <c r="O1937" s="58"/>
      <c r="P1937" s="58">
        <v>567039.56000000006</v>
      </c>
      <c r="Q1937" t="s">
        <v>113</v>
      </c>
      <c r="R1937" s="1" t="s">
        <v>158</v>
      </c>
    </row>
    <row r="1938" spans="3:18" x14ac:dyDescent="0.35">
      <c r="C1938" t="s">
        <v>51</v>
      </c>
      <c r="D1938" t="s">
        <v>21</v>
      </c>
      <c r="E1938" t="s">
        <v>49</v>
      </c>
      <c r="F1938" t="s">
        <v>46</v>
      </c>
      <c r="G1938" s="58">
        <v>29679199</v>
      </c>
      <c r="H1938" s="1" t="s">
        <v>54</v>
      </c>
      <c r="I1938" s="1" t="s">
        <v>111</v>
      </c>
      <c r="J1938" s="58">
        <v>504546383</v>
      </c>
      <c r="K1938" s="1" t="s">
        <v>106</v>
      </c>
      <c r="L1938" s="1" t="s">
        <v>124</v>
      </c>
      <c r="N1938" s="1">
        <v>1</v>
      </c>
      <c r="O1938" s="58"/>
      <c r="P1938" s="58">
        <v>19588271.34</v>
      </c>
      <c r="Q1938" t="s">
        <v>118</v>
      </c>
      <c r="R1938" s="1" t="s">
        <v>158</v>
      </c>
    </row>
    <row r="1939" spans="3:18" x14ac:dyDescent="0.35">
      <c r="C1939" t="s">
        <v>53</v>
      </c>
      <c r="D1939" t="s">
        <v>23</v>
      </c>
      <c r="E1939" t="s">
        <v>55</v>
      </c>
      <c r="F1939" t="s">
        <v>46</v>
      </c>
      <c r="G1939" s="58">
        <v>3175441</v>
      </c>
      <c r="H1939" s="1" t="s">
        <v>59</v>
      </c>
      <c r="I1939" s="1" t="s">
        <v>119</v>
      </c>
      <c r="J1939" s="58">
        <v>25403528</v>
      </c>
      <c r="K1939" s="1" t="s">
        <v>106</v>
      </c>
      <c r="L1939" s="1" t="s">
        <v>114</v>
      </c>
      <c r="N1939" s="1">
        <v>1</v>
      </c>
      <c r="O1939" s="58"/>
      <c r="P1939" s="58">
        <v>1079649.94</v>
      </c>
      <c r="Q1939" t="s">
        <v>107</v>
      </c>
      <c r="R1939" s="1" t="s">
        <v>158</v>
      </c>
    </row>
    <row r="1940" spans="3:18" x14ac:dyDescent="0.35">
      <c r="C1940" t="s">
        <v>51</v>
      </c>
      <c r="D1940" t="s">
        <v>24</v>
      </c>
      <c r="E1940" t="s">
        <v>55</v>
      </c>
      <c r="F1940" t="s">
        <v>46</v>
      </c>
      <c r="G1940" s="58">
        <v>63927</v>
      </c>
      <c r="H1940" s="1" t="s">
        <v>56</v>
      </c>
      <c r="I1940" s="1" t="s">
        <v>108</v>
      </c>
      <c r="J1940" s="58">
        <v>2173518</v>
      </c>
      <c r="K1940" s="1" t="s">
        <v>106</v>
      </c>
      <c r="L1940" s="1" t="s">
        <v>116</v>
      </c>
      <c r="N1940" s="1">
        <v>1</v>
      </c>
      <c r="O1940" s="58"/>
      <c r="P1940" s="58">
        <v>34520.58</v>
      </c>
      <c r="Q1940" t="s">
        <v>113</v>
      </c>
      <c r="R1940" s="1" t="s">
        <v>158</v>
      </c>
    </row>
    <row r="1941" spans="3:18" x14ac:dyDescent="0.35">
      <c r="C1941" t="s">
        <v>51</v>
      </c>
      <c r="D1941" t="s">
        <v>19</v>
      </c>
      <c r="E1941" t="s">
        <v>49</v>
      </c>
      <c r="F1941" t="s">
        <v>46</v>
      </c>
      <c r="G1941" s="58">
        <v>6005724</v>
      </c>
      <c r="H1941" s="1" t="s">
        <v>54</v>
      </c>
      <c r="I1941" s="1" t="s">
        <v>108</v>
      </c>
      <c r="J1941" s="58">
        <v>192183168</v>
      </c>
      <c r="K1941" s="1" t="s">
        <v>106</v>
      </c>
      <c r="L1941" s="1" t="s">
        <v>124</v>
      </c>
      <c r="N1941" s="1">
        <v>1</v>
      </c>
      <c r="O1941" s="58"/>
      <c r="P1941" s="58">
        <v>5104865.4000000004</v>
      </c>
      <c r="Q1941" t="s">
        <v>127</v>
      </c>
      <c r="R1941" s="1" t="s">
        <v>158</v>
      </c>
    </row>
    <row r="1942" spans="3:18" x14ac:dyDescent="0.35">
      <c r="C1942" t="s">
        <v>53</v>
      </c>
      <c r="D1942" t="s">
        <v>21</v>
      </c>
      <c r="E1942" t="s">
        <v>49</v>
      </c>
      <c r="F1942" t="s">
        <v>46</v>
      </c>
      <c r="G1942" s="58">
        <v>1583750</v>
      </c>
      <c r="H1942" s="1" t="s">
        <v>59</v>
      </c>
      <c r="I1942" s="1" t="s">
        <v>111</v>
      </c>
      <c r="J1942" s="58">
        <v>19005000</v>
      </c>
      <c r="K1942" s="1" t="s">
        <v>106</v>
      </c>
      <c r="L1942" s="1" t="s">
        <v>124</v>
      </c>
      <c r="N1942" s="1">
        <v>1</v>
      </c>
      <c r="O1942" s="58"/>
      <c r="P1942" s="58">
        <v>791875</v>
      </c>
      <c r="Q1942" t="s">
        <v>113</v>
      </c>
      <c r="R1942" s="1" t="s">
        <v>158</v>
      </c>
    </row>
    <row r="1943" spans="3:18" x14ac:dyDescent="0.35">
      <c r="C1943" t="s">
        <v>51</v>
      </c>
      <c r="D1943" t="s">
        <v>22</v>
      </c>
      <c r="E1943" t="s">
        <v>55</v>
      </c>
      <c r="F1943" t="s">
        <v>46</v>
      </c>
      <c r="G1943" s="58">
        <v>405392</v>
      </c>
      <c r="H1943" s="1" t="s">
        <v>48</v>
      </c>
      <c r="I1943" s="1" t="s">
        <v>108</v>
      </c>
      <c r="J1943" s="58">
        <v>12567152</v>
      </c>
      <c r="K1943" s="1" t="s">
        <v>106</v>
      </c>
      <c r="L1943" s="1" t="s">
        <v>120</v>
      </c>
      <c r="M1943" s="1" t="s">
        <v>115</v>
      </c>
      <c r="N1943" s="1">
        <v>1</v>
      </c>
      <c r="O1943" s="58"/>
      <c r="P1943" s="58">
        <v>210803.84</v>
      </c>
      <c r="Q1943" t="s">
        <v>113</v>
      </c>
      <c r="R1943" s="1" t="s">
        <v>158</v>
      </c>
    </row>
    <row r="1944" spans="3:18" x14ac:dyDescent="0.35">
      <c r="C1944" t="s">
        <v>53</v>
      </c>
      <c r="D1944" t="s">
        <v>19</v>
      </c>
      <c r="E1944" t="s">
        <v>49</v>
      </c>
      <c r="F1944" t="s">
        <v>46</v>
      </c>
      <c r="G1944" s="58">
        <v>6</v>
      </c>
      <c r="H1944" s="1" t="s">
        <v>48</v>
      </c>
      <c r="I1944" s="1" t="s">
        <v>111</v>
      </c>
      <c r="J1944" s="58">
        <v>66</v>
      </c>
      <c r="K1944" s="1" t="s">
        <v>106</v>
      </c>
      <c r="L1944" s="1" t="s">
        <v>124</v>
      </c>
      <c r="M1944" s="1" t="s">
        <v>122</v>
      </c>
      <c r="N1944" s="1">
        <v>1</v>
      </c>
      <c r="O1944" s="58"/>
      <c r="P1944" s="58">
        <v>9</v>
      </c>
      <c r="Q1944" t="s">
        <v>110</v>
      </c>
      <c r="R1944" s="1" t="s">
        <v>158</v>
      </c>
    </row>
    <row r="1945" spans="3:18" x14ac:dyDescent="0.35">
      <c r="C1945" t="s">
        <v>53</v>
      </c>
      <c r="D1945" t="s">
        <v>19</v>
      </c>
      <c r="E1945" t="s">
        <v>49</v>
      </c>
      <c r="F1945" t="s">
        <v>46</v>
      </c>
      <c r="G1945" s="58">
        <v>11710</v>
      </c>
      <c r="H1945" s="1" t="s">
        <v>47</v>
      </c>
      <c r="I1945" s="1" t="s">
        <v>111</v>
      </c>
      <c r="J1945" s="58">
        <v>175650</v>
      </c>
      <c r="K1945" s="1" t="s">
        <v>106</v>
      </c>
      <c r="L1945" s="1" t="s">
        <v>124</v>
      </c>
      <c r="N1945" s="1">
        <v>1</v>
      </c>
      <c r="O1945" s="58"/>
      <c r="P1945" s="58">
        <v>10304.799999999999</v>
      </c>
      <c r="Q1945" t="s">
        <v>127</v>
      </c>
      <c r="R1945" s="1" t="s">
        <v>158</v>
      </c>
    </row>
    <row r="1946" spans="3:18" x14ac:dyDescent="0.35">
      <c r="C1946" t="s">
        <v>53</v>
      </c>
      <c r="D1946" t="s">
        <v>22</v>
      </c>
      <c r="E1946" t="s">
        <v>45</v>
      </c>
      <c r="F1946" t="s">
        <v>46</v>
      </c>
      <c r="G1946" s="58">
        <v>376070</v>
      </c>
      <c r="H1946" s="1" t="s">
        <v>47</v>
      </c>
      <c r="I1946" s="1" t="s">
        <v>119</v>
      </c>
      <c r="J1946" s="58">
        <v>2632490</v>
      </c>
      <c r="K1946" s="1" t="s">
        <v>106</v>
      </c>
      <c r="L1946" s="1" t="s">
        <v>124</v>
      </c>
      <c r="N1946" s="1">
        <v>1</v>
      </c>
      <c r="O1946" s="58"/>
      <c r="P1946" s="58">
        <v>154188.70000000001</v>
      </c>
      <c r="Q1946" t="s">
        <v>113</v>
      </c>
      <c r="R1946" s="1" t="s">
        <v>158</v>
      </c>
    </row>
    <row r="1947" spans="3:18" x14ac:dyDescent="0.35">
      <c r="C1947" t="s">
        <v>51</v>
      </c>
      <c r="D1947" t="s">
        <v>19</v>
      </c>
      <c r="E1947" t="s">
        <v>49</v>
      </c>
      <c r="F1947" t="s">
        <v>46</v>
      </c>
      <c r="G1947" s="58">
        <v>423007</v>
      </c>
      <c r="H1947" s="1" t="s">
        <v>47</v>
      </c>
      <c r="I1947" s="1" t="s">
        <v>111</v>
      </c>
      <c r="J1947" s="58">
        <v>6768112</v>
      </c>
      <c r="K1947" s="1" t="s">
        <v>106</v>
      </c>
      <c r="L1947" s="1" t="s">
        <v>124</v>
      </c>
      <c r="N1947" s="1">
        <v>1</v>
      </c>
      <c r="O1947" s="58"/>
      <c r="P1947" s="58">
        <v>359555.95</v>
      </c>
      <c r="Q1947" t="s">
        <v>127</v>
      </c>
      <c r="R1947" s="1" t="s">
        <v>158</v>
      </c>
    </row>
    <row r="1948" spans="3:18" x14ac:dyDescent="0.35">
      <c r="C1948" t="s">
        <v>51</v>
      </c>
      <c r="D1948" t="s">
        <v>21</v>
      </c>
      <c r="E1948" t="s">
        <v>49</v>
      </c>
      <c r="F1948" t="s">
        <v>46</v>
      </c>
      <c r="G1948" s="58">
        <v>379330</v>
      </c>
      <c r="H1948" s="1" t="s">
        <v>48</v>
      </c>
      <c r="I1948" s="1" t="s">
        <v>105</v>
      </c>
      <c r="J1948" s="58">
        <v>758660</v>
      </c>
      <c r="K1948" s="1" t="s">
        <v>106</v>
      </c>
      <c r="L1948" s="1" t="s">
        <v>124</v>
      </c>
      <c r="M1948" s="1" t="s">
        <v>126</v>
      </c>
      <c r="N1948" s="1">
        <v>1</v>
      </c>
      <c r="O1948" s="58"/>
      <c r="P1948" s="58">
        <v>398296.5</v>
      </c>
      <c r="Q1948" t="s">
        <v>110</v>
      </c>
      <c r="R1948" s="1" t="s">
        <v>158</v>
      </c>
    </row>
    <row r="1949" spans="3:18" x14ac:dyDescent="0.35">
      <c r="C1949" t="s">
        <v>44</v>
      </c>
      <c r="D1949" t="s">
        <v>20</v>
      </c>
      <c r="E1949" t="s">
        <v>45</v>
      </c>
      <c r="F1949" t="s">
        <v>46</v>
      </c>
      <c r="G1949" s="58">
        <v>640469</v>
      </c>
      <c r="H1949" s="1" t="s">
        <v>54</v>
      </c>
      <c r="I1949" s="1" t="s">
        <v>108</v>
      </c>
      <c r="J1949" s="58"/>
      <c r="N1949" s="1">
        <v>0</v>
      </c>
      <c r="O1949" s="58"/>
      <c r="P1949" s="58"/>
      <c r="R1949" s="1" t="s">
        <v>158</v>
      </c>
    </row>
    <row r="1950" spans="3:18" x14ac:dyDescent="0.35">
      <c r="C1950" t="s">
        <v>51</v>
      </c>
      <c r="D1950" t="s">
        <v>23</v>
      </c>
      <c r="E1950" t="s">
        <v>55</v>
      </c>
      <c r="F1950" t="s">
        <v>46</v>
      </c>
      <c r="G1950" s="58">
        <v>395992</v>
      </c>
      <c r="H1950" s="1" t="s">
        <v>47</v>
      </c>
      <c r="I1950" s="1" t="s">
        <v>111</v>
      </c>
      <c r="J1950" s="58">
        <v>5939880</v>
      </c>
      <c r="K1950" s="1" t="s">
        <v>106</v>
      </c>
      <c r="L1950" s="1" t="s">
        <v>109</v>
      </c>
      <c r="N1950" s="1">
        <v>1</v>
      </c>
      <c r="O1950" s="58"/>
      <c r="P1950" s="58">
        <v>197996</v>
      </c>
      <c r="Q1950" t="s">
        <v>113</v>
      </c>
      <c r="R1950" s="1" t="s">
        <v>158</v>
      </c>
    </row>
    <row r="1951" spans="3:18" x14ac:dyDescent="0.35">
      <c r="C1951" t="s">
        <v>51</v>
      </c>
      <c r="D1951" t="s">
        <v>21</v>
      </c>
      <c r="E1951" t="s">
        <v>49</v>
      </c>
      <c r="F1951" t="s">
        <v>46</v>
      </c>
      <c r="G1951" s="58">
        <v>5805</v>
      </c>
      <c r="H1951" s="1" t="s">
        <v>47</v>
      </c>
      <c r="I1951" s="1" t="s">
        <v>105</v>
      </c>
      <c r="J1951" s="58">
        <v>5805</v>
      </c>
      <c r="K1951" s="1" t="s">
        <v>106</v>
      </c>
      <c r="L1951" s="1" t="s">
        <v>120</v>
      </c>
      <c r="N1951" s="1">
        <v>1</v>
      </c>
      <c r="O1951" s="58"/>
      <c r="P1951" s="58">
        <v>2496.15</v>
      </c>
      <c r="Q1951" t="s">
        <v>113</v>
      </c>
      <c r="R1951" s="1" t="s">
        <v>158</v>
      </c>
    </row>
    <row r="1952" spans="3:18" x14ac:dyDescent="0.35">
      <c r="C1952" t="s">
        <v>51</v>
      </c>
      <c r="D1952" t="s">
        <v>23</v>
      </c>
      <c r="E1952" t="s">
        <v>55</v>
      </c>
      <c r="F1952" t="s">
        <v>46</v>
      </c>
      <c r="G1952" s="58">
        <v>238026</v>
      </c>
      <c r="H1952" s="1" t="s">
        <v>54</v>
      </c>
      <c r="I1952" s="1" t="s">
        <v>111</v>
      </c>
      <c r="J1952" s="58">
        <v>4046442</v>
      </c>
      <c r="K1952" s="1" t="s">
        <v>106</v>
      </c>
      <c r="L1952" s="1" t="s">
        <v>120</v>
      </c>
      <c r="N1952" s="1">
        <v>1</v>
      </c>
      <c r="O1952" s="58"/>
      <c r="P1952" s="58">
        <v>121393.26</v>
      </c>
      <c r="Q1952" t="s">
        <v>113</v>
      </c>
      <c r="R1952" s="1" t="s">
        <v>158</v>
      </c>
    </row>
    <row r="1953" spans="3:18" x14ac:dyDescent="0.35">
      <c r="C1953" t="s">
        <v>51</v>
      </c>
      <c r="D1953" t="s">
        <v>19</v>
      </c>
      <c r="E1953" t="s">
        <v>49</v>
      </c>
      <c r="F1953" t="s">
        <v>46</v>
      </c>
      <c r="G1953" s="58">
        <v>3729654</v>
      </c>
      <c r="H1953" s="1" t="s">
        <v>48</v>
      </c>
      <c r="I1953" s="1" t="s">
        <v>111</v>
      </c>
      <c r="J1953" s="58">
        <v>55944810</v>
      </c>
      <c r="K1953" s="1" t="s">
        <v>106</v>
      </c>
      <c r="L1953" s="1" t="s">
        <v>120</v>
      </c>
      <c r="M1953" s="1" t="s">
        <v>115</v>
      </c>
      <c r="N1953" s="1">
        <v>1</v>
      </c>
      <c r="O1953" s="58"/>
      <c r="P1953" s="58">
        <v>857820.42</v>
      </c>
      <c r="Q1953" t="s">
        <v>107</v>
      </c>
      <c r="R1953" s="1" t="s">
        <v>48</v>
      </c>
    </row>
    <row r="1954" spans="3:18" x14ac:dyDescent="0.35">
      <c r="C1954" t="s">
        <v>51</v>
      </c>
      <c r="D1954" t="s">
        <v>24</v>
      </c>
      <c r="E1954" t="s">
        <v>45</v>
      </c>
      <c r="F1954" t="s">
        <v>46</v>
      </c>
      <c r="G1954" s="58">
        <v>1274056</v>
      </c>
      <c r="H1954" s="1" t="s">
        <v>48</v>
      </c>
      <c r="I1954" s="1" t="s">
        <v>108</v>
      </c>
      <c r="J1954" s="58">
        <v>40769792</v>
      </c>
      <c r="K1954" s="1" t="s">
        <v>112</v>
      </c>
      <c r="N1954" s="1">
        <v>1</v>
      </c>
      <c r="O1954" s="58"/>
      <c r="P1954" s="58">
        <v>649768.56000000006</v>
      </c>
      <c r="Q1954" t="s">
        <v>113</v>
      </c>
      <c r="R1954" s="1" t="s">
        <v>158</v>
      </c>
    </row>
    <row r="1955" spans="3:18" x14ac:dyDescent="0.35">
      <c r="C1955" t="s">
        <v>51</v>
      </c>
      <c r="D1955" t="s">
        <v>24</v>
      </c>
      <c r="E1955" t="s">
        <v>52</v>
      </c>
      <c r="F1955" t="s">
        <v>46</v>
      </c>
      <c r="G1955" s="58">
        <v>3898547</v>
      </c>
      <c r="H1955" s="1" t="s">
        <v>48</v>
      </c>
      <c r="I1955" s="1" t="s">
        <v>108</v>
      </c>
      <c r="J1955" s="58">
        <v>113057863</v>
      </c>
      <c r="K1955" s="1" t="s">
        <v>106</v>
      </c>
      <c r="L1955" s="1" t="s">
        <v>130</v>
      </c>
      <c r="M1955" s="1" t="s">
        <v>121</v>
      </c>
      <c r="N1955" s="1">
        <v>1</v>
      </c>
      <c r="O1955" s="58"/>
      <c r="P1955" s="58">
        <v>2027244.44</v>
      </c>
      <c r="Q1955" t="s">
        <v>113</v>
      </c>
      <c r="R1955" s="1" t="s">
        <v>48</v>
      </c>
    </row>
    <row r="1956" spans="3:18" x14ac:dyDescent="0.35">
      <c r="C1956" t="s">
        <v>51</v>
      </c>
      <c r="D1956" t="s">
        <v>22</v>
      </c>
      <c r="E1956" t="s">
        <v>45</v>
      </c>
      <c r="F1956" t="s">
        <v>46</v>
      </c>
      <c r="G1956" s="58">
        <v>67545</v>
      </c>
      <c r="H1956" s="1" t="s">
        <v>47</v>
      </c>
      <c r="I1956" s="1" t="s">
        <v>119</v>
      </c>
      <c r="J1956" s="58">
        <v>472815</v>
      </c>
      <c r="K1956" s="1" t="s">
        <v>106</v>
      </c>
      <c r="L1956" s="1" t="s">
        <v>120</v>
      </c>
      <c r="N1956" s="1">
        <v>1</v>
      </c>
      <c r="O1956" s="58"/>
      <c r="P1956" s="58">
        <v>85782.15</v>
      </c>
      <c r="Q1956" t="s">
        <v>110</v>
      </c>
      <c r="R1956" s="1" t="s">
        <v>158</v>
      </c>
    </row>
    <row r="1957" spans="3:18" x14ac:dyDescent="0.35">
      <c r="C1957" t="s">
        <v>51</v>
      </c>
      <c r="D1957" t="s">
        <v>22</v>
      </c>
      <c r="E1957" t="s">
        <v>50</v>
      </c>
      <c r="F1957" t="s">
        <v>46</v>
      </c>
      <c r="G1957" s="58">
        <v>28565585</v>
      </c>
      <c r="H1957" s="1" t="s">
        <v>48</v>
      </c>
      <c r="I1957" s="1" t="s">
        <v>108</v>
      </c>
      <c r="J1957" s="58">
        <v>971229890</v>
      </c>
      <c r="K1957" s="1" t="s">
        <v>112</v>
      </c>
      <c r="N1957" s="1">
        <v>1</v>
      </c>
      <c r="O1957" s="58"/>
      <c r="P1957" s="58">
        <v>20567221.199999999</v>
      </c>
      <c r="Q1957" t="s">
        <v>118</v>
      </c>
      <c r="R1957" s="1" t="s">
        <v>48</v>
      </c>
    </row>
    <row r="1958" spans="3:18" x14ac:dyDescent="0.35">
      <c r="C1958" t="s">
        <v>51</v>
      </c>
      <c r="D1958" t="s">
        <v>23</v>
      </c>
      <c r="E1958" t="s">
        <v>45</v>
      </c>
      <c r="F1958" t="s">
        <v>46</v>
      </c>
      <c r="G1958" s="58">
        <v>608</v>
      </c>
      <c r="H1958" s="1" t="s">
        <v>47</v>
      </c>
      <c r="I1958" s="1" t="s">
        <v>128</v>
      </c>
      <c r="J1958" s="58"/>
      <c r="K1958" s="1" t="s">
        <v>106</v>
      </c>
      <c r="L1958" s="1" t="s">
        <v>120</v>
      </c>
      <c r="N1958" s="1">
        <v>0</v>
      </c>
      <c r="O1958" s="58"/>
      <c r="P1958" s="58">
        <v>0</v>
      </c>
      <c r="Q1958" t="s">
        <v>107</v>
      </c>
      <c r="R1958" s="1" t="s">
        <v>158</v>
      </c>
    </row>
    <row r="1959" spans="3:18" x14ac:dyDescent="0.35">
      <c r="C1959" t="s">
        <v>51</v>
      </c>
      <c r="D1959" t="s">
        <v>24</v>
      </c>
      <c r="E1959" t="s">
        <v>55</v>
      </c>
      <c r="F1959" t="s">
        <v>46</v>
      </c>
      <c r="G1959" s="58">
        <v>55335199</v>
      </c>
      <c r="H1959" s="1" t="s">
        <v>59</v>
      </c>
      <c r="I1959" s="1" t="s">
        <v>108</v>
      </c>
      <c r="J1959" s="58">
        <v>1604720771</v>
      </c>
      <c r="K1959" s="1" t="s">
        <v>106</v>
      </c>
      <c r="L1959" s="1" t="s">
        <v>114</v>
      </c>
      <c r="N1959" s="1">
        <v>1</v>
      </c>
      <c r="O1959" s="58"/>
      <c r="P1959" s="58">
        <v>38181287.310000002</v>
      </c>
      <c r="Q1959" t="s">
        <v>118</v>
      </c>
      <c r="R1959" s="1" t="s">
        <v>158</v>
      </c>
    </row>
    <row r="1960" spans="3:18" x14ac:dyDescent="0.35">
      <c r="C1960" t="s">
        <v>51</v>
      </c>
      <c r="D1960" t="s">
        <v>23</v>
      </c>
      <c r="E1960" t="s">
        <v>45</v>
      </c>
      <c r="F1960" t="s">
        <v>46</v>
      </c>
      <c r="G1960" s="58">
        <v>270346</v>
      </c>
      <c r="H1960" s="1" t="s">
        <v>48</v>
      </c>
      <c r="I1960" s="1" t="s">
        <v>108</v>
      </c>
      <c r="J1960" s="58">
        <v>5947612</v>
      </c>
      <c r="K1960" s="1" t="s">
        <v>106</v>
      </c>
      <c r="L1960" s="1" t="s">
        <v>114</v>
      </c>
      <c r="M1960" s="1" t="s">
        <v>125</v>
      </c>
      <c r="N1960" s="1">
        <v>1</v>
      </c>
      <c r="O1960" s="58"/>
      <c r="P1960" s="58">
        <v>140579.92000000001</v>
      </c>
      <c r="Q1960" t="s">
        <v>113</v>
      </c>
      <c r="R1960" s="1" t="s">
        <v>158</v>
      </c>
    </row>
    <row r="1961" spans="3:18" x14ac:dyDescent="0.35">
      <c r="C1961" t="s">
        <v>51</v>
      </c>
      <c r="D1961" t="s">
        <v>91</v>
      </c>
      <c r="E1961" t="s">
        <v>49</v>
      </c>
      <c r="F1961" t="s">
        <v>46</v>
      </c>
      <c r="G1961" s="58">
        <v>633462</v>
      </c>
      <c r="H1961" s="1" t="s">
        <v>48</v>
      </c>
      <c r="I1961" s="1" t="s">
        <v>108</v>
      </c>
      <c r="J1961" s="58">
        <v>23438094</v>
      </c>
      <c r="K1961" s="1" t="s">
        <v>106</v>
      </c>
      <c r="L1961" s="1" t="s">
        <v>114</v>
      </c>
      <c r="M1961" s="1" t="s">
        <v>125</v>
      </c>
      <c r="N1961" s="1">
        <v>1</v>
      </c>
      <c r="O1961" s="58"/>
      <c r="P1961" s="58">
        <v>449758.02</v>
      </c>
      <c r="Q1961" t="s">
        <v>118</v>
      </c>
      <c r="R1961" s="1" t="s">
        <v>158</v>
      </c>
    </row>
    <row r="1962" spans="3:18" x14ac:dyDescent="0.35">
      <c r="C1962" t="s">
        <v>53</v>
      </c>
      <c r="D1962" t="s">
        <v>22</v>
      </c>
      <c r="E1962" t="s">
        <v>45</v>
      </c>
      <c r="F1962" t="s">
        <v>46</v>
      </c>
      <c r="G1962" s="58">
        <v>16257461</v>
      </c>
      <c r="H1962" s="1" t="s">
        <v>54</v>
      </c>
      <c r="I1962" s="1" t="s">
        <v>119</v>
      </c>
      <c r="J1962" s="58">
        <v>113802227</v>
      </c>
      <c r="K1962" s="1" t="s">
        <v>106</v>
      </c>
      <c r="L1962" s="1" t="s">
        <v>120</v>
      </c>
      <c r="N1962" s="1">
        <v>1</v>
      </c>
      <c r="O1962" s="58"/>
      <c r="P1962" s="58">
        <v>4389514.47</v>
      </c>
      <c r="Q1962" t="s">
        <v>107</v>
      </c>
      <c r="R1962" s="1" t="s">
        <v>158</v>
      </c>
    </row>
    <row r="1963" spans="3:18" x14ac:dyDescent="0.35">
      <c r="C1963" t="s">
        <v>51</v>
      </c>
      <c r="D1963" t="s">
        <v>22</v>
      </c>
      <c r="E1963" t="s">
        <v>45</v>
      </c>
      <c r="F1963" t="s">
        <v>46</v>
      </c>
      <c r="G1963" s="58">
        <v>130357</v>
      </c>
      <c r="H1963" s="1" t="s">
        <v>47</v>
      </c>
      <c r="I1963" s="1" t="s">
        <v>119</v>
      </c>
      <c r="J1963" s="58">
        <v>1303570</v>
      </c>
      <c r="K1963" s="1" t="s">
        <v>106</v>
      </c>
      <c r="L1963" s="1" t="s">
        <v>114</v>
      </c>
      <c r="N1963" s="1">
        <v>1</v>
      </c>
      <c r="O1963" s="58"/>
      <c r="P1963" s="58">
        <v>105589.17</v>
      </c>
      <c r="Q1963" t="s">
        <v>127</v>
      </c>
      <c r="R1963" s="1" t="s">
        <v>158</v>
      </c>
    </row>
    <row r="1964" spans="3:18" x14ac:dyDescent="0.35">
      <c r="C1964" t="s">
        <v>53</v>
      </c>
      <c r="D1964" t="s">
        <v>21</v>
      </c>
      <c r="E1964" t="s">
        <v>49</v>
      </c>
      <c r="F1964" t="s">
        <v>46</v>
      </c>
      <c r="G1964" s="58">
        <v>1590105</v>
      </c>
      <c r="H1964" s="1" t="s">
        <v>48</v>
      </c>
      <c r="I1964" s="1" t="s">
        <v>119</v>
      </c>
      <c r="J1964" s="58">
        <v>15901050</v>
      </c>
      <c r="K1964" s="1" t="s">
        <v>112</v>
      </c>
      <c r="N1964" s="1">
        <v>1</v>
      </c>
      <c r="O1964" s="58"/>
      <c r="P1964" s="58">
        <v>1065370.3500000001</v>
      </c>
      <c r="Q1964" t="s">
        <v>118</v>
      </c>
      <c r="R1964" s="1" t="s">
        <v>48</v>
      </c>
    </row>
    <row r="1965" spans="3:18" x14ac:dyDescent="0.35">
      <c r="C1965" t="s">
        <v>51</v>
      </c>
      <c r="D1965" t="s">
        <v>23</v>
      </c>
      <c r="E1965" t="s">
        <v>45</v>
      </c>
      <c r="F1965" t="s">
        <v>46</v>
      </c>
      <c r="G1965" s="58">
        <v>19955313</v>
      </c>
      <c r="H1965" s="1" t="s">
        <v>48</v>
      </c>
      <c r="I1965" s="1" t="s">
        <v>108</v>
      </c>
      <c r="J1965" s="58">
        <v>678480642</v>
      </c>
      <c r="K1965" s="1" t="s">
        <v>112</v>
      </c>
      <c r="N1965" s="1">
        <v>1</v>
      </c>
      <c r="O1965" s="58"/>
      <c r="P1965" s="58">
        <v>14367825.359999999</v>
      </c>
      <c r="Q1965" t="s">
        <v>118</v>
      </c>
      <c r="R1965" s="1" t="s">
        <v>48</v>
      </c>
    </row>
    <row r="1966" spans="3:18" x14ac:dyDescent="0.35">
      <c r="C1966" t="s">
        <v>51</v>
      </c>
      <c r="D1966" t="s">
        <v>20</v>
      </c>
      <c r="E1966" t="s">
        <v>49</v>
      </c>
      <c r="F1966" t="s">
        <v>46</v>
      </c>
      <c r="G1966" s="58">
        <v>351194</v>
      </c>
      <c r="H1966" s="1" t="s">
        <v>48</v>
      </c>
      <c r="I1966" s="1" t="s">
        <v>108</v>
      </c>
      <c r="J1966" s="58">
        <v>8428656</v>
      </c>
      <c r="K1966" s="1" t="s">
        <v>106</v>
      </c>
      <c r="L1966" s="1" t="s">
        <v>120</v>
      </c>
      <c r="M1966" s="1" t="s">
        <v>126</v>
      </c>
      <c r="N1966" s="1">
        <v>1</v>
      </c>
      <c r="O1966" s="58"/>
      <c r="P1966" s="58">
        <v>375777.58</v>
      </c>
      <c r="Q1966" t="s">
        <v>110</v>
      </c>
      <c r="R1966" s="1" t="s">
        <v>158</v>
      </c>
    </row>
    <row r="1967" spans="3:18" x14ac:dyDescent="0.35">
      <c r="C1967" t="s">
        <v>51</v>
      </c>
      <c r="D1967" t="s">
        <v>21</v>
      </c>
      <c r="E1967" t="s">
        <v>49</v>
      </c>
      <c r="F1967" t="s">
        <v>46</v>
      </c>
      <c r="G1967" s="58">
        <v>229456</v>
      </c>
      <c r="H1967" s="1" t="s">
        <v>48</v>
      </c>
      <c r="I1967" s="1" t="s">
        <v>111</v>
      </c>
      <c r="J1967" s="58">
        <v>2753472</v>
      </c>
      <c r="K1967" s="1" t="s">
        <v>106</v>
      </c>
      <c r="L1967" s="1" t="s">
        <v>116</v>
      </c>
      <c r="M1967" s="1" t="s">
        <v>129</v>
      </c>
      <c r="N1967" s="1">
        <v>1</v>
      </c>
      <c r="O1967" s="58"/>
      <c r="P1967" s="58">
        <v>121611.68</v>
      </c>
      <c r="Q1967" t="s">
        <v>113</v>
      </c>
      <c r="R1967" s="1" t="s">
        <v>158</v>
      </c>
    </row>
    <row r="1968" spans="3:18" x14ac:dyDescent="0.35">
      <c r="C1968" t="s">
        <v>51</v>
      </c>
      <c r="D1968" t="s">
        <v>21</v>
      </c>
      <c r="E1968" t="s">
        <v>55</v>
      </c>
      <c r="F1968" t="s">
        <v>46</v>
      </c>
      <c r="G1968" s="58">
        <v>116626</v>
      </c>
      <c r="H1968" s="1" t="s">
        <v>48</v>
      </c>
      <c r="I1968" s="1" t="s">
        <v>108</v>
      </c>
      <c r="J1968" s="58">
        <v>3965284</v>
      </c>
      <c r="K1968" s="1" t="s">
        <v>106</v>
      </c>
      <c r="L1968" s="1" t="s">
        <v>120</v>
      </c>
      <c r="M1968" s="1" t="s">
        <v>125</v>
      </c>
      <c r="N1968" s="1">
        <v>1</v>
      </c>
      <c r="O1968" s="58"/>
      <c r="P1968" s="58">
        <v>80471.94</v>
      </c>
      <c r="Q1968" t="s">
        <v>118</v>
      </c>
      <c r="R1968" s="1" t="s">
        <v>48</v>
      </c>
    </row>
    <row r="1969" spans="3:18" x14ac:dyDescent="0.35">
      <c r="C1969" t="s">
        <v>51</v>
      </c>
      <c r="D1969" t="s">
        <v>23</v>
      </c>
      <c r="E1969" t="s">
        <v>49</v>
      </c>
      <c r="F1969" t="s">
        <v>46</v>
      </c>
      <c r="G1969" s="58">
        <v>289115</v>
      </c>
      <c r="H1969" s="1" t="s">
        <v>56</v>
      </c>
      <c r="I1969" s="1" t="s">
        <v>108</v>
      </c>
      <c r="J1969" s="58">
        <v>10697255</v>
      </c>
      <c r="K1969" s="1" t="s">
        <v>112</v>
      </c>
      <c r="N1969" s="1">
        <v>1</v>
      </c>
      <c r="O1969" s="58"/>
      <c r="P1969" s="58">
        <v>153230.95000000001</v>
      </c>
      <c r="Q1969" t="s">
        <v>113</v>
      </c>
      <c r="R1969" s="1" t="s">
        <v>158</v>
      </c>
    </row>
    <row r="1970" spans="3:18" x14ac:dyDescent="0.35">
      <c r="C1970" t="s">
        <v>51</v>
      </c>
      <c r="D1970" t="s">
        <v>24</v>
      </c>
      <c r="E1970" t="s">
        <v>55</v>
      </c>
      <c r="F1970" t="s">
        <v>46</v>
      </c>
      <c r="G1970" s="58">
        <v>103481</v>
      </c>
      <c r="H1970" s="1" t="s">
        <v>47</v>
      </c>
      <c r="I1970" s="1" t="s">
        <v>119</v>
      </c>
      <c r="J1970" s="58">
        <v>1034810</v>
      </c>
      <c r="K1970" s="1" t="s">
        <v>112</v>
      </c>
      <c r="N1970" s="1">
        <v>1</v>
      </c>
      <c r="O1970" s="58"/>
      <c r="P1970" s="58">
        <v>16556.96</v>
      </c>
      <c r="Q1970" t="s">
        <v>107</v>
      </c>
      <c r="R1970" s="1" t="s">
        <v>158</v>
      </c>
    </row>
    <row r="1971" spans="3:18" x14ac:dyDescent="0.35">
      <c r="C1971" t="s">
        <v>51</v>
      </c>
      <c r="D1971" t="s">
        <v>91</v>
      </c>
      <c r="E1971" t="s">
        <v>49</v>
      </c>
      <c r="F1971" t="s">
        <v>46</v>
      </c>
      <c r="G1971" s="58">
        <v>343260</v>
      </c>
      <c r="H1971" s="1" t="s">
        <v>48</v>
      </c>
      <c r="I1971" s="1" t="s">
        <v>105</v>
      </c>
      <c r="J1971" s="58">
        <v>0</v>
      </c>
      <c r="K1971" s="1" t="s">
        <v>106</v>
      </c>
      <c r="L1971" s="1" t="s">
        <v>124</v>
      </c>
      <c r="M1971" s="1" t="s">
        <v>126</v>
      </c>
      <c r="N1971" s="1">
        <v>1</v>
      </c>
      <c r="O1971" s="58"/>
      <c r="P1971" s="58">
        <v>147601.79999999999</v>
      </c>
      <c r="Q1971" t="s">
        <v>113</v>
      </c>
      <c r="R1971" s="1" t="s">
        <v>158</v>
      </c>
    </row>
    <row r="1972" spans="3:18" x14ac:dyDescent="0.35">
      <c r="C1972" t="s">
        <v>51</v>
      </c>
      <c r="D1972" t="s">
        <v>22</v>
      </c>
      <c r="E1972" t="s">
        <v>49</v>
      </c>
      <c r="F1972" t="s">
        <v>64</v>
      </c>
      <c r="G1972" s="58">
        <v>727189</v>
      </c>
      <c r="H1972" s="1" t="s">
        <v>48</v>
      </c>
      <c r="I1972" s="1" t="s">
        <v>108</v>
      </c>
      <c r="J1972" s="58">
        <v>26905993</v>
      </c>
      <c r="K1972" s="1" t="s">
        <v>112</v>
      </c>
      <c r="N1972" s="1">
        <v>1</v>
      </c>
      <c r="O1972" s="58"/>
      <c r="P1972" s="58">
        <v>530847.97</v>
      </c>
      <c r="Q1972" t="s">
        <v>118</v>
      </c>
      <c r="R1972" s="1" t="s">
        <v>158</v>
      </c>
    </row>
    <row r="1973" spans="3:18" x14ac:dyDescent="0.35">
      <c r="C1973" t="s">
        <v>51</v>
      </c>
      <c r="D1973" t="s">
        <v>92</v>
      </c>
      <c r="E1973" t="s">
        <v>49</v>
      </c>
      <c r="F1973" t="s">
        <v>46</v>
      </c>
      <c r="G1973" s="58">
        <v>739394</v>
      </c>
      <c r="H1973" s="1" t="s">
        <v>48</v>
      </c>
      <c r="I1973" s="1" t="s">
        <v>108</v>
      </c>
      <c r="J1973" s="58">
        <v>25878790</v>
      </c>
      <c r="K1973" s="1" t="s">
        <v>106</v>
      </c>
      <c r="L1973" s="1" t="s">
        <v>120</v>
      </c>
      <c r="M1973" s="1" t="s">
        <v>125</v>
      </c>
      <c r="N1973" s="1">
        <v>1</v>
      </c>
      <c r="O1973" s="58"/>
      <c r="P1973" s="58">
        <v>510181.86</v>
      </c>
      <c r="Q1973" t="s">
        <v>118</v>
      </c>
      <c r="R1973" s="1" t="s">
        <v>48</v>
      </c>
    </row>
    <row r="1974" spans="3:18" x14ac:dyDescent="0.35">
      <c r="C1974" t="s">
        <v>53</v>
      </c>
      <c r="D1974" t="s">
        <v>21</v>
      </c>
      <c r="E1974" t="s">
        <v>49</v>
      </c>
      <c r="F1974" t="s">
        <v>46</v>
      </c>
      <c r="G1974" s="58">
        <v>101512</v>
      </c>
      <c r="H1974" s="1" t="s">
        <v>56</v>
      </c>
      <c r="I1974" s="1" t="s">
        <v>128</v>
      </c>
      <c r="J1974" s="58"/>
      <c r="K1974" s="1" t="s">
        <v>106</v>
      </c>
      <c r="L1974" s="1" t="s">
        <v>124</v>
      </c>
      <c r="N1974" s="1">
        <v>0</v>
      </c>
      <c r="O1974" s="58"/>
      <c r="P1974" s="58">
        <v>3045.36</v>
      </c>
      <c r="Q1974" t="s">
        <v>107</v>
      </c>
      <c r="R1974" s="1" t="s">
        <v>158</v>
      </c>
    </row>
    <row r="1975" spans="3:18" x14ac:dyDescent="0.35">
      <c r="C1975" t="s">
        <v>53</v>
      </c>
      <c r="D1975" t="s">
        <v>23</v>
      </c>
      <c r="E1975" t="s">
        <v>55</v>
      </c>
      <c r="F1975" t="s">
        <v>46</v>
      </c>
      <c r="G1975" s="58">
        <v>232886</v>
      </c>
      <c r="H1975" s="1" t="s">
        <v>47</v>
      </c>
      <c r="I1975" s="1" t="s">
        <v>111</v>
      </c>
      <c r="J1975" s="58">
        <v>3027518</v>
      </c>
      <c r="K1975" s="1" t="s">
        <v>106</v>
      </c>
      <c r="L1975" s="1" t="s">
        <v>114</v>
      </c>
      <c r="N1975" s="1">
        <v>1</v>
      </c>
      <c r="O1975" s="58"/>
      <c r="P1975" s="58">
        <v>172335.64</v>
      </c>
      <c r="Q1975" t="s">
        <v>118</v>
      </c>
      <c r="R1975" s="1" t="s">
        <v>158</v>
      </c>
    </row>
    <row r="1976" spans="3:18" x14ac:dyDescent="0.35">
      <c r="C1976" t="s">
        <v>53</v>
      </c>
      <c r="D1976" t="s">
        <v>92</v>
      </c>
      <c r="E1976" t="s">
        <v>49</v>
      </c>
      <c r="F1976" t="s">
        <v>46</v>
      </c>
      <c r="G1976" s="58">
        <v>234523</v>
      </c>
      <c r="H1976" s="1" t="s">
        <v>54</v>
      </c>
      <c r="I1976" s="1" t="s">
        <v>108</v>
      </c>
      <c r="J1976" s="58">
        <v>5863075</v>
      </c>
      <c r="K1976" s="1" t="s">
        <v>106</v>
      </c>
      <c r="L1976" s="1" t="s">
        <v>124</v>
      </c>
      <c r="N1976" s="1">
        <v>1</v>
      </c>
      <c r="O1976" s="58"/>
      <c r="P1976" s="58">
        <v>119606.73</v>
      </c>
      <c r="Q1976" t="s">
        <v>113</v>
      </c>
      <c r="R1976" s="1" t="s">
        <v>158</v>
      </c>
    </row>
    <row r="1977" spans="3:18" x14ac:dyDescent="0.35">
      <c r="C1977" t="s">
        <v>51</v>
      </c>
      <c r="D1977" t="s">
        <v>21</v>
      </c>
      <c r="E1977" t="s">
        <v>45</v>
      </c>
      <c r="F1977" t="s">
        <v>64</v>
      </c>
      <c r="G1977" s="58">
        <v>218580</v>
      </c>
      <c r="H1977" s="1" t="s">
        <v>48</v>
      </c>
      <c r="I1977" s="1" t="s">
        <v>108</v>
      </c>
      <c r="J1977" s="58">
        <v>6557400</v>
      </c>
      <c r="K1977" s="1" t="s">
        <v>106</v>
      </c>
      <c r="L1977" s="1" t="s">
        <v>120</v>
      </c>
      <c r="M1977" s="1" t="s">
        <v>126</v>
      </c>
      <c r="N1977" s="1">
        <v>1</v>
      </c>
      <c r="O1977" s="58"/>
      <c r="P1977" s="58">
        <v>102732.6</v>
      </c>
      <c r="Q1977" t="s">
        <v>113</v>
      </c>
      <c r="R1977" s="1" t="s">
        <v>48</v>
      </c>
    </row>
    <row r="1978" spans="3:18" x14ac:dyDescent="0.35">
      <c r="C1978" t="s">
        <v>51</v>
      </c>
      <c r="D1978" t="s">
        <v>92</v>
      </c>
      <c r="E1978" t="s">
        <v>49</v>
      </c>
      <c r="F1978" t="s">
        <v>46</v>
      </c>
      <c r="G1978" s="58">
        <v>92633520</v>
      </c>
      <c r="H1978" s="1" t="s">
        <v>59</v>
      </c>
      <c r="I1978" s="1" t="s">
        <v>108</v>
      </c>
      <c r="J1978" s="58">
        <v>2686372080</v>
      </c>
      <c r="K1978" s="1" t="s">
        <v>106</v>
      </c>
      <c r="L1978" s="1" t="s">
        <v>124</v>
      </c>
      <c r="N1978" s="1">
        <v>1</v>
      </c>
      <c r="O1978" s="58"/>
      <c r="P1978" s="58">
        <v>63917128.799999997</v>
      </c>
      <c r="Q1978" t="s">
        <v>118</v>
      </c>
      <c r="R1978" s="1" t="s">
        <v>158</v>
      </c>
    </row>
    <row r="1979" spans="3:18" x14ac:dyDescent="0.35">
      <c r="C1979" t="s">
        <v>51</v>
      </c>
      <c r="D1979" t="s">
        <v>22</v>
      </c>
      <c r="E1979" t="s">
        <v>45</v>
      </c>
      <c r="F1979" t="s">
        <v>46</v>
      </c>
      <c r="G1979" s="58">
        <v>272645</v>
      </c>
      <c r="H1979" s="1" t="s">
        <v>59</v>
      </c>
      <c r="I1979" s="1" t="s">
        <v>128</v>
      </c>
      <c r="J1979" s="58"/>
      <c r="K1979" s="1" t="s">
        <v>106</v>
      </c>
      <c r="L1979" s="1" t="s">
        <v>120</v>
      </c>
      <c r="N1979" s="1">
        <v>0</v>
      </c>
      <c r="O1979" s="58"/>
      <c r="P1979" s="58">
        <v>117237.35</v>
      </c>
      <c r="Q1979" t="s">
        <v>113</v>
      </c>
      <c r="R1979" s="1" t="s">
        <v>158</v>
      </c>
    </row>
    <row r="1980" spans="3:18" x14ac:dyDescent="0.35">
      <c r="C1980" t="s">
        <v>51</v>
      </c>
      <c r="D1980" t="s">
        <v>21</v>
      </c>
      <c r="E1980" t="s">
        <v>49</v>
      </c>
      <c r="F1980" t="s">
        <v>46</v>
      </c>
      <c r="G1980" s="58">
        <v>344885</v>
      </c>
      <c r="H1980" s="1" t="s">
        <v>47</v>
      </c>
      <c r="I1980" s="1" t="s">
        <v>108</v>
      </c>
      <c r="J1980" s="58">
        <v>12760745</v>
      </c>
      <c r="K1980" s="1" t="s">
        <v>106</v>
      </c>
      <c r="L1980" s="1" t="s">
        <v>114</v>
      </c>
      <c r="N1980" s="1">
        <v>1</v>
      </c>
      <c r="O1980" s="58"/>
      <c r="P1980" s="58">
        <v>282805.7</v>
      </c>
      <c r="Q1980" t="s">
        <v>127</v>
      </c>
      <c r="R1980" s="1" t="s">
        <v>158</v>
      </c>
    </row>
    <row r="1981" spans="3:18" x14ac:dyDescent="0.35">
      <c r="C1981" t="s">
        <v>51</v>
      </c>
      <c r="D1981" t="s">
        <v>23</v>
      </c>
      <c r="E1981" t="s">
        <v>45</v>
      </c>
      <c r="F1981" t="s">
        <v>46</v>
      </c>
      <c r="G1981" s="58">
        <v>12162973</v>
      </c>
      <c r="H1981" s="1" t="s">
        <v>54</v>
      </c>
      <c r="I1981" s="1" t="s">
        <v>111</v>
      </c>
      <c r="J1981" s="58">
        <v>206770541</v>
      </c>
      <c r="K1981" s="1" t="s">
        <v>106</v>
      </c>
      <c r="L1981" s="1" t="s">
        <v>120</v>
      </c>
      <c r="N1981" s="1">
        <v>1</v>
      </c>
      <c r="O1981" s="58"/>
      <c r="P1981" s="58">
        <v>8027562.1799999997</v>
      </c>
      <c r="Q1981" t="s">
        <v>118</v>
      </c>
      <c r="R1981" s="1" t="s">
        <v>158</v>
      </c>
    </row>
    <row r="1982" spans="3:18" x14ac:dyDescent="0.35">
      <c r="C1982" t="s">
        <v>51</v>
      </c>
      <c r="D1982" t="s">
        <v>25</v>
      </c>
      <c r="E1982" t="s">
        <v>55</v>
      </c>
      <c r="F1982" t="s">
        <v>46</v>
      </c>
      <c r="G1982" s="58">
        <v>34079</v>
      </c>
      <c r="H1982" s="1" t="s">
        <v>54</v>
      </c>
      <c r="I1982" s="1" t="s">
        <v>108</v>
      </c>
      <c r="J1982" s="58">
        <v>1192765</v>
      </c>
      <c r="K1982" s="1" t="s">
        <v>112</v>
      </c>
      <c r="N1982" s="1">
        <v>1</v>
      </c>
      <c r="O1982" s="58"/>
      <c r="P1982" s="58">
        <v>2044.74</v>
      </c>
      <c r="Q1982" t="s">
        <v>107</v>
      </c>
      <c r="R1982" s="1" t="s">
        <v>158</v>
      </c>
    </row>
    <row r="1983" spans="3:18" x14ac:dyDescent="0.35">
      <c r="C1983" t="s">
        <v>51</v>
      </c>
      <c r="D1983" t="s">
        <v>22</v>
      </c>
      <c r="E1983" t="s">
        <v>45</v>
      </c>
      <c r="F1983" t="s">
        <v>46</v>
      </c>
      <c r="G1983" s="58">
        <v>248258</v>
      </c>
      <c r="H1983" s="1" t="s">
        <v>56</v>
      </c>
      <c r="I1983" s="1" t="s">
        <v>108</v>
      </c>
      <c r="J1983" s="58">
        <v>5958192</v>
      </c>
      <c r="K1983" s="1" t="s">
        <v>106</v>
      </c>
      <c r="L1983" s="1" t="s">
        <v>116</v>
      </c>
      <c r="N1983" s="1">
        <v>1</v>
      </c>
      <c r="O1983" s="58"/>
      <c r="P1983" s="58">
        <v>86890.3</v>
      </c>
      <c r="Q1983" t="s">
        <v>107</v>
      </c>
      <c r="R1983" s="1" t="s">
        <v>158</v>
      </c>
    </row>
    <row r="1984" spans="3:18" x14ac:dyDescent="0.35">
      <c r="C1984" t="s">
        <v>51</v>
      </c>
      <c r="D1984" t="s">
        <v>24</v>
      </c>
      <c r="E1984" t="s">
        <v>45</v>
      </c>
      <c r="F1984" t="s">
        <v>46</v>
      </c>
      <c r="G1984" s="58">
        <v>1993509</v>
      </c>
      <c r="H1984" s="1" t="s">
        <v>54</v>
      </c>
      <c r="I1984" s="1" t="s">
        <v>111</v>
      </c>
      <c r="J1984" s="58">
        <v>33889653</v>
      </c>
      <c r="K1984" s="1" t="s">
        <v>106</v>
      </c>
      <c r="L1984" s="1" t="s">
        <v>120</v>
      </c>
      <c r="N1984" s="1">
        <v>1</v>
      </c>
      <c r="O1984" s="58"/>
      <c r="P1984" s="58">
        <v>976819.41</v>
      </c>
      <c r="Q1984" t="s">
        <v>113</v>
      </c>
      <c r="R1984" s="1" t="s">
        <v>158</v>
      </c>
    </row>
    <row r="1985" spans="3:18" x14ac:dyDescent="0.35">
      <c r="C1985" t="s">
        <v>51</v>
      </c>
      <c r="D1985" t="s">
        <v>21</v>
      </c>
      <c r="E1985" t="s">
        <v>45</v>
      </c>
      <c r="F1985" t="s">
        <v>46</v>
      </c>
      <c r="G1985" s="58">
        <v>1515085</v>
      </c>
      <c r="H1985" s="1" t="s">
        <v>47</v>
      </c>
      <c r="I1985" s="1" t="s">
        <v>108</v>
      </c>
      <c r="J1985" s="58">
        <v>48482720</v>
      </c>
      <c r="K1985" s="1" t="s">
        <v>106</v>
      </c>
      <c r="L1985" s="1" t="s">
        <v>124</v>
      </c>
      <c r="N1985" s="1">
        <v>1</v>
      </c>
      <c r="O1985" s="58"/>
      <c r="P1985" s="58">
        <v>484827.2</v>
      </c>
      <c r="Q1985" t="s">
        <v>107</v>
      </c>
      <c r="R1985" s="1" t="s">
        <v>158</v>
      </c>
    </row>
    <row r="1986" spans="3:18" x14ac:dyDescent="0.35">
      <c r="C1986" t="s">
        <v>51</v>
      </c>
      <c r="D1986" t="s">
        <v>19</v>
      </c>
      <c r="E1986" t="s">
        <v>45</v>
      </c>
      <c r="F1986" t="s">
        <v>46</v>
      </c>
      <c r="G1986" s="58">
        <v>598331</v>
      </c>
      <c r="H1986" s="1" t="s">
        <v>48</v>
      </c>
      <c r="I1986" s="1" t="s">
        <v>108</v>
      </c>
      <c r="J1986" s="58">
        <v>19744923</v>
      </c>
      <c r="K1986" s="1" t="s">
        <v>106</v>
      </c>
      <c r="L1986" s="1" t="s">
        <v>124</v>
      </c>
      <c r="M1986" s="1" t="s">
        <v>122</v>
      </c>
      <c r="N1986" s="1">
        <v>1</v>
      </c>
      <c r="O1986" s="58"/>
      <c r="P1986" s="58">
        <v>424815.01</v>
      </c>
      <c r="Q1986" t="s">
        <v>118</v>
      </c>
      <c r="R1986" s="1" t="s">
        <v>158</v>
      </c>
    </row>
    <row r="1987" spans="3:18" x14ac:dyDescent="0.35">
      <c r="C1987" t="s">
        <v>51</v>
      </c>
      <c r="D1987" t="s">
        <v>24</v>
      </c>
      <c r="E1987" t="s">
        <v>49</v>
      </c>
      <c r="F1987" t="s">
        <v>46</v>
      </c>
      <c r="G1987" s="58">
        <v>102845</v>
      </c>
      <c r="H1987" s="1" t="s">
        <v>48</v>
      </c>
      <c r="I1987" s="1" t="s">
        <v>111</v>
      </c>
      <c r="J1987" s="58">
        <v>1954055</v>
      </c>
      <c r="K1987" s="1" t="s">
        <v>106</v>
      </c>
      <c r="L1987" s="1" t="s">
        <v>120</v>
      </c>
      <c r="M1987" s="1" t="s">
        <v>121</v>
      </c>
      <c r="N1987" s="1">
        <v>1</v>
      </c>
      <c r="O1987" s="58"/>
      <c r="P1987" s="58">
        <v>73019.95</v>
      </c>
      <c r="Q1987" t="s">
        <v>118</v>
      </c>
      <c r="R1987" s="1" t="s">
        <v>48</v>
      </c>
    </row>
    <row r="1988" spans="3:18" x14ac:dyDescent="0.35">
      <c r="C1988" t="s">
        <v>51</v>
      </c>
      <c r="D1988" t="s">
        <v>23</v>
      </c>
      <c r="E1988" t="s">
        <v>45</v>
      </c>
      <c r="F1988" t="s">
        <v>46</v>
      </c>
      <c r="G1988" s="58">
        <v>51463614</v>
      </c>
      <c r="H1988" s="1" t="s">
        <v>59</v>
      </c>
      <c r="I1988" s="1" t="s">
        <v>111</v>
      </c>
      <c r="J1988" s="58">
        <v>823417824</v>
      </c>
      <c r="K1988" s="1" t="s">
        <v>106</v>
      </c>
      <c r="L1988" s="1" t="s">
        <v>120</v>
      </c>
      <c r="N1988" s="1">
        <v>1</v>
      </c>
      <c r="O1988" s="58"/>
      <c r="P1988" s="58">
        <v>25217170.859999999</v>
      </c>
      <c r="Q1988" t="s">
        <v>113</v>
      </c>
      <c r="R1988" s="1" t="s">
        <v>158</v>
      </c>
    </row>
    <row r="1989" spans="3:18" x14ac:dyDescent="0.35">
      <c r="C1989" t="s">
        <v>51</v>
      </c>
      <c r="D1989" t="s">
        <v>21</v>
      </c>
      <c r="E1989" t="s">
        <v>49</v>
      </c>
      <c r="F1989" t="s">
        <v>46</v>
      </c>
      <c r="G1989" s="58">
        <v>13948</v>
      </c>
      <c r="H1989" s="1" t="s">
        <v>48</v>
      </c>
      <c r="I1989" s="1" t="s">
        <v>119</v>
      </c>
      <c r="J1989" s="58">
        <v>125532</v>
      </c>
      <c r="K1989" s="1" t="s">
        <v>106</v>
      </c>
      <c r="L1989" s="1" t="s">
        <v>120</v>
      </c>
      <c r="M1989" s="1" t="s">
        <v>115</v>
      </c>
      <c r="N1989" s="1">
        <v>1</v>
      </c>
      <c r="O1989" s="58"/>
      <c r="P1989" s="58">
        <v>7392.44</v>
      </c>
      <c r="Q1989" t="s">
        <v>113</v>
      </c>
      <c r="R1989" s="1" t="s">
        <v>158</v>
      </c>
    </row>
    <row r="1990" spans="3:18" x14ac:dyDescent="0.35">
      <c r="C1990" t="s">
        <v>51</v>
      </c>
      <c r="D1990" t="s">
        <v>21</v>
      </c>
      <c r="E1990" t="s">
        <v>45</v>
      </c>
      <c r="F1990" t="s">
        <v>46</v>
      </c>
      <c r="G1990" s="58">
        <v>1431110</v>
      </c>
      <c r="H1990" s="1" t="s">
        <v>59</v>
      </c>
      <c r="I1990" s="1" t="s">
        <v>111</v>
      </c>
      <c r="J1990" s="58">
        <v>24328870</v>
      </c>
      <c r="K1990" s="1" t="s">
        <v>106</v>
      </c>
      <c r="L1990" s="1" t="s">
        <v>120</v>
      </c>
      <c r="N1990" s="1">
        <v>1</v>
      </c>
      <c r="O1990" s="58"/>
      <c r="P1990" s="58">
        <v>944532.6</v>
      </c>
      <c r="Q1990" t="s">
        <v>118</v>
      </c>
      <c r="R1990" s="1" t="s">
        <v>158</v>
      </c>
    </row>
    <row r="1991" spans="3:18" x14ac:dyDescent="0.35">
      <c r="C1991" t="s">
        <v>51</v>
      </c>
      <c r="D1991" t="s">
        <v>23</v>
      </c>
      <c r="E1991" t="s">
        <v>55</v>
      </c>
      <c r="F1991" t="s">
        <v>46</v>
      </c>
      <c r="G1991" s="58">
        <v>2275779</v>
      </c>
      <c r="H1991" s="1" t="s">
        <v>47</v>
      </c>
      <c r="I1991" s="1" t="s">
        <v>111</v>
      </c>
      <c r="J1991" s="58">
        <v>34136685</v>
      </c>
      <c r="K1991" s="1" t="s">
        <v>106</v>
      </c>
      <c r="L1991" s="1" t="s">
        <v>114</v>
      </c>
      <c r="N1991" s="1">
        <v>1</v>
      </c>
      <c r="O1991" s="58"/>
      <c r="P1991" s="58">
        <v>2002685.52</v>
      </c>
      <c r="Q1991" t="s">
        <v>127</v>
      </c>
      <c r="R1991" s="1" t="s">
        <v>158</v>
      </c>
    </row>
    <row r="1992" spans="3:18" x14ac:dyDescent="0.35">
      <c r="C1992" t="s">
        <v>51</v>
      </c>
      <c r="D1992" t="s">
        <v>91</v>
      </c>
      <c r="E1992" t="s">
        <v>49</v>
      </c>
      <c r="F1992" t="s">
        <v>64</v>
      </c>
      <c r="G1992" s="58">
        <v>55647</v>
      </c>
      <c r="H1992" s="1" t="s">
        <v>47</v>
      </c>
      <c r="I1992" s="1" t="s">
        <v>108</v>
      </c>
      <c r="J1992" s="58">
        <v>1279881</v>
      </c>
      <c r="K1992" s="1" t="s">
        <v>112</v>
      </c>
      <c r="N1992" s="1">
        <v>1</v>
      </c>
      <c r="O1992" s="58"/>
      <c r="P1992" s="58">
        <v>2225.88</v>
      </c>
      <c r="Q1992" t="s">
        <v>107</v>
      </c>
      <c r="R1992" s="1" t="s">
        <v>158</v>
      </c>
    </row>
    <row r="1993" spans="3:18" x14ac:dyDescent="0.35">
      <c r="C1993" t="s">
        <v>51</v>
      </c>
      <c r="D1993" t="s">
        <v>23</v>
      </c>
      <c r="E1993" t="s">
        <v>49</v>
      </c>
      <c r="F1993" t="s">
        <v>46</v>
      </c>
      <c r="G1993" s="58">
        <v>139298</v>
      </c>
      <c r="H1993" s="1" t="s">
        <v>59</v>
      </c>
      <c r="I1993" s="1" t="s">
        <v>105</v>
      </c>
      <c r="J1993" s="58">
        <v>417894</v>
      </c>
      <c r="K1993" s="1" t="s">
        <v>106</v>
      </c>
      <c r="L1993" s="1" t="s">
        <v>124</v>
      </c>
      <c r="N1993" s="1">
        <v>1</v>
      </c>
      <c r="O1993" s="58"/>
      <c r="P1993" s="58">
        <v>11143.84</v>
      </c>
      <c r="Q1993" t="s">
        <v>107</v>
      </c>
      <c r="R1993" s="1" t="s">
        <v>158</v>
      </c>
    </row>
    <row r="1994" spans="3:18" x14ac:dyDescent="0.35">
      <c r="C1994" t="s">
        <v>51</v>
      </c>
      <c r="D1994" t="s">
        <v>23</v>
      </c>
      <c r="E1994" t="s">
        <v>62</v>
      </c>
      <c r="F1994" t="s">
        <v>46</v>
      </c>
      <c r="G1994" s="58">
        <v>4226889</v>
      </c>
      <c r="H1994" s="1" t="s">
        <v>48</v>
      </c>
      <c r="I1994" s="1" t="s">
        <v>111</v>
      </c>
      <c r="J1994" s="58">
        <v>71857113</v>
      </c>
      <c r="K1994" s="1" t="s">
        <v>112</v>
      </c>
      <c r="N1994" s="1">
        <v>1</v>
      </c>
      <c r="O1994" s="58"/>
      <c r="P1994" s="58">
        <v>3043360.08</v>
      </c>
      <c r="Q1994" t="s">
        <v>118</v>
      </c>
      <c r="R1994" s="1" t="s">
        <v>48</v>
      </c>
    </row>
    <row r="1995" spans="3:18" x14ac:dyDescent="0.35">
      <c r="C1995" t="s">
        <v>51</v>
      </c>
      <c r="D1995" t="s">
        <v>25</v>
      </c>
      <c r="E1995" t="s">
        <v>55</v>
      </c>
      <c r="F1995" t="s">
        <v>46</v>
      </c>
      <c r="G1995" s="58">
        <v>1114871</v>
      </c>
      <c r="H1995" s="1" t="s">
        <v>54</v>
      </c>
      <c r="I1995" s="1" t="s">
        <v>108</v>
      </c>
      <c r="J1995" s="58">
        <v>31216388</v>
      </c>
      <c r="K1995" s="1" t="s">
        <v>106</v>
      </c>
      <c r="L1995" s="1" t="s">
        <v>120</v>
      </c>
      <c r="N1995" s="1">
        <v>1</v>
      </c>
      <c r="O1995" s="58"/>
      <c r="P1995" s="58">
        <v>501691.95</v>
      </c>
      <c r="Q1995" t="s">
        <v>113</v>
      </c>
      <c r="R1995" s="1" t="s">
        <v>158</v>
      </c>
    </row>
    <row r="1996" spans="3:18" x14ac:dyDescent="0.35">
      <c r="C1996" t="s">
        <v>53</v>
      </c>
      <c r="D1996" t="s">
        <v>21</v>
      </c>
      <c r="E1996" t="s">
        <v>45</v>
      </c>
      <c r="F1996" t="s">
        <v>46</v>
      </c>
      <c r="G1996" s="58">
        <v>1531813</v>
      </c>
      <c r="H1996" s="1" t="s">
        <v>47</v>
      </c>
      <c r="I1996" s="1" t="s">
        <v>105</v>
      </c>
      <c r="J1996" s="58"/>
      <c r="K1996" s="1" t="s">
        <v>106</v>
      </c>
      <c r="L1996" s="1" t="s">
        <v>120</v>
      </c>
      <c r="N1996" s="1">
        <v>0</v>
      </c>
      <c r="O1996" s="58"/>
      <c r="P1996" s="58">
        <v>30636.26</v>
      </c>
      <c r="Q1996" t="s">
        <v>107</v>
      </c>
      <c r="R1996" s="1" t="s">
        <v>158</v>
      </c>
    </row>
    <row r="1997" spans="3:18" x14ac:dyDescent="0.35">
      <c r="C1997" t="s">
        <v>51</v>
      </c>
      <c r="D1997" t="s">
        <v>22</v>
      </c>
      <c r="E1997" t="s">
        <v>45</v>
      </c>
      <c r="F1997" t="s">
        <v>64</v>
      </c>
      <c r="G1997" s="58">
        <v>125615</v>
      </c>
      <c r="H1997" s="1" t="s">
        <v>47</v>
      </c>
      <c r="I1997" s="1" t="s">
        <v>105</v>
      </c>
      <c r="J1997" s="58">
        <v>628075</v>
      </c>
      <c r="K1997" s="1" t="s">
        <v>106</v>
      </c>
      <c r="L1997" s="1" t="s">
        <v>120</v>
      </c>
      <c r="N1997" s="1">
        <v>1</v>
      </c>
      <c r="O1997" s="58"/>
      <c r="P1997" s="58">
        <v>21354.55</v>
      </c>
      <c r="Q1997" t="s">
        <v>107</v>
      </c>
      <c r="R1997" s="1" t="s">
        <v>158</v>
      </c>
    </row>
    <row r="1998" spans="3:18" x14ac:dyDescent="0.35">
      <c r="C1998" t="s">
        <v>51</v>
      </c>
      <c r="D1998" t="s">
        <v>24</v>
      </c>
      <c r="E1998" t="s">
        <v>62</v>
      </c>
      <c r="F1998" t="s">
        <v>46</v>
      </c>
      <c r="G1998" s="58">
        <v>10221325</v>
      </c>
      <c r="H1998" s="1" t="s">
        <v>48</v>
      </c>
      <c r="I1998" s="1" t="s">
        <v>108</v>
      </c>
      <c r="J1998" s="58">
        <v>337303725</v>
      </c>
      <c r="K1998" s="1" t="s">
        <v>112</v>
      </c>
      <c r="N1998" s="1">
        <v>1</v>
      </c>
      <c r="O1998" s="58"/>
      <c r="P1998" s="58">
        <v>5212875.75</v>
      </c>
      <c r="Q1998" t="s">
        <v>113</v>
      </c>
      <c r="R1998" s="1" t="s">
        <v>48</v>
      </c>
    </row>
    <row r="1999" spans="3:18" x14ac:dyDescent="0.35">
      <c r="C1999" t="s">
        <v>51</v>
      </c>
      <c r="D1999" t="s">
        <v>23</v>
      </c>
      <c r="E1999" t="s">
        <v>55</v>
      </c>
      <c r="F1999" t="s">
        <v>46</v>
      </c>
      <c r="G1999" s="58">
        <v>17550</v>
      </c>
      <c r="H1999" s="1" t="s">
        <v>59</v>
      </c>
      <c r="I1999" s="1" t="s">
        <v>111</v>
      </c>
      <c r="J1999" s="58">
        <v>245700</v>
      </c>
      <c r="K1999" s="1" t="s">
        <v>106</v>
      </c>
      <c r="L1999" s="1" t="s">
        <v>120</v>
      </c>
      <c r="N1999" s="1">
        <v>1</v>
      </c>
      <c r="O1999" s="58"/>
      <c r="P1999" s="58">
        <v>1755</v>
      </c>
      <c r="Q1999" t="s">
        <v>107</v>
      </c>
      <c r="R1999" s="1" t="s">
        <v>158</v>
      </c>
    </row>
    <row r="2000" spans="3:18" x14ac:dyDescent="0.35">
      <c r="C2000" t="s">
        <v>51</v>
      </c>
      <c r="D2000" t="s">
        <v>24</v>
      </c>
      <c r="E2000" t="s">
        <v>55</v>
      </c>
      <c r="F2000" t="s">
        <v>46</v>
      </c>
      <c r="G2000" s="58">
        <v>12052805</v>
      </c>
      <c r="H2000" s="1" t="s">
        <v>59</v>
      </c>
      <c r="I2000" s="1" t="s">
        <v>108</v>
      </c>
      <c r="J2000" s="58">
        <v>373636955</v>
      </c>
      <c r="K2000" s="1" t="s">
        <v>106</v>
      </c>
      <c r="L2000" s="1" t="s">
        <v>114</v>
      </c>
      <c r="N2000" s="1">
        <v>1</v>
      </c>
      <c r="O2000" s="58"/>
      <c r="P2000" s="58">
        <v>10124356.199999999</v>
      </c>
      <c r="Q2000" t="s">
        <v>127</v>
      </c>
      <c r="R2000" s="1" t="s">
        <v>158</v>
      </c>
    </row>
    <row r="2001" spans="3:18" x14ac:dyDescent="0.35">
      <c r="C2001" t="s">
        <v>51</v>
      </c>
      <c r="D2001" t="s">
        <v>24</v>
      </c>
      <c r="E2001" t="s">
        <v>50</v>
      </c>
      <c r="F2001" t="s">
        <v>46</v>
      </c>
      <c r="G2001" s="58">
        <v>702983</v>
      </c>
      <c r="H2001" s="1" t="s">
        <v>59</v>
      </c>
      <c r="I2001" s="1" t="s">
        <v>119</v>
      </c>
      <c r="J2001" s="58">
        <v>5623864</v>
      </c>
      <c r="K2001" s="1" t="s">
        <v>106</v>
      </c>
      <c r="L2001" s="1" t="s">
        <v>109</v>
      </c>
      <c r="N2001" s="1">
        <v>1</v>
      </c>
      <c r="O2001" s="58"/>
      <c r="P2001" s="58">
        <v>182775.58</v>
      </c>
      <c r="Q2001" t="s">
        <v>107</v>
      </c>
      <c r="R2001" s="1" t="s">
        <v>158</v>
      </c>
    </row>
    <row r="2002" spans="3:18" x14ac:dyDescent="0.35">
      <c r="C2002" t="s">
        <v>53</v>
      </c>
      <c r="D2002" t="s">
        <v>22</v>
      </c>
      <c r="E2002" t="s">
        <v>45</v>
      </c>
      <c r="F2002" t="s">
        <v>46</v>
      </c>
      <c r="G2002" s="58">
        <v>256546</v>
      </c>
      <c r="H2002" s="1" t="s">
        <v>56</v>
      </c>
      <c r="I2002" s="1" t="s">
        <v>105</v>
      </c>
      <c r="J2002" s="58">
        <v>513092</v>
      </c>
      <c r="K2002" s="1" t="s">
        <v>106</v>
      </c>
      <c r="L2002" s="1" t="s">
        <v>120</v>
      </c>
      <c r="N2002" s="1">
        <v>1</v>
      </c>
      <c r="O2002" s="58"/>
      <c r="P2002" s="58">
        <v>120576.62</v>
      </c>
      <c r="Q2002" t="s">
        <v>113</v>
      </c>
      <c r="R2002" s="1" t="s">
        <v>158</v>
      </c>
    </row>
    <row r="2003" spans="3:18" x14ac:dyDescent="0.35">
      <c r="C2003" t="s">
        <v>51</v>
      </c>
      <c r="D2003" t="s">
        <v>23</v>
      </c>
      <c r="E2003" t="s">
        <v>45</v>
      </c>
      <c r="F2003" t="s">
        <v>46</v>
      </c>
      <c r="G2003" s="58">
        <v>754205</v>
      </c>
      <c r="H2003" s="1" t="s">
        <v>59</v>
      </c>
      <c r="I2003" s="1" t="s">
        <v>111</v>
      </c>
      <c r="J2003" s="58">
        <v>10558870</v>
      </c>
      <c r="K2003" s="1" t="s">
        <v>112</v>
      </c>
      <c r="N2003" s="1">
        <v>1</v>
      </c>
      <c r="O2003" s="58"/>
      <c r="P2003" s="58">
        <v>188551.25</v>
      </c>
      <c r="Q2003" t="s">
        <v>107</v>
      </c>
      <c r="R2003" s="1" t="s">
        <v>158</v>
      </c>
    </row>
    <row r="2004" spans="3:18" x14ac:dyDescent="0.35">
      <c r="C2004" t="s">
        <v>51</v>
      </c>
      <c r="D2004" t="s">
        <v>24</v>
      </c>
      <c r="E2004" t="s">
        <v>55</v>
      </c>
      <c r="F2004" t="s">
        <v>46</v>
      </c>
      <c r="G2004" s="58">
        <v>134813856</v>
      </c>
      <c r="H2004" s="1" t="s">
        <v>48</v>
      </c>
      <c r="I2004" s="1" t="s">
        <v>108</v>
      </c>
      <c r="J2004" s="58">
        <v>4583671104</v>
      </c>
      <c r="K2004" s="1" t="s">
        <v>106</v>
      </c>
      <c r="L2004" s="1" t="s">
        <v>114</v>
      </c>
      <c r="M2004" s="1" t="s">
        <v>121</v>
      </c>
      <c r="N2004" s="1">
        <v>1</v>
      </c>
      <c r="O2004" s="58"/>
      <c r="P2004" s="58">
        <v>111895500.48</v>
      </c>
      <c r="Q2004" t="s">
        <v>127</v>
      </c>
      <c r="R2004" s="1" t="s">
        <v>158</v>
      </c>
    </row>
    <row r="2005" spans="3:18" x14ac:dyDescent="0.35">
      <c r="C2005" t="s">
        <v>51</v>
      </c>
      <c r="D2005" t="s">
        <v>24</v>
      </c>
      <c r="E2005" t="s">
        <v>62</v>
      </c>
      <c r="F2005" t="s">
        <v>46</v>
      </c>
      <c r="G2005" s="58">
        <v>3607142</v>
      </c>
      <c r="H2005" s="1" t="s">
        <v>48</v>
      </c>
      <c r="I2005" s="1" t="s">
        <v>108</v>
      </c>
      <c r="J2005" s="58">
        <v>115428544</v>
      </c>
      <c r="K2005" s="1" t="s">
        <v>112</v>
      </c>
      <c r="N2005" s="1">
        <v>1</v>
      </c>
      <c r="O2005" s="58"/>
      <c r="P2005" s="58">
        <v>1009999.76</v>
      </c>
      <c r="Q2005" t="s">
        <v>107</v>
      </c>
      <c r="R2005" s="1" t="s">
        <v>48</v>
      </c>
    </row>
    <row r="2006" spans="3:18" x14ac:dyDescent="0.35">
      <c r="C2006" t="s">
        <v>53</v>
      </c>
      <c r="D2006" t="s">
        <v>92</v>
      </c>
      <c r="E2006" t="s">
        <v>45</v>
      </c>
      <c r="F2006" t="s">
        <v>46</v>
      </c>
      <c r="G2006" s="58">
        <v>223304</v>
      </c>
      <c r="H2006" s="1" t="s">
        <v>48</v>
      </c>
      <c r="I2006" s="1" t="s">
        <v>119</v>
      </c>
      <c r="J2006" s="58">
        <v>2233040</v>
      </c>
      <c r="K2006" s="1" t="s">
        <v>112</v>
      </c>
      <c r="N2006" s="1">
        <v>1</v>
      </c>
      <c r="O2006" s="58"/>
      <c r="P2006" s="58">
        <v>174177.12</v>
      </c>
      <c r="Q2006" t="s">
        <v>118</v>
      </c>
      <c r="R2006" s="1" t="s">
        <v>158</v>
      </c>
    </row>
    <row r="2007" spans="3:18" x14ac:dyDescent="0.35">
      <c r="C2007" t="s">
        <v>51</v>
      </c>
      <c r="D2007" t="s">
        <v>21</v>
      </c>
      <c r="E2007" t="s">
        <v>49</v>
      </c>
      <c r="F2007" t="s">
        <v>46</v>
      </c>
      <c r="G2007" s="58">
        <v>151577</v>
      </c>
      <c r="H2007" s="1" t="s">
        <v>54</v>
      </c>
      <c r="I2007" s="1" t="s">
        <v>108</v>
      </c>
      <c r="J2007" s="58">
        <v>3637848</v>
      </c>
      <c r="K2007" s="1" t="s">
        <v>106</v>
      </c>
      <c r="L2007" s="1" t="s">
        <v>116</v>
      </c>
      <c r="N2007" s="1">
        <v>1</v>
      </c>
      <c r="O2007" s="58"/>
      <c r="P2007" s="58">
        <v>69725.42</v>
      </c>
      <c r="Q2007" t="s">
        <v>113</v>
      </c>
      <c r="R2007" s="1" t="s">
        <v>158</v>
      </c>
    </row>
    <row r="2008" spans="3:18" x14ac:dyDescent="0.35">
      <c r="C2008" t="s">
        <v>51</v>
      </c>
      <c r="D2008" t="s">
        <v>92</v>
      </c>
      <c r="E2008" t="s">
        <v>49</v>
      </c>
      <c r="F2008" t="s">
        <v>46</v>
      </c>
      <c r="G2008" s="58">
        <v>14786910</v>
      </c>
      <c r="H2008" s="1" t="s">
        <v>48</v>
      </c>
      <c r="I2008" s="1" t="s">
        <v>108</v>
      </c>
      <c r="J2008" s="58">
        <v>473181120</v>
      </c>
      <c r="K2008" s="1" t="s">
        <v>112</v>
      </c>
      <c r="N2008" s="1">
        <v>1</v>
      </c>
      <c r="O2008" s="58"/>
      <c r="P2008" s="58">
        <v>7541324.0999999996</v>
      </c>
      <c r="Q2008" t="s">
        <v>113</v>
      </c>
      <c r="R2008" s="1" t="s">
        <v>48</v>
      </c>
    </row>
    <row r="2009" spans="3:18" x14ac:dyDescent="0.35">
      <c r="C2009" t="s">
        <v>53</v>
      </c>
      <c r="D2009" t="s">
        <v>22</v>
      </c>
      <c r="E2009" t="s">
        <v>55</v>
      </c>
      <c r="F2009" t="s">
        <v>46</v>
      </c>
      <c r="G2009" s="58">
        <v>240586</v>
      </c>
      <c r="H2009" s="1" t="s">
        <v>48</v>
      </c>
      <c r="I2009" s="1" t="s">
        <v>111</v>
      </c>
      <c r="J2009" s="58">
        <v>2646446</v>
      </c>
      <c r="K2009" s="1" t="s">
        <v>106</v>
      </c>
      <c r="L2009" s="1" t="s">
        <v>114</v>
      </c>
      <c r="M2009" s="1" t="s">
        <v>115</v>
      </c>
      <c r="N2009" s="1">
        <v>1</v>
      </c>
      <c r="O2009" s="58"/>
      <c r="P2009" s="58">
        <v>28870.32</v>
      </c>
      <c r="Q2009" t="s">
        <v>107</v>
      </c>
      <c r="R2009" s="1" t="s">
        <v>158</v>
      </c>
    </row>
    <row r="2010" spans="3:18" x14ac:dyDescent="0.35">
      <c r="C2010" t="s">
        <v>51</v>
      </c>
      <c r="D2010" t="s">
        <v>21</v>
      </c>
      <c r="E2010" t="s">
        <v>49</v>
      </c>
      <c r="F2010" t="s">
        <v>46</v>
      </c>
      <c r="G2010" s="58">
        <v>2566517</v>
      </c>
      <c r="H2010" s="1" t="s">
        <v>59</v>
      </c>
      <c r="I2010" s="1" t="s">
        <v>111</v>
      </c>
      <c r="J2010" s="58">
        <v>46197306</v>
      </c>
      <c r="K2010" s="1" t="s">
        <v>112</v>
      </c>
      <c r="N2010" s="1">
        <v>1</v>
      </c>
      <c r="O2010" s="58"/>
      <c r="P2010" s="58">
        <v>1231928.1599999999</v>
      </c>
      <c r="Q2010" t="s">
        <v>113</v>
      </c>
      <c r="R2010" s="1" t="s">
        <v>158</v>
      </c>
    </row>
    <row r="2011" spans="3:18" x14ac:dyDescent="0.35">
      <c r="C2011" t="s">
        <v>51</v>
      </c>
      <c r="D2011" t="s">
        <v>22</v>
      </c>
      <c r="E2011" t="s">
        <v>55</v>
      </c>
      <c r="F2011" t="s">
        <v>46</v>
      </c>
      <c r="G2011" s="58">
        <v>82006</v>
      </c>
      <c r="H2011" s="1" t="s">
        <v>54</v>
      </c>
      <c r="I2011" s="1" t="s">
        <v>119</v>
      </c>
      <c r="J2011" s="58">
        <v>656048</v>
      </c>
      <c r="K2011" s="1" t="s">
        <v>106</v>
      </c>
      <c r="L2011" s="1" t="s">
        <v>114</v>
      </c>
      <c r="N2011" s="1">
        <v>1</v>
      </c>
      <c r="O2011" s="58"/>
      <c r="P2011" s="58">
        <v>9840.7199999999993</v>
      </c>
      <c r="Q2011" t="s">
        <v>107</v>
      </c>
      <c r="R2011" s="1" t="s">
        <v>158</v>
      </c>
    </row>
    <row r="2012" spans="3:18" x14ac:dyDescent="0.35">
      <c r="C2012" t="s">
        <v>51</v>
      </c>
      <c r="D2012" t="s">
        <v>19</v>
      </c>
      <c r="E2012" t="s">
        <v>49</v>
      </c>
      <c r="F2012" t="s">
        <v>46</v>
      </c>
      <c r="G2012" s="58">
        <v>2370628</v>
      </c>
      <c r="H2012" s="1" t="s">
        <v>56</v>
      </c>
      <c r="I2012" s="1" t="s">
        <v>105</v>
      </c>
      <c r="J2012" s="58">
        <v>0</v>
      </c>
      <c r="K2012" s="1" t="s">
        <v>106</v>
      </c>
      <c r="L2012" s="1" t="s">
        <v>124</v>
      </c>
      <c r="N2012" s="1">
        <v>1</v>
      </c>
      <c r="O2012" s="58"/>
      <c r="P2012" s="58">
        <v>1137901.44</v>
      </c>
      <c r="Q2012" t="s">
        <v>113</v>
      </c>
      <c r="R2012" s="1" t="s">
        <v>158</v>
      </c>
    </row>
    <row r="2013" spans="3:18" x14ac:dyDescent="0.35">
      <c r="C2013" t="s">
        <v>51</v>
      </c>
      <c r="D2013" t="s">
        <v>22</v>
      </c>
      <c r="E2013" t="s">
        <v>50</v>
      </c>
      <c r="F2013" t="s">
        <v>46</v>
      </c>
      <c r="G2013" s="58">
        <v>207141</v>
      </c>
      <c r="H2013" s="1" t="s">
        <v>48</v>
      </c>
      <c r="I2013" s="1" t="s">
        <v>111</v>
      </c>
      <c r="J2013" s="58">
        <v>3728538</v>
      </c>
      <c r="K2013" s="1" t="s">
        <v>112</v>
      </c>
      <c r="N2013" s="1">
        <v>1</v>
      </c>
      <c r="O2013" s="58"/>
      <c r="P2013" s="58">
        <v>167784.21</v>
      </c>
      <c r="Q2013" t="s">
        <v>127</v>
      </c>
      <c r="R2013" s="1" t="s">
        <v>48</v>
      </c>
    </row>
    <row r="2014" spans="3:18" x14ac:dyDescent="0.35">
      <c r="C2014" t="s">
        <v>51</v>
      </c>
      <c r="D2014" t="s">
        <v>21</v>
      </c>
      <c r="E2014" t="s">
        <v>49</v>
      </c>
      <c r="F2014" t="s">
        <v>46</v>
      </c>
      <c r="G2014" s="58">
        <v>1100691</v>
      </c>
      <c r="H2014" s="1" t="s">
        <v>54</v>
      </c>
      <c r="I2014" s="1" t="s">
        <v>128</v>
      </c>
      <c r="J2014" s="58"/>
      <c r="K2014" s="1" t="s">
        <v>106</v>
      </c>
      <c r="L2014" s="1" t="s">
        <v>124</v>
      </c>
      <c r="N2014" s="1">
        <v>0</v>
      </c>
      <c r="O2014" s="58"/>
      <c r="P2014" s="58">
        <v>264165.84000000003</v>
      </c>
      <c r="Q2014" t="s">
        <v>107</v>
      </c>
      <c r="R2014" s="1" t="s">
        <v>158</v>
      </c>
    </row>
    <row r="2015" spans="3:18" x14ac:dyDescent="0.35">
      <c r="C2015" t="s">
        <v>51</v>
      </c>
      <c r="D2015" t="s">
        <v>19</v>
      </c>
      <c r="E2015" t="s">
        <v>49</v>
      </c>
      <c r="F2015" t="s">
        <v>46</v>
      </c>
      <c r="G2015" s="58">
        <v>1391637</v>
      </c>
      <c r="H2015" s="1" t="s">
        <v>54</v>
      </c>
      <c r="I2015" s="1" t="s">
        <v>108</v>
      </c>
      <c r="J2015" s="58">
        <v>40357473</v>
      </c>
      <c r="K2015" s="1" t="s">
        <v>106</v>
      </c>
      <c r="L2015" s="1" t="s">
        <v>120</v>
      </c>
      <c r="N2015" s="1">
        <v>1</v>
      </c>
      <c r="O2015" s="58"/>
      <c r="P2015" s="58">
        <v>974145.9</v>
      </c>
      <c r="Q2015" t="s">
        <v>118</v>
      </c>
      <c r="R2015" s="1" t="s">
        <v>158</v>
      </c>
    </row>
    <row r="2016" spans="3:18" x14ac:dyDescent="0.35">
      <c r="C2016" t="s">
        <v>53</v>
      </c>
      <c r="D2016" t="s">
        <v>21</v>
      </c>
      <c r="E2016" t="s">
        <v>49</v>
      </c>
      <c r="F2016" t="s">
        <v>46</v>
      </c>
      <c r="G2016" s="58">
        <v>53989480</v>
      </c>
      <c r="H2016" s="1" t="s">
        <v>47</v>
      </c>
      <c r="I2016" s="1" t="s">
        <v>111</v>
      </c>
      <c r="J2016" s="58">
        <v>701863240</v>
      </c>
      <c r="K2016" s="1" t="s">
        <v>106</v>
      </c>
      <c r="L2016" s="1" t="s">
        <v>124</v>
      </c>
      <c r="N2016" s="1">
        <v>1</v>
      </c>
      <c r="O2016" s="58"/>
      <c r="P2016" s="58">
        <v>34553267.200000003</v>
      </c>
      <c r="Q2016" t="s">
        <v>118</v>
      </c>
      <c r="R2016" s="1" t="s">
        <v>158</v>
      </c>
    </row>
    <row r="2017" spans="3:18" x14ac:dyDescent="0.35">
      <c r="C2017" t="s">
        <v>53</v>
      </c>
      <c r="D2017" t="s">
        <v>92</v>
      </c>
      <c r="E2017" t="s">
        <v>45</v>
      </c>
      <c r="F2017" t="s">
        <v>46</v>
      </c>
      <c r="G2017" s="58">
        <v>3079</v>
      </c>
      <c r="H2017" s="1" t="s">
        <v>59</v>
      </c>
      <c r="I2017" s="1" t="s">
        <v>105</v>
      </c>
      <c r="J2017" s="58"/>
      <c r="K2017" s="1" t="s">
        <v>106</v>
      </c>
      <c r="L2017" s="1" t="s">
        <v>120</v>
      </c>
      <c r="N2017" s="1">
        <v>0</v>
      </c>
      <c r="O2017" s="58"/>
      <c r="P2017" s="58">
        <v>0</v>
      </c>
      <c r="Q2017" t="s">
        <v>107</v>
      </c>
      <c r="R2017" s="1" t="s">
        <v>158</v>
      </c>
    </row>
    <row r="2018" spans="3:18" x14ac:dyDescent="0.35">
      <c r="C2018" t="s">
        <v>51</v>
      </c>
      <c r="D2018" t="s">
        <v>24</v>
      </c>
      <c r="E2018" t="s">
        <v>52</v>
      </c>
      <c r="F2018" t="s">
        <v>46</v>
      </c>
      <c r="G2018" s="58">
        <v>396203</v>
      </c>
      <c r="H2018" s="1" t="s">
        <v>47</v>
      </c>
      <c r="I2018" s="1" t="s">
        <v>108</v>
      </c>
      <c r="J2018" s="58">
        <v>11886090</v>
      </c>
      <c r="K2018" s="1" t="s">
        <v>106</v>
      </c>
      <c r="L2018" s="1" t="s">
        <v>130</v>
      </c>
      <c r="N2018" s="1">
        <v>1</v>
      </c>
      <c r="O2018" s="58"/>
      <c r="P2018" s="58">
        <v>336772.55</v>
      </c>
      <c r="Q2018" t="s">
        <v>127</v>
      </c>
      <c r="R2018" s="1" t="s">
        <v>158</v>
      </c>
    </row>
    <row r="2019" spans="3:18" x14ac:dyDescent="0.35">
      <c r="C2019" t="s">
        <v>51</v>
      </c>
      <c r="D2019" t="s">
        <v>24</v>
      </c>
      <c r="E2019" t="s">
        <v>50</v>
      </c>
      <c r="F2019" t="s">
        <v>46</v>
      </c>
      <c r="G2019" s="58">
        <v>270571</v>
      </c>
      <c r="H2019" s="1" t="s">
        <v>47</v>
      </c>
      <c r="I2019" s="1" t="s">
        <v>108</v>
      </c>
      <c r="J2019" s="58">
        <v>6493704</v>
      </c>
      <c r="K2019" s="1" t="s">
        <v>106</v>
      </c>
      <c r="L2019" s="1" t="s">
        <v>114</v>
      </c>
      <c r="N2019" s="1">
        <v>1</v>
      </c>
      <c r="O2019" s="58"/>
      <c r="P2019" s="58">
        <v>251631.03</v>
      </c>
      <c r="Q2019" t="s">
        <v>127</v>
      </c>
      <c r="R2019" s="1" t="s">
        <v>158</v>
      </c>
    </row>
    <row r="2020" spans="3:18" x14ac:dyDescent="0.35">
      <c r="C2020" t="s">
        <v>51</v>
      </c>
      <c r="D2020" t="s">
        <v>24</v>
      </c>
      <c r="E2020" t="s">
        <v>52</v>
      </c>
      <c r="F2020" t="s">
        <v>46</v>
      </c>
      <c r="G2020" s="58">
        <v>525372</v>
      </c>
      <c r="H2020" s="1" t="s">
        <v>48</v>
      </c>
      <c r="I2020" s="1" t="s">
        <v>111</v>
      </c>
      <c r="J2020" s="58">
        <v>8405952</v>
      </c>
      <c r="K2020" s="1" t="s">
        <v>112</v>
      </c>
      <c r="N2020" s="1">
        <v>1</v>
      </c>
      <c r="O2020" s="58"/>
      <c r="P2020" s="58">
        <v>425551.32</v>
      </c>
      <c r="Q2020" t="s">
        <v>127</v>
      </c>
      <c r="R2020" s="1" t="s">
        <v>48</v>
      </c>
    </row>
    <row r="2021" spans="3:18" x14ac:dyDescent="0.35">
      <c r="C2021" t="s">
        <v>51</v>
      </c>
      <c r="D2021" t="s">
        <v>19</v>
      </c>
      <c r="E2021" t="s">
        <v>45</v>
      </c>
      <c r="F2021" t="s">
        <v>46</v>
      </c>
      <c r="G2021" s="58">
        <v>5722506</v>
      </c>
      <c r="H2021" s="1" t="s">
        <v>48</v>
      </c>
      <c r="I2021" s="1" t="s">
        <v>108</v>
      </c>
      <c r="J2021" s="58">
        <v>160230168</v>
      </c>
      <c r="K2021" s="1" t="s">
        <v>106</v>
      </c>
      <c r="L2021" s="1" t="s">
        <v>120</v>
      </c>
      <c r="M2021" s="1" t="s">
        <v>122</v>
      </c>
      <c r="N2021" s="1">
        <v>1</v>
      </c>
      <c r="O2021" s="58"/>
      <c r="P2021" s="58">
        <v>1430626.5</v>
      </c>
      <c r="Q2021" t="s">
        <v>107</v>
      </c>
      <c r="R2021" s="1" t="s">
        <v>158</v>
      </c>
    </row>
    <row r="2022" spans="3:18" x14ac:dyDescent="0.35">
      <c r="C2022" t="s">
        <v>51</v>
      </c>
      <c r="D2022" t="s">
        <v>91</v>
      </c>
      <c r="E2022" t="s">
        <v>49</v>
      </c>
      <c r="F2022" t="s">
        <v>46</v>
      </c>
      <c r="G2022" s="58">
        <v>67562</v>
      </c>
      <c r="H2022" s="1" t="s">
        <v>48</v>
      </c>
      <c r="I2022" s="1" t="s">
        <v>111</v>
      </c>
      <c r="J2022" s="58">
        <v>810744</v>
      </c>
      <c r="K2022" s="1" t="s">
        <v>106</v>
      </c>
      <c r="L2022" s="1" t="s">
        <v>124</v>
      </c>
      <c r="M2022" s="1" t="s">
        <v>126</v>
      </c>
      <c r="N2022" s="1">
        <v>1</v>
      </c>
      <c r="O2022" s="58"/>
      <c r="P2022" s="58">
        <v>5404.96</v>
      </c>
      <c r="Q2022" t="s">
        <v>107</v>
      </c>
      <c r="R2022" s="1" t="s">
        <v>158</v>
      </c>
    </row>
    <row r="2023" spans="3:18" x14ac:dyDescent="0.35">
      <c r="C2023" t="s">
        <v>51</v>
      </c>
      <c r="D2023" t="s">
        <v>21</v>
      </c>
      <c r="E2023" t="s">
        <v>49</v>
      </c>
      <c r="F2023" t="s">
        <v>46</v>
      </c>
      <c r="G2023" s="58">
        <v>422902</v>
      </c>
      <c r="H2023" s="1" t="s">
        <v>59</v>
      </c>
      <c r="I2023" s="1" t="s">
        <v>119</v>
      </c>
      <c r="J2023" s="58">
        <v>2537412</v>
      </c>
      <c r="K2023" s="1" t="s">
        <v>106</v>
      </c>
      <c r="L2023" s="1" t="s">
        <v>124</v>
      </c>
      <c r="N2023" s="1">
        <v>1</v>
      </c>
      <c r="O2023" s="58"/>
      <c r="P2023" s="58">
        <v>363695.72</v>
      </c>
      <c r="Q2023" t="s">
        <v>127</v>
      </c>
      <c r="R2023" s="1" t="s">
        <v>158</v>
      </c>
    </row>
    <row r="2024" spans="3:18" x14ac:dyDescent="0.35">
      <c r="C2024" t="s">
        <v>51</v>
      </c>
      <c r="D2024" t="s">
        <v>20</v>
      </c>
      <c r="E2024" t="s">
        <v>45</v>
      </c>
      <c r="F2024" t="s">
        <v>46</v>
      </c>
      <c r="G2024" s="58">
        <v>347170</v>
      </c>
      <c r="H2024" s="1" t="s">
        <v>48</v>
      </c>
      <c r="I2024" s="1" t="s">
        <v>111</v>
      </c>
      <c r="J2024" s="58">
        <v>5554720</v>
      </c>
      <c r="K2024" s="1" t="s">
        <v>106</v>
      </c>
      <c r="L2024" s="1" t="s">
        <v>120</v>
      </c>
      <c r="M2024" s="1" t="s">
        <v>123</v>
      </c>
      <c r="N2024" s="1">
        <v>1</v>
      </c>
      <c r="O2024" s="58"/>
      <c r="P2024" s="58">
        <v>281207.7</v>
      </c>
      <c r="Q2024" t="s">
        <v>127</v>
      </c>
      <c r="R2024" s="1" t="s">
        <v>158</v>
      </c>
    </row>
    <row r="2025" spans="3:18" x14ac:dyDescent="0.35">
      <c r="C2025" t="s">
        <v>51</v>
      </c>
      <c r="D2025" t="s">
        <v>24</v>
      </c>
      <c r="E2025" t="s">
        <v>50</v>
      </c>
      <c r="F2025" t="s">
        <v>46</v>
      </c>
      <c r="G2025" s="58">
        <v>0</v>
      </c>
      <c r="H2025" s="1" t="s">
        <v>47</v>
      </c>
      <c r="I2025" s="1" t="s">
        <v>105</v>
      </c>
      <c r="J2025" s="58">
        <v>0</v>
      </c>
      <c r="K2025" s="1" t="s">
        <v>106</v>
      </c>
      <c r="L2025" s="1" t="s">
        <v>109</v>
      </c>
      <c r="N2025" s="1">
        <v>1</v>
      </c>
      <c r="O2025" s="58"/>
      <c r="P2025" s="58">
        <v>0</v>
      </c>
      <c r="Q2025" t="s">
        <v>110</v>
      </c>
      <c r="R2025" s="1" t="s">
        <v>158</v>
      </c>
    </row>
    <row r="2026" spans="3:18" x14ac:dyDescent="0.35">
      <c r="C2026" t="s">
        <v>51</v>
      </c>
      <c r="D2026" t="s">
        <v>24</v>
      </c>
      <c r="E2026" t="s">
        <v>55</v>
      </c>
      <c r="F2026" t="s">
        <v>46</v>
      </c>
      <c r="G2026" s="58">
        <v>373463131</v>
      </c>
      <c r="H2026" s="1" t="s">
        <v>48</v>
      </c>
      <c r="I2026" s="1" t="s">
        <v>108</v>
      </c>
      <c r="J2026" s="58">
        <v>11950820192</v>
      </c>
      <c r="K2026" s="1" t="s">
        <v>106</v>
      </c>
      <c r="L2026" s="1" t="s">
        <v>114</v>
      </c>
      <c r="M2026" s="1" t="s">
        <v>121</v>
      </c>
      <c r="N2026" s="1">
        <v>1</v>
      </c>
      <c r="O2026" s="58"/>
      <c r="P2026" s="58">
        <v>265158823.00999999</v>
      </c>
      <c r="Q2026" t="s">
        <v>118</v>
      </c>
      <c r="R2026" s="1" t="s">
        <v>158</v>
      </c>
    </row>
    <row r="2027" spans="3:18" x14ac:dyDescent="0.35">
      <c r="C2027" t="s">
        <v>51</v>
      </c>
      <c r="D2027" t="s">
        <v>91</v>
      </c>
      <c r="E2027" t="s">
        <v>49</v>
      </c>
      <c r="F2027" t="s">
        <v>46</v>
      </c>
      <c r="G2027" s="58">
        <v>74868</v>
      </c>
      <c r="H2027" s="1" t="s">
        <v>56</v>
      </c>
      <c r="I2027" s="1" t="s">
        <v>108</v>
      </c>
      <c r="J2027" s="58">
        <v>1497360</v>
      </c>
      <c r="K2027" s="1" t="s">
        <v>106</v>
      </c>
      <c r="L2027" s="1" t="s">
        <v>120</v>
      </c>
      <c r="N2027" s="1">
        <v>1</v>
      </c>
      <c r="O2027" s="58"/>
      <c r="P2027" s="58">
        <v>19465.68</v>
      </c>
      <c r="Q2027" t="s">
        <v>107</v>
      </c>
      <c r="R2027" s="1" t="s">
        <v>158</v>
      </c>
    </row>
    <row r="2028" spans="3:18" x14ac:dyDescent="0.35">
      <c r="C2028" t="s">
        <v>53</v>
      </c>
      <c r="D2028" t="s">
        <v>92</v>
      </c>
      <c r="E2028" t="s">
        <v>45</v>
      </c>
      <c r="F2028" t="s">
        <v>46</v>
      </c>
      <c r="G2028" s="58">
        <v>38455220</v>
      </c>
      <c r="H2028" s="1" t="s">
        <v>47</v>
      </c>
      <c r="I2028" s="1" t="s">
        <v>111</v>
      </c>
      <c r="J2028" s="58">
        <v>423007420</v>
      </c>
      <c r="K2028" s="1" t="s">
        <v>106</v>
      </c>
      <c r="L2028" s="1" t="s">
        <v>120</v>
      </c>
      <c r="N2028" s="1">
        <v>1</v>
      </c>
      <c r="O2028" s="58"/>
      <c r="P2028" s="58">
        <v>19996714.399999999</v>
      </c>
      <c r="Q2028" t="s">
        <v>113</v>
      </c>
      <c r="R2028" s="1" t="s">
        <v>158</v>
      </c>
    </row>
    <row r="2029" spans="3:18" x14ac:dyDescent="0.35">
      <c r="C2029" t="s">
        <v>51</v>
      </c>
      <c r="D2029" t="s">
        <v>23</v>
      </c>
      <c r="E2029" t="s">
        <v>49</v>
      </c>
      <c r="F2029" t="s">
        <v>46</v>
      </c>
      <c r="G2029" s="58">
        <v>160648</v>
      </c>
      <c r="H2029" s="1" t="s">
        <v>47</v>
      </c>
      <c r="I2029" s="1" t="s">
        <v>111</v>
      </c>
      <c r="J2029" s="58">
        <v>2891664</v>
      </c>
      <c r="K2029" s="1" t="s">
        <v>112</v>
      </c>
      <c r="N2029" s="1">
        <v>1</v>
      </c>
      <c r="O2029" s="58"/>
      <c r="P2029" s="58">
        <v>88356.4</v>
      </c>
      <c r="Q2029" t="s">
        <v>113</v>
      </c>
      <c r="R2029" s="1" t="s">
        <v>158</v>
      </c>
    </row>
    <row r="2030" spans="3:18" x14ac:dyDescent="0.35">
      <c r="C2030" t="s">
        <v>51</v>
      </c>
      <c r="D2030" t="s">
        <v>23</v>
      </c>
      <c r="E2030" t="s">
        <v>49</v>
      </c>
      <c r="F2030" t="s">
        <v>46</v>
      </c>
      <c r="G2030" s="58">
        <v>212253</v>
      </c>
      <c r="H2030" s="1" t="s">
        <v>48</v>
      </c>
      <c r="I2030" s="1" t="s">
        <v>111</v>
      </c>
      <c r="J2030" s="58">
        <v>3820554</v>
      </c>
      <c r="K2030" s="1" t="s">
        <v>106</v>
      </c>
      <c r="L2030" s="1" t="s">
        <v>124</v>
      </c>
      <c r="M2030" s="1" t="s">
        <v>125</v>
      </c>
      <c r="N2030" s="1">
        <v>1</v>
      </c>
      <c r="O2030" s="58"/>
      <c r="P2030" s="58">
        <v>110371.56</v>
      </c>
      <c r="Q2030" t="s">
        <v>113</v>
      </c>
      <c r="R2030" s="1" t="s">
        <v>48</v>
      </c>
    </row>
    <row r="2031" spans="3:18" x14ac:dyDescent="0.35">
      <c r="C2031" t="s">
        <v>53</v>
      </c>
      <c r="D2031" t="s">
        <v>21</v>
      </c>
      <c r="E2031" t="s">
        <v>45</v>
      </c>
      <c r="F2031" t="s">
        <v>46</v>
      </c>
      <c r="G2031" s="58">
        <v>1179869</v>
      </c>
      <c r="H2031" s="1" t="s">
        <v>54</v>
      </c>
      <c r="I2031" s="1" t="s">
        <v>111</v>
      </c>
      <c r="J2031" s="58">
        <v>12978559</v>
      </c>
      <c r="K2031" s="1" t="s">
        <v>106</v>
      </c>
      <c r="L2031" s="1" t="s">
        <v>120</v>
      </c>
      <c r="N2031" s="1">
        <v>1</v>
      </c>
      <c r="O2031" s="58"/>
      <c r="P2031" s="58">
        <v>353960.7</v>
      </c>
      <c r="Q2031" t="s">
        <v>107</v>
      </c>
      <c r="R2031" s="1" t="s">
        <v>158</v>
      </c>
    </row>
    <row r="2032" spans="3:18" x14ac:dyDescent="0.35">
      <c r="C2032" t="s">
        <v>51</v>
      </c>
      <c r="D2032" t="s">
        <v>19</v>
      </c>
      <c r="E2032" t="s">
        <v>49</v>
      </c>
      <c r="F2032" t="s">
        <v>46</v>
      </c>
      <c r="G2032" s="58">
        <v>1656268</v>
      </c>
      <c r="I2032" s="1" t="s">
        <v>108</v>
      </c>
      <c r="J2032" s="58">
        <v>57969380</v>
      </c>
      <c r="K2032" s="1" t="s">
        <v>106</v>
      </c>
      <c r="L2032" s="1" t="s">
        <v>124</v>
      </c>
      <c r="N2032" s="1">
        <v>1</v>
      </c>
      <c r="O2032" s="58"/>
      <c r="P2032" s="58">
        <v>1341577.08</v>
      </c>
      <c r="Q2032" t="s">
        <v>127</v>
      </c>
      <c r="R2032" s="1" t="s">
        <v>158</v>
      </c>
    </row>
    <row r="2033" spans="3:18" x14ac:dyDescent="0.35">
      <c r="C2033" t="s">
        <v>51</v>
      </c>
      <c r="D2033" t="s">
        <v>91</v>
      </c>
      <c r="E2033" t="s">
        <v>49</v>
      </c>
      <c r="F2033" t="s">
        <v>46</v>
      </c>
      <c r="G2033" s="58">
        <v>35450</v>
      </c>
      <c r="H2033" s="1" t="s">
        <v>48</v>
      </c>
      <c r="I2033" s="1" t="s">
        <v>119</v>
      </c>
      <c r="J2033" s="58">
        <v>212700</v>
      </c>
      <c r="K2033" s="1" t="s">
        <v>106</v>
      </c>
      <c r="L2033" s="1" t="s">
        <v>124</v>
      </c>
      <c r="M2033" s="1" t="s">
        <v>122</v>
      </c>
      <c r="N2033" s="1">
        <v>1</v>
      </c>
      <c r="O2033" s="58"/>
      <c r="P2033" s="58">
        <v>26233</v>
      </c>
      <c r="Q2033" t="s">
        <v>118</v>
      </c>
      <c r="R2033" s="1" t="s">
        <v>158</v>
      </c>
    </row>
    <row r="2034" spans="3:18" x14ac:dyDescent="0.35">
      <c r="C2034" t="s">
        <v>51</v>
      </c>
      <c r="D2034" t="s">
        <v>24</v>
      </c>
      <c r="E2034" t="s">
        <v>50</v>
      </c>
      <c r="F2034" t="s">
        <v>46</v>
      </c>
      <c r="G2034" s="58">
        <v>2594130</v>
      </c>
      <c r="H2034" s="1" t="s">
        <v>47</v>
      </c>
      <c r="I2034" s="1" t="s">
        <v>108</v>
      </c>
      <c r="J2034" s="58">
        <v>83012160</v>
      </c>
      <c r="K2034" s="1" t="s">
        <v>112</v>
      </c>
      <c r="N2034" s="1">
        <v>1</v>
      </c>
      <c r="O2034" s="58"/>
      <c r="P2034" s="58">
        <v>1738067.1</v>
      </c>
      <c r="Q2034" t="s">
        <v>118</v>
      </c>
      <c r="R2034" s="1" t="s">
        <v>158</v>
      </c>
    </row>
    <row r="2035" spans="3:18" x14ac:dyDescent="0.35">
      <c r="C2035" t="s">
        <v>51</v>
      </c>
      <c r="D2035" t="s">
        <v>25</v>
      </c>
      <c r="E2035" t="s">
        <v>50</v>
      </c>
      <c r="F2035" t="s">
        <v>46</v>
      </c>
      <c r="G2035" s="58">
        <v>85989</v>
      </c>
      <c r="H2035" s="1" t="s">
        <v>48</v>
      </c>
      <c r="I2035" s="1" t="s">
        <v>111</v>
      </c>
      <c r="J2035" s="58">
        <v>1117857</v>
      </c>
      <c r="K2035" s="1" t="s">
        <v>106</v>
      </c>
      <c r="L2035" s="1" t="s">
        <v>109</v>
      </c>
      <c r="M2035" s="1" t="s">
        <v>117</v>
      </c>
      <c r="N2035" s="1">
        <v>1</v>
      </c>
      <c r="O2035" s="58"/>
      <c r="P2035" s="58">
        <v>40414.83</v>
      </c>
      <c r="Q2035" t="s">
        <v>113</v>
      </c>
      <c r="R2035" s="1" t="s">
        <v>158</v>
      </c>
    </row>
    <row r="2036" spans="3:18" x14ac:dyDescent="0.35">
      <c r="C2036" t="s">
        <v>51</v>
      </c>
      <c r="D2036" t="s">
        <v>21</v>
      </c>
      <c r="E2036" t="s">
        <v>49</v>
      </c>
      <c r="F2036" t="s">
        <v>46</v>
      </c>
      <c r="G2036" s="58">
        <v>3746634</v>
      </c>
      <c r="H2036" s="1" t="s">
        <v>48</v>
      </c>
      <c r="I2036" s="1" t="s">
        <v>119</v>
      </c>
      <c r="J2036" s="58">
        <v>29973072</v>
      </c>
      <c r="K2036" s="1" t="s">
        <v>106</v>
      </c>
      <c r="L2036" s="1" t="s">
        <v>124</v>
      </c>
      <c r="M2036" s="1" t="s">
        <v>126</v>
      </c>
      <c r="N2036" s="1">
        <v>1</v>
      </c>
      <c r="O2036" s="58"/>
      <c r="P2036" s="58">
        <v>2547711.12</v>
      </c>
      <c r="Q2036" t="s">
        <v>118</v>
      </c>
      <c r="R2036" s="1" t="s">
        <v>158</v>
      </c>
    </row>
    <row r="2037" spans="3:18" x14ac:dyDescent="0.35">
      <c r="C2037" t="s">
        <v>51</v>
      </c>
      <c r="D2037" t="s">
        <v>24</v>
      </c>
      <c r="E2037" t="s">
        <v>52</v>
      </c>
      <c r="F2037" t="s">
        <v>46</v>
      </c>
      <c r="G2037" s="58">
        <v>9661868</v>
      </c>
      <c r="H2037" s="1" t="s">
        <v>48</v>
      </c>
      <c r="I2037" s="1" t="s">
        <v>108</v>
      </c>
      <c r="J2037" s="58">
        <v>328503512</v>
      </c>
      <c r="K2037" s="1" t="s">
        <v>112</v>
      </c>
      <c r="N2037" s="1">
        <v>1</v>
      </c>
      <c r="O2037" s="58"/>
      <c r="P2037" s="58">
        <v>6666688.9199999999</v>
      </c>
      <c r="Q2037" t="s">
        <v>118</v>
      </c>
      <c r="R2037" s="1" t="s">
        <v>48</v>
      </c>
    </row>
    <row r="2038" spans="3:18" x14ac:dyDescent="0.35">
      <c r="C2038" t="s">
        <v>51</v>
      </c>
      <c r="D2038" t="s">
        <v>91</v>
      </c>
      <c r="E2038" t="s">
        <v>49</v>
      </c>
      <c r="F2038" t="s">
        <v>46</v>
      </c>
      <c r="G2038" s="58">
        <v>168797</v>
      </c>
      <c r="H2038" s="1" t="s">
        <v>47</v>
      </c>
      <c r="I2038" s="1" t="s">
        <v>111</v>
      </c>
      <c r="J2038" s="58">
        <v>3207143</v>
      </c>
      <c r="K2038" s="1" t="s">
        <v>106</v>
      </c>
      <c r="L2038" s="1" t="s">
        <v>124</v>
      </c>
      <c r="N2038" s="1">
        <v>1</v>
      </c>
      <c r="O2038" s="58"/>
      <c r="P2038" s="58">
        <v>253195.5</v>
      </c>
      <c r="Q2038" t="s">
        <v>110</v>
      </c>
      <c r="R2038" s="1" t="s">
        <v>158</v>
      </c>
    </row>
    <row r="2039" spans="3:18" x14ac:dyDescent="0.35">
      <c r="C2039" t="s">
        <v>51</v>
      </c>
      <c r="D2039" t="s">
        <v>24</v>
      </c>
      <c r="E2039" t="s">
        <v>49</v>
      </c>
      <c r="F2039" t="s">
        <v>46</v>
      </c>
      <c r="G2039" s="58">
        <v>0</v>
      </c>
      <c r="H2039" s="1" t="s">
        <v>48</v>
      </c>
      <c r="I2039" s="1" t="s">
        <v>108</v>
      </c>
      <c r="J2039" s="58">
        <v>0</v>
      </c>
      <c r="K2039" s="1" t="s">
        <v>106</v>
      </c>
      <c r="L2039" s="1" t="s">
        <v>124</v>
      </c>
      <c r="M2039" s="1" t="s">
        <v>121</v>
      </c>
      <c r="N2039" s="1">
        <v>1</v>
      </c>
      <c r="O2039" s="58"/>
      <c r="P2039" s="58">
        <v>0</v>
      </c>
      <c r="Q2039" t="s">
        <v>110</v>
      </c>
      <c r="R2039" s="1" t="s">
        <v>48</v>
      </c>
    </row>
    <row r="2040" spans="3:18" x14ac:dyDescent="0.35">
      <c r="C2040" t="s">
        <v>51</v>
      </c>
      <c r="D2040" t="s">
        <v>92</v>
      </c>
      <c r="E2040" t="s">
        <v>45</v>
      </c>
      <c r="F2040" t="s">
        <v>46</v>
      </c>
      <c r="G2040" s="58">
        <v>591960</v>
      </c>
      <c r="H2040" s="1" t="s">
        <v>48</v>
      </c>
      <c r="I2040" s="1" t="s">
        <v>111</v>
      </c>
      <c r="J2040" s="58">
        <v>9471360</v>
      </c>
      <c r="K2040" s="1" t="s">
        <v>112</v>
      </c>
      <c r="N2040" s="1">
        <v>1</v>
      </c>
      <c r="O2040" s="58"/>
      <c r="P2040" s="58">
        <v>213105.6</v>
      </c>
      <c r="Q2040" t="s">
        <v>107</v>
      </c>
      <c r="R2040" s="1" t="s">
        <v>48</v>
      </c>
    </row>
    <row r="2041" spans="3:18" x14ac:dyDescent="0.35">
      <c r="C2041" t="s">
        <v>51</v>
      </c>
      <c r="D2041" t="s">
        <v>22</v>
      </c>
      <c r="E2041" t="s">
        <v>45</v>
      </c>
      <c r="F2041" t="s">
        <v>46</v>
      </c>
      <c r="G2041" s="58">
        <v>43261843</v>
      </c>
      <c r="H2041" s="1" t="s">
        <v>54</v>
      </c>
      <c r="I2041" s="1" t="s">
        <v>119</v>
      </c>
      <c r="J2041" s="58">
        <v>302832901</v>
      </c>
      <c r="K2041" s="1" t="s">
        <v>106</v>
      </c>
      <c r="L2041" s="1" t="s">
        <v>120</v>
      </c>
      <c r="N2041" s="1">
        <v>1</v>
      </c>
      <c r="O2041" s="58"/>
      <c r="P2041" s="58">
        <v>9084987.0299999993</v>
      </c>
      <c r="Q2041" t="s">
        <v>107</v>
      </c>
      <c r="R2041" s="1" t="s">
        <v>158</v>
      </c>
    </row>
    <row r="2042" spans="3:18" x14ac:dyDescent="0.35">
      <c r="C2042" t="s">
        <v>51</v>
      </c>
      <c r="D2042" t="s">
        <v>91</v>
      </c>
      <c r="E2042" t="s">
        <v>49</v>
      </c>
      <c r="F2042" t="s">
        <v>46</v>
      </c>
      <c r="G2042" s="58">
        <v>1416367</v>
      </c>
      <c r="H2042" s="1" t="s">
        <v>48</v>
      </c>
      <c r="I2042" s="1" t="s">
        <v>108</v>
      </c>
      <c r="J2042" s="58">
        <v>48156478</v>
      </c>
      <c r="K2042" s="1" t="s">
        <v>106</v>
      </c>
      <c r="L2042" s="1" t="s">
        <v>124</v>
      </c>
      <c r="M2042" s="1" t="s">
        <v>123</v>
      </c>
      <c r="N2042" s="1">
        <v>1</v>
      </c>
      <c r="O2042" s="58"/>
      <c r="P2042" s="58">
        <v>920638.55</v>
      </c>
      <c r="Q2042" t="s">
        <v>118</v>
      </c>
      <c r="R2042" s="1" t="s">
        <v>158</v>
      </c>
    </row>
    <row r="2043" spans="3:18" x14ac:dyDescent="0.35">
      <c r="C2043" t="s">
        <v>51</v>
      </c>
      <c r="D2043" t="s">
        <v>20</v>
      </c>
      <c r="E2043" t="s">
        <v>50</v>
      </c>
      <c r="F2043" t="s">
        <v>46</v>
      </c>
      <c r="G2043" s="58">
        <v>95965</v>
      </c>
      <c r="H2043" s="1" t="s">
        <v>48</v>
      </c>
      <c r="I2043" s="1" t="s">
        <v>111</v>
      </c>
      <c r="J2043" s="58">
        <v>1823335</v>
      </c>
      <c r="K2043" s="1" t="s">
        <v>106</v>
      </c>
      <c r="L2043" s="1" t="s">
        <v>109</v>
      </c>
      <c r="M2043" s="1" t="s">
        <v>123</v>
      </c>
      <c r="N2043" s="1">
        <v>1</v>
      </c>
      <c r="O2043" s="58"/>
      <c r="P2043" s="58">
        <v>62377.25</v>
      </c>
      <c r="Q2043" t="s">
        <v>118</v>
      </c>
      <c r="R2043" s="1" t="s">
        <v>158</v>
      </c>
    </row>
    <row r="2044" spans="3:18" x14ac:dyDescent="0.35">
      <c r="C2044" t="s">
        <v>51</v>
      </c>
      <c r="D2044" t="s">
        <v>23</v>
      </c>
      <c r="E2044" t="s">
        <v>55</v>
      </c>
      <c r="F2044" t="s">
        <v>46</v>
      </c>
      <c r="G2044" s="58">
        <v>341269</v>
      </c>
      <c r="H2044" s="1" t="s">
        <v>48</v>
      </c>
      <c r="I2044" s="1" t="s">
        <v>119</v>
      </c>
      <c r="J2044" s="58">
        <v>2388883</v>
      </c>
      <c r="K2044" s="1" t="s">
        <v>106</v>
      </c>
      <c r="L2044" s="1" t="s">
        <v>114</v>
      </c>
      <c r="M2044" s="1" t="s">
        <v>125</v>
      </c>
      <c r="N2044" s="1">
        <v>1</v>
      </c>
      <c r="O2044" s="58"/>
      <c r="P2044" s="58">
        <v>225237.54</v>
      </c>
      <c r="Q2044" t="s">
        <v>118</v>
      </c>
      <c r="R2044" s="1" t="s">
        <v>158</v>
      </c>
    </row>
    <row r="2045" spans="3:18" x14ac:dyDescent="0.35">
      <c r="C2045" t="s">
        <v>51</v>
      </c>
      <c r="D2045" t="s">
        <v>23</v>
      </c>
      <c r="E2045" t="s">
        <v>62</v>
      </c>
      <c r="F2045" t="s">
        <v>64</v>
      </c>
      <c r="G2045" s="58">
        <v>206048</v>
      </c>
      <c r="H2045" s="1" t="s">
        <v>48</v>
      </c>
      <c r="I2045" s="1" t="s">
        <v>108</v>
      </c>
      <c r="J2045" s="58">
        <v>8241920</v>
      </c>
      <c r="K2045" s="1" t="s">
        <v>106</v>
      </c>
      <c r="L2045" s="1" t="s">
        <v>131</v>
      </c>
      <c r="M2045" s="1" t="s">
        <v>125</v>
      </c>
      <c r="N2045" s="1">
        <v>1</v>
      </c>
      <c r="O2045" s="58"/>
      <c r="P2045" s="58">
        <v>171019.84</v>
      </c>
      <c r="Q2045" t="s">
        <v>127</v>
      </c>
      <c r="R2045" s="1" t="s">
        <v>48</v>
      </c>
    </row>
    <row r="2046" spans="3:18" x14ac:dyDescent="0.35">
      <c r="C2046" t="s">
        <v>51</v>
      </c>
      <c r="D2046" t="s">
        <v>23</v>
      </c>
      <c r="E2046" t="s">
        <v>55</v>
      </c>
      <c r="F2046" t="s">
        <v>46</v>
      </c>
      <c r="G2046" s="58">
        <v>215739</v>
      </c>
      <c r="H2046" s="1" t="s">
        <v>48</v>
      </c>
      <c r="I2046" s="1" t="s">
        <v>108</v>
      </c>
      <c r="J2046" s="58">
        <v>7119387</v>
      </c>
      <c r="K2046" s="1" t="s">
        <v>106</v>
      </c>
      <c r="L2046" s="1" t="s">
        <v>124</v>
      </c>
      <c r="M2046" s="1" t="s">
        <v>122</v>
      </c>
      <c r="N2046" s="1">
        <v>1</v>
      </c>
      <c r="O2046" s="58"/>
      <c r="P2046" s="58">
        <v>133758.18</v>
      </c>
      <c r="Q2046" t="s">
        <v>118</v>
      </c>
      <c r="R2046" s="1" t="s">
        <v>158</v>
      </c>
    </row>
    <row r="2047" spans="3:18" x14ac:dyDescent="0.35">
      <c r="C2047" t="s">
        <v>53</v>
      </c>
      <c r="D2047" t="s">
        <v>23</v>
      </c>
      <c r="E2047" t="s">
        <v>45</v>
      </c>
      <c r="F2047" t="s">
        <v>46</v>
      </c>
      <c r="G2047" s="58">
        <v>55285</v>
      </c>
      <c r="H2047" s="1" t="s">
        <v>54</v>
      </c>
      <c r="I2047" s="1" t="s">
        <v>105</v>
      </c>
      <c r="J2047" s="58"/>
      <c r="K2047" s="1" t="s">
        <v>106</v>
      </c>
      <c r="L2047" s="1" t="s">
        <v>120</v>
      </c>
      <c r="N2047" s="1">
        <v>0</v>
      </c>
      <c r="O2047" s="58"/>
      <c r="P2047" s="58">
        <v>1105.7</v>
      </c>
      <c r="Q2047" t="s">
        <v>107</v>
      </c>
      <c r="R2047" s="1" t="s">
        <v>158</v>
      </c>
    </row>
    <row r="2048" spans="3:18" x14ac:dyDescent="0.35">
      <c r="C2048" t="s">
        <v>51</v>
      </c>
      <c r="D2048" t="s">
        <v>23</v>
      </c>
      <c r="E2048" t="s">
        <v>50</v>
      </c>
      <c r="F2048" t="s">
        <v>46</v>
      </c>
      <c r="G2048" s="58">
        <v>4347546</v>
      </c>
      <c r="H2048" s="1" t="s">
        <v>48</v>
      </c>
      <c r="I2048" s="1" t="s">
        <v>108</v>
      </c>
      <c r="J2048" s="58">
        <v>121731288</v>
      </c>
      <c r="K2048" s="1" t="s">
        <v>106</v>
      </c>
      <c r="L2048" s="1" t="s">
        <v>109</v>
      </c>
      <c r="M2048" s="1" t="s">
        <v>125</v>
      </c>
      <c r="N2048" s="1">
        <v>1</v>
      </c>
      <c r="O2048" s="58"/>
      <c r="P2048" s="58">
        <v>1347739.26</v>
      </c>
      <c r="Q2048" t="s">
        <v>107</v>
      </c>
      <c r="R2048" s="1" t="s">
        <v>48</v>
      </c>
    </row>
    <row r="2049" spans="3:18" x14ac:dyDescent="0.35">
      <c r="C2049" t="s">
        <v>51</v>
      </c>
      <c r="D2049" t="s">
        <v>24</v>
      </c>
      <c r="E2049" t="s">
        <v>55</v>
      </c>
      <c r="F2049" t="s">
        <v>46</v>
      </c>
      <c r="G2049" s="58">
        <v>3939736</v>
      </c>
      <c r="H2049" s="1" t="s">
        <v>59</v>
      </c>
      <c r="I2049" s="1" t="s">
        <v>108</v>
      </c>
      <c r="J2049" s="58">
        <v>130011288</v>
      </c>
      <c r="K2049" s="1" t="s">
        <v>112</v>
      </c>
      <c r="N2049" s="1">
        <v>1</v>
      </c>
      <c r="O2049" s="58"/>
      <c r="P2049" s="58">
        <v>2718417.84</v>
      </c>
      <c r="Q2049" t="s">
        <v>118</v>
      </c>
      <c r="R2049" s="1" t="s">
        <v>158</v>
      </c>
    </row>
    <row r="2050" spans="3:18" x14ac:dyDescent="0.35">
      <c r="C2050" t="s">
        <v>51</v>
      </c>
      <c r="D2050" t="s">
        <v>19</v>
      </c>
      <c r="E2050" t="s">
        <v>49</v>
      </c>
      <c r="F2050" t="s">
        <v>46</v>
      </c>
      <c r="G2050" s="58">
        <v>567243</v>
      </c>
      <c r="H2050" s="1" t="s">
        <v>48</v>
      </c>
      <c r="I2050" s="1" t="s">
        <v>111</v>
      </c>
      <c r="J2050" s="58">
        <v>5672430</v>
      </c>
      <c r="K2050" s="1" t="s">
        <v>106</v>
      </c>
      <c r="L2050" s="1" t="s">
        <v>114</v>
      </c>
      <c r="M2050" s="1" t="s">
        <v>125</v>
      </c>
      <c r="N2050" s="1">
        <v>1</v>
      </c>
      <c r="O2050" s="58"/>
      <c r="P2050" s="58">
        <v>300638.78999999998</v>
      </c>
      <c r="Q2050" t="s">
        <v>113</v>
      </c>
      <c r="R2050" s="1" t="s">
        <v>158</v>
      </c>
    </row>
    <row r="2051" spans="3:18" x14ac:dyDescent="0.35">
      <c r="C2051" t="s">
        <v>51</v>
      </c>
      <c r="D2051" t="s">
        <v>23</v>
      </c>
      <c r="E2051" t="s">
        <v>55</v>
      </c>
      <c r="F2051" t="s">
        <v>46</v>
      </c>
      <c r="G2051" s="58">
        <v>307203</v>
      </c>
      <c r="H2051" s="1" t="s">
        <v>56</v>
      </c>
      <c r="I2051" s="1" t="s">
        <v>108</v>
      </c>
      <c r="J2051" s="58">
        <v>9216090</v>
      </c>
      <c r="K2051" s="1" t="s">
        <v>106</v>
      </c>
      <c r="L2051" s="1" t="s">
        <v>124</v>
      </c>
      <c r="N2051" s="1">
        <v>1</v>
      </c>
      <c r="O2051" s="58"/>
      <c r="P2051" s="58">
        <v>156673.53</v>
      </c>
      <c r="Q2051" t="s">
        <v>113</v>
      </c>
      <c r="R2051" s="1" t="s">
        <v>158</v>
      </c>
    </row>
    <row r="2052" spans="3:18" x14ac:dyDescent="0.35">
      <c r="C2052" t="s">
        <v>53</v>
      </c>
      <c r="D2052" t="s">
        <v>21</v>
      </c>
      <c r="E2052" t="s">
        <v>45</v>
      </c>
      <c r="F2052" t="s">
        <v>46</v>
      </c>
      <c r="G2052" s="58">
        <v>1887242</v>
      </c>
      <c r="H2052" s="1" t="s">
        <v>48</v>
      </c>
      <c r="I2052" s="1" t="s">
        <v>119</v>
      </c>
      <c r="J2052" s="58">
        <v>13210694</v>
      </c>
      <c r="K2052" s="1" t="s">
        <v>106</v>
      </c>
      <c r="L2052" s="1" t="s">
        <v>120</v>
      </c>
      <c r="M2052" s="1" t="s">
        <v>126</v>
      </c>
      <c r="N2052" s="1">
        <v>1</v>
      </c>
      <c r="O2052" s="58"/>
      <c r="P2052" s="58">
        <v>490682.92</v>
      </c>
      <c r="Q2052" t="s">
        <v>107</v>
      </c>
      <c r="R2052" s="1" t="s">
        <v>158</v>
      </c>
    </row>
    <row r="2053" spans="3:18" x14ac:dyDescent="0.35">
      <c r="C2053" t="s">
        <v>51</v>
      </c>
      <c r="D2053" t="s">
        <v>20</v>
      </c>
      <c r="E2053" t="s">
        <v>45</v>
      </c>
      <c r="F2053" t="s">
        <v>46</v>
      </c>
      <c r="G2053" s="58">
        <v>89774</v>
      </c>
      <c r="H2053" s="1" t="s">
        <v>48</v>
      </c>
      <c r="I2053" s="1" t="s">
        <v>119</v>
      </c>
      <c r="J2053" s="58">
        <v>538644</v>
      </c>
      <c r="K2053" s="1" t="s">
        <v>106</v>
      </c>
      <c r="L2053" s="1" t="s">
        <v>120</v>
      </c>
      <c r="M2053" s="1" t="s">
        <v>123</v>
      </c>
      <c r="N2053" s="1">
        <v>1</v>
      </c>
      <c r="O2053" s="58"/>
      <c r="P2053" s="58">
        <v>21545.759999999998</v>
      </c>
      <c r="Q2053" t="s">
        <v>107</v>
      </c>
      <c r="R2053" s="1" t="s">
        <v>48</v>
      </c>
    </row>
    <row r="2054" spans="3:18" x14ac:dyDescent="0.35">
      <c r="C2054" t="s">
        <v>51</v>
      </c>
      <c r="D2054" t="s">
        <v>21</v>
      </c>
      <c r="E2054" t="s">
        <v>49</v>
      </c>
      <c r="F2054" t="s">
        <v>46</v>
      </c>
      <c r="G2054" s="58">
        <v>1288661</v>
      </c>
      <c r="H2054" s="1" t="s">
        <v>47</v>
      </c>
      <c r="I2054" s="1" t="s">
        <v>108</v>
      </c>
      <c r="J2054" s="58">
        <v>33505186</v>
      </c>
      <c r="K2054" s="1" t="s">
        <v>106</v>
      </c>
      <c r="L2054" s="1" t="s">
        <v>114</v>
      </c>
      <c r="N2054" s="1">
        <v>1</v>
      </c>
      <c r="O2054" s="58"/>
      <c r="P2054" s="58">
        <v>876289.48</v>
      </c>
      <c r="Q2054" t="s">
        <v>118</v>
      </c>
      <c r="R2054" s="1" t="s">
        <v>158</v>
      </c>
    </row>
    <row r="2055" spans="3:18" x14ac:dyDescent="0.35">
      <c r="C2055" t="s">
        <v>51</v>
      </c>
      <c r="D2055" t="s">
        <v>24</v>
      </c>
      <c r="E2055" t="s">
        <v>45</v>
      </c>
      <c r="F2055" t="s">
        <v>46</v>
      </c>
      <c r="G2055" s="58">
        <v>3955</v>
      </c>
      <c r="H2055" s="1" t="s">
        <v>48</v>
      </c>
      <c r="I2055" s="1" t="s">
        <v>105</v>
      </c>
      <c r="J2055" s="58">
        <v>19775</v>
      </c>
      <c r="K2055" s="1" t="s">
        <v>106</v>
      </c>
      <c r="L2055" s="1" t="s">
        <v>120</v>
      </c>
      <c r="M2055" s="1" t="s">
        <v>121</v>
      </c>
      <c r="N2055" s="1">
        <v>1</v>
      </c>
      <c r="O2055" s="58"/>
      <c r="P2055" s="58">
        <v>2135.6999999999998</v>
      </c>
      <c r="Q2055" t="s">
        <v>113</v>
      </c>
      <c r="R2055" s="1" t="s">
        <v>158</v>
      </c>
    </row>
    <row r="2056" spans="3:18" x14ac:dyDescent="0.35">
      <c r="C2056" t="s">
        <v>51</v>
      </c>
      <c r="D2056" t="s">
        <v>23</v>
      </c>
      <c r="E2056" t="s">
        <v>55</v>
      </c>
      <c r="F2056" t="s">
        <v>46</v>
      </c>
      <c r="G2056" s="58">
        <v>7500805</v>
      </c>
      <c r="H2056" s="1" t="s">
        <v>48</v>
      </c>
      <c r="I2056" s="1" t="s">
        <v>108</v>
      </c>
      <c r="J2056" s="58">
        <v>202521735</v>
      </c>
      <c r="K2056" s="1" t="s">
        <v>106</v>
      </c>
      <c r="L2056" s="1" t="s">
        <v>114</v>
      </c>
      <c r="M2056" s="1" t="s">
        <v>125</v>
      </c>
      <c r="N2056" s="1">
        <v>1</v>
      </c>
      <c r="O2056" s="58"/>
      <c r="P2056" s="58">
        <v>2175233.4500000002</v>
      </c>
      <c r="Q2056" t="s">
        <v>107</v>
      </c>
      <c r="R2056" s="1" t="s">
        <v>48</v>
      </c>
    </row>
    <row r="2057" spans="3:18" x14ac:dyDescent="0.35">
      <c r="C2057" t="s">
        <v>53</v>
      </c>
      <c r="D2057" t="s">
        <v>92</v>
      </c>
      <c r="E2057" t="s">
        <v>45</v>
      </c>
      <c r="F2057" t="s">
        <v>46</v>
      </c>
      <c r="G2057" s="58">
        <v>985930</v>
      </c>
      <c r="H2057" s="1" t="s">
        <v>47</v>
      </c>
      <c r="I2057" s="1" t="s">
        <v>111</v>
      </c>
      <c r="J2057" s="58">
        <v>11831160</v>
      </c>
      <c r="K2057" s="1" t="s">
        <v>106</v>
      </c>
      <c r="L2057" s="1" t="s">
        <v>120</v>
      </c>
      <c r="N2057" s="1">
        <v>1</v>
      </c>
      <c r="O2057" s="58"/>
      <c r="P2057" s="58">
        <v>256341.8</v>
      </c>
      <c r="Q2057" t="s">
        <v>107</v>
      </c>
      <c r="R2057" s="1" t="s">
        <v>158</v>
      </c>
    </row>
    <row r="2058" spans="3:18" x14ac:dyDescent="0.35">
      <c r="C2058" t="s">
        <v>51</v>
      </c>
      <c r="D2058" t="s">
        <v>91</v>
      </c>
      <c r="E2058" t="s">
        <v>55</v>
      </c>
      <c r="F2058" t="s">
        <v>46</v>
      </c>
      <c r="G2058" s="58">
        <v>1308188</v>
      </c>
      <c r="H2058" s="1" t="s">
        <v>48</v>
      </c>
      <c r="I2058" s="1" t="s">
        <v>108</v>
      </c>
      <c r="J2058" s="58">
        <v>43170204</v>
      </c>
      <c r="K2058" s="1" t="s">
        <v>106</v>
      </c>
      <c r="L2058" s="1" t="s">
        <v>114</v>
      </c>
      <c r="M2058" s="1" t="s">
        <v>122</v>
      </c>
      <c r="N2058" s="1">
        <v>1</v>
      </c>
      <c r="O2058" s="58"/>
      <c r="P2058" s="58">
        <v>941895.36</v>
      </c>
      <c r="Q2058" t="s">
        <v>118</v>
      </c>
      <c r="R2058" s="1" t="s">
        <v>48</v>
      </c>
    </row>
    <row r="2059" spans="3:18" x14ac:dyDescent="0.35">
      <c r="C2059" t="s">
        <v>51</v>
      </c>
      <c r="D2059" t="s">
        <v>22</v>
      </c>
      <c r="E2059" t="s">
        <v>45</v>
      </c>
      <c r="F2059" t="s">
        <v>46</v>
      </c>
      <c r="G2059" s="58">
        <v>2335060</v>
      </c>
      <c r="H2059" s="1" t="s">
        <v>47</v>
      </c>
      <c r="I2059" s="1" t="s">
        <v>108</v>
      </c>
      <c r="J2059" s="58">
        <v>65381680</v>
      </c>
      <c r="K2059" s="1" t="s">
        <v>106</v>
      </c>
      <c r="L2059" s="1" t="s">
        <v>114</v>
      </c>
      <c r="N2059" s="1">
        <v>1</v>
      </c>
      <c r="O2059" s="58"/>
      <c r="P2059" s="58">
        <v>1984801</v>
      </c>
      <c r="Q2059" t="s">
        <v>127</v>
      </c>
      <c r="R2059" s="1" t="s">
        <v>158</v>
      </c>
    </row>
    <row r="2060" spans="3:18" x14ac:dyDescent="0.35">
      <c r="C2060" t="s">
        <v>53</v>
      </c>
      <c r="D2060" t="s">
        <v>21</v>
      </c>
      <c r="E2060" t="s">
        <v>45</v>
      </c>
      <c r="F2060" t="s">
        <v>46</v>
      </c>
      <c r="G2060" s="58">
        <v>66583577</v>
      </c>
      <c r="H2060" s="1" t="s">
        <v>54</v>
      </c>
      <c r="I2060" s="1" t="s">
        <v>111</v>
      </c>
      <c r="J2060" s="58">
        <v>799002924</v>
      </c>
      <c r="K2060" s="1" t="s">
        <v>106</v>
      </c>
      <c r="L2060" s="1" t="s">
        <v>120</v>
      </c>
      <c r="N2060" s="1">
        <v>1</v>
      </c>
      <c r="O2060" s="58"/>
      <c r="P2060" s="58">
        <v>34623460.039999999</v>
      </c>
      <c r="Q2060" t="s">
        <v>113</v>
      </c>
      <c r="R2060" s="1" t="s">
        <v>158</v>
      </c>
    </row>
    <row r="2061" spans="3:18" x14ac:dyDescent="0.35">
      <c r="C2061" t="s">
        <v>53</v>
      </c>
      <c r="D2061" t="s">
        <v>92</v>
      </c>
      <c r="E2061" t="s">
        <v>49</v>
      </c>
      <c r="F2061" t="s">
        <v>46</v>
      </c>
      <c r="G2061" s="58">
        <v>11698977</v>
      </c>
      <c r="H2061" s="1" t="s">
        <v>48</v>
      </c>
      <c r="I2061" s="1" t="s">
        <v>119</v>
      </c>
      <c r="J2061" s="58">
        <v>81892839</v>
      </c>
      <c r="K2061" s="1" t="s">
        <v>106</v>
      </c>
      <c r="L2061" s="1" t="s">
        <v>124</v>
      </c>
      <c r="M2061" s="1" t="s">
        <v>123</v>
      </c>
      <c r="N2061" s="1">
        <v>1</v>
      </c>
      <c r="O2061" s="58"/>
      <c r="P2061" s="58">
        <v>3392703.33</v>
      </c>
      <c r="Q2061" t="s">
        <v>107</v>
      </c>
      <c r="R2061" s="1" t="s">
        <v>48</v>
      </c>
    </row>
    <row r="2062" spans="3:18" x14ac:dyDescent="0.35">
      <c r="C2062" t="s">
        <v>51</v>
      </c>
      <c r="D2062" t="s">
        <v>24</v>
      </c>
      <c r="E2062" t="s">
        <v>55</v>
      </c>
      <c r="F2062" t="s">
        <v>46</v>
      </c>
      <c r="G2062" s="58">
        <v>59110</v>
      </c>
      <c r="H2062" s="1" t="s">
        <v>59</v>
      </c>
      <c r="I2062" s="1" t="s">
        <v>119</v>
      </c>
      <c r="J2062" s="58">
        <v>413770</v>
      </c>
      <c r="K2062" s="1" t="s">
        <v>106</v>
      </c>
      <c r="L2062" s="1" t="s">
        <v>114</v>
      </c>
      <c r="N2062" s="1">
        <v>1</v>
      </c>
      <c r="O2062" s="58"/>
      <c r="P2062" s="58">
        <v>40785.9</v>
      </c>
      <c r="Q2062" t="s">
        <v>118</v>
      </c>
      <c r="R2062" s="1" t="s">
        <v>158</v>
      </c>
    </row>
    <row r="2063" spans="3:18" x14ac:dyDescent="0.35">
      <c r="C2063" t="s">
        <v>51</v>
      </c>
      <c r="D2063" t="s">
        <v>22</v>
      </c>
      <c r="E2063" t="s">
        <v>50</v>
      </c>
      <c r="F2063" t="s">
        <v>46</v>
      </c>
      <c r="G2063" s="58">
        <v>635034</v>
      </c>
      <c r="H2063" s="1" t="s">
        <v>48</v>
      </c>
      <c r="I2063" s="1" t="s">
        <v>111</v>
      </c>
      <c r="J2063" s="58">
        <v>8890476</v>
      </c>
      <c r="K2063" s="1" t="s">
        <v>106</v>
      </c>
      <c r="L2063" s="1" t="s">
        <v>120</v>
      </c>
      <c r="M2063" s="1" t="s">
        <v>115</v>
      </c>
      <c r="N2063" s="1">
        <v>1</v>
      </c>
      <c r="O2063" s="58"/>
      <c r="P2063" s="58">
        <v>342918.36</v>
      </c>
      <c r="Q2063" t="s">
        <v>113</v>
      </c>
      <c r="R2063" s="1" t="s">
        <v>48</v>
      </c>
    </row>
    <row r="2064" spans="3:18" x14ac:dyDescent="0.35">
      <c r="C2064" t="s">
        <v>51</v>
      </c>
      <c r="D2064" t="s">
        <v>25</v>
      </c>
      <c r="E2064" t="s">
        <v>45</v>
      </c>
      <c r="F2064" t="s">
        <v>46</v>
      </c>
      <c r="G2064" s="58">
        <v>60525</v>
      </c>
      <c r="H2064" s="1" t="s">
        <v>47</v>
      </c>
      <c r="I2064" s="1" t="s">
        <v>111</v>
      </c>
      <c r="J2064" s="58">
        <v>968400</v>
      </c>
      <c r="K2064" s="1" t="s">
        <v>106</v>
      </c>
      <c r="L2064" s="1" t="s">
        <v>124</v>
      </c>
      <c r="N2064" s="1">
        <v>1</v>
      </c>
      <c r="O2064" s="58"/>
      <c r="P2064" s="58">
        <v>8473.5</v>
      </c>
      <c r="Q2064" t="s">
        <v>107</v>
      </c>
      <c r="R2064" s="1" t="s">
        <v>158</v>
      </c>
    </row>
    <row r="2065" spans="3:18" x14ac:dyDescent="0.35">
      <c r="C2065" t="s">
        <v>51</v>
      </c>
      <c r="D2065" t="s">
        <v>23</v>
      </c>
      <c r="E2065" t="s">
        <v>55</v>
      </c>
      <c r="F2065" t="s">
        <v>46</v>
      </c>
      <c r="G2065" s="58">
        <v>331009</v>
      </c>
      <c r="H2065" s="1" t="s">
        <v>56</v>
      </c>
      <c r="I2065" s="1" t="s">
        <v>108</v>
      </c>
      <c r="J2065" s="58">
        <v>11585315</v>
      </c>
      <c r="K2065" s="1" t="s">
        <v>112</v>
      </c>
      <c r="N2065" s="1">
        <v>1</v>
      </c>
      <c r="O2065" s="58"/>
      <c r="P2065" s="58">
        <v>281357.65000000002</v>
      </c>
      <c r="Q2065" t="s">
        <v>127</v>
      </c>
      <c r="R2065" s="1" t="s">
        <v>158</v>
      </c>
    </row>
    <row r="2066" spans="3:18" x14ac:dyDescent="0.35">
      <c r="C2066" t="s">
        <v>51</v>
      </c>
      <c r="D2066" t="s">
        <v>19</v>
      </c>
      <c r="E2066" t="s">
        <v>45</v>
      </c>
      <c r="F2066" t="s">
        <v>46</v>
      </c>
      <c r="G2066" s="58">
        <v>357336</v>
      </c>
      <c r="H2066" s="1" t="s">
        <v>48</v>
      </c>
      <c r="I2066" s="1" t="s">
        <v>108</v>
      </c>
      <c r="J2066" s="58">
        <v>12506760</v>
      </c>
      <c r="K2066" s="1" t="s">
        <v>112</v>
      </c>
      <c r="N2066" s="1">
        <v>1</v>
      </c>
      <c r="O2066" s="58"/>
      <c r="P2066" s="58">
        <v>232268.4</v>
      </c>
      <c r="Q2066" t="s">
        <v>118</v>
      </c>
      <c r="R2066" s="1" t="s">
        <v>48</v>
      </c>
    </row>
    <row r="2067" spans="3:18" x14ac:dyDescent="0.35">
      <c r="C2067" t="s">
        <v>53</v>
      </c>
      <c r="D2067" t="s">
        <v>60</v>
      </c>
      <c r="E2067" t="s">
        <v>60</v>
      </c>
      <c r="F2067" t="s">
        <v>46</v>
      </c>
      <c r="G2067" s="58">
        <v>41249</v>
      </c>
      <c r="H2067" s="1" t="s">
        <v>90</v>
      </c>
      <c r="I2067" s="1" t="s">
        <v>108</v>
      </c>
      <c r="J2067" s="58">
        <v>907478</v>
      </c>
      <c r="K2067" s="1" t="s">
        <v>106</v>
      </c>
      <c r="N2067" s="1">
        <v>1</v>
      </c>
      <c r="O2067" s="58"/>
      <c r="P2067" s="58">
        <v>25161.89</v>
      </c>
      <c r="Q2067" t="s">
        <v>118</v>
      </c>
      <c r="R2067" s="1" t="s">
        <v>90</v>
      </c>
    </row>
    <row r="2068" spans="3:18" x14ac:dyDescent="0.35">
      <c r="C2068" t="s">
        <v>51</v>
      </c>
      <c r="D2068" t="s">
        <v>21</v>
      </c>
      <c r="E2068" t="s">
        <v>45</v>
      </c>
      <c r="F2068" t="s">
        <v>46</v>
      </c>
      <c r="G2068" s="58">
        <v>1640251</v>
      </c>
      <c r="H2068" s="1" t="s">
        <v>54</v>
      </c>
      <c r="I2068" s="1" t="s">
        <v>108</v>
      </c>
      <c r="J2068" s="58">
        <v>49207530</v>
      </c>
      <c r="K2068" s="1" t="s">
        <v>106</v>
      </c>
      <c r="L2068" s="1" t="s">
        <v>124</v>
      </c>
      <c r="N2068" s="1">
        <v>1</v>
      </c>
      <c r="O2068" s="58"/>
      <c r="P2068" s="58">
        <v>1115370.68</v>
      </c>
      <c r="Q2068" t="s">
        <v>118</v>
      </c>
      <c r="R2068" s="1" t="s">
        <v>158</v>
      </c>
    </row>
    <row r="2069" spans="3:18" x14ac:dyDescent="0.35">
      <c r="C2069" t="s">
        <v>51</v>
      </c>
      <c r="D2069" t="s">
        <v>23</v>
      </c>
      <c r="E2069" t="s">
        <v>50</v>
      </c>
      <c r="F2069" t="s">
        <v>46</v>
      </c>
      <c r="G2069" s="58">
        <v>555290</v>
      </c>
      <c r="H2069" s="1" t="s">
        <v>47</v>
      </c>
      <c r="I2069" s="1" t="s">
        <v>108</v>
      </c>
      <c r="J2069" s="58">
        <v>18324570</v>
      </c>
      <c r="K2069" s="1" t="s">
        <v>106</v>
      </c>
      <c r="L2069" s="1" t="s">
        <v>109</v>
      </c>
      <c r="N2069" s="1">
        <v>1</v>
      </c>
      <c r="O2069" s="58"/>
      <c r="P2069" s="58">
        <v>383150.1</v>
      </c>
      <c r="Q2069" t="s">
        <v>118</v>
      </c>
      <c r="R2069" s="1" t="s">
        <v>158</v>
      </c>
    </row>
    <row r="2070" spans="3:18" x14ac:dyDescent="0.35">
      <c r="C2070" t="s">
        <v>53</v>
      </c>
      <c r="D2070" t="s">
        <v>23</v>
      </c>
      <c r="E2070" t="s">
        <v>45</v>
      </c>
      <c r="F2070" t="s">
        <v>46</v>
      </c>
      <c r="G2070" s="58">
        <v>20586034</v>
      </c>
      <c r="H2070" s="1" t="s">
        <v>47</v>
      </c>
      <c r="I2070" s="1" t="s">
        <v>111</v>
      </c>
      <c r="J2070" s="58">
        <v>267618442</v>
      </c>
      <c r="K2070" s="1" t="s">
        <v>106</v>
      </c>
      <c r="L2070" s="1" t="s">
        <v>120</v>
      </c>
      <c r="N2070" s="1">
        <v>1</v>
      </c>
      <c r="O2070" s="58"/>
      <c r="P2070" s="58">
        <v>2882044.76</v>
      </c>
      <c r="Q2070" t="s">
        <v>107</v>
      </c>
      <c r="R2070" s="1" t="s">
        <v>158</v>
      </c>
    </row>
    <row r="2071" spans="3:18" x14ac:dyDescent="0.35">
      <c r="C2071" t="s">
        <v>51</v>
      </c>
      <c r="D2071" t="s">
        <v>24</v>
      </c>
      <c r="E2071" t="s">
        <v>45</v>
      </c>
      <c r="F2071" t="s">
        <v>46</v>
      </c>
      <c r="G2071" s="58">
        <v>975941</v>
      </c>
      <c r="H2071" s="1" t="s">
        <v>48</v>
      </c>
      <c r="I2071" s="1" t="s">
        <v>108</v>
      </c>
      <c r="J2071" s="58">
        <v>32206053</v>
      </c>
      <c r="K2071" s="1" t="s">
        <v>112</v>
      </c>
      <c r="N2071" s="1">
        <v>1</v>
      </c>
      <c r="O2071" s="58"/>
      <c r="P2071" s="58">
        <v>214707.02</v>
      </c>
      <c r="Q2071" t="s">
        <v>107</v>
      </c>
      <c r="R2071" s="1" t="s">
        <v>158</v>
      </c>
    </row>
    <row r="2072" spans="3:18" x14ac:dyDescent="0.35">
      <c r="C2072" t="s">
        <v>51</v>
      </c>
      <c r="D2072" t="s">
        <v>21</v>
      </c>
      <c r="E2072" t="s">
        <v>49</v>
      </c>
      <c r="F2072" t="s">
        <v>46</v>
      </c>
      <c r="G2072" s="58">
        <v>54882550</v>
      </c>
      <c r="H2072" s="1" t="s">
        <v>59</v>
      </c>
      <c r="I2072" s="1" t="s">
        <v>108</v>
      </c>
      <c r="J2072" s="58">
        <v>1591593950</v>
      </c>
      <c r="K2072" s="1" t="s">
        <v>106</v>
      </c>
      <c r="L2072" s="1" t="s">
        <v>124</v>
      </c>
      <c r="N2072" s="1">
        <v>1</v>
      </c>
      <c r="O2072" s="58"/>
      <c r="P2072" s="58">
        <v>46650167.5</v>
      </c>
      <c r="Q2072" t="s">
        <v>127</v>
      </c>
      <c r="R2072" s="1" t="s">
        <v>158</v>
      </c>
    </row>
    <row r="2073" spans="3:18" x14ac:dyDescent="0.35">
      <c r="C2073" t="s">
        <v>51</v>
      </c>
      <c r="D2073" t="s">
        <v>92</v>
      </c>
      <c r="E2073" t="s">
        <v>49</v>
      </c>
      <c r="F2073" t="s">
        <v>46</v>
      </c>
      <c r="G2073" s="58">
        <v>244147</v>
      </c>
      <c r="H2073" s="1" t="s">
        <v>54</v>
      </c>
      <c r="I2073" s="1" t="s">
        <v>128</v>
      </c>
      <c r="J2073" s="58"/>
      <c r="K2073" s="1" t="s">
        <v>106</v>
      </c>
      <c r="L2073" s="1" t="s">
        <v>124</v>
      </c>
      <c r="N2073" s="1">
        <v>0</v>
      </c>
      <c r="O2073" s="58"/>
      <c r="P2073" s="58">
        <v>224615.24</v>
      </c>
      <c r="Q2073" t="s">
        <v>127</v>
      </c>
      <c r="R2073" s="1" t="s">
        <v>158</v>
      </c>
    </row>
    <row r="2074" spans="3:18" x14ac:dyDescent="0.35">
      <c r="C2074" t="s">
        <v>53</v>
      </c>
      <c r="D2074" t="s">
        <v>23</v>
      </c>
      <c r="E2074" t="s">
        <v>45</v>
      </c>
      <c r="F2074" t="s">
        <v>46</v>
      </c>
      <c r="G2074" s="58">
        <v>74200</v>
      </c>
      <c r="H2074" s="1" t="s">
        <v>48</v>
      </c>
      <c r="I2074" s="1" t="s">
        <v>108</v>
      </c>
      <c r="J2074" s="58">
        <v>1632400</v>
      </c>
      <c r="K2074" s="1" t="s">
        <v>106</v>
      </c>
      <c r="L2074" s="1" t="s">
        <v>120</v>
      </c>
      <c r="M2074" s="1" t="s">
        <v>125</v>
      </c>
      <c r="N2074" s="1">
        <v>1</v>
      </c>
      <c r="O2074" s="58"/>
      <c r="P2074" s="58">
        <v>45262</v>
      </c>
      <c r="Q2074" t="s">
        <v>118</v>
      </c>
      <c r="R2074" s="1" t="s">
        <v>158</v>
      </c>
    </row>
    <row r="2075" spans="3:18" x14ac:dyDescent="0.35">
      <c r="C2075" t="s">
        <v>51</v>
      </c>
      <c r="D2075" t="s">
        <v>91</v>
      </c>
      <c r="E2075" t="s">
        <v>49</v>
      </c>
      <c r="F2075" t="s">
        <v>46</v>
      </c>
      <c r="G2075" s="58">
        <v>564073</v>
      </c>
      <c r="H2075" s="1" t="s">
        <v>59</v>
      </c>
      <c r="I2075" s="1" t="s">
        <v>111</v>
      </c>
      <c r="J2075" s="58">
        <v>7897022</v>
      </c>
      <c r="K2075" s="1" t="s">
        <v>106</v>
      </c>
      <c r="L2075" s="1" t="s">
        <v>124</v>
      </c>
      <c r="N2075" s="1">
        <v>1</v>
      </c>
      <c r="O2075" s="58"/>
      <c r="P2075" s="58">
        <v>428695.48</v>
      </c>
      <c r="Q2075" t="s">
        <v>118</v>
      </c>
      <c r="R2075" s="1" t="s">
        <v>158</v>
      </c>
    </row>
    <row r="2076" spans="3:18" x14ac:dyDescent="0.35">
      <c r="C2076" t="s">
        <v>51</v>
      </c>
      <c r="D2076" t="s">
        <v>21</v>
      </c>
      <c r="E2076" t="s">
        <v>49</v>
      </c>
      <c r="F2076" t="s">
        <v>46</v>
      </c>
      <c r="G2076" s="58">
        <v>0</v>
      </c>
      <c r="H2076" s="1" t="s">
        <v>54</v>
      </c>
      <c r="I2076" s="1" t="s">
        <v>119</v>
      </c>
      <c r="J2076" s="58">
        <v>0</v>
      </c>
      <c r="K2076" s="1" t="s">
        <v>106</v>
      </c>
      <c r="L2076" s="1" t="s">
        <v>124</v>
      </c>
      <c r="N2076" s="1">
        <v>1</v>
      </c>
      <c r="O2076" s="58"/>
      <c r="P2076" s="58">
        <v>0</v>
      </c>
      <c r="Q2076" t="s">
        <v>110</v>
      </c>
      <c r="R2076" s="1" t="s">
        <v>158</v>
      </c>
    </row>
    <row r="2077" spans="3:18" x14ac:dyDescent="0.35">
      <c r="C2077" t="s">
        <v>51</v>
      </c>
      <c r="D2077" t="s">
        <v>91</v>
      </c>
      <c r="E2077" t="s">
        <v>45</v>
      </c>
      <c r="F2077" t="s">
        <v>46</v>
      </c>
      <c r="G2077" s="58">
        <v>501747</v>
      </c>
      <c r="H2077" s="1" t="s">
        <v>48</v>
      </c>
      <c r="I2077" s="1" t="s">
        <v>108</v>
      </c>
      <c r="J2077" s="58">
        <v>15052410</v>
      </c>
      <c r="K2077" s="1" t="s">
        <v>106</v>
      </c>
      <c r="L2077" s="1" t="s">
        <v>120</v>
      </c>
      <c r="M2077" s="1" t="s">
        <v>122</v>
      </c>
      <c r="N2077" s="1">
        <v>1</v>
      </c>
      <c r="O2077" s="58"/>
      <c r="P2077" s="58">
        <v>155541.57</v>
      </c>
      <c r="Q2077" t="s">
        <v>107</v>
      </c>
      <c r="R2077" s="1" t="s">
        <v>48</v>
      </c>
    </row>
    <row r="2078" spans="3:18" x14ac:dyDescent="0.35">
      <c r="C2078" t="s">
        <v>51</v>
      </c>
      <c r="D2078" t="s">
        <v>91</v>
      </c>
      <c r="E2078" t="s">
        <v>55</v>
      </c>
      <c r="F2078" t="s">
        <v>46</v>
      </c>
      <c r="G2078" s="58">
        <v>2736514</v>
      </c>
      <c r="H2078" s="1" t="s">
        <v>48</v>
      </c>
      <c r="I2078" s="1" t="s">
        <v>108</v>
      </c>
      <c r="J2078" s="58">
        <v>73885878</v>
      </c>
      <c r="K2078" s="1" t="s">
        <v>106</v>
      </c>
      <c r="L2078" s="1" t="s">
        <v>114</v>
      </c>
      <c r="M2078" s="1" t="s">
        <v>122</v>
      </c>
      <c r="N2078" s="1">
        <v>1</v>
      </c>
      <c r="O2078" s="58"/>
      <c r="P2078" s="58">
        <v>848319.34</v>
      </c>
      <c r="Q2078" t="s">
        <v>107</v>
      </c>
      <c r="R2078" s="1" t="s">
        <v>158</v>
      </c>
    </row>
    <row r="2079" spans="3:18" x14ac:dyDescent="0.35">
      <c r="C2079" t="s">
        <v>51</v>
      </c>
      <c r="D2079" t="s">
        <v>24</v>
      </c>
      <c r="E2079" t="s">
        <v>62</v>
      </c>
      <c r="F2079" t="s">
        <v>46</v>
      </c>
      <c r="G2079" s="58">
        <v>176816</v>
      </c>
      <c r="H2079" s="1" t="s">
        <v>48</v>
      </c>
      <c r="I2079" s="1" t="s">
        <v>119</v>
      </c>
      <c r="J2079" s="58">
        <v>1768160</v>
      </c>
      <c r="K2079" s="1" t="s">
        <v>112</v>
      </c>
      <c r="N2079" s="1">
        <v>1</v>
      </c>
      <c r="O2079" s="58"/>
      <c r="P2079" s="58">
        <v>65421.919999999998</v>
      </c>
      <c r="Q2079" t="s">
        <v>107</v>
      </c>
      <c r="R2079" s="1" t="s">
        <v>48</v>
      </c>
    </row>
    <row r="2080" spans="3:18" x14ac:dyDescent="0.35">
      <c r="C2080" t="s">
        <v>51</v>
      </c>
      <c r="D2080" t="s">
        <v>22</v>
      </c>
      <c r="E2080" t="s">
        <v>45</v>
      </c>
      <c r="F2080" t="s">
        <v>46</v>
      </c>
      <c r="G2080" s="58">
        <v>180733</v>
      </c>
      <c r="H2080" s="1" t="s">
        <v>58</v>
      </c>
      <c r="I2080" s="1" t="s">
        <v>108</v>
      </c>
      <c r="J2080" s="58">
        <v>4879791</v>
      </c>
      <c r="K2080" s="1" t="s">
        <v>106</v>
      </c>
      <c r="L2080" s="1" t="s">
        <v>120</v>
      </c>
      <c r="N2080" s="1">
        <v>1</v>
      </c>
      <c r="O2080" s="58"/>
      <c r="P2080" s="58">
        <v>124705.77</v>
      </c>
      <c r="Q2080" t="s">
        <v>118</v>
      </c>
      <c r="R2080" s="1" t="s">
        <v>158</v>
      </c>
    </row>
    <row r="2081" spans="3:18" x14ac:dyDescent="0.35">
      <c r="C2081" t="s">
        <v>51</v>
      </c>
      <c r="D2081" t="s">
        <v>21</v>
      </c>
      <c r="E2081" t="s">
        <v>49</v>
      </c>
      <c r="F2081" t="s">
        <v>64</v>
      </c>
      <c r="G2081" s="58">
        <v>1438822</v>
      </c>
      <c r="H2081" s="1" t="s">
        <v>47</v>
      </c>
      <c r="I2081" s="1" t="s">
        <v>108</v>
      </c>
      <c r="J2081" s="58">
        <v>40287016</v>
      </c>
      <c r="K2081" s="1" t="s">
        <v>112</v>
      </c>
      <c r="N2081" s="1">
        <v>1</v>
      </c>
      <c r="O2081" s="58"/>
      <c r="P2081" s="58">
        <v>748187.44</v>
      </c>
      <c r="Q2081" t="s">
        <v>113</v>
      </c>
      <c r="R2081" s="1" t="s">
        <v>158</v>
      </c>
    </row>
    <row r="2082" spans="3:18" x14ac:dyDescent="0.35">
      <c r="C2082" t="s">
        <v>51</v>
      </c>
      <c r="D2082" t="s">
        <v>19</v>
      </c>
      <c r="E2082" t="s">
        <v>49</v>
      </c>
      <c r="F2082" t="s">
        <v>46</v>
      </c>
      <c r="G2082" s="58">
        <v>3484546</v>
      </c>
      <c r="H2082" s="1" t="s">
        <v>47</v>
      </c>
      <c r="I2082" s="1" t="s">
        <v>119</v>
      </c>
      <c r="J2082" s="58">
        <v>27876368</v>
      </c>
      <c r="K2082" s="1" t="s">
        <v>106</v>
      </c>
      <c r="L2082" s="1" t="s">
        <v>124</v>
      </c>
      <c r="N2082" s="1">
        <v>1</v>
      </c>
      <c r="O2082" s="58"/>
      <c r="P2082" s="58">
        <v>1637736.62</v>
      </c>
      <c r="Q2082" t="s">
        <v>113</v>
      </c>
      <c r="R2082" s="1" t="s">
        <v>158</v>
      </c>
    </row>
    <row r="2083" spans="3:18" x14ac:dyDescent="0.35">
      <c r="C2083" t="s">
        <v>53</v>
      </c>
      <c r="D2083" t="s">
        <v>24</v>
      </c>
      <c r="E2083" t="s">
        <v>55</v>
      </c>
      <c r="F2083" t="s">
        <v>46</v>
      </c>
      <c r="G2083" s="58">
        <v>463103</v>
      </c>
      <c r="H2083" s="1" t="s">
        <v>48</v>
      </c>
      <c r="I2083" s="1" t="s">
        <v>105</v>
      </c>
      <c r="J2083" s="58">
        <v>1852412</v>
      </c>
      <c r="K2083" s="1" t="s">
        <v>106</v>
      </c>
      <c r="L2083" s="1" t="s">
        <v>114</v>
      </c>
      <c r="M2083" s="1" t="s">
        <v>121</v>
      </c>
      <c r="N2083" s="1">
        <v>1</v>
      </c>
      <c r="O2083" s="58"/>
      <c r="P2083" s="58">
        <v>125037.81</v>
      </c>
      <c r="Q2083" t="s">
        <v>107</v>
      </c>
      <c r="R2083" s="1" t="s">
        <v>48</v>
      </c>
    </row>
    <row r="2084" spans="3:18" x14ac:dyDescent="0.35">
      <c r="C2084" t="s">
        <v>51</v>
      </c>
      <c r="D2084" t="s">
        <v>24</v>
      </c>
      <c r="E2084" t="s">
        <v>55</v>
      </c>
      <c r="F2084" t="s">
        <v>46</v>
      </c>
      <c r="G2084" s="58">
        <v>31754</v>
      </c>
      <c r="H2084" s="1" t="s">
        <v>59</v>
      </c>
      <c r="I2084" s="1" t="s">
        <v>105</v>
      </c>
      <c r="J2084" s="58">
        <v>127016</v>
      </c>
      <c r="K2084" s="1" t="s">
        <v>106</v>
      </c>
      <c r="L2084" s="1" t="s">
        <v>120</v>
      </c>
      <c r="N2084" s="1">
        <v>1</v>
      </c>
      <c r="O2084" s="58"/>
      <c r="P2084" s="58">
        <v>2857.86</v>
      </c>
      <c r="Q2084" t="s">
        <v>107</v>
      </c>
      <c r="R2084" s="1" t="s">
        <v>158</v>
      </c>
    </row>
    <row r="2085" spans="3:18" x14ac:dyDescent="0.35">
      <c r="C2085" t="s">
        <v>51</v>
      </c>
      <c r="D2085" t="s">
        <v>23</v>
      </c>
      <c r="E2085" t="s">
        <v>49</v>
      </c>
      <c r="F2085" t="s">
        <v>46</v>
      </c>
      <c r="G2085" s="58">
        <v>4899148</v>
      </c>
      <c r="H2085" s="1" t="s">
        <v>54</v>
      </c>
      <c r="I2085" s="1" t="s">
        <v>108</v>
      </c>
      <c r="J2085" s="58">
        <v>137176144</v>
      </c>
      <c r="K2085" s="1" t="s">
        <v>106</v>
      </c>
      <c r="L2085" s="1" t="s">
        <v>124</v>
      </c>
      <c r="N2085" s="1">
        <v>1</v>
      </c>
      <c r="O2085" s="58"/>
      <c r="P2085" s="58">
        <v>3331420.64</v>
      </c>
      <c r="Q2085" t="s">
        <v>118</v>
      </c>
      <c r="R2085" s="1" t="s">
        <v>158</v>
      </c>
    </row>
    <row r="2086" spans="3:18" x14ac:dyDescent="0.35">
      <c r="C2086" t="s">
        <v>51</v>
      </c>
      <c r="D2086" t="s">
        <v>22</v>
      </c>
      <c r="E2086" t="s">
        <v>55</v>
      </c>
      <c r="F2086" t="s">
        <v>46</v>
      </c>
      <c r="G2086" s="58">
        <v>93216</v>
      </c>
      <c r="H2086" s="1" t="s">
        <v>48</v>
      </c>
      <c r="I2086" s="1" t="s">
        <v>108</v>
      </c>
      <c r="J2086" s="58">
        <v>2143968</v>
      </c>
      <c r="K2086" s="1" t="s">
        <v>106</v>
      </c>
      <c r="L2086" s="1" t="s">
        <v>120</v>
      </c>
      <c r="M2086" s="1" t="s">
        <v>122</v>
      </c>
      <c r="N2086" s="1">
        <v>1</v>
      </c>
      <c r="O2086" s="58"/>
      <c r="P2086" s="58">
        <v>65251.199999999997</v>
      </c>
      <c r="Q2086" t="s">
        <v>118</v>
      </c>
      <c r="R2086" s="1" t="s">
        <v>48</v>
      </c>
    </row>
    <row r="2087" spans="3:18" x14ac:dyDescent="0.35">
      <c r="C2087" t="s">
        <v>51</v>
      </c>
      <c r="D2087" t="s">
        <v>20</v>
      </c>
      <c r="E2087" t="s">
        <v>49</v>
      </c>
      <c r="F2087" t="s">
        <v>46</v>
      </c>
      <c r="G2087" s="58">
        <v>340194</v>
      </c>
      <c r="H2087" s="1" t="s">
        <v>48</v>
      </c>
      <c r="I2087" s="1" t="s">
        <v>108</v>
      </c>
      <c r="J2087" s="58">
        <v>12587178</v>
      </c>
      <c r="K2087" s="1" t="s">
        <v>106</v>
      </c>
      <c r="L2087" s="1" t="s">
        <v>124</v>
      </c>
      <c r="M2087" s="1" t="s">
        <v>126</v>
      </c>
      <c r="N2087" s="1">
        <v>1</v>
      </c>
      <c r="O2087" s="58"/>
      <c r="P2087" s="58">
        <v>268753.26</v>
      </c>
      <c r="Q2087" t="s">
        <v>118</v>
      </c>
      <c r="R2087" s="1" t="s">
        <v>158</v>
      </c>
    </row>
    <row r="2088" spans="3:18" x14ac:dyDescent="0.35">
      <c r="C2088" t="s">
        <v>51</v>
      </c>
      <c r="D2088" t="s">
        <v>19</v>
      </c>
      <c r="E2088" t="s">
        <v>49</v>
      </c>
      <c r="F2088" t="s">
        <v>64</v>
      </c>
      <c r="G2088" s="58">
        <v>276219</v>
      </c>
      <c r="H2088" s="1" t="s">
        <v>56</v>
      </c>
      <c r="I2088" s="1" t="s">
        <v>108</v>
      </c>
      <c r="J2088" s="58">
        <v>8010351</v>
      </c>
      <c r="K2088" s="1" t="s">
        <v>112</v>
      </c>
      <c r="N2088" s="1">
        <v>1</v>
      </c>
      <c r="O2088" s="58"/>
      <c r="P2088" s="58">
        <v>135347.31</v>
      </c>
      <c r="Q2088" t="s">
        <v>113</v>
      </c>
      <c r="R2088" s="1" t="s">
        <v>158</v>
      </c>
    </row>
    <row r="2089" spans="3:18" x14ac:dyDescent="0.35">
      <c r="C2089" t="s">
        <v>53</v>
      </c>
      <c r="D2089" t="s">
        <v>91</v>
      </c>
      <c r="E2089" t="s">
        <v>55</v>
      </c>
      <c r="F2089" t="s">
        <v>46</v>
      </c>
      <c r="G2089" s="58">
        <v>9869271</v>
      </c>
      <c r="H2089" s="1" t="s">
        <v>48</v>
      </c>
      <c r="I2089" s="1" t="s">
        <v>105</v>
      </c>
      <c r="J2089" s="58">
        <v>29607813</v>
      </c>
      <c r="K2089" s="1" t="s">
        <v>112</v>
      </c>
      <c r="N2089" s="1">
        <v>1</v>
      </c>
      <c r="O2089" s="58"/>
      <c r="P2089" s="58">
        <v>7895416.7999999998</v>
      </c>
      <c r="Q2089" t="s">
        <v>127</v>
      </c>
      <c r="R2089" s="1" t="s">
        <v>158</v>
      </c>
    </row>
    <row r="2090" spans="3:18" x14ac:dyDescent="0.35">
      <c r="C2090" t="s">
        <v>51</v>
      </c>
      <c r="D2090" t="s">
        <v>92</v>
      </c>
      <c r="E2090" t="s">
        <v>49</v>
      </c>
      <c r="F2090" t="s">
        <v>46</v>
      </c>
      <c r="G2090" s="58">
        <v>712126</v>
      </c>
      <c r="H2090" s="1" t="s">
        <v>48</v>
      </c>
      <c r="I2090" s="1" t="s">
        <v>108</v>
      </c>
      <c r="J2090" s="58">
        <v>19227402</v>
      </c>
      <c r="K2090" s="1" t="s">
        <v>106</v>
      </c>
      <c r="L2090" s="1" t="s">
        <v>124</v>
      </c>
      <c r="M2090" s="1" t="s">
        <v>126</v>
      </c>
      <c r="N2090" s="1">
        <v>1</v>
      </c>
      <c r="O2090" s="58"/>
      <c r="P2090" s="58">
        <v>235001.58</v>
      </c>
      <c r="Q2090" t="s">
        <v>107</v>
      </c>
      <c r="R2090" s="1" t="s">
        <v>48</v>
      </c>
    </row>
    <row r="2091" spans="3:18" x14ac:dyDescent="0.35">
      <c r="C2091" t="s">
        <v>53</v>
      </c>
      <c r="D2091" t="s">
        <v>25</v>
      </c>
      <c r="E2091" t="s">
        <v>55</v>
      </c>
      <c r="F2091" t="s">
        <v>46</v>
      </c>
      <c r="G2091" s="58">
        <v>4508104</v>
      </c>
      <c r="H2091" s="1" t="s">
        <v>54</v>
      </c>
      <c r="I2091" s="1" t="s">
        <v>119</v>
      </c>
      <c r="J2091" s="58">
        <v>36064832</v>
      </c>
      <c r="K2091" s="1" t="s">
        <v>106</v>
      </c>
      <c r="L2091" s="1" t="s">
        <v>114</v>
      </c>
      <c r="N2091" s="1">
        <v>1</v>
      </c>
      <c r="O2091" s="58"/>
      <c r="P2091" s="58">
        <v>2028646.8</v>
      </c>
      <c r="Q2091" t="s">
        <v>113</v>
      </c>
      <c r="R2091" s="1" t="s">
        <v>158</v>
      </c>
    </row>
    <row r="2092" spans="3:18" x14ac:dyDescent="0.35">
      <c r="C2092" t="s">
        <v>53</v>
      </c>
      <c r="D2092" t="s">
        <v>21</v>
      </c>
      <c r="E2092" t="s">
        <v>55</v>
      </c>
      <c r="F2092" t="s">
        <v>46</v>
      </c>
      <c r="G2092" s="58">
        <v>545177</v>
      </c>
      <c r="H2092" s="1" t="s">
        <v>47</v>
      </c>
      <c r="I2092" s="1" t="s">
        <v>111</v>
      </c>
      <c r="J2092" s="58">
        <v>6542124</v>
      </c>
      <c r="K2092" s="1" t="s">
        <v>106</v>
      </c>
      <c r="L2092" s="1" t="s">
        <v>114</v>
      </c>
      <c r="N2092" s="1">
        <v>1</v>
      </c>
      <c r="O2092" s="58"/>
      <c r="P2092" s="58">
        <v>376172.13</v>
      </c>
      <c r="Q2092" t="s">
        <v>118</v>
      </c>
      <c r="R2092" s="1" t="s">
        <v>158</v>
      </c>
    </row>
    <row r="2093" spans="3:18" x14ac:dyDescent="0.35">
      <c r="C2093" t="s">
        <v>51</v>
      </c>
      <c r="D2093" t="s">
        <v>92</v>
      </c>
      <c r="E2093" t="s">
        <v>45</v>
      </c>
      <c r="F2093" t="s">
        <v>46</v>
      </c>
      <c r="G2093" s="58">
        <v>656292</v>
      </c>
      <c r="H2093" s="1" t="s">
        <v>47</v>
      </c>
      <c r="I2093" s="1" t="s">
        <v>108</v>
      </c>
      <c r="J2093" s="58">
        <v>20345052</v>
      </c>
      <c r="K2093" s="1" t="s">
        <v>106</v>
      </c>
      <c r="L2093" s="1" t="s">
        <v>120</v>
      </c>
      <c r="N2093" s="1">
        <v>1</v>
      </c>
      <c r="O2093" s="58"/>
      <c r="P2093" s="58">
        <v>308457.24</v>
      </c>
      <c r="Q2093" t="s">
        <v>113</v>
      </c>
      <c r="R2093" s="1" t="s">
        <v>158</v>
      </c>
    </row>
    <row r="2094" spans="3:18" x14ac:dyDescent="0.35">
      <c r="C2094" t="s">
        <v>53</v>
      </c>
      <c r="D2094" t="s">
        <v>23</v>
      </c>
      <c r="E2094" t="s">
        <v>62</v>
      </c>
      <c r="F2094" t="s">
        <v>46</v>
      </c>
      <c r="G2094" s="58">
        <v>2563915</v>
      </c>
      <c r="H2094" s="1" t="s">
        <v>48</v>
      </c>
      <c r="I2094" s="1" t="s">
        <v>111</v>
      </c>
      <c r="J2094" s="58">
        <v>35894810</v>
      </c>
      <c r="K2094" s="1" t="s">
        <v>106</v>
      </c>
      <c r="L2094" s="1" t="s">
        <v>131</v>
      </c>
      <c r="M2094" s="1" t="s">
        <v>125</v>
      </c>
      <c r="N2094" s="1">
        <v>1</v>
      </c>
      <c r="O2094" s="58"/>
      <c r="P2094" s="58">
        <v>1820379.65</v>
      </c>
      <c r="Q2094" t="s">
        <v>118</v>
      </c>
      <c r="R2094" s="1" t="s">
        <v>158</v>
      </c>
    </row>
    <row r="2095" spans="3:18" x14ac:dyDescent="0.35">
      <c r="C2095" t="s">
        <v>51</v>
      </c>
      <c r="D2095" t="s">
        <v>23</v>
      </c>
      <c r="E2095" t="s">
        <v>55</v>
      </c>
      <c r="F2095" t="s">
        <v>46</v>
      </c>
      <c r="G2095" s="58">
        <v>403930</v>
      </c>
      <c r="H2095" s="1" t="s">
        <v>59</v>
      </c>
      <c r="I2095" s="1" t="s">
        <v>108</v>
      </c>
      <c r="J2095" s="58">
        <v>8886460</v>
      </c>
      <c r="K2095" s="1" t="s">
        <v>106</v>
      </c>
      <c r="L2095" s="1" t="s">
        <v>124</v>
      </c>
      <c r="N2095" s="1">
        <v>1</v>
      </c>
      <c r="O2095" s="58"/>
      <c r="P2095" s="58">
        <v>201965</v>
      </c>
      <c r="Q2095" t="s">
        <v>113</v>
      </c>
      <c r="R2095" s="1" t="s">
        <v>158</v>
      </c>
    </row>
    <row r="2096" spans="3:18" x14ac:dyDescent="0.35">
      <c r="C2096" t="s">
        <v>51</v>
      </c>
      <c r="D2096" t="s">
        <v>21</v>
      </c>
      <c r="E2096" t="s">
        <v>49</v>
      </c>
      <c r="F2096" t="s">
        <v>46</v>
      </c>
      <c r="G2096" s="58">
        <v>275235</v>
      </c>
      <c r="H2096" s="1" t="s">
        <v>48</v>
      </c>
      <c r="I2096" s="1" t="s">
        <v>108</v>
      </c>
      <c r="J2096" s="58">
        <v>9082755</v>
      </c>
      <c r="K2096" s="1" t="s">
        <v>106</v>
      </c>
      <c r="L2096" s="1" t="s">
        <v>114</v>
      </c>
      <c r="M2096" s="1" t="s">
        <v>121</v>
      </c>
      <c r="N2096" s="1">
        <v>1</v>
      </c>
      <c r="O2096" s="58"/>
      <c r="P2096" s="58">
        <v>181655.1</v>
      </c>
      <c r="Q2096" t="s">
        <v>118</v>
      </c>
      <c r="R2096" s="1" t="s">
        <v>48</v>
      </c>
    </row>
    <row r="2097" spans="3:18" x14ac:dyDescent="0.35">
      <c r="C2097" t="s">
        <v>51</v>
      </c>
      <c r="D2097" t="s">
        <v>20</v>
      </c>
      <c r="E2097" t="s">
        <v>45</v>
      </c>
      <c r="F2097" t="s">
        <v>46</v>
      </c>
      <c r="G2097" s="58">
        <v>10541101</v>
      </c>
      <c r="H2097" s="1" t="s">
        <v>48</v>
      </c>
      <c r="I2097" s="1" t="s">
        <v>105</v>
      </c>
      <c r="J2097" s="58">
        <v>42164404</v>
      </c>
      <c r="K2097" s="1" t="s">
        <v>106</v>
      </c>
      <c r="L2097" s="1" t="s">
        <v>120</v>
      </c>
      <c r="M2097" s="1" t="s">
        <v>123</v>
      </c>
      <c r="N2097" s="1">
        <v>1</v>
      </c>
      <c r="O2097" s="58"/>
      <c r="P2097" s="58">
        <v>6219249.5899999999</v>
      </c>
      <c r="Q2097" t="s">
        <v>113</v>
      </c>
      <c r="R2097" s="1" t="s">
        <v>158</v>
      </c>
    </row>
    <row r="2098" spans="3:18" x14ac:dyDescent="0.35">
      <c r="C2098" t="s">
        <v>51</v>
      </c>
      <c r="D2098" t="s">
        <v>21</v>
      </c>
      <c r="E2098" t="s">
        <v>45</v>
      </c>
      <c r="F2098" t="s">
        <v>46</v>
      </c>
      <c r="G2098" s="58">
        <v>10830</v>
      </c>
      <c r="H2098" s="1" t="s">
        <v>54</v>
      </c>
      <c r="I2098" s="1" t="s">
        <v>111</v>
      </c>
      <c r="J2098" s="58">
        <v>173280</v>
      </c>
      <c r="K2098" s="1" t="s">
        <v>106</v>
      </c>
      <c r="L2098" s="1" t="s">
        <v>120</v>
      </c>
      <c r="N2098" s="1">
        <v>1</v>
      </c>
      <c r="O2098" s="58"/>
      <c r="P2098" s="58">
        <v>10180.200000000001</v>
      </c>
      <c r="Q2098" t="s">
        <v>127</v>
      </c>
      <c r="R2098" s="1" t="s">
        <v>158</v>
      </c>
    </row>
    <row r="2099" spans="3:18" x14ac:dyDescent="0.35">
      <c r="C2099" t="s">
        <v>51</v>
      </c>
      <c r="D2099" t="s">
        <v>23</v>
      </c>
      <c r="E2099" t="s">
        <v>62</v>
      </c>
      <c r="F2099" t="s">
        <v>46</v>
      </c>
      <c r="G2099" s="58">
        <v>236629</v>
      </c>
      <c r="H2099" s="1" t="s">
        <v>48</v>
      </c>
      <c r="I2099" s="1" t="s">
        <v>108</v>
      </c>
      <c r="J2099" s="58">
        <v>8518644</v>
      </c>
      <c r="K2099" s="1" t="s">
        <v>106</v>
      </c>
      <c r="L2099" s="1" t="s">
        <v>109</v>
      </c>
      <c r="M2099" s="1" t="s">
        <v>125</v>
      </c>
      <c r="N2099" s="1">
        <v>1</v>
      </c>
      <c r="O2099" s="58"/>
      <c r="P2099" s="58">
        <v>201134.65</v>
      </c>
      <c r="Q2099" t="s">
        <v>127</v>
      </c>
      <c r="R2099" s="1" t="s">
        <v>48</v>
      </c>
    </row>
    <row r="2100" spans="3:18" x14ac:dyDescent="0.35">
      <c r="C2100" t="s">
        <v>51</v>
      </c>
      <c r="D2100" t="s">
        <v>20</v>
      </c>
      <c r="E2100" t="s">
        <v>49</v>
      </c>
      <c r="F2100" t="s">
        <v>46</v>
      </c>
      <c r="G2100" s="58">
        <v>51159</v>
      </c>
      <c r="H2100" s="1" t="s">
        <v>47</v>
      </c>
      <c r="I2100" s="1" t="s">
        <v>105</v>
      </c>
      <c r="J2100" s="58">
        <v>153477</v>
      </c>
      <c r="K2100" s="1" t="s">
        <v>106</v>
      </c>
      <c r="L2100" s="1" t="s">
        <v>124</v>
      </c>
      <c r="N2100" s="1">
        <v>1</v>
      </c>
      <c r="O2100" s="58"/>
      <c r="P2100" s="58">
        <v>24044.73</v>
      </c>
      <c r="Q2100" t="s">
        <v>113</v>
      </c>
      <c r="R2100" s="1" t="s">
        <v>158</v>
      </c>
    </row>
    <row r="2101" spans="3:18" x14ac:dyDescent="0.35">
      <c r="C2101" t="s">
        <v>51</v>
      </c>
      <c r="D2101" t="s">
        <v>19</v>
      </c>
      <c r="E2101" t="s">
        <v>50</v>
      </c>
      <c r="F2101" t="s">
        <v>46</v>
      </c>
      <c r="G2101" s="58">
        <v>305669</v>
      </c>
      <c r="H2101" s="1" t="s">
        <v>48</v>
      </c>
      <c r="I2101" s="1" t="s">
        <v>108</v>
      </c>
      <c r="J2101" s="58">
        <v>9475739</v>
      </c>
      <c r="K2101" s="1" t="s">
        <v>106</v>
      </c>
      <c r="L2101" s="1" t="s">
        <v>109</v>
      </c>
      <c r="M2101" s="1" t="s">
        <v>122</v>
      </c>
      <c r="N2101" s="1">
        <v>1</v>
      </c>
      <c r="O2101" s="58"/>
      <c r="P2101" s="58">
        <v>186458.09</v>
      </c>
      <c r="Q2101" t="s">
        <v>118</v>
      </c>
      <c r="R2101" s="1" t="s">
        <v>158</v>
      </c>
    </row>
    <row r="2102" spans="3:18" x14ac:dyDescent="0.35">
      <c r="C2102" t="s">
        <v>53</v>
      </c>
      <c r="D2102" t="s">
        <v>21</v>
      </c>
      <c r="E2102" t="s">
        <v>49</v>
      </c>
      <c r="F2102" t="s">
        <v>46</v>
      </c>
      <c r="G2102" s="58">
        <v>10574181</v>
      </c>
      <c r="H2102" s="1" t="s">
        <v>59</v>
      </c>
      <c r="I2102" s="1" t="s">
        <v>119</v>
      </c>
      <c r="J2102" s="58">
        <v>84593448</v>
      </c>
      <c r="K2102" s="1" t="s">
        <v>106</v>
      </c>
      <c r="L2102" s="1" t="s">
        <v>124</v>
      </c>
      <c r="N2102" s="1">
        <v>1</v>
      </c>
      <c r="O2102" s="58"/>
      <c r="P2102" s="58">
        <v>5181348.6900000004</v>
      </c>
      <c r="Q2102" t="s">
        <v>113</v>
      </c>
      <c r="R2102" s="1" t="s">
        <v>158</v>
      </c>
    </row>
    <row r="2103" spans="3:18" x14ac:dyDescent="0.35">
      <c r="C2103" t="s">
        <v>53</v>
      </c>
      <c r="D2103" t="s">
        <v>92</v>
      </c>
      <c r="E2103" t="s">
        <v>45</v>
      </c>
      <c r="F2103" t="s">
        <v>46</v>
      </c>
      <c r="G2103" s="58">
        <v>3976084</v>
      </c>
      <c r="H2103" s="1" t="s">
        <v>54</v>
      </c>
      <c r="I2103" s="1" t="s">
        <v>111</v>
      </c>
      <c r="J2103" s="58">
        <v>47713008</v>
      </c>
      <c r="K2103" s="1" t="s">
        <v>106</v>
      </c>
      <c r="L2103" s="1" t="s">
        <v>120</v>
      </c>
      <c r="N2103" s="1">
        <v>1</v>
      </c>
      <c r="O2103" s="58"/>
      <c r="P2103" s="58">
        <v>2703737.12</v>
      </c>
      <c r="Q2103" t="s">
        <v>118</v>
      </c>
      <c r="R2103" s="1" t="s">
        <v>158</v>
      </c>
    </row>
    <row r="2104" spans="3:18" x14ac:dyDescent="0.35">
      <c r="C2104" t="s">
        <v>51</v>
      </c>
      <c r="D2104" t="s">
        <v>22</v>
      </c>
      <c r="E2104" t="s">
        <v>55</v>
      </c>
      <c r="F2104" t="s">
        <v>46</v>
      </c>
      <c r="G2104" s="58">
        <v>2410423</v>
      </c>
      <c r="H2104" s="1" t="s">
        <v>47</v>
      </c>
      <c r="I2104" s="1" t="s">
        <v>108</v>
      </c>
      <c r="J2104" s="58">
        <v>62670998</v>
      </c>
      <c r="K2104" s="1" t="s">
        <v>106</v>
      </c>
      <c r="L2104" s="1" t="s">
        <v>114</v>
      </c>
      <c r="N2104" s="1">
        <v>1</v>
      </c>
      <c r="O2104" s="58"/>
      <c r="P2104" s="58">
        <v>1229315.73</v>
      </c>
      <c r="Q2104" t="s">
        <v>113</v>
      </c>
      <c r="R2104" s="1" t="s">
        <v>158</v>
      </c>
    </row>
    <row r="2105" spans="3:18" x14ac:dyDescent="0.35">
      <c r="C2105" t="s">
        <v>53</v>
      </c>
      <c r="D2105" t="s">
        <v>20</v>
      </c>
      <c r="E2105" t="s">
        <v>45</v>
      </c>
      <c r="F2105" t="s">
        <v>46</v>
      </c>
      <c r="G2105" s="58">
        <v>3398956</v>
      </c>
      <c r="H2105" s="1" t="s">
        <v>59</v>
      </c>
      <c r="I2105" s="1" t="s">
        <v>119</v>
      </c>
      <c r="J2105" s="58">
        <v>23792692</v>
      </c>
      <c r="K2105" s="1" t="s">
        <v>106</v>
      </c>
      <c r="L2105" s="1" t="s">
        <v>120</v>
      </c>
      <c r="N2105" s="1">
        <v>1</v>
      </c>
      <c r="O2105" s="58"/>
      <c r="P2105" s="58">
        <v>985697.24</v>
      </c>
      <c r="Q2105" t="s">
        <v>107</v>
      </c>
      <c r="R2105" s="1" t="s">
        <v>158</v>
      </c>
    </row>
    <row r="2106" spans="3:18" x14ac:dyDescent="0.35">
      <c r="C2106" t="s">
        <v>51</v>
      </c>
      <c r="D2106" t="s">
        <v>21</v>
      </c>
      <c r="E2106" t="s">
        <v>49</v>
      </c>
      <c r="F2106" t="s">
        <v>46</v>
      </c>
      <c r="G2106" s="58">
        <v>1747146</v>
      </c>
      <c r="H2106" s="1" t="s">
        <v>59</v>
      </c>
      <c r="I2106" s="1" t="s">
        <v>105</v>
      </c>
      <c r="J2106" s="58">
        <v>6988584</v>
      </c>
      <c r="K2106" s="1" t="s">
        <v>106</v>
      </c>
      <c r="L2106" s="1" t="s">
        <v>124</v>
      </c>
      <c r="N2106" s="1">
        <v>1</v>
      </c>
      <c r="O2106" s="58"/>
      <c r="P2106" s="58">
        <v>803687.16</v>
      </c>
      <c r="Q2106" t="s">
        <v>113</v>
      </c>
      <c r="R2106" s="1" t="s">
        <v>158</v>
      </c>
    </row>
    <row r="2107" spans="3:18" x14ac:dyDescent="0.35">
      <c r="C2107" t="s">
        <v>53</v>
      </c>
      <c r="D2107" t="s">
        <v>22</v>
      </c>
      <c r="E2107" t="s">
        <v>45</v>
      </c>
      <c r="F2107" t="s">
        <v>46</v>
      </c>
      <c r="G2107" s="58">
        <v>1305075</v>
      </c>
      <c r="H2107" s="1" t="s">
        <v>56</v>
      </c>
      <c r="I2107" s="1" t="s">
        <v>119</v>
      </c>
      <c r="J2107" s="58">
        <v>10440600</v>
      </c>
      <c r="K2107" s="1" t="s">
        <v>106</v>
      </c>
      <c r="L2107" s="1" t="s">
        <v>120</v>
      </c>
      <c r="N2107" s="1">
        <v>1</v>
      </c>
      <c r="O2107" s="58"/>
      <c r="P2107" s="58">
        <v>861349.5</v>
      </c>
      <c r="Q2107" t="s">
        <v>118</v>
      </c>
      <c r="R2107" s="1" t="s">
        <v>158</v>
      </c>
    </row>
    <row r="2108" spans="3:18" x14ac:dyDescent="0.35">
      <c r="C2108" t="s">
        <v>51</v>
      </c>
      <c r="D2108" t="s">
        <v>24</v>
      </c>
      <c r="E2108" t="s">
        <v>50</v>
      </c>
      <c r="F2108" t="s">
        <v>46</v>
      </c>
      <c r="G2108" s="58">
        <v>457857</v>
      </c>
      <c r="H2108" s="1" t="s">
        <v>48</v>
      </c>
      <c r="I2108" s="1" t="s">
        <v>111</v>
      </c>
      <c r="J2108" s="58">
        <v>8241426</v>
      </c>
      <c r="K2108" s="1" t="s">
        <v>106</v>
      </c>
      <c r="L2108" s="1" t="s">
        <v>109</v>
      </c>
      <c r="M2108" s="1" t="s">
        <v>121</v>
      </c>
      <c r="N2108" s="1">
        <v>1</v>
      </c>
      <c r="O2108" s="58"/>
      <c r="P2108" s="58">
        <v>380021.31</v>
      </c>
      <c r="Q2108" t="s">
        <v>127</v>
      </c>
      <c r="R2108" s="1" t="s">
        <v>48</v>
      </c>
    </row>
    <row r="2109" spans="3:18" x14ac:dyDescent="0.35">
      <c r="C2109" t="s">
        <v>51</v>
      </c>
      <c r="D2109" t="s">
        <v>24</v>
      </c>
      <c r="E2109" t="s">
        <v>50</v>
      </c>
      <c r="F2109" t="s">
        <v>46</v>
      </c>
      <c r="G2109" s="58">
        <v>162526</v>
      </c>
      <c r="H2109" s="1" t="s">
        <v>54</v>
      </c>
      <c r="I2109" s="1" t="s">
        <v>108</v>
      </c>
      <c r="J2109" s="58">
        <v>5688410</v>
      </c>
      <c r="K2109" s="1" t="s">
        <v>106</v>
      </c>
      <c r="L2109" s="1" t="s">
        <v>124</v>
      </c>
      <c r="N2109" s="1">
        <v>1</v>
      </c>
      <c r="O2109" s="58"/>
      <c r="P2109" s="58">
        <v>47132.54</v>
      </c>
      <c r="Q2109" t="s">
        <v>107</v>
      </c>
      <c r="R2109" s="1" t="s">
        <v>158</v>
      </c>
    </row>
    <row r="2110" spans="3:18" x14ac:dyDescent="0.35">
      <c r="C2110" t="s">
        <v>51</v>
      </c>
      <c r="D2110" t="s">
        <v>24</v>
      </c>
      <c r="E2110" t="s">
        <v>45</v>
      </c>
      <c r="F2110" t="s">
        <v>46</v>
      </c>
      <c r="G2110" s="58">
        <v>59551</v>
      </c>
      <c r="H2110" s="1" t="s">
        <v>48</v>
      </c>
      <c r="I2110" s="1" t="s">
        <v>111</v>
      </c>
      <c r="J2110" s="58">
        <v>1191020</v>
      </c>
      <c r="K2110" s="1" t="s">
        <v>112</v>
      </c>
      <c r="N2110" s="1">
        <v>1</v>
      </c>
      <c r="O2110" s="58"/>
      <c r="P2110" s="58">
        <v>36921.620000000003</v>
      </c>
      <c r="Q2110" t="s">
        <v>118</v>
      </c>
      <c r="R2110" s="1" t="s">
        <v>158</v>
      </c>
    </row>
    <row r="2111" spans="3:18" x14ac:dyDescent="0.35">
      <c r="C2111" t="s">
        <v>51</v>
      </c>
      <c r="D2111" t="s">
        <v>24</v>
      </c>
      <c r="E2111" t="s">
        <v>50</v>
      </c>
      <c r="F2111" t="s">
        <v>46</v>
      </c>
      <c r="G2111" s="58">
        <v>0</v>
      </c>
      <c r="H2111" s="1" t="s">
        <v>58</v>
      </c>
      <c r="I2111" s="1" t="s">
        <v>105</v>
      </c>
      <c r="J2111" s="58">
        <v>0</v>
      </c>
      <c r="K2111" s="1" t="s">
        <v>106</v>
      </c>
      <c r="L2111" s="1" t="s">
        <v>109</v>
      </c>
      <c r="N2111" s="1">
        <v>1</v>
      </c>
      <c r="O2111" s="58"/>
      <c r="P2111" s="58">
        <v>0</v>
      </c>
      <c r="Q2111" t="s">
        <v>110</v>
      </c>
      <c r="R2111" s="1" t="s">
        <v>158</v>
      </c>
    </row>
    <row r="2112" spans="3:18" x14ac:dyDescent="0.35">
      <c r="C2112" t="s">
        <v>51</v>
      </c>
      <c r="D2112" t="s">
        <v>22</v>
      </c>
      <c r="E2112" t="s">
        <v>45</v>
      </c>
      <c r="F2112" t="s">
        <v>46</v>
      </c>
      <c r="G2112" s="58">
        <v>6941224</v>
      </c>
      <c r="H2112" s="1" t="s">
        <v>47</v>
      </c>
      <c r="I2112" s="1" t="s">
        <v>108</v>
      </c>
      <c r="J2112" s="58">
        <v>194354272</v>
      </c>
      <c r="K2112" s="1" t="s">
        <v>106</v>
      </c>
      <c r="L2112" s="1" t="s">
        <v>114</v>
      </c>
      <c r="N2112" s="1">
        <v>1</v>
      </c>
      <c r="O2112" s="58"/>
      <c r="P2112" s="58">
        <v>3401199.76</v>
      </c>
      <c r="Q2112" t="s">
        <v>113</v>
      </c>
      <c r="R2112" s="1" t="s">
        <v>158</v>
      </c>
    </row>
    <row r="2113" spans="3:18" x14ac:dyDescent="0.35">
      <c r="C2113" t="s">
        <v>51</v>
      </c>
      <c r="D2113" t="s">
        <v>92</v>
      </c>
      <c r="E2113" t="s">
        <v>49</v>
      </c>
      <c r="F2113" t="s">
        <v>46</v>
      </c>
      <c r="G2113" s="58">
        <v>58638</v>
      </c>
      <c r="H2113" s="1" t="s">
        <v>48</v>
      </c>
      <c r="I2113" s="1" t="s">
        <v>119</v>
      </c>
      <c r="J2113" s="58">
        <v>527742</v>
      </c>
      <c r="K2113" s="1" t="s">
        <v>112</v>
      </c>
      <c r="N2113" s="1">
        <v>1</v>
      </c>
      <c r="O2113" s="58"/>
      <c r="P2113" s="58">
        <v>7622.94</v>
      </c>
      <c r="Q2113" t="s">
        <v>107</v>
      </c>
      <c r="R2113" s="1" t="s">
        <v>158</v>
      </c>
    </row>
    <row r="2114" spans="3:18" x14ac:dyDescent="0.35">
      <c r="C2114" t="s">
        <v>51</v>
      </c>
      <c r="D2114" t="s">
        <v>24</v>
      </c>
      <c r="E2114" t="s">
        <v>62</v>
      </c>
      <c r="F2114" t="s">
        <v>46</v>
      </c>
      <c r="G2114" s="58">
        <v>287929</v>
      </c>
      <c r="H2114" s="1" t="s">
        <v>48</v>
      </c>
      <c r="I2114" s="1" t="s">
        <v>111</v>
      </c>
      <c r="J2114" s="58">
        <v>5470651</v>
      </c>
      <c r="K2114" s="1" t="s">
        <v>106</v>
      </c>
      <c r="L2114" s="1" t="s">
        <v>109</v>
      </c>
      <c r="M2114" s="1" t="s">
        <v>121</v>
      </c>
      <c r="N2114" s="1">
        <v>1</v>
      </c>
      <c r="O2114" s="58"/>
      <c r="P2114" s="58">
        <v>210188.17</v>
      </c>
      <c r="Q2114" t="s">
        <v>118</v>
      </c>
      <c r="R2114" s="1" t="s">
        <v>48</v>
      </c>
    </row>
    <row r="2115" spans="3:18" x14ac:dyDescent="0.35">
      <c r="C2115" t="s">
        <v>53</v>
      </c>
      <c r="D2115" t="s">
        <v>21</v>
      </c>
      <c r="E2115" t="s">
        <v>49</v>
      </c>
      <c r="F2115" t="s">
        <v>46</v>
      </c>
      <c r="G2115" s="58">
        <v>24081</v>
      </c>
      <c r="H2115" s="1" t="s">
        <v>48</v>
      </c>
      <c r="I2115" s="1" t="s">
        <v>105</v>
      </c>
      <c r="J2115" s="58"/>
      <c r="K2115" s="1" t="s">
        <v>106</v>
      </c>
      <c r="L2115" s="1" t="s">
        <v>124</v>
      </c>
      <c r="M2115" s="1" t="s">
        <v>126</v>
      </c>
      <c r="N2115" s="1">
        <v>0</v>
      </c>
      <c r="O2115" s="58"/>
      <c r="P2115" s="58">
        <v>2889.72</v>
      </c>
      <c r="Q2115" t="s">
        <v>107</v>
      </c>
      <c r="R2115" s="1" t="s">
        <v>48</v>
      </c>
    </row>
    <row r="2116" spans="3:18" x14ac:dyDescent="0.35">
      <c r="C2116" t="s">
        <v>51</v>
      </c>
      <c r="D2116" t="s">
        <v>92</v>
      </c>
      <c r="E2116" t="s">
        <v>49</v>
      </c>
      <c r="F2116" t="s">
        <v>46</v>
      </c>
      <c r="G2116" s="58">
        <v>285764070</v>
      </c>
      <c r="H2116" s="1" t="s">
        <v>48</v>
      </c>
      <c r="I2116" s="1" t="s">
        <v>108</v>
      </c>
      <c r="J2116" s="58">
        <v>8287158030</v>
      </c>
      <c r="K2116" s="1" t="s">
        <v>106</v>
      </c>
      <c r="L2116" s="1" t="s">
        <v>124</v>
      </c>
      <c r="M2116" s="1" t="s">
        <v>123</v>
      </c>
      <c r="N2116" s="1">
        <v>1</v>
      </c>
      <c r="O2116" s="58"/>
      <c r="P2116" s="58">
        <v>145739675.69999999</v>
      </c>
      <c r="Q2116" t="s">
        <v>113</v>
      </c>
      <c r="R2116" s="1" t="s">
        <v>158</v>
      </c>
    </row>
    <row r="2117" spans="3:18" x14ac:dyDescent="0.35">
      <c r="C2117" t="s">
        <v>51</v>
      </c>
      <c r="D2117" t="s">
        <v>19</v>
      </c>
      <c r="E2117" t="s">
        <v>49</v>
      </c>
      <c r="F2117" t="s">
        <v>46</v>
      </c>
      <c r="G2117" s="58">
        <v>62788</v>
      </c>
      <c r="H2117" s="1" t="s">
        <v>47</v>
      </c>
      <c r="I2117" s="1" t="s">
        <v>119</v>
      </c>
      <c r="J2117" s="58">
        <v>627880</v>
      </c>
      <c r="K2117" s="1" t="s">
        <v>112</v>
      </c>
      <c r="N2117" s="1">
        <v>1</v>
      </c>
      <c r="O2117" s="58"/>
      <c r="P2117" s="58">
        <v>41440.080000000002</v>
      </c>
      <c r="Q2117" t="s">
        <v>118</v>
      </c>
      <c r="R2117" s="1" t="s">
        <v>158</v>
      </c>
    </row>
    <row r="2118" spans="3:18" x14ac:dyDescent="0.35">
      <c r="C2118" t="s">
        <v>51</v>
      </c>
      <c r="D2118" t="s">
        <v>22</v>
      </c>
      <c r="E2118" t="s">
        <v>45</v>
      </c>
      <c r="F2118" t="s">
        <v>46</v>
      </c>
      <c r="G2118" s="58">
        <v>138972</v>
      </c>
      <c r="H2118" s="1" t="s">
        <v>59</v>
      </c>
      <c r="I2118" s="1" t="s">
        <v>108</v>
      </c>
      <c r="J2118" s="58">
        <v>3196356</v>
      </c>
      <c r="K2118" s="1" t="s">
        <v>106</v>
      </c>
      <c r="L2118" s="1" t="s">
        <v>114</v>
      </c>
      <c r="N2118" s="1">
        <v>1</v>
      </c>
      <c r="O2118" s="58"/>
      <c r="P2118" s="58">
        <v>54199.08</v>
      </c>
      <c r="Q2118" t="s">
        <v>107</v>
      </c>
      <c r="R2118" s="1" t="s">
        <v>158</v>
      </c>
    </row>
    <row r="2119" spans="3:18" x14ac:dyDescent="0.35">
      <c r="C2119" t="s">
        <v>51</v>
      </c>
      <c r="D2119" t="s">
        <v>23</v>
      </c>
      <c r="E2119" t="s">
        <v>52</v>
      </c>
      <c r="F2119" t="s">
        <v>46</v>
      </c>
      <c r="G2119" s="58">
        <v>741044</v>
      </c>
      <c r="H2119" s="1" t="s">
        <v>48</v>
      </c>
      <c r="I2119" s="1" t="s">
        <v>111</v>
      </c>
      <c r="J2119" s="58">
        <v>12597748</v>
      </c>
      <c r="K2119" s="1" t="s">
        <v>112</v>
      </c>
      <c r="N2119" s="1">
        <v>1</v>
      </c>
      <c r="O2119" s="58"/>
      <c r="P2119" s="58">
        <v>489089.04</v>
      </c>
      <c r="Q2119" t="s">
        <v>118</v>
      </c>
      <c r="R2119" s="1" t="s">
        <v>48</v>
      </c>
    </row>
    <row r="2120" spans="3:18" x14ac:dyDescent="0.35">
      <c r="C2120" t="s">
        <v>53</v>
      </c>
      <c r="D2120" t="s">
        <v>21</v>
      </c>
      <c r="E2120" t="s">
        <v>45</v>
      </c>
      <c r="F2120" t="s">
        <v>46</v>
      </c>
      <c r="G2120" s="58">
        <v>220548</v>
      </c>
      <c r="H2120" s="1" t="s">
        <v>47</v>
      </c>
      <c r="I2120" s="1" t="s">
        <v>111</v>
      </c>
      <c r="J2120" s="58">
        <v>2646576</v>
      </c>
      <c r="K2120" s="1" t="s">
        <v>106</v>
      </c>
      <c r="L2120" s="1" t="s">
        <v>114</v>
      </c>
      <c r="N2120" s="1">
        <v>1</v>
      </c>
      <c r="O2120" s="58"/>
      <c r="P2120" s="58">
        <v>158794.56</v>
      </c>
      <c r="Q2120" t="s">
        <v>118</v>
      </c>
      <c r="R2120" s="1" t="s">
        <v>158</v>
      </c>
    </row>
    <row r="2121" spans="3:18" x14ac:dyDescent="0.35">
      <c r="C2121" t="s">
        <v>51</v>
      </c>
      <c r="D2121" t="s">
        <v>22</v>
      </c>
      <c r="E2121" t="s">
        <v>45</v>
      </c>
      <c r="F2121" t="s">
        <v>46</v>
      </c>
      <c r="G2121" s="58">
        <v>583650970</v>
      </c>
      <c r="H2121" s="1" t="s">
        <v>47</v>
      </c>
      <c r="I2121" s="1" t="s">
        <v>108</v>
      </c>
      <c r="J2121" s="58">
        <v>16342227160</v>
      </c>
      <c r="K2121" s="1" t="s">
        <v>106</v>
      </c>
      <c r="L2121" s="1" t="s">
        <v>120</v>
      </c>
      <c r="N2121" s="1">
        <v>1</v>
      </c>
      <c r="O2121" s="58"/>
      <c r="P2121" s="58">
        <v>396882659.60000002</v>
      </c>
      <c r="Q2121" t="s">
        <v>118</v>
      </c>
      <c r="R2121" s="1" t="s">
        <v>158</v>
      </c>
    </row>
    <row r="2122" spans="3:18" x14ac:dyDescent="0.35">
      <c r="C2122" t="s">
        <v>51</v>
      </c>
      <c r="D2122" t="s">
        <v>23</v>
      </c>
      <c r="E2122" t="s">
        <v>55</v>
      </c>
      <c r="F2122" t="s">
        <v>46</v>
      </c>
      <c r="G2122" s="58">
        <v>547906</v>
      </c>
      <c r="H2122" s="1" t="s">
        <v>48</v>
      </c>
      <c r="I2122" s="1" t="s">
        <v>108</v>
      </c>
      <c r="J2122" s="58">
        <v>12053932</v>
      </c>
      <c r="K2122" s="1" t="s">
        <v>106</v>
      </c>
      <c r="L2122" s="1" t="s">
        <v>120</v>
      </c>
      <c r="M2122" s="1" t="s">
        <v>115</v>
      </c>
      <c r="N2122" s="1">
        <v>1</v>
      </c>
      <c r="O2122" s="58"/>
      <c r="P2122" s="58">
        <v>230120.52</v>
      </c>
      <c r="Q2122" t="s">
        <v>113</v>
      </c>
      <c r="R2122" s="1" t="s">
        <v>48</v>
      </c>
    </row>
    <row r="2123" spans="3:18" x14ac:dyDescent="0.35">
      <c r="C2123" t="s">
        <v>51</v>
      </c>
      <c r="D2123" t="s">
        <v>24</v>
      </c>
      <c r="E2123" t="s">
        <v>55</v>
      </c>
      <c r="F2123" t="s">
        <v>46</v>
      </c>
      <c r="G2123" s="58">
        <v>26997823</v>
      </c>
      <c r="H2123" s="1" t="s">
        <v>47</v>
      </c>
      <c r="I2123" s="1" t="s">
        <v>111</v>
      </c>
      <c r="J2123" s="58">
        <v>458962991</v>
      </c>
      <c r="K2123" s="1" t="s">
        <v>106</v>
      </c>
      <c r="L2123" s="1" t="s">
        <v>114</v>
      </c>
      <c r="N2123" s="1">
        <v>1</v>
      </c>
      <c r="O2123" s="58"/>
      <c r="P2123" s="58">
        <v>18088541.41</v>
      </c>
      <c r="Q2123" t="s">
        <v>118</v>
      </c>
      <c r="R2123" s="1" t="s">
        <v>158</v>
      </c>
    </row>
    <row r="2124" spans="3:18" x14ac:dyDescent="0.35">
      <c r="C2124" t="s">
        <v>51</v>
      </c>
      <c r="D2124" t="s">
        <v>24</v>
      </c>
      <c r="E2124" t="s">
        <v>50</v>
      </c>
      <c r="F2124" t="s">
        <v>46</v>
      </c>
      <c r="G2124" s="58">
        <v>118813</v>
      </c>
      <c r="H2124" s="1" t="s">
        <v>48</v>
      </c>
      <c r="I2124" s="1" t="s">
        <v>111</v>
      </c>
      <c r="J2124" s="58">
        <v>2257447</v>
      </c>
      <c r="K2124" s="1" t="s">
        <v>106</v>
      </c>
      <c r="L2124" s="1" t="s">
        <v>124</v>
      </c>
      <c r="M2124" s="1" t="s">
        <v>126</v>
      </c>
      <c r="N2124" s="1">
        <v>1</v>
      </c>
      <c r="O2124" s="58"/>
      <c r="P2124" s="58">
        <v>61782.76</v>
      </c>
      <c r="Q2124" t="s">
        <v>113</v>
      </c>
      <c r="R2124" s="1" t="s">
        <v>158</v>
      </c>
    </row>
    <row r="2125" spans="3:18" x14ac:dyDescent="0.35">
      <c r="C2125" t="s">
        <v>51</v>
      </c>
      <c r="D2125" t="s">
        <v>21</v>
      </c>
      <c r="E2125" t="s">
        <v>49</v>
      </c>
      <c r="F2125" t="s">
        <v>46</v>
      </c>
      <c r="G2125" s="58">
        <v>953454</v>
      </c>
      <c r="H2125" s="1" t="s">
        <v>48</v>
      </c>
      <c r="I2125" s="1" t="s">
        <v>108</v>
      </c>
      <c r="J2125" s="58">
        <v>29557074</v>
      </c>
      <c r="K2125" s="1" t="s">
        <v>106</v>
      </c>
      <c r="L2125" s="1" t="s">
        <v>124</v>
      </c>
      <c r="M2125" s="1" t="s">
        <v>122</v>
      </c>
      <c r="N2125" s="1">
        <v>1</v>
      </c>
      <c r="O2125" s="58"/>
      <c r="P2125" s="58">
        <v>610210.56000000006</v>
      </c>
      <c r="Q2125" t="s">
        <v>118</v>
      </c>
      <c r="R2125" s="1" t="s">
        <v>48</v>
      </c>
    </row>
    <row r="2126" spans="3:18" x14ac:dyDescent="0.35">
      <c r="C2126" t="s">
        <v>53</v>
      </c>
      <c r="D2126" t="s">
        <v>60</v>
      </c>
      <c r="E2126" t="s">
        <v>60</v>
      </c>
      <c r="F2126" t="s">
        <v>46</v>
      </c>
      <c r="G2126" s="58">
        <v>15978026</v>
      </c>
      <c r="H2126" s="1" t="s">
        <v>90</v>
      </c>
      <c r="I2126" s="1" t="s">
        <v>111</v>
      </c>
      <c r="J2126" s="58">
        <v>207714338</v>
      </c>
      <c r="K2126" s="1" t="s">
        <v>106</v>
      </c>
      <c r="N2126" s="1">
        <v>1</v>
      </c>
      <c r="O2126" s="58"/>
      <c r="P2126" s="58">
        <v>20771433.800000001</v>
      </c>
      <c r="Q2126" t="s">
        <v>110</v>
      </c>
      <c r="R2126" s="1" t="s">
        <v>90</v>
      </c>
    </row>
    <row r="2127" spans="3:18" x14ac:dyDescent="0.35">
      <c r="C2127" t="s">
        <v>51</v>
      </c>
      <c r="D2127" t="s">
        <v>20</v>
      </c>
      <c r="E2127" t="s">
        <v>49</v>
      </c>
      <c r="F2127" t="s">
        <v>46</v>
      </c>
      <c r="G2127" s="58">
        <v>110804647</v>
      </c>
      <c r="H2127" s="1" t="s">
        <v>47</v>
      </c>
      <c r="I2127" s="1" t="s">
        <v>108</v>
      </c>
      <c r="J2127" s="58">
        <v>2880920822</v>
      </c>
      <c r="K2127" s="1" t="s">
        <v>106</v>
      </c>
      <c r="L2127" s="1" t="s">
        <v>124</v>
      </c>
      <c r="N2127" s="1">
        <v>1</v>
      </c>
      <c r="O2127" s="58"/>
      <c r="P2127" s="58">
        <v>56510369.969999999</v>
      </c>
      <c r="Q2127" t="s">
        <v>113</v>
      </c>
      <c r="R2127" s="1" t="s">
        <v>158</v>
      </c>
    </row>
    <row r="2128" spans="3:18" x14ac:dyDescent="0.35">
      <c r="C2128" t="s">
        <v>51</v>
      </c>
      <c r="D2128" t="s">
        <v>23</v>
      </c>
      <c r="E2128" t="s">
        <v>49</v>
      </c>
      <c r="F2128" t="s">
        <v>46</v>
      </c>
      <c r="G2128" s="58">
        <v>64804</v>
      </c>
      <c r="H2128" s="1" t="s">
        <v>47</v>
      </c>
      <c r="I2128" s="1" t="s">
        <v>119</v>
      </c>
      <c r="J2128" s="58">
        <v>388824</v>
      </c>
      <c r="K2128" s="1" t="s">
        <v>106</v>
      </c>
      <c r="L2128" s="1" t="s">
        <v>120</v>
      </c>
      <c r="N2128" s="1">
        <v>1</v>
      </c>
      <c r="O2128" s="58"/>
      <c r="P2128" s="58">
        <v>8424.52</v>
      </c>
      <c r="Q2128" t="s">
        <v>107</v>
      </c>
      <c r="R2128" s="1" t="s">
        <v>158</v>
      </c>
    </row>
    <row r="2129" spans="3:18" x14ac:dyDescent="0.35">
      <c r="C2129" t="s">
        <v>51</v>
      </c>
      <c r="D2129" t="s">
        <v>22</v>
      </c>
      <c r="E2129" t="s">
        <v>55</v>
      </c>
      <c r="F2129" t="s">
        <v>46</v>
      </c>
      <c r="G2129" s="58">
        <v>194756</v>
      </c>
      <c r="H2129" s="1" t="s">
        <v>48</v>
      </c>
      <c r="I2129" s="1" t="s">
        <v>111</v>
      </c>
      <c r="J2129" s="58">
        <v>3700364</v>
      </c>
      <c r="K2129" s="1" t="s">
        <v>112</v>
      </c>
      <c r="N2129" s="1">
        <v>1</v>
      </c>
      <c r="O2129" s="58"/>
      <c r="P2129" s="58">
        <v>153857.24</v>
      </c>
      <c r="Q2129" t="s">
        <v>118</v>
      </c>
      <c r="R2129" s="1" t="s">
        <v>158</v>
      </c>
    </row>
    <row r="2130" spans="3:18" x14ac:dyDescent="0.35">
      <c r="C2130" t="s">
        <v>51</v>
      </c>
      <c r="D2130" t="s">
        <v>20</v>
      </c>
      <c r="E2130" t="s">
        <v>49</v>
      </c>
      <c r="F2130" t="s">
        <v>46</v>
      </c>
      <c r="G2130" s="58">
        <v>1620</v>
      </c>
      <c r="H2130" s="1" t="s">
        <v>48</v>
      </c>
      <c r="I2130" s="1" t="s">
        <v>105</v>
      </c>
      <c r="J2130" s="58">
        <v>0</v>
      </c>
      <c r="K2130" s="1" t="s">
        <v>106</v>
      </c>
      <c r="L2130" s="1" t="s">
        <v>124</v>
      </c>
      <c r="M2130" s="1" t="s">
        <v>126</v>
      </c>
      <c r="N2130" s="1">
        <v>1</v>
      </c>
      <c r="O2130" s="58"/>
      <c r="P2130" s="58">
        <v>16.2</v>
      </c>
      <c r="Q2130" t="s">
        <v>107</v>
      </c>
      <c r="R2130" s="1" t="s">
        <v>48</v>
      </c>
    </row>
    <row r="2131" spans="3:18" x14ac:dyDescent="0.35">
      <c r="C2131" t="s">
        <v>51</v>
      </c>
      <c r="D2131" t="s">
        <v>23</v>
      </c>
      <c r="E2131" t="s">
        <v>45</v>
      </c>
      <c r="F2131" t="s">
        <v>46</v>
      </c>
      <c r="G2131" s="58">
        <v>19697851</v>
      </c>
      <c r="H2131" s="1" t="s">
        <v>54</v>
      </c>
      <c r="I2131" s="1" t="s">
        <v>111</v>
      </c>
      <c r="J2131" s="58">
        <v>275769914</v>
      </c>
      <c r="K2131" s="1" t="s">
        <v>106</v>
      </c>
      <c r="L2131" s="1" t="s">
        <v>120</v>
      </c>
      <c r="N2131" s="1">
        <v>1</v>
      </c>
      <c r="O2131" s="58"/>
      <c r="P2131" s="58">
        <v>5515398.2800000003</v>
      </c>
      <c r="Q2131" t="s">
        <v>107</v>
      </c>
      <c r="R2131" s="1" t="s">
        <v>158</v>
      </c>
    </row>
    <row r="2132" spans="3:18" x14ac:dyDescent="0.35">
      <c r="C2132" t="s">
        <v>51</v>
      </c>
      <c r="D2132" t="s">
        <v>22</v>
      </c>
      <c r="E2132" t="s">
        <v>45</v>
      </c>
      <c r="F2132" t="s">
        <v>46</v>
      </c>
      <c r="G2132" s="58">
        <v>6477604</v>
      </c>
      <c r="H2132" s="1" t="s">
        <v>48</v>
      </c>
      <c r="I2132" s="1" t="s">
        <v>108</v>
      </c>
      <c r="J2132" s="58">
        <v>207283328</v>
      </c>
      <c r="K2132" s="1" t="s">
        <v>106</v>
      </c>
      <c r="L2132" s="1" t="s">
        <v>120</v>
      </c>
      <c r="M2132" s="1" t="s">
        <v>115</v>
      </c>
      <c r="N2132" s="1">
        <v>1</v>
      </c>
      <c r="O2132" s="58"/>
      <c r="P2132" s="58">
        <v>7190140.4400000004</v>
      </c>
      <c r="Q2132" t="s">
        <v>110</v>
      </c>
      <c r="R2132" s="1" t="s">
        <v>158</v>
      </c>
    </row>
    <row r="2133" spans="3:18" x14ac:dyDescent="0.35">
      <c r="C2133" t="s">
        <v>51</v>
      </c>
      <c r="D2133" t="s">
        <v>19</v>
      </c>
      <c r="E2133" t="s">
        <v>49</v>
      </c>
      <c r="F2133" t="s">
        <v>46</v>
      </c>
      <c r="G2133" s="58">
        <v>127076</v>
      </c>
      <c r="H2133" s="1" t="s">
        <v>48</v>
      </c>
      <c r="I2133" s="1" t="s">
        <v>108</v>
      </c>
      <c r="J2133" s="58">
        <v>3431052</v>
      </c>
      <c r="K2133" s="1" t="s">
        <v>106</v>
      </c>
      <c r="L2133" s="1" t="s">
        <v>116</v>
      </c>
      <c r="M2133" s="1" t="s">
        <v>129</v>
      </c>
      <c r="N2133" s="1">
        <v>1</v>
      </c>
      <c r="O2133" s="58"/>
      <c r="P2133" s="58">
        <v>43205.84</v>
      </c>
      <c r="Q2133" t="s">
        <v>107</v>
      </c>
      <c r="R2133" s="1" t="s">
        <v>158</v>
      </c>
    </row>
    <row r="2134" spans="3:18" x14ac:dyDescent="0.35">
      <c r="C2134" t="s">
        <v>51</v>
      </c>
      <c r="D2134" t="s">
        <v>25</v>
      </c>
      <c r="E2134" t="s">
        <v>55</v>
      </c>
      <c r="F2134" t="s">
        <v>46</v>
      </c>
      <c r="G2134" s="58">
        <v>250240</v>
      </c>
      <c r="H2134" s="1" t="s">
        <v>48</v>
      </c>
      <c r="I2134" s="1" t="s">
        <v>108</v>
      </c>
      <c r="J2134" s="58">
        <v>6756480</v>
      </c>
      <c r="K2134" s="1" t="s">
        <v>106</v>
      </c>
      <c r="L2134" s="1" t="s">
        <v>114</v>
      </c>
      <c r="M2134" s="1" t="s">
        <v>117</v>
      </c>
      <c r="N2134" s="1">
        <v>1</v>
      </c>
      <c r="O2134" s="58"/>
      <c r="P2134" s="58">
        <v>117612.8</v>
      </c>
      <c r="Q2134" t="s">
        <v>113</v>
      </c>
      <c r="R2134" s="1" t="s">
        <v>158</v>
      </c>
    </row>
    <row r="2135" spans="3:18" x14ac:dyDescent="0.35">
      <c r="C2135" t="s">
        <v>51</v>
      </c>
      <c r="D2135" t="s">
        <v>92</v>
      </c>
      <c r="E2135" t="s">
        <v>49</v>
      </c>
      <c r="F2135" t="s">
        <v>46</v>
      </c>
      <c r="G2135" s="58">
        <v>2</v>
      </c>
      <c r="H2135" s="1" t="s">
        <v>47</v>
      </c>
      <c r="I2135" s="1" t="s">
        <v>119</v>
      </c>
      <c r="J2135" s="58">
        <v>16</v>
      </c>
      <c r="K2135" s="1" t="s">
        <v>106</v>
      </c>
      <c r="L2135" s="1" t="s">
        <v>124</v>
      </c>
      <c r="N2135" s="1">
        <v>1</v>
      </c>
      <c r="O2135" s="58"/>
      <c r="P2135" s="58">
        <v>3</v>
      </c>
      <c r="Q2135" t="s">
        <v>110</v>
      </c>
      <c r="R2135" s="1" t="s">
        <v>158</v>
      </c>
    </row>
    <row r="2136" spans="3:18" x14ac:dyDescent="0.35">
      <c r="C2136" t="s">
        <v>51</v>
      </c>
      <c r="D2136" t="s">
        <v>24</v>
      </c>
      <c r="E2136" t="s">
        <v>45</v>
      </c>
      <c r="F2136" t="s">
        <v>46</v>
      </c>
      <c r="G2136" s="58">
        <v>2618348</v>
      </c>
      <c r="H2136" s="1" t="s">
        <v>48</v>
      </c>
      <c r="I2136" s="1" t="s">
        <v>119</v>
      </c>
      <c r="J2136" s="58">
        <v>20946784</v>
      </c>
      <c r="K2136" s="1" t="s">
        <v>106</v>
      </c>
      <c r="L2136" s="1" t="s">
        <v>120</v>
      </c>
      <c r="M2136" s="1" t="s">
        <v>121</v>
      </c>
      <c r="N2136" s="1">
        <v>1</v>
      </c>
      <c r="O2136" s="58"/>
      <c r="P2136" s="58">
        <v>628403.52</v>
      </c>
      <c r="Q2136" t="s">
        <v>107</v>
      </c>
      <c r="R2136" s="1" t="s">
        <v>158</v>
      </c>
    </row>
    <row r="2137" spans="3:18" x14ac:dyDescent="0.35">
      <c r="C2137" t="s">
        <v>51</v>
      </c>
      <c r="D2137" t="s">
        <v>23</v>
      </c>
      <c r="E2137" t="s">
        <v>49</v>
      </c>
      <c r="F2137" t="s">
        <v>46</v>
      </c>
      <c r="G2137" s="58">
        <v>112547</v>
      </c>
      <c r="H2137" s="1" t="s">
        <v>48</v>
      </c>
      <c r="I2137" s="1" t="s">
        <v>111</v>
      </c>
      <c r="J2137" s="58">
        <v>2025846</v>
      </c>
      <c r="K2137" s="1" t="s">
        <v>106</v>
      </c>
      <c r="L2137" s="1" t="s">
        <v>124</v>
      </c>
      <c r="M2137" s="1" t="s">
        <v>125</v>
      </c>
      <c r="N2137" s="1">
        <v>1</v>
      </c>
      <c r="O2137" s="58"/>
      <c r="P2137" s="58">
        <v>75406.490000000005</v>
      </c>
      <c r="Q2137" t="s">
        <v>118</v>
      </c>
      <c r="R2137" s="1" t="s">
        <v>48</v>
      </c>
    </row>
    <row r="2138" spans="3:18" x14ac:dyDescent="0.35">
      <c r="C2138" t="s">
        <v>51</v>
      </c>
      <c r="D2138" t="s">
        <v>22</v>
      </c>
      <c r="E2138" t="s">
        <v>50</v>
      </c>
      <c r="F2138" t="s">
        <v>46</v>
      </c>
      <c r="G2138" s="58">
        <v>14144040</v>
      </c>
      <c r="H2138" s="1" t="s">
        <v>48</v>
      </c>
      <c r="I2138" s="1" t="s">
        <v>108</v>
      </c>
      <c r="J2138" s="58">
        <v>466753320</v>
      </c>
      <c r="K2138" s="1" t="s">
        <v>112</v>
      </c>
      <c r="N2138" s="1">
        <v>1</v>
      </c>
      <c r="O2138" s="58"/>
      <c r="P2138" s="58">
        <v>7213460.4000000004</v>
      </c>
      <c r="Q2138" t="s">
        <v>113</v>
      </c>
      <c r="R2138" s="1" t="s">
        <v>48</v>
      </c>
    </row>
    <row r="2139" spans="3:18" x14ac:dyDescent="0.35">
      <c r="C2139" t="s">
        <v>51</v>
      </c>
      <c r="D2139" t="s">
        <v>21</v>
      </c>
      <c r="E2139" t="s">
        <v>62</v>
      </c>
      <c r="F2139" t="s">
        <v>46</v>
      </c>
      <c r="G2139" s="58">
        <v>949286</v>
      </c>
      <c r="H2139" s="1" t="s">
        <v>48</v>
      </c>
      <c r="I2139" s="1" t="s">
        <v>108</v>
      </c>
      <c r="J2139" s="58">
        <v>34174296</v>
      </c>
      <c r="K2139" s="1" t="s">
        <v>106</v>
      </c>
      <c r="L2139" s="1" t="s">
        <v>131</v>
      </c>
      <c r="M2139" s="1" t="s">
        <v>126</v>
      </c>
      <c r="N2139" s="1">
        <v>1</v>
      </c>
      <c r="O2139" s="58"/>
      <c r="P2139" s="58">
        <v>797400.24</v>
      </c>
      <c r="Q2139" t="s">
        <v>127</v>
      </c>
      <c r="R2139" s="1" t="s">
        <v>48</v>
      </c>
    </row>
    <row r="2140" spans="3:18" x14ac:dyDescent="0.35">
      <c r="C2140" t="s">
        <v>51</v>
      </c>
      <c r="D2140" t="s">
        <v>23</v>
      </c>
      <c r="E2140" t="s">
        <v>55</v>
      </c>
      <c r="F2140" t="s">
        <v>64</v>
      </c>
      <c r="G2140" s="58">
        <v>540784</v>
      </c>
      <c r="H2140" s="1" t="s">
        <v>48</v>
      </c>
      <c r="I2140" s="1" t="s">
        <v>111</v>
      </c>
      <c r="J2140" s="58">
        <v>8111760</v>
      </c>
      <c r="K2140" s="1" t="s">
        <v>112</v>
      </c>
      <c r="N2140" s="1">
        <v>1</v>
      </c>
      <c r="O2140" s="58"/>
      <c r="P2140" s="58">
        <v>308246.88</v>
      </c>
      <c r="Q2140" t="s">
        <v>113</v>
      </c>
      <c r="R2140" s="1" t="s">
        <v>48</v>
      </c>
    </row>
    <row r="2141" spans="3:18" x14ac:dyDescent="0.35">
      <c r="C2141" t="s">
        <v>51</v>
      </c>
      <c r="D2141" t="s">
        <v>22</v>
      </c>
      <c r="E2141" t="s">
        <v>45</v>
      </c>
      <c r="F2141" t="s">
        <v>46</v>
      </c>
      <c r="G2141" s="58">
        <v>1314680</v>
      </c>
      <c r="H2141" s="1" t="s">
        <v>47</v>
      </c>
      <c r="I2141" s="1" t="s">
        <v>119</v>
      </c>
      <c r="J2141" s="58">
        <v>9202760</v>
      </c>
      <c r="K2141" s="1" t="s">
        <v>106</v>
      </c>
      <c r="L2141" s="1" t="s">
        <v>114</v>
      </c>
      <c r="N2141" s="1">
        <v>1</v>
      </c>
      <c r="O2141" s="58"/>
      <c r="P2141" s="58">
        <v>262936</v>
      </c>
      <c r="Q2141" t="s">
        <v>107</v>
      </c>
      <c r="R2141" s="1" t="s">
        <v>158</v>
      </c>
    </row>
    <row r="2142" spans="3:18" x14ac:dyDescent="0.35">
      <c r="C2142" t="s">
        <v>51</v>
      </c>
      <c r="D2142" t="s">
        <v>24</v>
      </c>
      <c r="E2142" t="s">
        <v>55</v>
      </c>
      <c r="F2142" t="s">
        <v>46</v>
      </c>
      <c r="G2142" s="58">
        <v>2821166</v>
      </c>
      <c r="H2142" s="1" t="s">
        <v>47</v>
      </c>
      <c r="I2142" s="1" t="s">
        <v>111</v>
      </c>
      <c r="J2142" s="58">
        <v>47959822</v>
      </c>
      <c r="K2142" s="1" t="s">
        <v>106</v>
      </c>
      <c r="L2142" s="1" t="s">
        <v>120</v>
      </c>
      <c r="N2142" s="1">
        <v>1</v>
      </c>
      <c r="O2142" s="58"/>
      <c r="P2142" s="58">
        <v>1382371.34</v>
      </c>
      <c r="Q2142" t="s">
        <v>113</v>
      </c>
      <c r="R2142" s="1" t="s">
        <v>158</v>
      </c>
    </row>
    <row r="2143" spans="3:18" x14ac:dyDescent="0.35">
      <c r="C2143" t="s">
        <v>51</v>
      </c>
      <c r="D2143" t="s">
        <v>24</v>
      </c>
      <c r="E2143" t="s">
        <v>50</v>
      </c>
      <c r="F2143" t="s">
        <v>46</v>
      </c>
      <c r="G2143" s="58">
        <v>2582719</v>
      </c>
      <c r="H2143" s="1" t="s">
        <v>48</v>
      </c>
      <c r="I2143" s="1" t="s">
        <v>108</v>
      </c>
      <c r="J2143" s="58">
        <v>82647008</v>
      </c>
      <c r="K2143" s="1" t="s">
        <v>106</v>
      </c>
      <c r="L2143" s="1" t="s">
        <v>109</v>
      </c>
      <c r="M2143" s="1" t="s">
        <v>121</v>
      </c>
      <c r="N2143" s="1">
        <v>1</v>
      </c>
      <c r="O2143" s="58"/>
      <c r="P2143" s="58">
        <v>800642.89</v>
      </c>
      <c r="Q2143" t="s">
        <v>107</v>
      </c>
      <c r="R2143" s="1" t="s">
        <v>48</v>
      </c>
    </row>
    <row r="2144" spans="3:18" x14ac:dyDescent="0.35">
      <c r="C2144" t="s">
        <v>51</v>
      </c>
      <c r="D2144" t="s">
        <v>23</v>
      </c>
      <c r="E2144" t="s">
        <v>50</v>
      </c>
      <c r="F2144" t="s">
        <v>46</v>
      </c>
      <c r="G2144" s="58">
        <v>57313979</v>
      </c>
      <c r="H2144" s="1" t="s">
        <v>48</v>
      </c>
      <c r="I2144" s="1" t="s">
        <v>108</v>
      </c>
      <c r="J2144" s="58">
        <v>1834047328</v>
      </c>
      <c r="K2144" s="1" t="s">
        <v>106</v>
      </c>
      <c r="L2144" s="1" t="s">
        <v>109</v>
      </c>
      <c r="M2144" s="1" t="s">
        <v>125</v>
      </c>
      <c r="N2144" s="1">
        <v>1</v>
      </c>
      <c r="O2144" s="58"/>
      <c r="P2144" s="58">
        <v>40692925.090000004</v>
      </c>
      <c r="Q2144" t="s">
        <v>118</v>
      </c>
      <c r="R2144" s="1" t="s">
        <v>48</v>
      </c>
    </row>
    <row r="2145" spans="3:18" x14ac:dyDescent="0.35">
      <c r="C2145" t="s">
        <v>44</v>
      </c>
      <c r="D2145" t="s">
        <v>22</v>
      </c>
      <c r="E2145" t="s">
        <v>45</v>
      </c>
      <c r="F2145" t="s">
        <v>46</v>
      </c>
      <c r="G2145" s="58">
        <v>41406</v>
      </c>
      <c r="H2145" s="1" t="s">
        <v>58</v>
      </c>
      <c r="I2145" s="1" t="s">
        <v>108</v>
      </c>
      <c r="J2145" s="58"/>
      <c r="N2145" s="1">
        <v>0</v>
      </c>
      <c r="O2145" s="58"/>
      <c r="P2145" s="58"/>
      <c r="R2145" s="1" t="s">
        <v>158</v>
      </c>
    </row>
    <row r="2146" spans="3:18" x14ac:dyDescent="0.35">
      <c r="C2146" t="s">
        <v>51</v>
      </c>
      <c r="D2146" t="s">
        <v>24</v>
      </c>
      <c r="E2146" t="s">
        <v>50</v>
      </c>
      <c r="F2146" t="s">
        <v>46</v>
      </c>
      <c r="G2146" s="58">
        <v>804875</v>
      </c>
      <c r="H2146" s="1" t="s">
        <v>47</v>
      </c>
      <c r="I2146" s="1" t="s">
        <v>108</v>
      </c>
      <c r="J2146" s="58">
        <v>22536500</v>
      </c>
      <c r="K2146" s="1" t="s">
        <v>106</v>
      </c>
      <c r="L2146" s="1" t="s">
        <v>114</v>
      </c>
      <c r="N2146" s="1">
        <v>1</v>
      </c>
      <c r="O2146" s="58"/>
      <c r="P2146" s="58">
        <v>233413.75</v>
      </c>
      <c r="Q2146" t="s">
        <v>107</v>
      </c>
      <c r="R2146" s="1" t="s">
        <v>158</v>
      </c>
    </row>
    <row r="2147" spans="3:18" x14ac:dyDescent="0.35">
      <c r="C2147" t="s">
        <v>53</v>
      </c>
      <c r="D2147" t="s">
        <v>20</v>
      </c>
      <c r="E2147" t="s">
        <v>45</v>
      </c>
      <c r="F2147" t="s">
        <v>46</v>
      </c>
      <c r="G2147" s="58">
        <v>4109900</v>
      </c>
      <c r="H2147" s="1" t="s">
        <v>54</v>
      </c>
      <c r="I2147" s="1" t="s">
        <v>119</v>
      </c>
      <c r="J2147" s="58">
        <v>24659400</v>
      </c>
      <c r="K2147" s="1" t="s">
        <v>106</v>
      </c>
      <c r="L2147" s="1" t="s">
        <v>120</v>
      </c>
      <c r="N2147" s="1">
        <v>1</v>
      </c>
      <c r="O2147" s="58"/>
      <c r="P2147" s="58">
        <v>1109673</v>
      </c>
      <c r="Q2147" t="s">
        <v>107</v>
      </c>
      <c r="R2147" s="1" t="s">
        <v>158</v>
      </c>
    </row>
    <row r="2148" spans="3:18" x14ac:dyDescent="0.35">
      <c r="C2148" t="s">
        <v>51</v>
      </c>
      <c r="D2148" t="s">
        <v>23</v>
      </c>
      <c r="E2148" t="s">
        <v>55</v>
      </c>
      <c r="F2148" t="s">
        <v>46</v>
      </c>
      <c r="G2148" s="58">
        <v>451712</v>
      </c>
      <c r="H2148" s="1" t="s">
        <v>54</v>
      </c>
      <c r="I2148" s="1" t="s">
        <v>105</v>
      </c>
      <c r="J2148" s="58"/>
      <c r="K2148" s="1" t="s">
        <v>106</v>
      </c>
      <c r="L2148" s="1" t="s">
        <v>114</v>
      </c>
      <c r="N2148" s="1">
        <v>0</v>
      </c>
      <c r="O2148" s="58"/>
      <c r="P2148" s="58">
        <v>0</v>
      </c>
      <c r="Q2148" t="s">
        <v>107</v>
      </c>
      <c r="R2148" s="1" t="s">
        <v>158</v>
      </c>
    </row>
    <row r="2149" spans="3:18" x14ac:dyDescent="0.35">
      <c r="C2149" t="s">
        <v>51</v>
      </c>
      <c r="D2149" t="s">
        <v>22</v>
      </c>
      <c r="E2149" t="s">
        <v>45</v>
      </c>
      <c r="F2149" t="s">
        <v>46</v>
      </c>
      <c r="G2149" s="58">
        <v>0</v>
      </c>
      <c r="H2149" s="1" t="s">
        <v>58</v>
      </c>
      <c r="I2149" s="1" t="s">
        <v>105</v>
      </c>
      <c r="J2149" s="58">
        <v>0</v>
      </c>
      <c r="K2149" s="1" t="s">
        <v>106</v>
      </c>
      <c r="L2149" s="1" t="s">
        <v>120</v>
      </c>
      <c r="N2149" s="1">
        <v>1</v>
      </c>
      <c r="O2149" s="58"/>
      <c r="P2149" s="58">
        <v>0</v>
      </c>
      <c r="Q2149" t="s">
        <v>110</v>
      </c>
      <c r="R2149" s="1" t="s">
        <v>158</v>
      </c>
    </row>
    <row r="2150" spans="3:18" x14ac:dyDescent="0.35">
      <c r="C2150" t="s">
        <v>51</v>
      </c>
      <c r="D2150" t="s">
        <v>21</v>
      </c>
      <c r="E2150" t="s">
        <v>49</v>
      </c>
      <c r="F2150" t="s">
        <v>46</v>
      </c>
      <c r="G2150" s="58">
        <v>74334070</v>
      </c>
      <c r="H2150" s="1" t="s">
        <v>59</v>
      </c>
      <c r="I2150" s="1" t="s">
        <v>119</v>
      </c>
      <c r="J2150" s="58">
        <v>520338490</v>
      </c>
      <c r="K2150" s="1" t="s">
        <v>106</v>
      </c>
      <c r="L2150" s="1" t="s">
        <v>124</v>
      </c>
      <c r="N2150" s="1">
        <v>1</v>
      </c>
      <c r="O2150" s="58"/>
      <c r="P2150" s="58">
        <v>17096836.100000001</v>
      </c>
      <c r="Q2150" t="s">
        <v>107</v>
      </c>
      <c r="R2150" s="1" t="s">
        <v>158</v>
      </c>
    </row>
    <row r="2151" spans="3:18" x14ac:dyDescent="0.35">
      <c r="C2151" t="s">
        <v>51</v>
      </c>
      <c r="D2151" t="s">
        <v>21</v>
      </c>
      <c r="E2151" t="s">
        <v>49</v>
      </c>
      <c r="F2151" t="s">
        <v>46</v>
      </c>
      <c r="G2151" s="58">
        <v>4210057</v>
      </c>
      <c r="H2151" s="1" t="s">
        <v>56</v>
      </c>
      <c r="I2151" s="1" t="s">
        <v>105</v>
      </c>
      <c r="J2151" s="58">
        <v>12630171</v>
      </c>
      <c r="K2151" s="1" t="s">
        <v>106</v>
      </c>
      <c r="L2151" s="1" t="s">
        <v>124</v>
      </c>
      <c r="N2151" s="1">
        <v>1</v>
      </c>
      <c r="O2151" s="58"/>
      <c r="P2151" s="58">
        <v>1978726.79</v>
      </c>
      <c r="Q2151" t="s">
        <v>113</v>
      </c>
      <c r="R2151" s="1" t="s">
        <v>158</v>
      </c>
    </row>
    <row r="2152" spans="3:18" x14ac:dyDescent="0.35">
      <c r="C2152" t="s">
        <v>51</v>
      </c>
      <c r="D2152" t="s">
        <v>20</v>
      </c>
      <c r="E2152" t="s">
        <v>49</v>
      </c>
      <c r="F2152" t="s">
        <v>46</v>
      </c>
      <c r="G2152" s="58">
        <v>25340973</v>
      </c>
      <c r="H2152" s="1" t="s">
        <v>47</v>
      </c>
      <c r="I2152" s="1" t="s">
        <v>119</v>
      </c>
      <c r="J2152" s="58">
        <v>177386811</v>
      </c>
      <c r="K2152" s="1" t="s">
        <v>106</v>
      </c>
      <c r="L2152" s="1" t="s">
        <v>124</v>
      </c>
      <c r="N2152" s="1">
        <v>1</v>
      </c>
      <c r="O2152" s="58"/>
      <c r="P2152" s="58">
        <v>5575014.0599999996</v>
      </c>
      <c r="Q2152" t="s">
        <v>107</v>
      </c>
      <c r="R2152" s="1" t="s">
        <v>158</v>
      </c>
    </row>
    <row r="2153" spans="3:18" x14ac:dyDescent="0.35">
      <c r="C2153" t="s">
        <v>51</v>
      </c>
      <c r="D2153" t="s">
        <v>23</v>
      </c>
      <c r="E2153" t="s">
        <v>45</v>
      </c>
      <c r="F2153" t="s">
        <v>46</v>
      </c>
      <c r="G2153" s="58">
        <v>22926</v>
      </c>
      <c r="H2153" s="1" t="s">
        <v>56</v>
      </c>
      <c r="I2153" s="1" t="s">
        <v>119</v>
      </c>
      <c r="J2153" s="58">
        <v>206334</v>
      </c>
      <c r="K2153" s="1" t="s">
        <v>106</v>
      </c>
      <c r="L2153" s="1" t="s">
        <v>120</v>
      </c>
      <c r="N2153" s="1">
        <v>1</v>
      </c>
      <c r="O2153" s="58"/>
      <c r="P2153" s="58">
        <v>24301.56</v>
      </c>
      <c r="Q2153" t="s">
        <v>110</v>
      </c>
      <c r="R2153" s="1" t="s">
        <v>158</v>
      </c>
    </row>
    <row r="2154" spans="3:18" x14ac:dyDescent="0.35">
      <c r="C2154" t="s">
        <v>51</v>
      </c>
      <c r="D2154" t="s">
        <v>91</v>
      </c>
      <c r="E2154" t="s">
        <v>50</v>
      </c>
      <c r="F2154" t="s">
        <v>46</v>
      </c>
      <c r="G2154" s="58">
        <v>565577</v>
      </c>
      <c r="H2154" s="1" t="s">
        <v>48</v>
      </c>
      <c r="I2154" s="1" t="s">
        <v>108</v>
      </c>
      <c r="J2154" s="58">
        <v>15836156</v>
      </c>
      <c r="K2154" s="1" t="s">
        <v>106</v>
      </c>
      <c r="L2154" s="1" t="s">
        <v>109</v>
      </c>
      <c r="M2154" s="1" t="s">
        <v>122</v>
      </c>
      <c r="N2154" s="1">
        <v>1</v>
      </c>
      <c r="O2154" s="58"/>
      <c r="P2154" s="58">
        <v>294100.03999999998</v>
      </c>
      <c r="Q2154" t="s">
        <v>113</v>
      </c>
      <c r="R2154" s="1" t="s">
        <v>48</v>
      </c>
    </row>
    <row r="2155" spans="3:18" x14ac:dyDescent="0.35">
      <c r="C2155" t="s">
        <v>51</v>
      </c>
      <c r="D2155" t="s">
        <v>23</v>
      </c>
      <c r="E2155" t="s">
        <v>49</v>
      </c>
      <c r="F2155" t="s">
        <v>46</v>
      </c>
      <c r="G2155" s="58">
        <v>371828</v>
      </c>
      <c r="H2155" s="1" t="s">
        <v>47</v>
      </c>
      <c r="I2155" s="1" t="s">
        <v>108</v>
      </c>
      <c r="J2155" s="58">
        <v>13013980</v>
      </c>
      <c r="K2155" s="1" t="s">
        <v>112</v>
      </c>
      <c r="N2155" s="1">
        <v>1</v>
      </c>
      <c r="O2155" s="58"/>
      <c r="P2155" s="58">
        <v>293744.12</v>
      </c>
      <c r="Q2155" t="s">
        <v>118</v>
      </c>
      <c r="R2155" s="1" t="s">
        <v>158</v>
      </c>
    </row>
    <row r="2156" spans="3:18" x14ac:dyDescent="0.35">
      <c r="C2156" t="s">
        <v>51</v>
      </c>
      <c r="D2156" t="s">
        <v>92</v>
      </c>
      <c r="E2156" t="s">
        <v>49</v>
      </c>
      <c r="F2156" t="s">
        <v>46</v>
      </c>
      <c r="G2156" s="58">
        <v>676487</v>
      </c>
      <c r="H2156" s="1" t="s">
        <v>56</v>
      </c>
      <c r="I2156" s="1" t="s">
        <v>108</v>
      </c>
      <c r="J2156" s="58">
        <v>19618123</v>
      </c>
      <c r="K2156" s="1" t="s">
        <v>106</v>
      </c>
      <c r="L2156" s="1" t="s">
        <v>120</v>
      </c>
      <c r="N2156" s="1">
        <v>1</v>
      </c>
      <c r="O2156" s="58"/>
      <c r="P2156" s="58">
        <v>480305.77</v>
      </c>
      <c r="Q2156" t="s">
        <v>118</v>
      </c>
      <c r="R2156" s="1" t="s">
        <v>158</v>
      </c>
    </row>
    <row r="2157" spans="3:18" x14ac:dyDescent="0.35">
      <c r="C2157" t="s">
        <v>53</v>
      </c>
      <c r="D2157" t="s">
        <v>60</v>
      </c>
      <c r="E2157" t="s">
        <v>60</v>
      </c>
      <c r="F2157" t="s">
        <v>46</v>
      </c>
      <c r="G2157" s="58">
        <v>0</v>
      </c>
      <c r="H2157" s="1" t="s">
        <v>61</v>
      </c>
      <c r="I2157" s="1" t="s">
        <v>105</v>
      </c>
      <c r="J2157" s="58"/>
      <c r="K2157" s="1" t="s">
        <v>106</v>
      </c>
      <c r="N2157" s="1">
        <v>0</v>
      </c>
      <c r="O2157" s="58"/>
      <c r="P2157" s="58">
        <v>0</v>
      </c>
      <c r="Q2157" t="s">
        <v>110</v>
      </c>
    </row>
    <row r="2158" spans="3:18" x14ac:dyDescent="0.35">
      <c r="C2158" t="s">
        <v>51</v>
      </c>
      <c r="D2158" t="s">
        <v>92</v>
      </c>
      <c r="E2158" t="s">
        <v>49</v>
      </c>
      <c r="F2158" t="s">
        <v>46</v>
      </c>
      <c r="G2158" s="58">
        <v>178054</v>
      </c>
      <c r="H2158" s="1" t="s">
        <v>47</v>
      </c>
      <c r="I2158" s="1" t="s">
        <v>108</v>
      </c>
      <c r="J2158" s="58">
        <v>3917188</v>
      </c>
      <c r="K2158" s="1" t="s">
        <v>106</v>
      </c>
      <c r="L2158" s="1" t="s">
        <v>116</v>
      </c>
      <c r="N2158" s="1">
        <v>1</v>
      </c>
      <c r="O2158" s="58"/>
      <c r="P2158" s="58">
        <v>89027</v>
      </c>
      <c r="Q2158" t="s">
        <v>113</v>
      </c>
      <c r="R2158" s="1" t="s">
        <v>158</v>
      </c>
    </row>
    <row r="2159" spans="3:18" x14ac:dyDescent="0.35">
      <c r="C2159" t="s">
        <v>51</v>
      </c>
      <c r="D2159" t="s">
        <v>22</v>
      </c>
      <c r="E2159" t="s">
        <v>45</v>
      </c>
      <c r="F2159" t="s">
        <v>46</v>
      </c>
      <c r="G2159" s="58">
        <v>698269</v>
      </c>
      <c r="H2159" s="1" t="s">
        <v>48</v>
      </c>
      <c r="I2159" s="1" t="s">
        <v>111</v>
      </c>
      <c r="J2159" s="58">
        <v>13965380</v>
      </c>
      <c r="K2159" s="1" t="s">
        <v>106</v>
      </c>
      <c r="L2159" s="1" t="s">
        <v>120</v>
      </c>
      <c r="M2159" s="1" t="s">
        <v>115</v>
      </c>
      <c r="N2159" s="1">
        <v>1</v>
      </c>
      <c r="O2159" s="58"/>
      <c r="P2159" s="58">
        <v>572580.57999999996</v>
      </c>
      <c r="Q2159" t="s">
        <v>127</v>
      </c>
      <c r="R2159" s="1" t="s">
        <v>48</v>
      </c>
    </row>
    <row r="2160" spans="3:18" x14ac:dyDescent="0.35">
      <c r="C2160" t="s">
        <v>51</v>
      </c>
      <c r="D2160" t="s">
        <v>23</v>
      </c>
      <c r="E2160" t="s">
        <v>50</v>
      </c>
      <c r="F2160" t="s">
        <v>46</v>
      </c>
      <c r="G2160" s="58">
        <v>355020</v>
      </c>
      <c r="H2160" s="1" t="s">
        <v>48</v>
      </c>
      <c r="I2160" s="1" t="s">
        <v>111</v>
      </c>
      <c r="J2160" s="58">
        <v>6745380</v>
      </c>
      <c r="K2160" s="1" t="s">
        <v>106</v>
      </c>
      <c r="L2160" s="1" t="s">
        <v>120</v>
      </c>
      <c r="M2160" s="1" t="s">
        <v>125</v>
      </c>
      <c r="N2160" s="1">
        <v>1</v>
      </c>
      <c r="O2160" s="58"/>
      <c r="P2160" s="58">
        <v>234313.2</v>
      </c>
      <c r="Q2160" t="s">
        <v>118</v>
      </c>
      <c r="R2160" s="1" t="s">
        <v>48</v>
      </c>
    </row>
    <row r="2161" spans="3:18" x14ac:dyDescent="0.35">
      <c r="C2161" t="s">
        <v>53</v>
      </c>
      <c r="D2161" t="s">
        <v>19</v>
      </c>
      <c r="E2161" t="s">
        <v>49</v>
      </c>
      <c r="F2161" t="s">
        <v>46</v>
      </c>
      <c r="G2161" s="58">
        <v>246694</v>
      </c>
      <c r="H2161" s="1" t="s">
        <v>54</v>
      </c>
      <c r="I2161" s="1" t="s">
        <v>111</v>
      </c>
      <c r="J2161" s="58">
        <v>3207022</v>
      </c>
      <c r="K2161" s="1" t="s">
        <v>106</v>
      </c>
      <c r="L2161" s="1" t="s">
        <v>124</v>
      </c>
      <c r="N2161" s="1">
        <v>1</v>
      </c>
      <c r="O2161" s="58"/>
      <c r="P2161" s="58">
        <v>170218.86</v>
      </c>
      <c r="Q2161" t="s">
        <v>118</v>
      </c>
      <c r="R2161" s="1" t="s">
        <v>158</v>
      </c>
    </row>
    <row r="2162" spans="3:18" x14ac:dyDescent="0.35">
      <c r="C2162" t="s">
        <v>53</v>
      </c>
      <c r="D2162" t="s">
        <v>20</v>
      </c>
      <c r="E2162" t="s">
        <v>45</v>
      </c>
      <c r="F2162" t="s">
        <v>46</v>
      </c>
      <c r="G2162" s="58">
        <v>6101082</v>
      </c>
      <c r="H2162" s="1" t="s">
        <v>47</v>
      </c>
      <c r="I2162" s="1" t="s">
        <v>119</v>
      </c>
      <c r="J2162" s="58">
        <v>42707574</v>
      </c>
      <c r="K2162" s="1" t="s">
        <v>106</v>
      </c>
      <c r="L2162" s="1" t="s">
        <v>120</v>
      </c>
      <c r="N2162" s="1">
        <v>1</v>
      </c>
      <c r="O2162" s="58"/>
      <c r="P2162" s="58">
        <v>1891335.42</v>
      </c>
      <c r="Q2162" t="s">
        <v>107</v>
      </c>
      <c r="R2162" s="1" t="s">
        <v>158</v>
      </c>
    </row>
    <row r="2163" spans="3:18" x14ac:dyDescent="0.35">
      <c r="C2163" t="s">
        <v>51</v>
      </c>
      <c r="D2163" t="s">
        <v>20</v>
      </c>
      <c r="E2163" t="s">
        <v>49</v>
      </c>
      <c r="F2163" t="s">
        <v>64</v>
      </c>
      <c r="G2163" s="58">
        <v>269903</v>
      </c>
      <c r="H2163" s="1" t="s">
        <v>48</v>
      </c>
      <c r="I2163" s="1" t="s">
        <v>108</v>
      </c>
      <c r="J2163" s="58">
        <v>6477672</v>
      </c>
      <c r="K2163" s="1" t="s">
        <v>112</v>
      </c>
      <c r="N2163" s="1">
        <v>1</v>
      </c>
      <c r="O2163" s="58"/>
      <c r="P2163" s="58">
        <v>102563.14</v>
      </c>
      <c r="Q2163" t="s">
        <v>107</v>
      </c>
      <c r="R2163" s="1" t="s">
        <v>48</v>
      </c>
    </row>
    <row r="2164" spans="3:18" x14ac:dyDescent="0.35">
      <c r="C2164" t="s">
        <v>51</v>
      </c>
      <c r="D2164" t="s">
        <v>25</v>
      </c>
      <c r="E2164" t="s">
        <v>55</v>
      </c>
      <c r="F2164" t="s">
        <v>46</v>
      </c>
      <c r="G2164" s="58">
        <v>353576</v>
      </c>
      <c r="H2164" s="1" t="s">
        <v>54</v>
      </c>
      <c r="I2164" s="1" t="s">
        <v>108</v>
      </c>
      <c r="J2164" s="58">
        <v>12728736</v>
      </c>
      <c r="K2164" s="1" t="s">
        <v>106</v>
      </c>
      <c r="L2164" s="1" t="s">
        <v>114</v>
      </c>
      <c r="N2164" s="1">
        <v>1</v>
      </c>
      <c r="O2164" s="58"/>
      <c r="P2164" s="58">
        <v>357111.76</v>
      </c>
      <c r="Q2164" t="s">
        <v>110</v>
      </c>
      <c r="R2164" s="1" t="s">
        <v>158</v>
      </c>
    </row>
    <row r="2165" spans="3:18" x14ac:dyDescent="0.35">
      <c r="C2165" t="s">
        <v>51</v>
      </c>
      <c r="D2165" t="s">
        <v>22</v>
      </c>
      <c r="E2165" t="s">
        <v>49</v>
      </c>
      <c r="F2165" t="s">
        <v>46</v>
      </c>
      <c r="G2165" s="58">
        <v>560734</v>
      </c>
      <c r="H2165" s="1" t="s">
        <v>48</v>
      </c>
      <c r="I2165" s="1" t="s">
        <v>108</v>
      </c>
      <c r="J2165" s="58">
        <v>18504222</v>
      </c>
      <c r="K2165" s="1" t="s">
        <v>106</v>
      </c>
      <c r="L2165" s="1" t="s">
        <v>120</v>
      </c>
      <c r="M2165" s="1" t="s">
        <v>115</v>
      </c>
      <c r="N2165" s="1">
        <v>1</v>
      </c>
      <c r="O2165" s="58"/>
      <c r="P2165" s="58">
        <v>314011.03999999998</v>
      </c>
      <c r="Q2165" t="s">
        <v>113</v>
      </c>
      <c r="R2165" s="1" t="s">
        <v>158</v>
      </c>
    </row>
    <row r="2166" spans="3:18" x14ac:dyDescent="0.35">
      <c r="C2166" t="s">
        <v>51</v>
      </c>
      <c r="D2166" t="s">
        <v>24</v>
      </c>
      <c r="E2166" t="s">
        <v>50</v>
      </c>
      <c r="F2166" t="s">
        <v>46</v>
      </c>
      <c r="G2166" s="58">
        <v>115920</v>
      </c>
      <c r="H2166" s="1" t="s">
        <v>48</v>
      </c>
      <c r="I2166" s="1" t="s">
        <v>119</v>
      </c>
      <c r="J2166" s="58">
        <v>927360</v>
      </c>
      <c r="K2166" s="1" t="s">
        <v>112</v>
      </c>
      <c r="N2166" s="1">
        <v>1</v>
      </c>
      <c r="O2166" s="58"/>
      <c r="P2166" s="58">
        <v>49845.599999999999</v>
      </c>
      <c r="Q2166" t="s">
        <v>113</v>
      </c>
      <c r="R2166" s="1" t="s">
        <v>158</v>
      </c>
    </row>
    <row r="2167" spans="3:18" x14ac:dyDescent="0.35">
      <c r="C2167" t="s">
        <v>51</v>
      </c>
      <c r="D2167" t="s">
        <v>22</v>
      </c>
      <c r="E2167" t="s">
        <v>49</v>
      </c>
      <c r="F2167" t="s">
        <v>46</v>
      </c>
      <c r="G2167" s="58">
        <v>729014</v>
      </c>
      <c r="H2167" s="1" t="s">
        <v>54</v>
      </c>
      <c r="I2167" s="1" t="s">
        <v>111</v>
      </c>
      <c r="J2167" s="58">
        <v>12393238</v>
      </c>
      <c r="K2167" s="1" t="s">
        <v>112</v>
      </c>
      <c r="N2167" s="1">
        <v>1</v>
      </c>
      <c r="O2167" s="58"/>
      <c r="P2167" s="58">
        <v>364507</v>
      </c>
      <c r="Q2167" t="s">
        <v>113</v>
      </c>
      <c r="R2167" s="1" t="s">
        <v>158</v>
      </c>
    </row>
    <row r="2168" spans="3:18" x14ac:dyDescent="0.35">
      <c r="C2168" t="s">
        <v>51</v>
      </c>
      <c r="D2168" t="s">
        <v>25</v>
      </c>
      <c r="E2168" t="s">
        <v>55</v>
      </c>
      <c r="F2168" t="s">
        <v>46</v>
      </c>
      <c r="G2168" s="58">
        <v>7166622</v>
      </c>
      <c r="H2168" s="1" t="s">
        <v>47</v>
      </c>
      <c r="I2168" s="1" t="s">
        <v>108</v>
      </c>
      <c r="J2168" s="58">
        <v>193498794</v>
      </c>
      <c r="K2168" s="1" t="s">
        <v>106</v>
      </c>
      <c r="L2168" s="1" t="s">
        <v>114</v>
      </c>
      <c r="N2168" s="1">
        <v>1</v>
      </c>
      <c r="O2168" s="58"/>
      <c r="P2168" s="58">
        <v>4873302.96</v>
      </c>
      <c r="Q2168" t="s">
        <v>118</v>
      </c>
      <c r="R2168" s="1" t="s">
        <v>158</v>
      </c>
    </row>
    <row r="2169" spans="3:18" x14ac:dyDescent="0.35">
      <c r="C2169" t="s">
        <v>51</v>
      </c>
      <c r="D2169" t="s">
        <v>22</v>
      </c>
      <c r="E2169" t="s">
        <v>49</v>
      </c>
      <c r="F2169" t="s">
        <v>46</v>
      </c>
      <c r="G2169" s="58">
        <v>298400</v>
      </c>
      <c r="H2169" s="1" t="s">
        <v>56</v>
      </c>
      <c r="I2169" s="1" t="s">
        <v>108</v>
      </c>
      <c r="J2169" s="58">
        <v>9250400</v>
      </c>
      <c r="K2169" s="1" t="s">
        <v>106</v>
      </c>
      <c r="L2169" s="1" t="s">
        <v>124</v>
      </c>
      <c r="N2169" s="1">
        <v>1</v>
      </c>
      <c r="O2169" s="58"/>
      <c r="P2169" s="58">
        <v>343160</v>
      </c>
      <c r="Q2169" t="s">
        <v>110</v>
      </c>
      <c r="R2169" s="1" t="s">
        <v>158</v>
      </c>
    </row>
    <row r="2170" spans="3:18" x14ac:dyDescent="0.35">
      <c r="C2170" t="s">
        <v>53</v>
      </c>
      <c r="D2170" t="s">
        <v>23</v>
      </c>
      <c r="E2170" t="s">
        <v>55</v>
      </c>
      <c r="F2170" t="s">
        <v>46</v>
      </c>
      <c r="G2170" s="58">
        <v>5299648</v>
      </c>
      <c r="H2170" s="1" t="s">
        <v>54</v>
      </c>
      <c r="I2170" s="1" t="s">
        <v>111</v>
      </c>
      <c r="J2170" s="58">
        <v>63595776</v>
      </c>
      <c r="K2170" s="1" t="s">
        <v>106</v>
      </c>
      <c r="L2170" s="1" t="s">
        <v>120</v>
      </c>
      <c r="N2170" s="1">
        <v>1</v>
      </c>
      <c r="O2170" s="58"/>
      <c r="P2170" s="58">
        <v>3815746.56</v>
      </c>
      <c r="Q2170" t="s">
        <v>118</v>
      </c>
      <c r="R2170" s="1" t="s">
        <v>158</v>
      </c>
    </row>
    <row r="2171" spans="3:18" x14ac:dyDescent="0.35">
      <c r="C2171" t="s">
        <v>53</v>
      </c>
      <c r="D2171" t="s">
        <v>23</v>
      </c>
      <c r="E2171" t="s">
        <v>45</v>
      </c>
      <c r="F2171" t="s">
        <v>46</v>
      </c>
      <c r="G2171" s="58">
        <v>6374</v>
      </c>
      <c r="H2171" s="1" t="s">
        <v>48</v>
      </c>
      <c r="I2171" s="1" t="s">
        <v>108</v>
      </c>
      <c r="J2171" s="58">
        <v>146602</v>
      </c>
      <c r="K2171" s="1" t="s">
        <v>106</v>
      </c>
      <c r="L2171" s="1" t="s">
        <v>120</v>
      </c>
      <c r="M2171" s="1" t="s">
        <v>125</v>
      </c>
      <c r="N2171" s="1">
        <v>1</v>
      </c>
      <c r="O2171" s="58"/>
      <c r="P2171" s="58">
        <v>509.92</v>
      </c>
      <c r="Q2171" t="s">
        <v>107</v>
      </c>
      <c r="R2171" s="1" t="s">
        <v>158</v>
      </c>
    </row>
    <row r="2172" spans="3:18" x14ac:dyDescent="0.35">
      <c r="C2172" t="s">
        <v>51</v>
      </c>
      <c r="D2172" t="s">
        <v>24</v>
      </c>
      <c r="E2172" t="s">
        <v>50</v>
      </c>
      <c r="F2172" t="s">
        <v>46</v>
      </c>
      <c r="G2172" s="58">
        <v>235026</v>
      </c>
      <c r="H2172" s="1" t="s">
        <v>56</v>
      </c>
      <c r="I2172" s="1" t="s">
        <v>108</v>
      </c>
      <c r="J2172" s="58">
        <v>7285806</v>
      </c>
      <c r="K2172" s="1" t="s">
        <v>106</v>
      </c>
      <c r="L2172" s="1" t="s">
        <v>109</v>
      </c>
      <c r="N2172" s="1">
        <v>1</v>
      </c>
      <c r="O2172" s="58"/>
      <c r="P2172" s="58">
        <v>84609.36</v>
      </c>
      <c r="Q2172" t="s">
        <v>107</v>
      </c>
      <c r="R2172" s="1" t="s">
        <v>158</v>
      </c>
    </row>
    <row r="2173" spans="3:18" x14ac:dyDescent="0.35">
      <c r="C2173" t="s">
        <v>51</v>
      </c>
      <c r="D2173" t="s">
        <v>92</v>
      </c>
      <c r="E2173" t="s">
        <v>49</v>
      </c>
      <c r="F2173" t="s">
        <v>46</v>
      </c>
      <c r="G2173" s="58">
        <v>78120157</v>
      </c>
      <c r="H2173" s="1" t="s">
        <v>59</v>
      </c>
      <c r="I2173" s="1" t="s">
        <v>108</v>
      </c>
      <c r="J2173" s="58">
        <v>2031124082</v>
      </c>
      <c r="K2173" s="1" t="s">
        <v>106</v>
      </c>
      <c r="L2173" s="1" t="s">
        <v>124</v>
      </c>
      <c r="N2173" s="1">
        <v>1</v>
      </c>
      <c r="O2173" s="58"/>
      <c r="P2173" s="58">
        <v>40622481.640000001</v>
      </c>
      <c r="Q2173" t="s">
        <v>113</v>
      </c>
      <c r="R2173" s="1" t="s">
        <v>158</v>
      </c>
    </row>
    <row r="2174" spans="3:18" x14ac:dyDescent="0.35">
      <c r="C2174" t="s">
        <v>51</v>
      </c>
      <c r="D2174" t="s">
        <v>23</v>
      </c>
      <c r="E2174" t="s">
        <v>50</v>
      </c>
      <c r="F2174" t="s">
        <v>46</v>
      </c>
      <c r="G2174" s="58">
        <v>1124857</v>
      </c>
      <c r="H2174" s="1" t="s">
        <v>48</v>
      </c>
      <c r="I2174" s="1" t="s">
        <v>108</v>
      </c>
      <c r="J2174" s="58">
        <v>33745710</v>
      </c>
      <c r="K2174" s="1" t="s">
        <v>106</v>
      </c>
      <c r="L2174" s="1" t="s">
        <v>109</v>
      </c>
      <c r="M2174" s="1" t="s">
        <v>125</v>
      </c>
      <c r="N2174" s="1">
        <v>1</v>
      </c>
      <c r="O2174" s="58"/>
      <c r="P2174" s="58">
        <v>607422.78</v>
      </c>
      <c r="Q2174" t="s">
        <v>113</v>
      </c>
      <c r="R2174" s="1" t="s">
        <v>158</v>
      </c>
    </row>
    <row r="2175" spans="3:18" x14ac:dyDescent="0.35">
      <c r="C2175" t="s">
        <v>51</v>
      </c>
      <c r="D2175" t="s">
        <v>22</v>
      </c>
      <c r="E2175" t="s">
        <v>45</v>
      </c>
      <c r="F2175" t="s">
        <v>46</v>
      </c>
      <c r="G2175" s="58">
        <v>209388337</v>
      </c>
      <c r="H2175" s="1" t="s">
        <v>48</v>
      </c>
      <c r="I2175" s="1" t="s">
        <v>108</v>
      </c>
      <c r="J2175" s="58">
        <v>6072261773</v>
      </c>
      <c r="K2175" s="1" t="s">
        <v>106</v>
      </c>
      <c r="L2175" s="1" t="s">
        <v>120</v>
      </c>
      <c r="M2175" s="1" t="s">
        <v>115</v>
      </c>
      <c r="N2175" s="1">
        <v>1</v>
      </c>
      <c r="O2175" s="58"/>
      <c r="P2175" s="58">
        <v>60722617.729999997</v>
      </c>
      <c r="Q2175" t="s">
        <v>107</v>
      </c>
      <c r="R2175" s="1" t="s">
        <v>158</v>
      </c>
    </row>
    <row r="2176" spans="3:18" x14ac:dyDescent="0.35">
      <c r="C2176" t="s">
        <v>53</v>
      </c>
      <c r="D2176" t="s">
        <v>24</v>
      </c>
      <c r="E2176" t="s">
        <v>45</v>
      </c>
      <c r="F2176" t="s">
        <v>46</v>
      </c>
      <c r="G2176" s="58">
        <v>886</v>
      </c>
      <c r="H2176" s="1" t="s">
        <v>54</v>
      </c>
      <c r="I2176" s="1" t="s">
        <v>105</v>
      </c>
      <c r="J2176" s="58"/>
      <c r="K2176" s="1" t="s">
        <v>106</v>
      </c>
      <c r="L2176" s="1" t="s">
        <v>120</v>
      </c>
      <c r="N2176" s="1">
        <v>0</v>
      </c>
      <c r="O2176" s="58"/>
      <c r="P2176" s="58">
        <v>0</v>
      </c>
      <c r="Q2176" t="s">
        <v>107</v>
      </c>
      <c r="R2176" s="1" t="s">
        <v>158</v>
      </c>
    </row>
    <row r="2177" spans="3:18" x14ac:dyDescent="0.35">
      <c r="C2177" t="s">
        <v>51</v>
      </c>
      <c r="D2177" t="s">
        <v>22</v>
      </c>
      <c r="E2177" t="s">
        <v>55</v>
      </c>
      <c r="F2177" t="s">
        <v>46</v>
      </c>
      <c r="G2177" s="58">
        <v>806024</v>
      </c>
      <c r="H2177" s="1" t="s">
        <v>48</v>
      </c>
      <c r="I2177" s="1" t="s">
        <v>108</v>
      </c>
      <c r="J2177" s="58">
        <v>23374696</v>
      </c>
      <c r="K2177" s="1" t="s">
        <v>106</v>
      </c>
      <c r="L2177" s="1" t="s">
        <v>124</v>
      </c>
      <c r="M2177" s="1" t="s">
        <v>126</v>
      </c>
      <c r="N2177" s="1">
        <v>1</v>
      </c>
      <c r="O2177" s="58"/>
      <c r="P2177" s="58">
        <v>564216.80000000005</v>
      </c>
      <c r="Q2177" t="s">
        <v>118</v>
      </c>
      <c r="R2177" s="1" t="s">
        <v>48</v>
      </c>
    </row>
    <row r="2178" spans="3:18" x14ac:dyDescent="0.35">
      <c r="C2178" t="s">
        <v>53</v>
      </c>
      <c r="D2178" t="s">
        <v>23</v>
      </c>
      <c r="E2178" t="s">
        <v>55</v>
      </c>
      <c r="F2178" t="s">
        <v>46</v>
      </c>
      <c r="G2178" s="58">
        <v>1426023</v>
      </c>
      <c r="H2178" s="1" t="s">
        <v>48</v>
      </c>
      <c r="I2178" s="1" t="s">
        <v>111</v>
      </c>
      <c r="J2178" s="58">
        <v>15686253</v>
      </c>
      <c r="K2178" s="1" t="s">
        <v>106</v>
      </c>
      <c r="L2178" s="1" t="s">
        <v>114</v>
      </c>
      <c r="M2178" s="1" t="s">
        <v>125</v>
      </c>
      <c r="N2178" s="1">
        <v>1</v>
      </c>
      <c r="O2178" s="58"/>
      <c r="P2178" s="58">
        <v>1098037.71</v>
      </c>
      <c r="Q2178" t="s">
        <v>118</v>
      </c>
      <c r="R2178" s="1" t="s">
        <v>158</v>
      </c>
    </row>
    <row r="2179" spans="3:18" x14ac:dyDescent="0.35">
      <c r="C2179" t="s">
        <v>51</v>
      </c>
      <c r="D2179" t="s">
        <v>21</v>
      </c>
      <c r="E2179" t="s">
        <v>45</v>
      </c>
      <c r="F2179" t="s">
        <v>46</v>
      </c>
      <c r="G2179" s="58">
        <v>432072</v>
      </c>
      <c r="H2179" s="1" t="s">
        <v>48</v>
      </c>
      <c r="I2179" s="1" t="s">
        <v>108</v>
      </c>
      <c r="J2179" s="58">
        <v>11233872</v>
      </c>
      <c r="K2179" s="1" t="s">
        <v>106</v>
      </c>
      <c r="L2179" s="1" t="s">
        <v>124</v>
      </c>
      <c r="M2179" s="1" t="s">
        <v>121</v>
      </c>
      <c r="N2179" s="1">
        <v>1</v>
      </c>
      <c r="O2179" s="58"/>
      <c r="P2179" s="58">
        <v>302450.40000000002</v>
      </c>
      <c r="Q2179" t="s">
        <v>118</v>
      </c>
      <c r="R2179" s="1" t="s">
        <v>48</v>
      </c>
    </row>
    <row r="2180" spans="3:18" x14ac:dyDescent="0.35">
      <c r="C2180" t="s">
        <v>51</v>
      </c>
      <c r="D2180" t="s">
        <v>22</v>
      </c>
      <c r="E2180" t="s">
        <v>45</v>
      </c>
      <c r="F2180" t="s">
        <v>64</v>
      </c>
      <c r="G2180" s="58">
        <v>1631031</v>
      </c>
      <c r="H2180" s="1" t="s">
        <v>48</v>
      </c>
      <c r="I2180" s="1" t="s">
        <v>108</v>
      </c>
      <c r="J2180" s="58">
        <v>53824023</v>
      </c>
      <c r="K2180" s="1" t="s">
        <v>106</v>
      </c>
      <c r="L2180" s="1" t="s">
        <v>120</v>
      </c>
      <c r="M2180" s="1" t="s">
        <v>115</v>
      </c>
      <c r="N2180" s="1">
        <v>1</v>
      </c>
      <c r="O2180" s="58"/>
      <c r="P2180" s="58">
        <v>1190652.6299999999</v>
      </c>
      <c r="Q2180" t="s">
        <v>118</v>
      </c>
      <c r="R2180" s="1" t="s">
        <v>48</v>
      </c>
    </row>
    <row r="2181" spans="3:18" x14ac:dyDescent="0.35">
      <c r="C2181" t="s">
        <v>53</v>
      </c>
      <c r="D2181" t="s">
        <v>25</v>
      </c>
      <c r="E2181" t="s">
        <v>45</v>
      </c>
      <c r="F2181" t="s">
        <v>46</v>
      </c>
      <c r="G2181" s="58">
        <v>1643548</v>
      </c>
      <c r="H2181" s="1" t="s">
        <v>47</v>
      </c>
      <c r="I2181" s="1" t="s">
        <v>119</v>
      </c>
      <c r="J2181" s="58">
        <v>11504836</v>
      </c>
      <c r="K2181" s="1" t="s">
        <v>106</v>
      </c>
      <c r="L2181" s="1" t="s">
        <v>120</v>
      </c>
      <c r="N2181" s="1">
        <v>1</v>
      </c>
      <c r="O2181" s="58"/>
      <c r="P2181" s="58">
        <v>410887</v>
      </c>
      <c r="Q2181" t="s">
        <v>107</v>
      </c>
      <c r="R2181" s="1" t="s">
        <v>158</v>
      </c>
    </row>
    <row r="2182" spans="3:18" x14ac:dyDescent="0.35">
      <c r="C2182" t="s">
        <v>51</v>
      </c>
      <c r="D2182" t="s">
        <v>22</v>
      </c>
      <c r="E2182" t="s">
        <v>45</v>
      </c>
      <c r="F2182" t="s">
        <v>46</v>
      </c>
      <c r="G2182" s="58">
        <v>136275863</v>
      </c>
      <c r="H2182" s="1" t="s">
        <v>54</v>
      </c>
      <c r="I2182" s="1" t="s">
        <v>108</v>
      </c>
      <c r="J2182" s="58">
        <v>3815724164</v>
      </c>
      <c r="K2182" s="1" t="s">
        <v>106</v>
      </c>
      <c r="L2182" s="1" t="s">
        <v>120</v>
      </c>
      <c r="N2182" s="1">
        <v>1</v>
      </c>
      <c r="O2182" s="58"/>
      <c r="P2182" s="58">
        <v>92667586.840000004</v>
      </c>
      <c r="Q2182" t="s">
        <v>118</v>
      </c>
      <c r="R2182" s="1" t="s">
        <v>158</v>
      </c>
    </row>
    <row r="2183" spans="3:18" x14ac:dyDescent="0.35">
      <c r="C2183" t="s">
        <v>53</v>
      </c>
      <c r="D2183" t="s">
        <v>24</v>
      </c>
      <c r="E2183" t="s">
        <v>55</v>
      </c>
      <c r="F2183" t="s">
        <v>46</v>
      </c>
      <c r="G2183" s="58">
        <v>5683284</v>
      </c>
      <c r="H2183" s="1" t="s">
        <v>56</v>
      </c>
      <c r="I2183" s="1" t="s">
        <v>111</v>
      </c>
      <c r="J2183" s="58">
        <v>68199408</v>
      </c>
      <c r="K2183" s="1" t="s">
        <v>112</v>
      </c>
      <c r="N2183" s="1">
        <v>1</v>
      </c>
      <c r="O2183" s="58"/>
      <c r="P2183" s="58">
        <v>1534486.68</v>
      </c>
      <c r="Q2183" t="s">
        <v>107</v>
      </c>
      <c r="R2183" s="1" t="s">
        <v>158</v>
      </c>
    </row>
    <row r="2184" spans="3:18" x14ac:dyDescent="0.35">
      <c r="C2184" t="s">
        <v>51</v>
      </c>
      <c r="D2184" t="s">
        <v>22</v>
      </c>
      <c r="E2184" t="s">
        <v>49</v>
      </c>
      <c r="F2184" t="s">
        <v>46</v>
      </c>
      <c r="G2184" s="58">
        <v>54354</v>
      </c>
      <c r="H2184" s="1" t="s">
        <v>48</v>
      </c>
      <c r="I2184" s="1" t="s">
        <v>119</v>
      </c>
      <c r="J2184" s="58">
        <v>434832</v>
      </c>
      <c r="K2184" s="1" t="s">
        <v>112</v>
      </c>
      <c r="N2184" s="1">
        <v>1</v>
      </c>
      <c r="O2184" s="58"/>
      <c r="P2184" s="58">
        <v>31525.32</v>
      </c>
      <c r="Q2184" t="s">
        <v>113</v>
      </c>
      <c r="R2184" s="1" t="s">
        <v>158</v>
      </c>
    </row>
    <row r="2185" spans="3:18" x14ac:dyDescent="0.35">
      <c r="C2185" t="s">
        <v>51</v>
      </c>
      <c r="D2185" t="s">
        <v>25</v>
      </c>
      <c r="E2185" t="s">
        <v>45</v>
      </c>
      <c r="F2185" t="s">
        <v>46</v>
      </c>
      <c r="G2185" s="58">
        <v>158214</v>
      </c>
      <c r="H2185" s="1" t="s">
        <v>47</v>
      </c>
      <c r="I2185" s="1" t="s">
        <v>119</v>
      </c>
      <c r="J2185" s="58">
        <v>1107498</v>
      </c>
      <c r="K2185" s="1" t="s">
        <v>106</v>
      </c>
      <c r="L2185" s="1" t="s">
        <v>120</v>
      </c>
      <c r="N2185" s="1">
        <v>1</v>
      </c>
      <c r="O2185" s="58"/>
      <c r="P2185" s="58">
        <v>18985.68</v>
      </c>
      <c r="Q2185" t="s">
        <v>107</v>
      </c>
      <c r="R2185" s="1" t="s">
        <v>158</v>
      </c>
    </row>
    <row r="2186" spans="3:18" x14ac:dyDescent="0.35">
      <c r="C2186" t="s">
        <v>53</v>
      </c>
      <c r="D2186" t="s">
        <v>24</v>
      </c>
      <c r="E2186" t="s">
        <v>55</v>
      </c>
      <c r="F2186" t="s">
        <v>46</v>
      </c>
      <c r="G2186" s="58">
        <v>121768</v>
      </c>
      <c r="H2186" s="1" t="s">
        <v>59</v>
      </c>
      <c r="I2186" s="1" t="s">
        <v>111</v>
      </c>
      <c r="J2186" s="58">
        <v>1461216</v>
      </c>
      <c r="K2186" s="1" t="s">
        <v>112</v>
      </c>
      <c r="N2186" s="1">
        <v>1</v>
      </c>
      <c r="O2186" s="58"/>
      <c r="P2186" s="58">
        <v>64537.04</v>
      </c>
      <c r="Q2186" t="s">
        <v>113</v>
      </c>
      <c r="R2186" s="1" t="s">
        <v>158</v>
      </c>
    </row>
    <row r="2187" spans="3:18" x14ac:dyDescent="0.35">
      <c r="C2187" t="s">
        <v>53</v>
      </c>
      <c r="D2187" t="s">
        <v>24</v>
      </c>
      <c r="E2187" t="s">
        <v>50</v>
      </c>
      <c r="F2187" t="s">
        <v>46</v>
      </c>
      <c r="G2187" s="58">
        <v>183123</v>
      </c>
      <c r="H2187" s="1" t="s">
        <v>54</v>
      </c>
      <c r="I2187" s="1" t="s">
        <v>111</v>
      </c>
      <c r="J2187" s="58">
        <v>2929968</v>
      </c>
      <c r="K2187" s="1" t="s">
        <v>106</v>
      </c>
      <c r="L2187" s="1" t="s">
        <v>109</v>
      </c>
      <c r="N2187" s="1">
        <v>1</v>
      </c>
      <c r="O2187" s="58"/>
      <c r="P2187" s="58">
        <v>82405.350000000006</v>
      </c>
      <c r="Q2187" t="s">
        <v>113</v>
      </c>
      <c r="R2187" s="1" t="s">
        <v>158</v>
      </c>
    </row>
    <row r="2188" spans="3:18" x14ac:dyDescent="0.35">
      <c r="C2188" t="s">
        <v>51</v>
      </c>
      <c r="D2188" t="s">
        <v>22</v>
      </c>
      <c r="E2188" t="s">
        <v>49</v>
      </c>
      <c r="F2188" t="s">
        <v>46</v>
      </c>
      <c r="G2188" s="58">
        <v>3136269</v>
      </c>
      <c r="H2188" s="1" t="s">
        <v>48</v>
      </c>
      <c r="I2188" s="1" t="s">
        <v>111</v>
      </c>
      <c r="J2188" s="58">
        <v>50180304</v>
      </c>
      <c r="K2188" s="1" t="s">
        <v>106</v>
      </c>
      <c r="L2188" s="1" t="s">
        <v>124</v>
      </c>
      <c r="M2188" s="1" t="s">
        <v>115</v>
      </c>
      <c r="N2188" s="1">
        <v>1</v>
      </c>
      <c r="O2188" s="58"/>
      <c r="P2188" s="58">
        <v>878155.32</v>
      </c>
      <c r="Q2188" t="s">
        <v>107</v>
      </c>
      <c r="R2188" s="1" t="s">
        <v>48</v>
      </c>
    </row>
    <row r="2189" spans="3:18" x14ac:dyDescent="0.35">
      <c r="C2189" t="s">
        <v>51</v>
      </c>
      <c r="D2189" t="s">
        <v>23</v>
      </c>
      <c r="E2189" t="s">
        <v>45</v>
      </c>
      <c r="F2189" t="s">
        <v>46</v>
      </c>
      <c r="G2189" s="58">
        <v>61558</v>
      </c>
      <c r="H2189" s="1" t="s">
        <v>59</v>
      </c>
      <c r="I2189" s="1" t="s">
        <v>105</v>
      </c>
      <c r="J2189" s="58"/>
      <c r="K2189" s="1" t="s">
        <v>106</v>
      </c>
      <c r="L2189" s="1" t="s">
        <v>120</v>
      </c>
      <c r="N2189" s="1">
        <v>0</v>
      </c>
      <c r="O2189" s="58"/>
      <c r="P2189" s="58">
        <v>12927.18</v>
      </c>
      <c r="Q2189" t="s">
        <v>107</v>
      </c>
      <c r="R2189" s="1" t="s">
        <v>158</v>
      </c>
    </row>
    <row r="2190" spans="3:18" x14ac:dyDescent="0.35">
      <c r="C2190" t="s">
        <v>51</v>
      </c>
      <c r="D2190" t="s">
        <v>23</v>
      </c>
      <c r="E2190" t="s">
        <v>50</v>
      </c>
      <c r="F2190" t="s">
        <v>46</v>
      </c>
      <c r="G2190" s="58">
        <v>751923</v>
      </c>
      <c r="H2190" s="1" t="s">
        <v>48</v>
      </c>
      <c r="I2190" s="1" t="s">
        <v>108</v>
      </c>
      <c r="J2190" s="58">
        <v>27821151</v>
      </c>
      <c r="K2190" s="1" t="s">
        <v>106</v>
      </c>
      <c r="L2190" s="1" t="s">
        <v>109</v>
      </c>
      <c r="M2190" s="1" t="s">
        <v>125</v>
      </c>
      <c r="N2190" s="1">
        <v>1</v>
      </c>
      <c r="O2190" s="58"/>
      <c r="P2190" s="58">
        <v>624096.09</v>
      </c>
      <c r="Q2190" t="s">
        <v>127</v>
      </c>
      <c r="R2190" s="1" t="s">
        <v>158</v>
      </c>
    </row>
    <row r="2191" spans="3:18" x14ac:dyDescent="0.35">
      <c r="C2191" t="s">
        <v>51</v>
      </c>
      <c r="D2191" t="s">
        <v>21</v>
      </c>
      <c r="E2191" t="s">
        <v>45</v>
      </c>
      <c r="F2191" t="s">
        <v>46</v>
      </c>
      <c r="G2191" s="58">
        <v>122404</v>
      </c>
      <c r="H2191" s="1" t="s">
        <v>47</v>
      </c>
      <c r="I2191" s="1" t="s">
        <v>119</v>
      </c>
      <c r="J2191" s="58">
        <v>1101636</v>
      </c>
      <c r="K2191" s="1" t="s">
        <v>106</v>
      </c>
      <c r="L2191" s="1" t="s">
        <v>124</v>
      </c>
      <c r="N2191" s="1">
        <v>1</v>
      </c>
      <c r="O2191" s="58"/>
      <c r="P2191" s="58">
        <v>51409.68</v>
      </c>
      <c r="Q2191" t="s">
        <v>113</v>
      </c>
      <c r="R2191" s="1" t="s">
        <v>158</v>
      </c>
    </row>
    <row r="2192" spans="3:18" x14ac:dyDescent="0.35">
      <c r="C2192" t="s">
        <v>53</v>
      </c>
      <c r="D2192" t="s">
        <v>19</v>
      </c>
      <c r="E2192" t="s">
        <v>49</v>
      </c>
      <c r="F2192" t="s">
        <v>46</v>
      </c>
      <c r="G2192" s="58">
        <v>62527</v>
      </c>
      <c r="H2192" s="1" t="s">
        <v>58</v>
      </c>
      <c r="I2192" s="1" t="s">
        <v>119</v>
      </c>
      <c r="J2192" s="58">
        <v>500216</v>
      </c>
      <c r="K2192" s="1" t="s">
        <v>106</v>
      </c>
      <c r="L2192" s="1" t="s">
        <v>124</v>
      </c>
      <c r="N2192" s="1">
        <v>1</v>
      </c>
      <c r="O2192" s="58"/>
      <c r="P2192" s="58">
        <v>10004.32</v>
      </c>
      <c r="Q2192" t="s">
        <v>107</v>
      </c>
      <c r="R2192" s="1" t="s">
        <v>158</v>
      </c>
    </row>
    <row r="2193" spans="3:18" x14ac:dyDescent="0.35">
      <c r="C2193" t="s">
        <v>44</v>
      </c>
      <c r="D2193" t="s">
        <v>21</v>
      </c>
      <c r="E2193" t="s">
        <v>45</v>
      </c>
      <c r="F2193" t="s">
        <v>46</v>
      </c>
      <c r="G2193" s="58">
        <v>13577453</v>
      </c>
      <c r="H2193" s="1" t="s">
        <v>47</v>
      </c>
      <c r="I2193" s="1" t="s">
        <v>108</v>
      </c>
      <c r="J2193" s="58"/>
      <c r="N2193" s="1">
        <v>0</v>
      </c>
      <c r="O2193" s="58"/>
      <c r="P2193" s="58"/>
      <c r="R2193" s="1" t="s">
        <v>158</v>
      </c>
    </row>
    <row r="2194" spans="3:18" x14ac:dyDescent="0.35">
      <c r="C2194" t="s">
        <v>51</v>
      </c>
      <c r="D2194" t="s">
        <v>91</v>
      </c>
      <c r="E2194" t="s">
        <v>49</v>
      </c>
      <c r="F2194" t="s">
        <v>46</v>
      </c>
      <c r="G2194" s="58">
        <v>2064382</v>
      </c>
      <c r="H2194" s="1" t="s">
        <v>47</v>
      </c>
      <c r="I2194" s="1" t="s">
        <v>108</v>
      </c>
      <c r="J2194" s="58">
        <v>57802696</v>
      </c>
      <c r="K2194" s="1" t="s">
        <v>106</v>
      </c>
      <c r="L2194" s="1" t="s">
        <v>120</v>
      </c>
      <c r="N2194" s="1">
        <v>1</v>
      </c>
      <c r="O2194" s="58"/>
      <c r="P2194" s="58">
        <v>1465711.22</v>
      </c>
      <c r="Q2194" t="s">
        <v>118</v>
      </c>
      <c r="R2194" s="1" t="s">
        <v>158</v>
      </c>
    </row>
    <row r="2195" spans="3:18" x14ac:dyDescent="0.35">
      <c r="C2195" t="s">
        <v>51</v>
      </c>
      <c r="D2195" t="s">
        <v>21</v>
      </c>
      <c r="E2195" t="s">
        <v>49</v>
      </c>
      <c r="F2195" t="s">
        <v>46</v>
      </c>
      <c r="G2195" s="58">
        <v>24886462</v>
      </c>
      <c r="H2195" s="1" t="s">
        <v>48</v>
      </c>
      <c r="I2195" s="1" t="s">
        <v>108</v>
      </c>
      <c r="J2195" s="58">
        <v>771480322</v>
      </c>
      <c r="K2195" s="1" t="s">
        <v>112</v>
      </c>
      <c r="N2195" s="1">
        <v>1</v>
      </c>
      <c r="O2195" s="58"/>
      <c r="P2195" s="58">
        <v>12443231</v>
      </c>
      <c r="Q2195" t="s">
        <v>113</v>
      </c>
      <c r="R2195" s="1" t="s">
        <v>158</v>
      </c>
    </row>
    <row r="2196" spans="3:18" x14ac:dyDescent="0.35">
      <c r="C2196" t="s">
        <v>51</v>
      </c>
      <c r="D2196" t="s">
        <v>24</v>
      </c>
      <c r="E2196" t="s">
        <v>52</v>
      </c>
      <c r="F2196" t="s">
        <v>46</v>
      </c>
      <c r="G2196" s="58">
        <v>197380</v>
      </c>
      <c r="H2196" s="1" t="s">
        <v>48</v>
      </c>
      <c r="I2196" s="1" t="s">
        <v>108</v>
      </c>
      <c r="J2196" s="58">
        <v>6513540</v>
      </c>
      <c r="K2196" s="1" t="s">
        <v>106</v>
      </c>
      <c r="L2196" s="1" t="s">
        <v>130</v>
      </c>
      <c r="M2196" s="1" t="s">
        <v>121</v>
      </c>
      <c r="N2196" s="1">
        <v>1</v>
      </c>
      <c r="O2196" s="58"/>
      <c r="P2196" s="58">
        <v>130270.8</v>
      </c>
      <c r="Q2196" t="s">
        <v>118</v>
      </c>
      <c r="R2196" s="1" t="s">
        <v>158</v>
      </c>
    </row>
    <row r="2197" spans="3:18" x14ac:dyDescent="0.35">
      <c r="C2197" t="s">
        <v>51</v>
      </c>
      <c r="D2197" t="s">
        <v>22</v>
      </c>
      <c r="E2197" t="s">
        <v>45</v>
      </c>
      <c r="F2197" t="s">
        <v>64</v>
      </c>
      <c r="G2197" s="58">
        <v>4781477</v>
      </c>
      <c r="H2197" s="1" t="s">
        <v>48</v>
      </c>
      <c r="I2197" s="1" t="s">
        <v>108</v>
      </c>
      <c r="J2197" s="58">
        <v>157788741</v>
      </c>
      <c r="K2197" s="1" t="s">
        <v>112</v>
      </c>
      <c r="N2197" s="1">
        <v>1</v>
      </c>
      <c r="O2197" s="58"/>
      <c r="P2197" s="58">
        <v>3347033.9</v>
      </c>
      <c r="Q2197" t="s">
        <v>118</v>
      </c>
      <c r="R2197" s="1" t="s">
        <v>48</v>
      </c>
    </row>
    <row r="2198" spans="3:18" x14ac:dyDescent="0.35">
      <c r="C2198" t="s">
        <v>51</v>
      </c>
      <c r="D2198" t="s">
        <v>92</v>
      </c>
      <c r="E2198" t="s">
        <v>49</v>
      </c>
      <c r="F2198" t="s">
        <v>46</v>
      </c>
      <c r="G2198" s="58">
        <v>17979</v>
      </c>
      <c r="H2198" s="1" t="s">
        <v>48</v>
      </c>
      <c r="I2198" s="1" t="s">
        <v>105</v>
      </c>
      <c r="J2198" s="58">
        <v>35958</v>
      </c>
      <c r="K2198" s="1" t="s">
        <v>106</v>
      </c>
      <c r="L2198" s="1" t="s">
        <v>120</v>
      </c>
      <c r="M2198" s="1" t="s">
        <v>121</v>
      </c>
      <c r="N2198" s="1">
        <v>1</v>
      </c>
      <c r="O2198" s="58"/>
      <c r="P2198" s="58">
        <v>1797.9</v>
      </c>
      <c r="Q2198" t="s">
        <v>107</v>
      </c>
      <c r="R2198" s="1" t="s">
        <v>48</v>
      </c>
    </row>
    <row r="2199" spans="3:18" x14ac:dyDescent="0.35">
      <c r="C2199" t="s">
        <v>51</v>
      </c>
      <c r="D2199" t="s">
        <v>21</v>
      </c>
      <c r="E2199" t="s">
        <v>49</v>
      </c>
      <c r="F2199" t="s">
        <v>46</v>
      </c>
      <c r="G2199" s="58">
        <v>3725632</v>
      </c>
      <c r="H2199" s="1" t="s">
        <v>56</v>
      </c>
      <c r="I2199" s="1" t="s">
        <v>119</v>
      </c>
      <c r="J2199" s="58">
        <v>29805056</v>
      </c>
      <c r="K2199" s="1" t="s">
        <v>106</v>
      </c>
      <c r="L2199" s="1" t="s">
        <v>124</v>
      </c>
      <c r="N2199" s="1">
        <v>1</v>
      </c>
      <c r="O2199" s="58"/>
      <c r="P2199" s="58">
        <v>2421660.7999999998</v>
      </c>
      <c r="Q2199" t="s">
        <v>118</v>
      </c>
      <c r="R2199" s="1" t="s">
        <v>158</v>
      </c>
    </row>
    <row r="2200" spans="3:18" x14ac:dyDescent="0.35">
      <c r="C2200" t="s">
        <v>53</v>
      </c>
      <c r="D2200" t="s">
        <v>21</v>
      </c>
      <c r="E2200" t="s">
        <v>55</v>
      </c>
      <c r="F2200" t="s">
        <v>46</v>
      </c>
      <c r="G2200" s="58">
        <v>500255</v>
      </c>
      <c r="H2200" s="1" t="s">
        <v>59</v>
      </c>
      <c r="I2200" s="1" t="s">
        <v>111</v>
      </c>
      <c r="J2200" s="58">
        <v>6503315</v>
      </c>
      <c r="K2200" s="1" t="s">
        <v>106</v>
      </c>
      <c r="L2200" s="1" t="s">
        <v>114</v>
      </c>
      <c r="N2200" s="1">
        <v>1</v>
      </c>
      <c r="O2200" s="58"/>
      <c r="P2200" s="58">
        <v>235119.85</v>
      </c>
      <c r="Q2200" t="s">
        <v>113</v>
      </c>
      <c r="R2200" s="1" t="s">
        <v>158</v>
      </c>
    </row>
    <row r="2201" spans="3:18" x14ac:dyDescent="0.35">
      <c r="C2201" t="s">
        <v>51</v>
      </c>
      <c r="D2201" t="s">
        <v>91</v>
      </c>
      <c r="E2201" t="s">
        <v>49</v>
      </c>
      <c r="F2201" t="s">
        <v>46</v>
      </c>
      <c r="G2201" s="58">
        <v>224317</v>
      </c>
      <c r="H2201" s="1" t="s">
        <v>47</v>
      </c>
      <c r="I2201" s="1" t="s">
        <v>119</v>
      </c>
      <c r="J2201" s="58">
        <v>1570219</v>
      </c>
      <c r="K2201" s="1" t="s">
        <v>106</v>
      </c>
      <c r="L2201" s="1" t="s">
        <v>114</v>
      </c>
      <c r="N2201" s="1">
        <v>1</v>
      </c>
      <c r="O2201" s="58"/>
      <c r="P2201" s="58">
        <v>51592.91</v>
      </c>
      <c r="Q2201" t="s">
        <v>107</v>
      </c>
      <c r="R2201" s="1" t="s">
        <v>158</v>
      </c>
    </row>
    <row r="2202" spans="3:18" x14ac:dyDescent="0.35">
      <c r="C2202" t="s">
        <v>51</v>
      </c>
      <c r="D2202" t="s">
        <v>92</v>
      </c>
      <c r="E2202" t="s">
        <v>49</v>
      </c>
      <c r="F2202" t="s">
        <v>46</v>
      </c>
      <c r="G2202" s="58">
        <v>4863251</v>
      </c>
      <c r="H2202" s="1" t="s">
        <v>48</v>
      </c>
      <c r="I2202" s="1" t="s">
        <v>111</v>
      </c>
      <c r="J2202" s="58">
        <v>77812016</v>
      </c>
      <c r="K2202" s="1" t="s">
        <v>106</v>
      </c>
      <c r="L2202" s="1" t="s">
        <v>124</v>
      </c>
      <c r="M2202" s="1" t="s">
        <v>123</v>
      </c>
      <c r="N2202" s="1">
        <v>1</v>
      </c>
      <c r="O2202" s="58"/>
      <c r="P2202" s="58">
        <v>2480258.0099999998</v>
      </c>
      <c r="Q2202" t="s">
        <v>113</v>
      </c>
      <c r="R2202" s="1" t="s">
        <v>48</v>
      </c>
    </row>
    <row r="2203" spans="3:18" x14ac:dyDescent="0.35">
      <c r="C2203" t="s">
        <v>53</v>
      </c>
      <c r="D2203" t="s">
        <v>21</v>
      </c>
      <c r="E2203" t="s">
        <v>49</v>
      </c>
      <c r="F2203" t="s">
        <v>46</v>
      </c>
      <c r="G2203" s="58">
        <v>4843934</v>
      </c>
      <c r="H2203" s="1" t="s">
        <v>56</v>
      </c>
      <c r="I2203" s="1" t="s">
        <v>111</v>
      </c>
      <c r="J2203" s="58">
        <v>72659010</v>
      </c>
      <c r="K2203" s="1" t="s">
        <v>106</v>
      </c>
      <c r="L2203" s="1" t="s">
        <v>124</v>
      </c>
      <c r="N2203" s="1">
        <v>1</v>
      </c>
      <c r="O2203" s="58"/>
      <c r="P2203" s="58">
        <v>2470406.34</v>
      </c>
      <c r="Q2203" t="s">
        <v>113</v>
      </c>
      <c r="R2203" s="1" t="s">
        <v>158</v>
      </c>
    </row>
    <row r="2204" spans="3:18" x14ac:dyDescent="0.35">
      <c r="C2204" t="s">
        <v>51</v>
      </c>
      <c r="D2204" t="s">
        <v>24</v>
      </c>
      <c r="E2204" t="s">
        <v>50</v>
      </c>
      <c r="F2204" t="s">
        <v>46</v>
      </c>
      <c r="G2204" s="58">
        <v>26622895</v>
      </c>
      <c r="H2204" s="1" t="s">
        <v>47</v>
      </c>
      <c r="I2204" s="1" t="s">
        <v>108</v>
      </c>
      <c r="J2204" s="58">
        <v>718818165</v>
      </c>
      <c r="K2204" s="1" t="s">
        <v>106</v>
      </c>
      <c r="L2204" s="1" t="s">
        <v>109</v>
      </c>
      <c r="N2204" s="1">
        <v>1</v>
      </c>
      <c r="O2204" s="58"/>
      <c r="P2204" s="58">
        <v>13843905.4</v>
      </c>
      <c r="Q2204" t="s">
        <v>113</v>
      </c>
      <c r="R2204" s="1" t="s">
        <v>158</v>
      </c>
    </row>
    <row r="2205" spans="3:18" x14ac:dyDescent="0.35">
      <c r="C2205" t="s">
        <v>51</v>
      </c>
      <c r="D2205" t="s">
        <v>21</v>
      </c>
      <c r="E2205" t="s">
        <v>49</v>
      </c>
      <c r="F2205" t="s">
        <v>64</v>
      </c>
      <c r="G2205" s="58">
        <v>336142</v>
      </c>
      <c r="H2205" s="1" t="s">
        <v>48</v>
      </c>
      <c r="I2205" s="1" t="s">
        <v>111</v>
      </c>
      <c r="J2205" s="58">
        <v>6386698</v>
      </c>
      <c r="K2205" s="1" t="s">
        <v>112</v>
      </c>
      <c r="N2205" s="1">
        <v>1</v>
      </c>
      <c r="O2205" s="58"/>
      <c r="P2205" s="58">
        <v>144541.06</v>
      </c>
      <c r="Q2205" t="s">
        <v>113</v>
      </c>
      <c r="R2205" s="1" t="s">
        <v>48</v>
      </c>
    </row>
    <row r="2206" spans="3:18" x14ac:dyDescent="0.35">
      <c r="C2206" t="s">
        <v>51</v>
      </c>
      <c r="D2206" t="s">
        <v>21</v>
      </c>
      <c r="E2206" t="s">
        <v>49</v>
      </c>
      <c r="F2206" t="s">
        <v>46</v>
      </c>
      <c r="G2206" s="58">
        <v>619298</v>
      </c>
      <c r="H2206" s="1" t="s">
        <v>47</v>
      </c>
      <c r="I2206" s="1" t="s">
        <v>119</v>
      </c>
      <c r="J2206" s="58">
        <v>5573682</v>
      </c>
      <c r="K2206" s="1" t="s">
        <v>112</v>
      </c>
      <c r="N2206" s="1">
        <v>1</v>
      </c>
      <c r="O2206" s="58"/>
      <c r="P2206" s="58">
        <v>117666.62</v>
      </c>
      <c r="Q2206" t="s">
        <v>107</v>
      </c>
      <c r="R2206" s="1" t="s">
        <v>158</v>
      </c>
    </row>
    <row r="2207" spans="3:18" x14ac:dyDescent="0.35">
      <c r="C2207" t="s">
        <v>51</v>
      </c>
      <c r="D2207" t="s">
        <v>25</v>
      </c>
      <c r="E2207" t="s">
        <v>55</v>
      </c>
      <c r="F2207" t="s">
        <v>46</v>
      </c>
      <c r="G2207" s="58">
        <v>565797</v>
      </c>
      <c r="H2207" s="1" t="s">
        <v>54</v>
      </c>
      <c r="I2207" s="1" t="s">
        <v>119</v>
      </c>
      <c r="J2207" s="58">
        <v>3960579</v>
      </c>
      <c r="K2207" s="1" t="s">
        <v>106</v>
      </c>
      <c r="L2207" s="1" t="s">
        <v>120</v>
      </c>
      <c r="N2207" s="1">
        <v>1</v>
      </c>
      <c r="O2207" s="58"/>
      <c r="P2207" s="58">
        <v>130133.31</v>
      </c>
      <c r="Q2207" t="s">
        <v>107</v>
      </c>
      <c r="R2207" s="1" t="s">
        <v>158</v>
      </c>
    </row>
    <row r="2208" spans="3:18" x14ac:dyDescent="0.35">
      <c r="C2208" t="s">
        <v>53</v>
      </c>
      <c r="D2208" t="s">
        <v>21</v>
      </c>
      <c r="E2208" t="s">
        <v>45</v>
      </c>
      <c r="F2208" t="s">
        <v>46</v>
      </c>
      <c r="G2208" s="58">
        <v>91102</v>
      </c>
      <c r="H2208" s="1" t="s">
        <v>47</v>
      </c>
      <c r="I2208" s="1" t="s">
        <v>105</v>
      </c>
      <c r="J2208" s="58">
        <v>455510</v>
      </c>
      <c r="K2208" s="1" t="s">
        <v>106</v>
      </c>
      <c r="L2208" s="1" t="s">
        <v>124</v>
      </c>
      <c r="N2208" s="1">
        <v>1</v>
      </c>
      <c r="O2208" s="58"/>
      <c r="P2208" s="58">
        <v>17309.38</v>
      </c>
      <c r="Q2208" t="s">
        <v>107</v>
      </c>
      <c r="R2208" s="1" t="s">
        <v>158</v>
      </c>
    </row>
    <row r="2209" spans="3:18" x14ac:dyDescent="0.35">
      <c r="C2209" t="s">
        <v>51</v>
      </c>
      <c r="D2209" t="s">
        <v>22</v>
      </c>
      <c r="E2209" t="s">
        <v>49</v>
      </c>
      <c r="F2209" t="s">
        <v>46</v>
      </c>
      <c r="G2209" s="58">
        <v>18178</v>
      </c>
      <c r="H2209" s="1" t="s">
        <v>56</v>
      </c>
      <c r="I2209" s="1" t="s">
        <v>105</v>
      </c>
      <c r="J2209" s="58">
        <v>36356</v>
      </c>
      <c r="K2209" s="1" t="s">
        <v>106</v>
      </c>
      <c r="L2209" s="1" t="s">
        <v>124</v>
      </c>
      <c r="N2209" s="1">
        <v>1</v>
      </c>
      <c r="O2209" s="58"/>
      <c r="P2209" s="58">
        <v>11452.14</v>
      </c>
      <c r="Q2209" t="s">
        <v>118</v>
      </c>
      <c r="R2209" s="1" t="s">
        <v>158</v>
      </c>
    </row>
    <row r="2210" spans="3:18" x14ac:dyDescent="0.35">
      <c r="C2210" t="s">
        <v>51</v>
      </c>
      <c r="D2210" t="s">
        <v>21</v>
      </c>
      <c r="E2210" t="s">
        <v>45</v>
      </c>
      <c r="F2210" t="s">
        <v>46</v>
      </c>
      <c r="G2210" s="58">
        <v>195102</v>
      </c>
      <c r="H2210" s="1" t="s">
        <v>54</v>
      </c>
      <c r="I2210" s="1" t="s">
        <v>119</v>
      </c>
      <c r="J2210" s="58">
        <v>1560816</v>
      </c>
      <c r="K2210" s="1" t="s">
        <v>112</v>
      </c>
      <c r="N2210" s="1">
        <v>1</v>
      </c>
      <c r="O2210" s="58"/>
      <c r="P2210" s="58">
        <v>79991.820000000007</v>
      </c>
      <c r="Q2210" t="s">
        <v>113</v>
      </c>
      <c r="R2210" s="1" t="s">
        <v>158</v>
      </c>
    </row>
    <row r="2211" spans="3:18" x14ac:dyDescent="0.35">
      <c r="C2211" t="s">
        <v>51</v>
      </c>
      <c r="D2211" t="s">
        <v>19</v>
      </c>
      <c r="E2211" t="s">
        <v>49</v>
      </c>
      <c r="F2211" t="s">
        <v>46</v>
      </c>
      <c r="G2211" s="58">
        <v>6024547</v>
      </c>
      <c r="I2211" s="1" t="s">
        <v>108</v>
      </c>
      <c r="J2211" s="58">
        <v>204834598</v>
      </c>
      <c r="K2211" s="1" t="s">
        <v>106</v>
      </c>
      <c r="L2211" s="1" t="s">
        <v>124</v>
      </c>
      <c r="N2211" s="1">
        <v>1</v>
      </c>
      <c r="O2211" s="58"/>
      <c r="P2211" s="58">
        <v>4397919.3099999996</v>
      </c>
      <c r="Q2211" t="s">
        <v>118</v>
      </c>
      <c r="R2211" s="1" t="s">
        <v>158</v>
      </c>
    </row>
    <row r="2212" spans="3:18" x14ac:dyDescent="0.35">
      <c r="C2212" t="s">
        <v>51</v>
      </c>
      <c r="D2212" t="s">
        <v>20</v>
      </c>
      <c r="E2212" t="s">
        <v>55</v>
      </c>
      <c r="F2212" t="s">
        <v>46</v>
      </c>
      <c r="G2212" s="58">
        <v>854779</v>
      </c>
      <c r="H2212" s="1" t="s">
        <v>48</v>
      </c>
      <c r="I2212" s="1" t="s">
        <v>108</v>
      </c>
      <c r="J2212" s="58">
        <v>23933812</v>
      </c>
      <c r="K2212" s="1" t="s">
        <v>106</v>
      </c>
      <c r="L2212" s="1" t="s">
        <v>114</v>
      </c>
      <c r="M2212" s="1" t="s">
        <v>123</v>
      </c>
      <c r="N2212" s="1">
        <v>1</v>
      </c>
      <c r="O2212" s="58"/>
      <c r="P2212" s="58">
        <v>247885.91</v>
      </c>
      <c r="Q2212" t="s">
        <v>107</v>
      </c>
      <c r="R2212" s="1" t="s">
        <v>158</v>
      </c>
    </row>
    <row r="2213" spans="3:18" x14ac:dyDescent="0.35">
      <c r="C2213" t="s">
        <v>53</v>
      </c>
      <c r="D2213" t="s">
        <v>22</v>
      </c>
      <c r="E2213" t="s">
        <v>55</v>
      </c>
      <c r="F2213" t="s">
        <v>46</v>
      </c>
      <c r="G2213" s="58">
        <v>33886</v>
      </c>
      <c r="H2213" s="1" t="s">
        <v>54</v>
      </c>
      <c r="I2213" s="1" t="s">
        <v>105</v>
      </c>
      <c r="J2213" s="58">
        <v>101658</v>
      </c>
      <c r="K2213" s="1" t="s">
        <v>106</v>
      </c>
      <c r="L2213" s="1" t="s">
        <v>114</v>
      </c>
      <c r="N2213" s="1">
        <v>1</v>
      </c>
      <c r="O2213" s="58"/>
      <c r="P2213" s="58">
        <v>14232.12</v>
      </c>
      <c r="Q2213" t="s">
        <v>113</v>
      </c>
      <c r="R2213" s="1" t="s">
        <v>158</v>
      </c>
    </row>
    <row r="2214" spans="3:18" x14ac:dyDescent="0.35">
      <c r="C2214" t="s">
        <v>53</v>
      </c>
      <c r="D2214" t="s">
        <v>22</v>
      </c>
      <c r="E2214" t="s">
        <v>45</v>
      </c>
      <c r="F2214" t="s">
        <v>46</v>
      </c>
      <c r="G2214" s="58">
        <v>742976</v>
      </c>
      <c r="H2214" s="1" t="s">
        <v>48</v>
      </c>
      <c r="I2214" s="1" t="s">
        <v>108</v>
      </c>
      <c r="J2214" s="58">
        <v>26004160</v>
      </c>
      <c r="K2214" s="1" t="s">
        <v>106</v>
      </c>
      <c r="L2214" s="1" t="s">
        <v>120</v>
      </c>
      <c r="M2214" s="1" t="s">
        <v>115</v>
      </c>
      <c r="N2214" s="1">
        <v>1</v>
      </c>
      <c r="O2214" s="58"/>
      <c r="P2214" s="58">
        <v>490364.15999999997</v>
      </c>
      <c r="Q2214" t="s">
        <v>118</v>
      </c>
      <c r="R2214" s="1" t="s">
        <v>158</v>
      </c>
    </row>
    <row r="2215" spans="3:18" x14ac:dyDescent="0.35">
      <c r="C2215" t="s">
        <v>53</v>
      </c>
      <c r="D2215" t="s">
        <v>92</v>
      </c>
      <c r="E2215" t="s">
        <v>45</v>
      </c>
      <c r="F2215" t="s">
        <v>46</v>
      </c>
      <c r="G2215" s="58">
        <v>6269867</v>
      </c>
      <c r="H2215" s="1" t="s">
        <v>47</v>
      </c>
      <c r="I2215" s="1" t="s">
        <v>105</v>
      </c>
      <c r="J2215" s="58">
        <v>18809601</v>
      </c>
      <c r="K2215" s="1" t="s">
        <v>106</v>
      </c>
      <c r="L2215" s="1" t="s">
        <v>124</v>
      </c>
      <c r="N2215" s="1">
        <v>1</v>
      </c>
      <c r="O2215" s="58"/>
      <c r="P2215" s="58">
        <v>5329386.95</v>
      </c>
      <c r="Q2215" t="s">
        <v>127</v>
      </c>
      <c r="R2215" s="1" t="s">
        <v>158</v>
      </c>
    </row>
    <row r="2216" spans="3:18" x14ac:dyDescent="0.35">
      <c r="C2216" t="s">
        <v>51</v>
      </c>
      <c r="D2216" t="s">
        <v>22</v>
      </c>
      <c r="E2216" t="s">
        <v>45</v>
      </c>
      <c r="F2216" t="s">
        <v>46</v>
      </c>
      <c r="G2216" s="58">
        <v>179836</v>
      </c>
      <c r="H2216" s="1" t="s">
        <v>48</v>
      </c>
      <c r="I2216" s="1" t="s">
        <v>108</v>
      </c>
      <c r="J2216" s="58">
        <v>3956392</v>
      </c>
      <c r="K2216" s="1" t="s">
        <v>106</v>
      </c>
      <c r="L2216" s="1" t="s">
        <v>124</v>
      </c>
      <c r="M2216" s="1" t="s">
        <v>123</v>
      </c>
      <c r="N2216" s="1">
        <v>1</v>
      </c>
      <c r="O2216" s="58"/>
      <c r="P2216" s="58">
        <v>80926.2</v>
      </c>
      <c r="Q2216" t="s">
        <v>113</v>
      </c>
      <c r="R2216" s="1" t="s">
        <v>48</v>
      </c>
    </row>
    <row r="2217" spans="3:18" x14ac:dyDescent="0.35">
      <c r="C2217" t="s">
        <v>51</v>
      </c>
      <c r="D2217" t="s">
        <v>24</v>
      </c>
      <c r="E2217" t="s">
        <v>50</v>
      </c>
      <c r="F2217" t="s">
        <v>46</v>
      </c>
      <c r="G2217" s="58">
        <v>3124645</v>
      </c>
      <c r="H2217" s="1" t="s">
        <v>59</v>
      </c>
      <c r="I2217" s="1" t="s">
        <v>108</v>
      </c>
      <c r="J2217" s="58">
        <v>90614705</v>
      </c>
      <c r="K2217" s="1" t="s">
        <v>106</v>
      </c>
      <c r="L2217" s="1" t="s">
        <v>109</v>
      </c>
      <c r="N2217" s="1">
        <v>1</v>
      </c>
      <c r="O2217" s="58"/>
      <c r="P2217" s="58">
        <v>1593568.95</v>
      </c>
      <c r="Q2217" t="s">
        <v>113</v>
      </c>
      <c r="R2217" s="1" t="s">
        <v>158</v>
      </c>
    </row>
    <row r="2218" spans="3:18" x14ac:dyDescent="0.35">
      <c r="C2218" t="s">
        <v>51</v>
      </c>
      <c r="D2218" t="s">
        <v>25</v>
      </c>
      <c r="E2218" t="s">
        <v>55</v>
      </c>
      <c r="F2218" t="s">
        <v>46</v>
      </c>
      <c r="G2218" s="58">
        <v>10746735</v>
      </c>
      <c r="H2218" s="1" t="s">
        <v>54</v>
      </c>
      <c r="I2218" s="1" t="s">
        <v>108</v>
      </c>
      <c r="J2218" s="58">
        <v>300908580</v>
      </c>
      <c r="K2218" s="1" t="s">
        <v>106</v>
      </c>
      <c r="L2218" s="1" t="s">
        <v>114</v>
      </c>
      <c r="N2218" s="1">
        <v>1</v>
      </c>
      <c r="O2218" s="58"/>
      <c r="P2218" s="58">
        <v>7307779.7999999998</v>
      </c>
      <c r="Q2218" t="s">
        <v>118</v>
      </c>
      <c r="R2218" s="1" t="s">
        <v>158</v>
      </c>
    </row>
    <row r="2219" spans="3:18" x14ac:dyDescent="0.35">
      <c r="C2219" t="s">
        <v>51</v>
      </c>
      <c r="D2219" t="s">
        <v>91</v>
      </c>
      <c r="E2219" t="s">
        <v>49</v>
      </c>
      <c r="F2219" t="s">
        <v>46</v>
      </c>
      <c r="G2219" s="58">
        <v>77389</v>
      </c>
      <c r="H2219" s="1" t="s">
        <v>54</v>
      </c>
      <c r="I2219" s="1" t="s">
        <v>111</v>
      </c>
      <c r="J2219" s="58">
        <v>1315613</v>
      </c>
      <c r="K2219" s="1" t="s">
        <v>106</v>
      </c>
      <c r="L2219" s="1" t="s">
        <v>124</v>
      </c>
      <c r="N2219" s="1">
        <v>1</v>
      </c>
      <c r="O2219" s="58"/>
      <c r="P2219" s="58">
        <v>66554.539999999994</v>
      </c>
      <c r="Q2219" t="s">
        <v>127</v>
      </c>
      <c r="R2219" s="1" t="s">
        <v>158</v>
      </c>
    </row>
    <row r="2220" spans="3:18" x14ac:dyDescent="0.35">
      <c r="C2220" t="s">
        <v>51</v>
      </c>
      <c r="D2220" t="s">
        <v>24</v>
      </c>
      <c r="E2220" t="s">
        <v>50</v>
      </c>
      <c r="F2220" t="s">
        <v>46</v>
      </c>
      <c r="G2220" s="58">
        <v>1112732</v>
      </c>
      <c r="H2220" s="1" t="s">
        <v>47</v>
      </c>
      <c r="I2220" s="1" t="s">
        <v>108</v>
      </c>
      <c r="J2220" s="58">
        <v>31156496</v>
      </c>
      <c r="K2220" s="1" t="s">
        <v>106</v>
      </c>
      <c r="L2220" s="1" t="s">
        <v>114</v>
      </c>
      <c r="N2220" s="1">
        <v>1</v>
      </c>
      <c r="O2220" s="58"/>
      <c r="P2220" s="58">
        <v>767785.08</v>
      </c>
      <c r="Q2220" t="s">
        <v>118</v>
      </c>
      <c r="R2220" s="1" t="s">
        <v>158</v>
      </c>
    </row>
    <row r="2221" spans="3:18" x14ac:dyDescent="0.35">
      <c r="C2221" t="s">
        <v>51</v>
      </c>
      <c r="D2221" t="s">
        <v>22</v>
      </c>
      <c r="E2221" t="s">
        <v>52</v>
      </c>
      <c r="F2221" t="s">
        <v>46</v>
      </c>
      <c r="G2221" s="58">
        <v>107254</v>
      </c>
      <c r="H2221" s="1" t="s">
        <v>48</v>
      </c>
      <c r="I2221" s="1" t="s">
        <v>111</v>
      </c>
      <c r="J2221" s="58">
        <v>1501556</v>
      </c>
      <c r="K2221" s="1" t="s">
        <v>106</v>
      </c>
      <c r="L2221" s="1" t="s">
        <v>130</v>
      </c>
      <c r="M2221" s="1" t="s">
        <v>115</v>
      </c>
      <c r="N2221" s="1">
        <v>1</v>
      </c>
      <c r="O2221" s="58"/>
      <c r="P2221" s="58">
        <v>62207.32</v>
      </c>
      <c r="Q2221" t="s">
        <v>113</v>
      </c>
      <c r="R2221" s="1" t="s">
        <v>158</v>
      </c>
    </row>
    <row r="2222" spans="3:18" x14ac:dyDescent="0.35">
      <c r="C2222" t="s">
        <v>51</v>
      </c>
      <c r="D2222" t="s">
        <v>21</v>
      </c>
      <c r="E2222" t="s">
        <v>45</v>
      </c>
      <c r="F2222" t="s">
        <v>64</v>
      </c>
      <c r="G2222" s="58">
        <v>4473909</v>
      </c>
      <c r="H2222" s="1" t="s">
        <v>48</v>
      </c>
      <c r="I2222" s="1" t="s">
        <v>108</v>
      </c>
      <c r="J2222" s="58">
        <v>152112906</v>
      </c>
      <c r="K2222" s="1" t="s">
        <v>112</v>
      </c>
      <c r="N2222" s="1">
        <v>1</v>
      </c>
      <c r="O2222" s="58"/>
      <c r="P2222" s="58">
        <v>3758083.56</v>
      </c>
      <c r="Q2222" t="s">
        <v>127</v>
      </c>
      <c r="R2222" s="1" t="s">
        <v>48</v>
      </c>
    </row>
    <row r="2223" spans="3:18" x14ac:dyDescent="0.35">
      <c r="C2223" t="s">
        <v>51</v>
      </c>
      <c r="D2223" t="s">
        <v>22</v>
      </c>
      <c r="E2223" t="s">
        <v>55</v>
      </c>
      <c r="F2223" t="s">
        <v>46</v>
      </c>
      <c r="G2223" s="58">
        <v>336582</v>
      </c>
      <c r="H2223" s="1" t="s">
        <v>48</v>
      </c>
      <c r="I2223" s="1" t="s">
        <v>108</v>
      </c>
      <c r="J2223" s="58">
        <v>8077968</v>
      </c>
      <c r="K2223" s="1" t="s">
        <v>106</v>
      </c>
      <c r="L2223" s="1" t="s">
        <v>120</v>
      </c>
      <c r="M2223" s="1" t="s">
        <v>125</v>
      </c>
      <c r="N2223" s="1">
        <v>1</v>
      </c>
      <c r="O2223" s="58"/>
      <c r="P2223" s="58">
        <v>238973.22</v>
      </c>
      <c r="Q2223" t="s">
        <v>118</v>
      </c>
      <c r="R2223" s="1" t="s">
        <v>48</v>
      </c>
    </row>
    <row r="2224" spans="3:18" x14ac:dyDescent="0.35">
      <c r="C2224" t="s">
        <v>51</v>
      </c>
      <c r="D2224" t="s">
        <v>23</v>
      </c>
      <c r="E2224" t="s">
        <v>45</v>
      </c>
      <c r="F2224" t="s">
        <v>46</v>
      </c>
      <c r="G2224" s="58">
        <v>16209102</v>
      </c>
      <c r="H2224" s="1" t="s">
        <v>56</v>
      </c>
      <c r="I2224" s="1" t="s">
        <v>108</v>
      </c>
      <c r="J2224" s="58">
        <v>470063958</v>
      </c>
      <c r="K2224" s="1" t="s">
        <v>106</v>
      </c>
      <c r="L2224" s="1" t="s">
        <v>120</v>
      </c>
      <c r="N2224" s="1">
        <v>1</v>
      </c>
      <c r="O2224" s="58"/>
      <c r="P2224" s="58">
        <v>13777736.699999999</v>
      </c>
      <c r="Q2224" t="s">
        <v>127</v>
      </c>
      <c r="R2224" s="1" t="s">
        <v>158</v>
      </c>
    </row>
    <row r="2225" spans="3:18" x14ac:dyDescent="0.35">
      <c r="C2225" t="s">
        <v>51</v>
      </c>
      <c r="D2225" t="s">
        <v>92</v>
      </c>
      <c r="E2225" t="s">
        <v>49</v>
      </c>
      <c r="F2225" t="s">
        <v>46</v>
      </c>
      <c r="G2225" s="58">
        <v>27462067</v>
      </c>
      <c r="H2225" s="1" t="s">
        <v>48</v>
      </c>
      <c r="I2225" s="1" t="s">
        <v>108</v>
      </c>
      <c r="J2225" s="58">
        <v>933710278</v>
      </c>
      <c r="K2225" s="1" t="s">
        <v>106</v>
      </c>
      <c r="L2225" s="1" t="s">
        <v>124</v>
      </c>
      <c r="M2225" s="1" t="s">
        <v>123</v>
      </c>
      <c r="N2225" s="1">
        <v>1</v>
      </c>
      <c r="O2225" s="58"/>
      <c r="P2225" s="58">
        <v>23068136.280000001</v>
      </c>
      <c r="Q2225" t="s">
        <v>127</v>
      </c>
      <c r="R2225" s="1" t="s">
        <v>48</v>
      </c>
    </row>
    <row r="2226" spans="3:18" x14ac:dyDescent="0.35">
      <c r="C2226" t="s">
        <v>51</v>
      </c>
      <c r="D2226" t="s">
        <v>24</v>
      </c>
      <c r="E2226" t="s">
        <v>45</v>
      </c>
      <c r="F2226" t="s">
        <v>46</v>
      </c>
      <c r="G2226" s="58">
        <v>9523</v>
      </c>
      <c r="H2226" s="1" t="s">
        <v>47</v>
      </c>
      <c r="I2226" s="1" t="s">
        <v>108</v>
      </c>
      <c r="J2226" s="58">
        <v>228552</v>
      </c>
      <c r="K2226" s="1" t="s">
        <v>106</v>
      </c>
      <c r="L2226" s="1" t="s">
        <v>124</v>
      </c>
      <c r="N2226" s="1">
        <v>1</v>
      </c>
      <c r="O2226" s="58"/>
      <c r="P2226" s="58">
        <v>666.61</v>
      </c>
      <c r="Q2226" t="s">
        <v>107</v>
      </c>
      <c r="R2226" s="1" t="s">
        <v>158</v>
      </c>
    </row>
    <row r="2227" spans="3:18" x14ac:dyDescent="0.35">
      <c r="C2227" t="s">
        <v>51</v>
      </c>
      <c r="D2227" t="s">
        <v>22</v>
      </c>
      <c r="E2227" t="s">
        <v>45</v>
      </c>
      <c r="F2227" t="s">
        <v>46</v>
      </c>
      <c r="G2227" s="58">
        <v>150653</v>
      </c>
      <c r="H2227" s="1" t="s">
        <v>48</v>
      </c>
      <c r="I2227" s="1" t="s">
        <v>108</v>
      </c>
      <c r="J2227" s="58">
        <v>3163713</v>
      </c>
      <c r="K2227" s="1" t="s">
        <v>106</v>
      </c>
      <c r="L2227" s="1" t="s">
        <v>124</v>
      </c>
      <c r="M2227" s="1" t="s">
        <v>115</v>
      </c>
      <c r="N2227" s="1">
        <v>1</v>
      </c>
      <c r="O2227" s="58"/>
      <c r="P2227" s="58">
        <v>70806.91</v>
      </c>
      <c r="Q2227" t="s">
        <v>113</v>
      </c>
      <c r="R2227" s="1" t="s">
        <v>158</v>
      </c>
    </row>
    <row r="2228" spans="3:18" x14ac:dyDescent="0.35">
      <c r="C2228" t="s">
        <v>51</v>
      </c>
      <c r="D2228" t="s">
        <v>19</v>
      </c>
      <c r="E2228" t="s">
        <v>49</v>
      </c>
      <c r="F2228" t="s">
        <v>64</v>
      </c>
      <c r="G2228" s="58">
        <v>479387</v>
      </c>
      <c r="H2228" s="1" t="s">
        <v>48</v>
      </c>
      <c r="I2228" s="1" t="s">
        <v>108</v>
      </c>
      <c r="J2228" s="58">
        <v>14860997</v>
      </c>
      <c r="K2228" s="1" t="s">
        <v>112</v>
      </c>
      <c r="N2228" s="1">
        <v>1</v>
      </c>
      <c r="O2228" s="58"/>
      <c r="P2228" s="58">
        <v>158197.71</v>
      </c>
      <c r="Q2228" t="s">
        <v>107</v>
      </c>
      <c r="R2228" s="1" t="s">
        <v>48</v>
      </c>
    </row>
    <row r="2229" spans="3:18" x14ac:dyDescent="0.35">
      <c r="C2229" t="s">
        <v>51</v>
      </c>
      <c r="D2229" t="s">
        <v>91</v>
      </c>
      <c r="E2229" t="s">
        <v>50</v>
      </c>
      <c r="F2229" t="s">
        <v>46</v>
      </c>
      <c r="G2229" s="58">
        <v>526952</v>
      </c>
      <c r="H2229" s="1" t="s">
        <v>48</v>
      </c>
      <c r="I2229" s="1" t="s">
        <v>108</v>
      </c>
      <c r="J2229" s="58">
        <v>15281608</v>
      </c>
      <c r="K2229" s="1" t="s">
        <v>106</v>
      </c>
      <c r="L2229" s="1" t="s">
        <v>109</v>
      </c>
      <c r="M2229" s="1" t="s">
        <v>122</v>
      </c>
      <c r="N2229" s="1">
        <v>1</v>
      </c>
      <c r="O2229" s="58"/>
      <c r="P2229" s="58">
        <v>284554.08</v>
      </c>
      <c r="Q2229" t="s">
        <v>113</v>
      </c>
      <c r="R2229" s="1" t="s">
        <v>158</v>
      </c>
    </row>
    <row r="2230" spans="3:18" x14ac:dyDescent="0.35">
      <c r="C2230" t="s">
        <v>53</v>
      </c>
      <c r="D2230" t="s">
        <v>23</v>
      </c>
      <c r="E2230" t="s">
        <v>45</v>
      </c>
      <c r="F2230" t="s">
        <v>46</v>
      </c>
      <c r="G2230" s="58">
        <v>255340</v>
      </c>
      <c r="H2230" s="1" t="s">
        <v>54</v>
      </c>
      <c r="I2230" s="1" t="s">
        <v>108</v>
      </c>
      <c r="J2230" s="58">
        <v>6638840</v>
      </c>
      <c r="K2230" s="1" t="s">
        <v>106</v>
      </c>
      <c r="L2230" s="1" t="s">
        <v>120</v>
      </c>
      <c r="N2230" s="1">
        <v>1</v>
      </c>
      <c r="O2230" s="58"/>
      <c r="P2230" s="58">
        <v>40854.400000000001</v>
      </c>
      <c r="Q2230" t="s">
        <v>107</v>
      </c>
      <c r="R2230" s="1" t="s">
        <v>158</v>
      </c>
    </row>
    <row r="2231" spans="3:18" x14ac:dyDescent="0.35">
      <c r="C2231" t="s">
        <v>51</v>
      </c>
      <c r="D2231" t="s">
        <v>25</v>
      </c>
      <c r="E2231" t="s">
        <v>55</v>
      </c>
      <c r="F2231" t="s">
        <v>46</v>
      </c>
      <c r="G2231" s="58">
        <v>3685814</v>
      </c>
      <c r="H2231" s="1" t="s">
        <v>54</v>
      </c>
      <c r="I2231" s="1" t="s">
        <v>111</v>
      </c>
      <c r="J2231" s="58">
        <v>55287210</v>
      </c>
      <c r="K2231" s="1" t="s">
        <v>106</v>
      </c>
      <c r="L2231" s="1" t="s">
        <v>114</v>
      </c>
      <c r="N2231" s="1">
        <v>1</v>
      </c>
      <c r="O2231" s="58"/>
      <c r="P2231" s="58">
        <v>995169.78</v>
      </c>
      <c r="Q2231" t="s">
        <v>107</v>
      </c>
      <c r="R2231" s="1" t="s">
        <v>158</v>
      </c>
    </row>
    <row r="2232" spans="3:18" x14ac:dyDescent="0.35">
      <c r="C2232" t="s">
        <v>53</v>
      </c>
      <c r="D2232" t="s">
        <v>91</v>
      </c>
      <c r="E2232" t="s">
        <v>49</v>
      </c>
      <c r="F2232" t="s">
        <v>46</v>
      </c>
      <c r="G2232" s="58">
        <v>88265</v>
      </c>
      <c r="H2232" s="1" t="s">
        <v>54</v>
      </c>
      <c r="I2232" s="1" t="s">
        <v>105</v>
      </c>
      <c r="J2232" s="58">
        <v>353060</v>
      </c>
      <c r="K2232" s="1" t="s">
        <v>106</v>
      </c>
      <c r="L2232" s="1" t="s">
        <v>124</v>
      </c>
      <c r="N2232" s="1">
        <v>1</v>
      </c>
      <c r="O2232" s="58"/>
      <c r="P2232" s="58">
        <v>37953.949999999997</v>
      </c>
      <c r="Q2232" t="s">
        <v>113</v>
      </c>
      <c r="R2232" s="1" t="s">
        <v>158</v>
      </c>
    </row>
    <row r="2233" spans="3:18" x14ac:dyDescent="0.35">
      <c r="C2233" t="s">
        <v>51</v>
      </c>
      <c r="D2233" t="s">
        <v>24</v>
      </c>
      <c r="E2233" t="s">
        <v>62</v>
      </c>
      <c r="F2233" t="s">
        <v>46</v>
      </c>
      <c r="G2233" s="58">
        <v>403774</v>
      </c>
      <c r="H2233" s="1" t="s">
        <v>48</v>
      </c>
      <c r="I2233" s="1" t="s">
        <v>111</v>
      </c>
      <c r="J2233" s="58">
        <v>5652836</v>
      </c>
      <c r="K2233" s="1" t="s">
        <v>112</v>
      </c>
      <c r="N2233" s="1">
        <v>1</v>
      </c>
      <c r="O2233" s="58"/>
      <c r="P2233" s="58">
        <v>113056.72</v>
      </c>
      <c r="Q2233" t="s">
        <v>107</v>
      </c>
      <c r="R2233" s="1" t="s">
        <v>48</v>
      </c>
    </row>
    <row r="2234" spans="3:18" x14ac:dyDescent="0.35">
      <c r="C2234" t="s">
        <v>51</v>
      </c>
      <c r="D2234" t="s">
        <v>24</v>
      </c>
      <c r="E2234" t="s">
        <v>45</v>
      </c>
      <c r="F2234" t="s">
        <v>46</v>
      </c>
      <c r="G2234" s="58">
        <v>618121</v>
      </c>
      <c r="H2234" s="1" t="s">
        <v>47</v>
      </c>
      <c r="I2234" s="1" t="s">
        <v>105</v>
      </c>
      <c r="J2234" s="58">
        <v>0</v>
      </c>
      <c r="K2234" s="1" t="s">
        <v>106</v>
      </c>
      <c r="L2234" s="1" t="s">
        <v>120</v>
      </c>
      <c r="N2234" s="1">
        <v>1</v>
      </c>
      <c r="O2234" s="58"/>
      <c r="P2234" s="58">
        <v>271973.24</v>
      </c>
      <c r="Q2234" t="s">
        <v>113</v>
      </c>
      <c r="R2234" s="1" t="s">
        <v>158</v>
      </c>
    </row>
    <row r="2235" spans="3:18" x14ac:dyDescent="0.35">
      <c r="C2235" t="s">
        <v>51</v>
      </c>
      <c r="D2235" t="s">
        <v>21</v>
      </c>
      <c r="E2235" t="s">
        <v>55</v>
      </c>
      <c r="F2235" t="s">
        <v>46</v>
      </c>
      <c r="G2235" s="58">
        <v>74021</v>
      </c>
      <c r="H2235" s="1" t="s">
        <v>48</v>
      </c>
      <c r="I2235" s="1" t="s">
        <v>119</v>
      </c>
      <c r="J2235" s="58">
        <v>592168</v>
      </c>
      <c r="K2235" s="1" t="s">
        <v>106</v>
      </c>
      <c r="L2235" s="1" t="s">
        <v>114</v>
      </c>
      <c r="M2235" s="1" t="s">
        <v>126</v>
      </c>
      <c r="N2235" s="1">
        <v>1</v>
      </c>
      <c r="O2235" s="58"/>
      <c r="P2235" s="58">
        <v>40711.550000000003</v>
      </c>
      <c r="Q2235" t="s">
        <v>113</v>
      </c>
      <c r="R2235" s="1" t="s">
        <v>158</v>
      </c>
    </row>
    <row r="2236" spans="3:18" x14ac:dyDescent="0.35">
      <c r="C2236" t="s">
        <v>51</v>
      </c>
      <c r="D2236" t="s">
        <v>21</v>
      </c>
      <c r="E2236" t="s">
        <v>49</v>
      </c>
      <c r="F2236" t="s">
        <v>46</v>
      </c>
      <c r="G2236" s="58">
        <v>89770</v>
      </c>
      <c r="H2236" s="1" t="s">
        <v>56</v>
      </c>
      <c r="I2236" s="1" t="s">
        <v>119</v>
      </c>
      <c r="J2236" s="58">
        <v>718160</v>
      </c>
      <c r="K2236" s="1" t="s">
        <v>112</v>
      </c>
      <c r="N2236" s="1">
        <v>1</v>
      </c>
      <c r="O2236" s="58"/>
      <c r="P2236" s="58">
        <v>49373.5</v>
      </c>
      <c r="Q2236" t="s">
        <v>113</v>
      </c>
      <c r="R2236" s="1" t="s">
        <v>158</v>
      </c>
    </row>
    <row r="2237" spans="3:18" x14ac:dyDescent="0.35">
      <c r="C2237" t="s">
        <v>51</v>
      </c>
      <c r="D2237" t="s">
        <v>21</v>
      </c>
      <c r="E2237" t="s">
        <v>45</v>
      </c>
      <c r="F2237" t="s">
        <v>46</v>
      </c>
      <c r="G2237" s="58">
        <v>208170</v>
      </c>
      <c r="H2237" s="1" t="s">
        <v>48</v>
      </c>
      <c r="I2237" s="1" t="s">
        <v>108</v>
      </c>
      <c r="J2237" s="58">
        <v>4996080</v>
      </c>
      <c r="K2237" s="1" t="s">
        <v>106</v>
      </c>
      <c r="L2237" s="1" t="s">
        <v>120</v>
      </c>
      <c r="M2237" s="1" t="s">
        <v>125</v>
      </c>
      <c r="N2237" s="1">
        <v>1</v>
      </c>
      <c r="O2237" s="58"/>
      <c r="P2237" s="58">
        <v>114493.5</v>
      </c>
      <c r="Q2237" t="s">
        <v>113</v>
      </c>
      <c r="R2237" s="1" t="s">
        <v>48</v>
      </c>
    </row>
    <row r="2238" spans="3:18" x14ac:dyDescent="0.35">
      <c r="C2238" t="s">
        <v>53</v>
      </c>
      <c r="D2238" t="s">
        <v>92</v>
      </c>
      <c r="E2238" t="s">
        <v>45</v>
      </c>
      <c r="F2238" t="s">
        <v>46</v>
      </c>
      <c r="G2238" s="58">
        <v>190394</v>
      </c>
      <c r="H2238" s="1" t="s">
        <v>54</v>
      </c>
      <c r="I2238" s="1" t="s">
        <v>105</v>
      </c>
      <c r="J2238" s="58"/>
      <c r="K2238" s="1" t="s">
        <v>106</v>
      </c>
      <c r="L2238" s="1" t="s">
        <v>120</v>
      </c>
      <c r="N2238" s="1">
        <v>0</v>
      </c>
      <c r="O2238" s="58"/>
      <c r="P2238" s="58">
        <v>1903.94</v>
      </c>
      <c r="Q2238" t="s">
        <v>107</v>
      </c>
      <c r="R2238" s="1" t="s">
        <v>158</v>
      </c>
    </row>
    <row r="2239" spans="3:18" x14ac:dyDescent="0.35">
      <c r="C2239" t="s">
        <v>51</v>
      </c>
      <c r="D2239" t="s">
        <v>21</v>
      </c>
      <c r="E2239" t="s">
        <v>45</v>
      </c>
      <c r="F2239" t="s">
        <v>46</v>
      </c>
      <c r="G2239" s="58">
        <v>710047</v>
      </c>
      <c r="H2239" s="1" t="s">
        <v>59</v>
      </c>
      <c r="I2239" s="1" t="s">
        <v>105</v>
      </c>
      <c r="J2239" s="58">
        <v>1420094</v>
      </c>
      <c r="K2239" s="1" t="s">
        <v>106</v>
      </c>
      <c r="L2239" s="1" t="s">
        <v>120</v>
      </c>
      <c r="N2239" s="1">
        <v>1</v>
      </c>
      <c r="O2239" s="58"/>
      <c r="P2239" s="58">
        <v>85205.64</v>
      </c>
      <c r="Q2239" t="s">
        <v>107</v>
      </c>
      <c r="R2239" s="1" t="s">
        <v>158</v>
      </c>
    </row>
    <row r="2240" spans="3:18" x14ac:dyDescent="0.35">
      <c r="C2240" t="s">
        <v>51</v>
      </c>
      <c r="D2240" t="s">
        <v>21</v>
      </c>
      <c r="E2240" t="s">
        <v>49</v>
      </c>
      <c r="F2240" t="s">
        <v>46</v>
      </c>
      <c r="G2240" s="58">
        <v>86092</v>
      </c>
      <c r="H2240" s="1" t="s">
        <v>54</v>
      </c>
      <c r="I2240" s="1" t="s">
        <v>108</v>
      </c>
      <c r="J2240" s="58">
        <v>1894024</v>
      </c>
      <c r="K2240" s="1" t="s">
        <v>106</v>
      </c>
      <c r="L2240" s="1" t="s">
        <v>120</v>
      </c>
      <c r="N2240" s="1">
        <v>1</v>
      </c>
      <c r="O2240" s="58"/>
      <c r="P2240" s="58">
        <v>11191.96</v>
      </c>
      <c r="Q2240" t="s">
        <v>107</v>
      </c>
      <c r="R2240" s="1" t="s">
        <v>158</v>
      </c>
    </row>
    <row r="2241" spans="3:18" x14ac:dyDescent="0.35">
      <c r="C2241" t="s">
        <v>51</v>
      </c>
      <c r="D2241" t="s">
        <v>24</v>
      </c>
      <c r="E2241" t="s">
        <v>49</v>
      </c>
      <c r="F2241" t="s">
        <v>46</v>
      </c>
      <c r="G2241" s="58">
        <v>426316</v>
      </c>
      <c r="H2241" s="1" t="s">
        <v>48</v>
      </c>
      <c r="I2241" s="1" t="s">
        <v>111</v>
      </c>
      <c r="J2241" s="58">
        <v>7673688</v>
      </c>
      <c r="K2241" s="1" t="s">
        <v>112</v>
      </c>
      <c r="N2241" s="1">
        <v>1</v>
      </c>
      <c r="O2241" s="58"/>
      <c r="P2241" s="58">
        <v>221684.32</v>
      </c>
      <c r="Q2241" t="s">
        <v>113</v>
      </c>
      <c r="R2241" s="1" t="s">
        <v>48</v>
      </c>
    </row>
    <row r="2242" spans="3:18" x14ac:dyDescent="0.35">
      <c r="C2242" t="s">
        <v>51</v>
      </c>
      <c r="D2242" t="s">
        <v>22</v>
      </c>
      <c r="E2242" t="s">
        <v>45</v>
      </c>
      <c r="F2242" t="s">
        <v>46</v>
      </c>
      <c r="G2242" s="58">
        <v>1982509</v>
      </c>
      <c r="H2242" s="1" t="s">
        <v>47</v>
      </c>
      <c r="I2242" s="1" t="s">
        <v>111</v>
      </c>
      <c r="J2242" s="58">
        <v>31720144</v>
      </c>
      <c r="K2242" s="1" t="s">
        <v>106</v>
      </c>
      <c r="L2242" s="1" t="s">
        <v>114</v>
      </c>
      <c r="N2242" s="1">
        <v>1</v>
      </c>
      <c r="O2242" s="58"/>
      <c r="P2242" s="58">
        <v>991254.5</v>
      </c>
      <c r="Q2242" t="s">
        <v>113</v>
      </c>
      <c r="R2242" s="1" t="s">
        <v>158</v>
      </c>
    </row>
    <row r="2243" spans="3:18" x14ac:dyDescent="0.35">
      <c r="C2243" t="s">
        <v>51</v>
      </c>
      <c r="D2243" t="s">
        <v>22</v>
      </c>
      <c r="E2243" t="s">
        <v>62</v>
      </c>
      <c r="F2243" t="s">
        <v>46</v>
      </c>
      <c r="G2243" s="58">
        <v>33003</v>
      </c>
      <c r="H2243" s="1" t="s">
        <v>48</v>
      </c>
      <c r="I2243" s="1" t="s">
        <v>108</v>
      </c>
      <c r="J2243" s="58">
        <v>1287117</v>
      </c>
      <c r="K2243" s="1" t="s">
        <v>106</v>
      </c>
      <c r="L2243" s="1" t="s">
        <v>131</v>
      </c>
      <c r="M2243" s="1" t="s">
        <v>115</v>
      </c>
      <c r="N2243" s="1">
        <v>1</v>
      </c>
      <c r="O2243" s="58"/>
      <c r="P2243" s="58">
        <v>49504.5</v>
      </c>
      <c r="Q2243" t="s">
        <v>110</v>
      </c>
      <c r="R2243" s="1" t="s">
        <v>48</v>
      </c>
    </row>
    <row r="2244" spans="3:18" x14ac:dyDescent="0.35">
      <c r="C2244" t="s">
        <v>51</v>
      </c>
      <c r="D2244" t="s">
        <v>91</v>
      </c>
      <c r="E2244" t="s">
        <v>49</v>
      </c>
      <c r="F2244" t="s">
        <v>46</v>
      </c>
      <c r="G2244" s="58">
        <v>424939</v>
      </c>
      <c r="H2244" s="1" t="s">
        <v>48</v>
      </c>
      <c r="I2244" s="1" t="s">
        <v>108</v>
      </c>
      <c r="J2244" s="58">
        <v>15297804</v>
      </c>
      <c r="K2244" s="1" t="s">
        <v>106</v>
      </c>
      <c r="L2244" s="1" t="s">
        <v>120</v>
      </c>
      <c r="M2244" s="1" t="s">
        <v>122</v>
      </c>
      <c r="N2244" s="1">
        <v>1</v>
      </c>
      <c r="O2244" s="58"/>
      <c r="P2244" s="58">
        <v>237965.84</v>
      </c>
      <c r="Q2244" t="s">
        <v>113</v>
      </c>
      <c r="R2244" s="1" t="s">
        <v>48</v>
      </c>
    </row>
    <row r="2245" spans="3:18" x14ac:dyDescent="0.35">
      <c r="C2245" t="s">
        <v>51</v>
      </c>
      <c r="D2245" t="s">
        <v>92</v>
      </c>
      <c r="E2245" t="s">
        <v>49</v>
      </c>
      <c r="F2245" t="s">
        <v>46</v>
      </c>
      <c r="G2245" s="58">
        <v>2626</v>
      </c>
      <c r="H2245" s="1" t="s">
        <v>48</v>
      </c>
      <c r="I2245" s="1" t="s">
        <v>119</v>
      </c>
      <c r="J2245" s="58">
        <v>15756</v>
      </c>
      <c r="K2245" s="1" t="s">
        <v>106</v>
      </c>
      <c r="L2245" s="1" t="s">
        <v>124</v>
      </c>
      <c r="M2245" s="1" t="s">
        <v>126</v>
      </c>
      <c r="N2245" s="1">
        <v>1</v>
      </c>
      <c r="O2245" s="58"/>
      <c r="P2245" s="58">
        <v>1864.46</v>
      </c>
      <c r="Q2245" t="s">
        <v>118</v>
      </c>
      <c r="R2245" s="1" t="s">
        <v>48</v>
      </c>
    </row>
    <row r="2246" spans="3:18" x14ac:dyDescent="0.35">
      <c r="C2246" t="s">
        <v>51</v>
      </c>
      <c r="D2246" t="s">
        <v>24</v>
      </c>
      <c r="E2246" t="s">
        <v>55</v>
      </c>
      <c r="F2246" t="s">
        <v>46</v>
      </c>
      <c r="G2246" s="58">
        <v>174569</v>
      </c>
      <c r="H2246" s="1" t="s">
        <v>56</v>
      </c>
      <c r="I2246" s="1" t="s">
        <v>108</v>
      </c>
      <c r="J2246" s="58">
        <v>5586208</v>
      </c>
      <c r="K2246" s="1" t="s">
        <v>106</v>
      </c>
      <c r="L2246" s="1" t="s">
        <v>124</v>
      </c>
      <c r="N2246" s="1">
        <v>1</v>
      </c>
      <c r="O2246" s="58"/>
      <c r="P2246" s="58">
        <v>52370.7</v>
      </c>
      <c r="Q2246" t="s">
        <v>107</v>
      </c>
      <c r="R2246" s="1" t="s">
        <v>158</v>
      </c>
    </row>
    <row r="2247" spans="3:18" x14ac:dyDescent="0.35">
      <c r="C2247" t="s">
        <v>51</v>
      </c>
      <c r="D2247" t="s">
        <v>24</v>
      </c>
      <c r="E2247" t="s">
        <v>62</v>
      </c>
      <c r="F2247" t="s">
        <v>46</v>
      </c>
      <c r="G2247" s="58">
        <v>723441</v>
      </c>
      <c r="H2247" s="1" t="s">
        <v>48</v>
      </c>
      <c r="I2247" s="1" t="s">
        <v>111</v>
      </c>
      <c r="J2247" s="58">
        <v>13021938</v>
      </c>
      <c r="K2247" s="1" t="s">
        <v>112</v>
      </c>
      <c r="N2247" s="1">
        <v>1</v>
      </c>
      <c r="O2247" s="58"/>
      <c r="P2247" s="58">
        <v>347251.68</v>
      </c>
      <c r="Q2247" t="s">
        <v>113</v>
      </c>
      <c r="R2247" s="1" t="s">
        <v>48</v>
      </c>
    </row>
    <row r="2248" spans="3:18" x14ac:dyDescent="0.35">
      <c r="C2248" t="s">
        <v>51</v>
      </c>
      <c r="D2248" t="s">
        <v>21</v>
      </c>
      <c r="E2248" t="s">
        <v>45</v>
      </c>
      <c r="F2248" t="s">
        <v>46</v>
      </c>
      <c r="G2248" s="58">
        <v>1949503</v>
      </c>
      <c r="H2248" s="1" t="s">
        <v>54</v>
      </c>
      <c r="I2248" s="1" t="s">
        <v>108</v>
      </c>
      <c r="J2248" s="58">
        <v>52636581</v>
      </c>
      <c r="K2248" s="1" t="s">
        <v>106</v>
      </c>
      <c r="L2248" s="1" t="s">
        <v>120</v>
      </c>
      <c r="N2248" s="1">
        <v>1</v>
      </c>
      <c r="O2248" s="58"/>
      <c r="P2248" s="58">
        <v>1676572.58</v>
      </c>
      <c r="Q2248" t="s">
        <v>127</v>
      </c>
      <c r="R2248" s="1" t="s">
        <v>158</v>
      </c>
    </row>
    <row r="2249" spans="3:18" x14ac:dyDescent="0.35">
      <c r="C2249" t="s">
        <v>53</v>
      </c>
      <c r="D2249" t="s">
        <v>21</v>
      </c>
      <c r="E2249" t="s">
        <v>49</v>
      </c>
      <c r="F2249" t="s">
        <v>46</v>
      </c>
      <c r="G2249" s="58">
        <v>920573</v>
      </c>
      <c r="H2249" s="1" t="s">
        <v>56</v>
      </c>
      <c r="I2249" s="1" t="s">
        <v>119</v>
      </c>
      <c r="J2249" s="58">
        <v>7364584</v>
      </c>
      <c r="K2249" s="1" t="s">
        <v>106</v>
      </c>
      <c r="L2249" s="1" t="s">
        <v>124</v>
      </c>
      <c r="N2249" s="1">
        <v>1</v>
      </c>
      <c r="O2249" s="58"/>
      <c r="P2249" s="58">
        <v>607578.18000000005</v>
      </c>
      <c r="Q2249" t="s">
        <v>118</v>
      </c>
      <c r="R2249" s="1" t="s">
        <v>158</v>
      </c>
    </row>
    <row r="2250" spans="3:18" x14ac:dyDescent="0.35">
      <c r="C2250" t="s">
        <v>51</v>
      </c>
      <c r="D2250" t="s">
        <v>20</v>
      </c>
      <c r="E2250" t="s">
        <v>49</v>
      </c>
      <c r="F2250" t="s">
        <v>46</v>
      </c>
      <c r="G2250" s="58">
        <v>583300</v>
      </c>
      <c r="H2250" s="1" t="s">
        <v>48</v>
      </c>
      <c r="I2250" s="1" t="s">
        <v>108</v>
      </c>
      <c r="J2250" s="58">
        <v>19832200</v>
      </c>
      <c r="K2250" s="1" t="s">
        <v>106</v>
      </c>
      <c r="L2250" s="1" t="s">
        <v>114</v>
      </c>
      <c r="M2250" s="1" t="s">
        <v>123</v>
      </c>
      <c r="N2250" s="1">
        <v>1</v>
      </c>
      <c r="O2250" s="58"/>
      <c r="P2250" s="58">
        <v>373312</v>
      </c>
      <c r="Q2250" t="s">
        <v>118</v>
      </c>
      <c r="R2250" s="1" t="s">
        <v>48</v>
      </c>
    </row>
    <row r="2251" spans="3:18" x14ac:dyDescent="0.35">
      <c r="C2251" t="s">
        <v>51</v>
      </c>
      <c r="D2251" t="s">
        <v>22</v>
      </c>
      <c r="E2251" t="s">
        <v>45</v>
      </c>
      <c r="F2251" t="s">
        <v>46</v>
      </c>
      <c r="G2251" s="58">
        <v>15677470</v>
      </c>
      <c r="H2251" s="1" t="s">
        <v>47</v>
      </c>
      <c r="I2251" s="1" t="s">
        <v>108</v>
      </c>
      <c r="J2251" s="58">
        <v>438969160</v>
      </c>
      <c r="K2251" s="1" t="s">
        <v>106</v>
      </c>
      <c r="L2251" s="1" t="s">
        <v>124</v>
      </c>
      <c r="N2251" s="1">
        <v>1</v>
      </c>
      <c r="O2251" s="58"/>
      <c r="P2251" s="58">
        <v>8152284.4000000004</v>
      </c>
      <c r="Q2251" t="s">
        <v>113</v>
      </c>
      <c r="R2251" s="1" t="s">
        <v>158</v>
      </c>
    </row>
    <row r="2252" spans="3:18" x14ac:dyDescent="0.35">
      <c r="C2252" t="s">
        <v>51</v>
      </c>
      <c r="D2252" t="s">
        <v>19</v>
      </c>
      <c r="E2252" t="s">
        <v>49</v>
      </c>
      <c r="F2252" t="s">
        <v>46</v>
      </c>
      <c r="G2252" s="58">
        <v>35752267</v>
      </c>
      <c r="H2252" s="1" t="s">
        <v>48</v>
      </c>
      <c r="I2252" s="1" t="s">
        <v>105</v>
      </c>
      <c r="J2252" s="58">
        <v>107256801</v>
      </c>
      <c r="K2252" s="1" t="s">
        <v>106</v>
      </c>
      <c r="L2252" s="1" t="s">
        <v>124</v>
      </c>
      <c r="M2252" s="1" t="s">
        <v>122</v>
      </c>
      <c r="N2252" s="1">
        <v>1</v>
      </c>
      <c r="O2252" s="58"/>
      <c r="P2252" s="58">
        <v>5720362.7199999997</v>
      </c>
      <c r="Q2252" t="s">
        <v>107</v>
      </c>
      <c r="R2252" s="1" t="s">
        <v>158</v>
      </c>
    </row>
    <row r="2253" spans="3:18" x14ac:dyDescent="0.35">
      <c r="C2253" t="s">
        <v>51</v>
      </c>
      <c r="D2253" t="s">
        <v>21</v>
      </c>
      <c r="E2253" t="s">
        <v>49</v>
      </c>
      <c r="F2253" t="s">
        <v>46</v>
      </c>
      <c r="G2253" s="58">
        <v>2203940691</v>
      </c>
      <c r="H2253" s="1" t="s">
        <v>48</v>
      </c>
      <c r="I2253" s="1" t="s">
        <v>108</v>
      </c>
      <c r="J2253" s="58">
        <v>70526102112</v>
      </c>
      <c r="K2253" s="1" t="s">
        <v>106</v>
      </c>
      <c r="L2253" s="1" t="s">
        <v>124</v>
      </c>
      <c r="M2253" s="1" t="s">
        <v>126</v>
      </c>
      <c r="N2253" s="1">
        <v>1</v>
      </c>
      <c r="O2253" s="58"/>
      <c r="P2253" s="58">
        <v>1586837297.52</v>
      </c>
      <c r="Q2253" t="s">
        <v>118</v>
      </c>
      <c r="R2253" s="1" t="s">
        <v>158</v>
      </c>
    </row>
    <row r="2254" spans="3:18" x14ac:dyDescent="0.35">
      <c r="C2254" t="s">
        <v>51</v>
      </c>
      <c r="D2254" t="s">
        <v>24</v>
      </c>
      <c r="E2254" t="s">
        <v>55</v>
      </c>
      <c r="F2254" t="s">
        <v>46</v>
      </c>
      <c r="G2254" s="58">
        <v>322523</v>
      </c>
      <c r="H2254" s="1" t="s">
        <v>54</v>
      </c>
      <c r="I2254" s="1" t="s">
        <v>108</v>
      </c>
      <c r="J2254" s="58">
        <v>9353167</v>
      </c>
      <c r="K2254" s="1" t="s">
        <v>112</v>
      </c>
      <c r="N2254" s="1">
        <v>1</v>
      </c>
      <c r="O2254" s="58"/>
      <c r="P2254" s="58">
        <v>145135.35</v>
      </c>
      <c r="Q2254" t="s">
        <v>113</v>
      </c>
      <c r="R2254" s="1" t="s">
        <v>158</v>
      </c>
    </row>
    <row r="2255" spans="3:18" x14ac:dyDescent="0.35">
      <c r="C2255" t="s">
        <v>51</v>
      </c>
      <c r="D2255" t="s">
        <v>20</v>
      </c>
      <c r="E2255" t="s">
        <v>49</v>
      </c>
      <c r="F2255" t="s">
        <v>64</v>
      </c>
      <c r="G2255" s="58">
        <v>47632</v>
      </c>
      <c r="H2255" s="1" t="s">
        <v>47</v>
      </c>
      <c r="I2255" s="1" t="s">
        <v>119</v>
      </c>
      <c r="J2255" s="58">
        <v>238160</v>
      </c>
      <c r="K2255" s="1" t="s">
        <v>106</v>
      </c>
      <c r="L2255" s="1" t="s">
        <v>124</v>
      </c>
      <c r="N2255" s="1">
        <v>1</v>
      </c>
      <c r="O2255" s="58"/>
      <c r="P2255" s="58">
        <v>4763.2</v>
      </c>
      <c r="Q2255" t="s">
        <v>107</v>
      </c>
      <c r="R2255" s="1" t="s">
        <v>158</v>
      </c>
    </row>
    <row r="2256" spans="3:18" x14ac:dyDescent="0.35">
      <c r="C2256" t="s">
        <v>51</v>
      </c>
      <c r="D2256" t="s">
        <v>22</v>
      </c>
      <c r="E2256" t="s">
        <v>49</v>
      </c>
      <c r="F2256" t="s">
        <v>46</v>
      </c>
      <c r="G2256" s="58">
        <v>9425824</v>
      </c>
      <c r="H2256" s="1" t="s">
        <v>56</v>
      </c>
      <c r="I2256" s="1" t="s">
        <v>111</v>
      </c>
      <c r="J2256" s="58">
        <v>131961536</v>
      </c>
      <c r="K2256" s="1" t="s">
        <v>106</v>
      </c>
      <c r="L2256" s="1" t="s">
        <v>124</v>
      </c>
      <c r="N2256" s="1">
        <v>1</v>
      </c>
      <c r="O2256" s="58"/>
      <c r="P2256" s="58">
        <v>2827747.2</v>
      </c>
      <c r="Q2256" t="s">
        <v>107</v>
      </c>
      <c r="R2256" s="1" t="s">
        <v>158</v>
      </c>
    </row>
    <row r="2257" spans="3:18" x14ac:dyDescent="0.35">
      <c r="C2257" t="s">
        <v>51</v>
      </c>
      <c r="D2257" t="s">
        <v>24</v>
      </c>
      <c r="E2257" t="s">
        <v>50</v>
      </c>
      <c r="F2257" t="s">
        <v>46</v>
      </c>
      <c r="G2257" s="58">
        <v>1862384</v>
      </c>
      <c r="H2257" s="1" t="s">
        <v>47</v>
      </c>
      <c r="I2257" s="1" t="s">
        <v>108</v>
      </c>
      <c r="J2257" s="58">
        <v>61458672</v>
      </c>
      <c r="K2257" s="1" t="s">
        <v>106</v>
      </c>
      <c r="L2257" s="1" t="s">
        <v>124</v>
      </c>
      <c r="N2257" s="1">
        <v>1</v>
      </c>
      <c r="O2257" s="58"/>
      <c r="P2257" s="58">
        <v>502843.68</v>
      </c>
      <c r="Q2257" t="s">
        <v>107</v>
      </c>
      <c r="R2257" s="1" t="s">
        <v>158</v>
      </c>
    </row>
    <row r="2258" spans="3:18" x14ac:dyDescent="0.35">
      <c r="C2258" t="s">
        <v>51</v>
      </c>
      <c r="D2258" t="s">
        <v>60</v>
      </c>
      <c r="E2258" t="s">
        <v>60</v>
      </c>
      <c r="F2258" t="s">
        <v>46</v>
      </c>
      <c r="G2258" s="58">
        <v>1171797</v>
      </c>
      <c r="H2258" s="1" t="s">
        <v>61</v>
      </c>
      <c r="I2258" s="1" t="s">
        <v>105</v>
      </c>
      <c r="J2258" s="58">
        <v>3515391</v>
      </c>
      <c r="K2258" s="1" t="s">
        <v>106</v>
      </c>
      <c r="N2258" s="1">
        <v>1</v>
      </c>
      <c r="O2258" s="58"/>
      <c r="P2258" s="58">
        <v>82025.789999999994</v>
      </c>
      <c r="Q2258" t="s">
        <v>107</v>
      </c>
    </row>
    <row r="2259" spans="3:18" x14ac:dyDescent="0.35">
      <c r="C2259" t="s">
        <v>51</v>
      </c>
      <c r="D2259" t="s">
        <v>22</v>
      </c>
      <c r="E2259" t="s">
        <v>49</v>
      </c>
      <c r="F2259" t="s">
        <v>46</v>
      </c>
      <c r="G2259" s="58">
        <v>224662809</v>
      </c>
      <c r="H2259" s="1" t="s">
        <v>54</v>
      </c>
      <c r="I2259" s="1" t="s">
        <v>108</v>
      </c>
      <c r="J2259" s="58">
        <v>6739884270</v>
      </c>
      <c r="K2259" s="1" t="s">
        <v>106</v>
      </c>
      <c r="L2259" s="1" t="s">
        <v>124</v>
      </c>
      <c r="N2259" s="1">
        <v>1</v>
      </c>
      <c r="O2259" s="58"/>
      <c r="P2259" s="58">
        <v>155017338.21000001</v>
      </c>
      <c r="Q2259" t="s">
        <v>118</v>
      </c>
      <c r="R2259" s="1" t="s">
        <v>158</v>
      </c>
    </row>
    <row r="2260" spans="3:18" x14ac:dyDescent="0.35">
      <c r="C2260" t="s">
        <v>51</v>
      </c>
      <c r="D2260" t="s">
        <v>23</v>
      </c>
      <c r="E2260" t="s">
        <v>49</v>
      </c>
      <c r="F2260" t="s">
        <v>46</v>
      </c>
      <c r="G2260" s="58">
        <v>268722</v>
      </c>
      <c r="H2260" s="1" t="s">
        <v>48</v>
      </c>
      <c r="I2260" s="1" t="s">
        <v>108</v>
      </c>
      <c r="J2260" s="58">
        <v>10211436</v>
      </c>
      <c r="K2260" s="1" t="s">
        <v>112</v>
      </c>
      <c r="N2260" s="1">
        <v>1</v>
      </c>
      <c r="O2260" s="58"/>
      <c r="P2260" s="58">
        <v>61806.06</v>
      </c>
      <c r="Q2260" t="s">
        <v>107</v>
      </c>
      <c r="R2260" s="1" t="s">
        <v>158</v>
      </c>
    </row>
    <row r="2261" spans="3:18" x14ac:dyDescent="0.35">
      <c r="C2261" t="s">
        <v>44</v>
      </c>
      <c r="D2261" t="s">
        <v>21</v>
      </c>
      <c r="E2261" t="s">
        <v>49</v>
      </c>
      <c r="F2261" t="s">
        <v>46</v>
      </c>
      <c r="G2261" s="58">
        <v>264939</v>
      </c>
      <c r="H2261" s="1" t="s">
        <v>56</v>
      </c>
      <c r="I2261" s="1" t="s">
        <v>108</v>
      </c>
      <c r="J2261" s="58"/>
      <c r="N2261" s="1">
        <v>0</v>
      </c>
      <c r="O2261" s="58"/>
      <c r="P2261" s="58"/>
      <c r="R2261" s="1" t="s">
        <v>158</v>
      </c>
    </row>
    <row r="2262" spans="3:18" x14ac:dyDescent="0.35">
      <c r="C2262" t="s">
        <v>51</v>
      </c>
      <c r="D2262" t="s">
        <v>92</v>
      </c>
      <c r="E2262" t="s">
        <v>49</v>
      </c>
      <c r="F2262" t="s">
        <v>46</v>
      </c>
      <c r="G2262" s="58">
        <v>3432645</v>
      </c>
      <c r="H2262" s="1" t="s">
        <v>48</v>
      </c>
      <c r="I2262" s="1" t="s">
        <v>105</v>
      </c>
      <c r="J2262" s="58">
        <v>10297935</v>
      </c>
      <c r="K2262" s="1" t="s">
        <v>106</v>
      </c>
      <c r="L2262" s="1" t="s">
        <v>124</v>
      </c>
      <c r="M2262" s="1" t="s">
        <v>123</v>
      </c>
      <c r="N2262" s="1">
        <v>1</v>
      </c>
      <c r="O2262" s="58"/>
      <c r="P2262" s="58">
        <v>514896.75</v>
      </c>
      <c r="Q2262" t="s">
        <v>107</v>
      </c>
      <c r="R2262" s="1" t="s">
        <v>158</v>
      </c>
    </row>
    <row r="2263" spans="3:18" x14ac:dyDescent="0.35">
      <c r="C2263" t="s">
        <v>51</v>
      </c>
      <c r="D2263" t="s">
        <v>23</v>
      </c>
      <c r="E2263" t="s">
        <v>45</v>
      </c>
      <c r="F2263" t="s">
        <v>46</v>
      </c>
      <c r="G2263" s="58">
        <v>1442480</v>
      </c>
      <c r="H2263" s="1" t="s">
        <v>47</v>
      </c>
      <c r="I2263" s="1" t="s">
        <v>111</v>
      </c>
      <c r="J2263" s="58">
        <v>21637200</v>
      </c>
      <c r="K2263" s="1" t="s">
        <v>106</v>
      </c>
      <c r="L2263" s="1" t="s">
        <v>124</v>
      </c>
      <c r="N2263" s="1">
        <v>1</v>
      </c>
      <c r="O2263" s="58"/>
      <c r="P2263" s="58">
        <v>663540.80000000005</v>
      </c>
      <c r="Q2263" t="s">
        <v>113</v>
      </c>
      <c r="R2263" s="1" t="s">
        <v>158</v>
      </c>
    </row>
    <row r="2264" spans="3:18" x14ac:dyDescent="0.35">
      <c r="C2264" t="s">
        <v>51</v>
      </c>
      <c r="D2264" t="s">
        <v>23</v>
      </c>
      <c r="E2264" t="s">
        <v>52</v>
      </c>
      <c r="F2264" t="s">
        <v>46</v>
      </c>
      <c r="G2264" s="58">
        <v>93082</v>
      </c>
      <c r="H2264" s="1" t="s">
        <v>48</v>
      </c>
      <c r="I2264" s="1" t="s">
        <v>105</v>
      </c>
      <c r="J2264" s="58">
        <v>279246</v>
      </c>
      <c r="K2264" s="1" t="s">
        <v>106</v>
      </c>
      <c r="L2264" s="1" t="s">
        <v>130</v>
      </c>
      <c r="M2264" s="1" t="s">
        <v>125</v>
      </c>
      <c r="N2264" s="1">
        <v>1</v>
      </c>
      <c r="O2264" s="58"/>
      <c r="P2264" s="58">
        <v>11169.84</v>
      </c>
      <c r="Q2264" t="s">
        <v>107</v>
      </c>
      <c r="R2264" s="1" t="s">
        <v>48</v>
      </c>
    </row>
    <row r="2265" spans="3:18" x14ac:dyDescent="0.35">
      <c r="C2265" t="s">
        <v>51</v>
      </c>
      <c r="D2265" t="s">
        <v>24</v>
      </c>
      <c r="E2265" t="s">
        <v>55</v>
      </c>
      <c r="F2265" t="s">
        <v>46</v>
      </c>
      <c r="G2265" s="58">
        <v>260693</v>
      </c>
      <c r="H2265" s="1" t="s">
        <v>59</v>
      </c>
      <c r="I2265" s="1" t="s">
        <v>108</v>
      </c>
      <c r="J2265" s="58">
        <v>8081483</v>
      </c>
      <c r="K2265" s="1" t="s">
        <v>106</v>
      </c>
      <c r="L2265" s="1" t="s">
        <v>124</v>
      </c>
      <c r="N2265" s="1">
        <v>1</v>
      </c>
      <c r="O2265" s="58"/>
      <c r="P2265" s="58">
        <v>138167.29</v>
      </c>
      <c r="Q2265" t="s">
        <v>113</v>
      </c>
      <c r="R2265" s="1" t="s">
        <v>158</v>
      </c>
    </row>
    <row r="2266" spans="3:18" x14ac:dyDescent="0.35">
      <c r="C2266" t="s">
        <v>51</v>
      </c>
      <c r="D2266" t="s">
        <v>92</v>
      </c>
      <c r="E2266" t="s">
        <v>49</v>
      </c>
      <c r="F2266" t="s">
        <v>46</v>
      </c>
      <c r="G2266" s="58">
        <v>925309</v>
      </c>
      <c r="H2266" s="1" t="s">
        <v>56</v>
      </c>
      <c r="I2266" s="1" t="s">
        <v>108</v>
      </c>
      <c r="J2266" s="58">
        <v>26833961</v>
      </c>
      <c r="K2266" s="1" t="s">
        <v>112</v>
      </c>
      <c r="N2266" s="1">
        <v>1</v>
      </c>
      <c r="O2266" s="58"/>
      <c r="P2266" s="58">
        <v>268339.61</v>
      </c>
      <c r="Q2266" t="s">
        <v>107</v>
      </c>
      <c r="R2266" s="1" t="s">
        <v>158</v>
      </c>
    </row>
    <row r="2267" spans="3:18" x14ac:dyDescent="0.35">
      <c r="C2267" t="s">
        <v>51</v>
      </c>
      <c r="D2267" t="s">
        <v>23</v>
      </c>
      <c r="E2267" t="s">
        <v>55</v>
      </c>
      <c r="F2267" t="s">
        <v>46</v>
      </c>
      <c r="G2267" s="58">
        <v>40109118</v>
      </c>
      <c r="H2267" s="1" t="s">
        <v>48</v>
      </c>
      <c r="I2267" s="1" t="s">
        <v>108</v>
      </c>
      <c r="J2267" s="58">
        <v>1403819130</v>
      </c>
      <c r="K2267" s="1" t="s">
        <v>112</v>
      </c>
      <c r="N2267" s="1">
        <v>1</v>
      </c>
      <c r="O2267" s="58"/>
      <c r="P2267" s="58">
        <v>28878564.960000001</v>
      </c>
      <c r="Q2267" t="s">
        <v>118</v>
      </c>
      <c r="R2267" s="1" t="s">
        <v>48</v>
      </c>
    </row>
    <row r="2268" spans="3:18" x14ac:dyDescent="0.35">
      <c r="C2268" t="s">
        <v>51</v>
      </c>
      <c r="D2268" t="s">
        <v>23</v>
      </c>
      <c r="E2268" t="s">
        <v>55</v>
      </c>
      <c r="F2268" t="s">
        <v>46</v>
      </c>
      <c r="G2268" s="58">
        <v>216054</v>
      </c>
      <c r="H2268" s="1" t="s">
        <v>48</v>
      </c>
      <c r="I2268" s="1" t="s">
        <v>111</v>
      </c>
      <c r="J2268" s="58">
        <v>4105026</v>
      </c>
      <c r="K2268" s="1" t="s">
        <v>106</v>
      </c>
      <c r="L2268" s="1" t="s">
        <v>120</v>
      </c>
      <c r="M2268" s="1" t="s">
        <v>115</v>
      </c>
      <c r="N2268" s="1">
        <v>1</v>
      </c>
      <c r="O2268" s="58"/>
      <c r="P2268" s="58">
        <v>166361.57999999999</v>
      </c>
      <c r="Q2268" t="s">
        <v>118</v>
      </c>
      <c r="R2268" s="1" t="s">
        <v>158</v>
      </c>
    </row>
    <row r="2269" spans="3:18" x14ac:dyDescent="0.35">
      <c r="C2269" t="s">
        <v>53</v>
      </c>
      <c r="D2269" t="s">
        <v>92</v>
      </c>
      <c r="E2269" t="s">
        <v>45</v>
      </c>
      <c r="F2269" t="s">
        <v>46</v>
      </c>
      <c r="G2269" s="58">
        <v>296014</v>
      </c>
      <c r="H2269" s="1" t="s">
        <v>59</v>
      </c>
      <c r="I2269" s="1" t="s">
        <v>111</v>
      </c>
      <c r="J2269" s="58">
        <v>4440210</v>
      </c>
      <c r="K2269" s="1" t="s">
        <v>106</v>
      </c>
      <c r="L2269" s="1" t="s">
        <v>120</v>
      </c>
      <c r="N2269" s="1">
        <v>1</v>
      </c>
      <c r="O2269" s="58"/>
      <c r="P2269" s="58">
        <v>68083.22</v>
      </c>
      <c r="Q2269" t="s">
        <v>107</v>
      </c>
      <c r="R2269" s="1" t="s">
        <v>158</v>
      </c>
    </row>
    <row r="2270" spans="3:18" x14ac:dyDescent="0.35">
      <c r="C2270" t="s">
        <v>53</v>
      </c>
      <c r="D2270" t="s">
        <v>92</v>
      </c>
      <c r="E2270" t="s">
        <v>55</v>
      </c>
      <c r="F2270" t="s">
        <v>46</v>
      </c>
      <c r="G2270" s="58">
        <v>78532</v>
      </c>
      <c r="H2270" s="1" t="s">
        <v>47</v>
      </c>
      <c r="I2270" s="1" t="s">
        <v>119</v>
      </c>
      <c r="J2270" s="58">
        <v>471192</v>
      </c>
      <c r="K2270" s="1" t="s">
        <v>106</v>
      </c>
      <c r="L2270" s="1" t="s">
        <v>114</v>
      </c>
      <c r="N2270" s="1">
        <v>1</v>
      </c>
      <c r="O2270" s="58"/>
      <c r="P2270" s="58">
        <v>22774.28</v>
      </c>
      <c r="Q2270" t="s">
        <v>107</v>
      </c>
      <c r="R2270" s="1" t="s">
        <v>158</v>
      </c>
    </row>
    <row r="2271" spans="3:18" x14ac:dyDescent="0.35">
      <c r="C2271" t="s">
        <v>51</v>
      </c>
      <c r="D2271" t="s">
        <v>24</v>
      </c>
      <c r="E2271" t="s">
        <v>52</v>
      </c>
      <c r="F2271" t="s">
        <v>46</v>
      </c>
      <c r="G2271" s="58">
        <v>604619</v>
      </c>
      <c r="H2271" s="1" t="s">
        <v>48</v>
      </c>
      <c r="I2271" s="1" t="s">
        <v>108</v>
      </c>
      <c r="J2271" s="58">
        <v>22370903</v>
      </c>
      <c r="K2271" s="1" t="s">
        <v>106</v>
      </c>
      <c r="L2271" s="1" t="s">
        <v>120</v>
      </c>
      <c r="M2271" s="1" t="s">
        <v>121</v>
      </c>
      <c r="N2271" s="1">
        <v>1</v>
      </c>
      <c r="O2271" s="58"/>
      <c r="P2271" s="58">
        <v>507879.96</v>
      </c>
      <c r="Q2271" t="s">
        <v>127</v>
      </c>
      <c r="R2271" s="1" t="s">
        <v>48</v>
      </c>
    </row>
    <row r="2272" spans="3:18" x14ac:dyDescent="0.35">
      <c r="C2272" t="s">
        <v>53</v>
      </c>
      <c r="D2272" t="s">
        <v>92</v>
      </c>
      <c r="E2272" t="s">
        <v>45</v>
      </c>
      <c r="F2272" t="s">
        <v>46</v>
      </c>
      <c r="G2272" s="58">
        <v>300151</v>
      </c>
      <c r="H2272" s="1" t="s">
        <v>59</v>
      </c>
      <c r="I2272" s="1" t="s">
        <v>111</v>
      </c>
      <c r="J2272" s="58">
        <v>3601812</v>
      </c>
      <c r="K2272" s="1" t="s">
        <v>112</v>
      </c>
      <c r="N2272" s="1">
        <v>1</v>
      </c>
      <c r="O2272" s="58"/>
      <c r="P2272" s="58">
        <v>237119.29</v>
      </c>
      <c r="Q2272" t="s">
        <v>118</v>
      </c>
      <c r="R2272" s="1" t="s">
        <v>158</v>
      </c>
    </row>
    <row r="2273" spans="3:18" x14ac:dyDescent="0.35">
      <c r="C2273" t="s">
        <v>51</v>
      </c>
      <c r="D2273" t="s">
        <v>92</v>
      </c>
      <c r="E2273" t="s">
        <v>49</v>
      </c>
      <c r="F2273" t="s">
        <v>46</v>
      </c>
      <c r="G2273" s="58">
        <v>64978251</v>
      </c>
      <c r="H2273" s="1" t="s">
        <v>56</v>
      </c>
      <c r="I2273" s="1" t="s">
        <v>108</v>
      </c>
      <c r="J2273" s="58">
        <v>1754412777</v>
      </c>
      <c r="K2273" s="1" t="s">
        <v>106</v>
      </c>
      <c r="L2273" s="1" t="s">
        <v>124</v>
      </c>
      <c r="N2273" s="1">
        <v>1</v>
      </c>
      <c r="O2273" s="58"/>
      <c r="P2273" s="58">
        <v>33138908.010000002</v>
      </c>
      <c r="Q2273" t="s">
        <v>113</v>
      </c>
      <c r="R2273" s="1" t="s">
        <v>158</v>
      </c>
    </row>
    <row r="2274" spans="3:18" x14ac:dyDescent="0.35">
      <c r="C2274" t="s">
        <v>51</v>
      </c>
      <c r="D2274" t="s">
        <v>23</v>
      </c>
      <c r="E2274" t="s">
        <v>55</v>
      </c>
      <c r="F2274" t="s">
        <v>46</v>
      </c>
      <c r="G2274" s="58">
        <v>28427</v>
      </c>
      <c r="H2274" s="1" t="s">
        <v>54</v>
      </c>
      <c r="I2274" s="1" t="s">
        <v>105</v>
      </c>
      <c r="J2274" s="58">
        <v>113708</v>
      </c>
      <c r="K2274" s="1" t="s">
        <v>106</v>
      </c>
      <c r="L2274" s="1" t="s">
        <v>114</v>
      </c>
      <c r="N2274" s="1">
        <v>1</v>
      </c>
      <c r="O2274" s="58"/>
      <c r="P2274" s="58">
        <v>12792.15</v>
      </c>
      <c r="Q2274" t="s">
        <v>113</v>
      </c>
      <c r="R2274" s="1" t="s">
        <v>158</v>
      </c>
    </row>
    <row r="2275" spans="3:18" x14ac:dyDescent="0.35">
      <c r="C2275" t="s">
        <v>51</v>
      </c>
      <c r="D2275" t="s">
        <v>21</v>
      </c>
      <c r="E2275" t="s">
        <v>49</v>
      </c>
      <c r="F2275" t="s">
        <v>46</v>
      </c>
      <c r="G2275" s="58">
        <v>1048246</v>
      </c>
      <c r="H2275" s="1" t="s">
        <v>47</v>
      </c>
      <c r="I2275" s="1" t="s">
        <v>111</v>
      </c>
      <c r="J2275" s="58">
        <v>15723690</v>
      </c>
      <c r="K2275" s="1" t="s">
        <v>106</v>
      </c>
      <c r="L2275" s="1" t="s">
        <v>114</v>
      </c>
      <c r="N2275" s="1">
        <v>1</v>
      </c>
      <c r="O2275" s="58"/>
      <c r="P2275" s="58">
        <v>513640.54</v>
      </c>
      <c r="Q2275" t="s">
        <v>113</v>
      </c>
      <c r="R2275" s="1" t="s">
        <v>158</v>
      </c>
    </row>
    <row r="2276" spans="3:18" x14ac:dyDescent="0.35">
      <c r="C2276" t="s">
        <v>51</v>
      </c>
      <c r="D2276" t="s">
        <v>21</v>
      </c>
      <c r="E2276" t="s">
        <v>50</v>
      </c>
      <c r="F2276" t="s">
        <v>46</v>
      </c>
      <c r="G2276" s="58">
        <v>199588</v>
      </c>
      <c r="H2276" s="1" t="s">
        <v>48</v>
      </c>
      <c r="I2276" s="1" t="s">
        <v>108</v>
      </c>
      <c r="J2276" s="58">
        <v>6985580</v>
      </c>
      <c r="K2276" s="1" t="s">
        <v>112</v>
      </c>
      <c r="N2276" s="1">
        <v>1</v>
      </c>
      <c r="O2276" s="58"/>
      <c r="P2276" s="58">
        <v>89814.6</v>
      </c>
      <c r="Q2276" t="s">
        <v>113</v>
      </c>
      <c r="R2276" s="1" t="s">
        <v>48</v>
      </c>
    </row>
    <row r="2277" spans="3:18" x14ac:dyDescent="0.35">
      <c r="C2277" t="s">
        <v>51</v>
      </c>
      <c r="D2277" t="s">
        <v>23</v>
      </c>
      <c r="E2277" t="s">
        <v>45</v>
      </c>
      <c r="F2277" t="s">
        <v>46</v>
      </c>
      <c r="G2277" s="58">
        <v>1094014</v>
      </c>
      <c r="H2277" s="1" t="s">
        <v>54</v>
      </c>
      <c r="I2277" s="1" t="s">
        <v>108</v>
      </c>
      <c r="J2277" s="58">
        <v>32820420</v>
      </c>
      <c r="K2277" s="1" t="s">
        <v>106</v>
      </c>
      <c r="L2277" s="1" t="s">
        <v>120</v>
      </c>
      <c r="N2277" s="1">
        <v>1</v>
      </c>
      <c r="O2277" s="58"/>
      <c r="P2277" s="58">
        <v>1400337.92</v>
      </c>
      <c r="Q2277" t="s">
        <v>110</v>
      </c>
      <c r="R2277" s="1" t="s">
        <v>158</v>
      </c>
    </row>
    <row r="2278" spans="3:18" x14ac:dyDescent="0.35">
      <c r="C2278" t="s">
        <v>51</v>
      </c>
      <c r="D2278" t="s">
        <v>22</v>
      </c>
      <c r="E2278" t="s">
        <v>45</v>
      </c>
      <c r="F2278" t="s">
        <v>46</v>
      </c>
      <c r="G2278" s="58">
        <v>295667</v>
      </c>
      <c r="H2278" s="1" t="s">
        <v>54</v>
      </c>
      <c r="I2278" s="1" t="s">
        <v>108</v>
      </c>
      <c r="J2278" s="58">
        <v>8278676</v>
      </c>
      <c r="K2278" s="1" t="s">
        <v>106</v>
      </c>
      <c r="L2278" s="1" t="s">
        <v>124</v>
      </c>
      <c r="N2278" s="1">
        <v>1</v>
      </c>
      <c r="O2278" s="58"/>
      <c r="P2278" s="58">
        <v>165573.51999999999</v>
      </c>
      <c r="Q2278" t="s">
        <v>113</v>
      </c>
      <c r="R2278" s="1" t="s">
        <v>158</v>
      </c>
    </row>
    <row r="2279" spans="3:18" x14ac:dyDescent="0.35">
      <c r="C2279" t="s">
        <v>51</v>
      </c>
      <c r="D2279" t="s">
        <v>23</v>
      </c>
      <c r="E2279" t="s">
        <v>50</v>
      </c>
      <c r="F2279" t="s">
        <v>46</v>
      </c>
      <c r="G2279" s="58">
        <v>3640200</v>
      </c>
      <c r="H2279" s="1" t="s">
        <v>48</v>
      </c>
      <c r="I2279" s="1" t="s">
        <v>108</v>
      </c>
      <c r="J2279" s="58">
        <v>141967800</v>
      </c>
      <c r="K2279" s="1" t="s">
        <v>112</v>
      </c>
      <c r="N2279" s="1">
        <v>1</v>
      </c>
      <c r="O2279" s="58"/>
      <c r="P2279" s="58">
        <v>3640200</v>
      </c>
      <c r="Q2279" t="s">
        <v>110</v>
      </c>
      <c r="R2279" s="1" t="s">
        <v>48</v>
      </c>
    </row>
    <row r="2280" spans="3:18" x14ac:dyDescent="0.35">
      <c r="C2280" t="s">
        <v>51</v>
      </c>
      <c r="D2280" t="s">
        <v>19</v>
      </c>
      <c r="E2280" t="s">
        <v>49</v>
      </c>
      <c r="F2280" t="s">
        <v>46</v>
      </c>
      <c r="G2280" s="58">
        <v>312191</v>
      </c>
      <c r="H2280" s="1" t="s">
        <v>48</v>
      </c>
      <c r="I2280" s="1" t="s">
        <v>108</v>
      </c>
      <c r="J2280" s="58">
        <v>10614494</v>
      </c>
      <c r="K2280" s="1" t="s">
        <v>106</v>
      </c>
      <c r="L2280" s="1" t="s">
        <v>124</v>
      </c>
      <c r="M2280" s="1" t="s">
        <v>123</v>
      </c>
      <c r="N2280" s="1">
        <v>1</v>
      </c>
      <c r="O2280" s="58"/>
      <c r="P2280" s="58">
        <v>215411.79</v>
      </c>
      <c r="Q2280" t="s">
        <v>118</v>
      </c>
      <c r="R2280" s="1" t="s">
        <v>158</v>
      </c>
    </row>
    <row r="2281" spans="3:18" x14ac:dyDescent="0.35">
      <c r="C2281" t="s">
        <v>51</v>
      </c>
      <c r="D2281" t="s">
        <v>92</v>
      </c>
      <c r="E2281" t="s">
        <v>45</v>
      </c>
      <c r="F2281" t="s">
        <v>46</v>
      </c>
      <c r="G2281" s="58">
        <v>461964</v>
      </c>
      <c r="H2281" s="1" t="s">
        <v>48</v>
      </c>
      <c r="I2281" s="1" t="s">
        <v>111</v>
      </c>
      <c r="J2281" s="58">
        <v>7391424</v>
      </c>
      <c r="K2281" s="1" t="s">
        <v>106</v>
      </c>
      <c r="L2281" s="1" t="s">
        <v>124</v>
      </c>
      <c r="M2281" s="1" t="s">
        <v>123</v>
      </c>
      <c r="N2281" s="1">
        <v>1</v>
      </c>
      <c r="O2281" s="58"/>
      <c r="P2281" s="58">
        <v>147828.48000000001</v>
      </c>
      <c r="Q2281" t="s">
        <v>107</v>
      </c>
      <c r="R2281" s="1" t="s">
        <v>48</v>
      </c>
    </row>
    <row r="2282" spans="3:18" x14ac:dyDescent="0.35">
      <c r="C2282" t="s">
        <v>53</v>
      </c>
      <c r="D2282" t="s">
        <v>20</v>
      </c>
      <c r="E2282" t="s">
        <v>45</v>
      </c>
      <c r="F2282" t="s">
        <v>46</v>
      </c>
      <c r="G2282" s="58">
        <v>0</v>
      </c>
      <c r="H2282" s="1" t="s">
        <v>54</v>
      </c>
      <c r="I2282" s="1" t="s">
        <v>128</v>
      </c>
      <c r="J2282" s="58"/>
      <c r="K2282" s="1" t="s">
        <v>106</v>
      </c>
      <c r="L2282" s="1" t="s">
        <v>116</v>
      </c>
      <c r="N2282" s="1">
        <v>0</v>
      </c>
      <c r="O2282" s="58"/>
      <c r="P2282" s="58">
        <v>0</v>
      </c>
      <c r="Q2282" t="s">
        <v>107</v>
      </c>
      <c r="R2282" s="1" t="s">
        <v>158</v>
      </c>
    </row>
    <row r="2283" spans="3:18" x14ac:dyDescent="0.35">
      <c r="C2283" t="s">
        <v>51</v>
      </c>
      <c r="D2283" t="s">
        <v>24</v>
      </c>
      <c r="E2283" t="s">
        <v>55</v>
      </c>
      <c r="F2283" t="s">
        <v>46</v>
      </c>
      <c r="G2283" s="58">
        <v>223806</v>
      </c>
      <c r="H2283" s="1" t="s">
        <v>54</v>
      </c>
      <c r="I2283" s="1" t="s">
        <v>119</v>
      </c>
      <c r="J2283" s="58">
        <v>1566642</v>
      </c>
      <c r="K2283" s="1" t="s">
        <v>106</v>
      </c>
      <c r="L2283" s="1" t="s">
        <v>120</v>
      </c>
      <c r="N2283" s="1">
        <v>1</v>
      </c>
      <c r="O2283" s="58"/>
      <c r="P2283" s="58">
        <v>40285.08</v>
      </c>
      <c r="Q2283" t="s">
        <v>107</v>
      </c>
      <c r="R2283" s="1" t="s">
        <v>158</v>
      </c>
    </row>
    <row r="2284" spans="3:18" x14ac:dyDescent="0.35">
      <c r="C2284" t="s">
        <v>53</v>
      </c>
      <c r="D2284" t="s">
        <v>22</v>
      </c>
      <c r="E2284" t="s">
        <v>55</v>
      </c>
      <c r="F2284" t="s">
        <v>46</v>
      </c>
      <c r="G2284" s="58">
        <v>118926</v>
      </c>
      <c r="H2284" s="1" t="s">
        <v>54</v>
      </c>
      <c r="I2284" s="1" t="s">
        <v>105</v>
      </c>
      <c r="J2284" s="58"/>
      <c r="K2284" s="1" t="s">
        <v>106</v>
      </c>
      <c r="L2284" s="1" t="s">
        <v>114</v>
      </c>
      <c r="N2284" s="1">
        <v>0</v>
      </c>
      <c r="O2284" s="58"/>
      <c r="P2284" s="58">
        <v>0</v>
      </c>
      <c r="Q2284" t="s">
        <v>107</v>
      </c>
      <c r="R2284" s="1" t="s">
        <v>158</v>
      </c>
    </row>
    <row r="2285" spans="3:18" x14ac:dyDescent="0.35">
      <c r="C2285" t="s">
        <v>51</v>
      </c>
      <c r="D2285" t="s">
        <v>22</v>
      </c>
      <c r="E2285" t="s">
        <v>45</v>
      </c>
      <c r="F2285" t="s">
        <v>46</v>
      </c>
      <c r="G2285" s="58">
        <v>6445400</v>
      </c>
      <c r="H2285" s="1" t="s">
        <v>48</v>
      </c>
      <c r="I2285" s="1" t="s">
        <v>108</v>
      </c>
      <c r="J2285" s="58">
        <v>244925200</v>
      </c>
      <c r="K2285" s="1" t="s">
        <v>112</v>
      </c>
      <c r="N2285" s="1">
        <v>1</v>
      </c>
      <c r="O2285" s="58"/>
      <c r="P2285" s="58">
        <v>6445400</v>
      </c>
      <c r="Q2285" t="s">
        <v>110</v>
      </c>
      <c r="R2285" s="1" t="s">
        <v>48</v>
      </c>
    </row>
    <row r="2286" spans="3:18" x14ac:dyDescent="0.35">
      <c r="C2286" t="s">
        <v>51</v>
      </c>
      <c r="D2286" t="s">
        <v>91</v>
      </c>
      <c r="E2286" t="s">
        <v>49</v>
      </c>
      <c r="F2286" t="s">
        <v>46</v>
      </c>
      <c r="G2286" s="58">
        <v>3150308</v>
      </c>
      <c r="H2286" s="1" t="s">
        <v>54</v>
      </c>
      <c r="I2286" s="1" t="s">
        <v>119</v>
      </c>
      <c r="J2286" s="58">
        <v>22052156</v>
      </c>
      <c r="K2286" s="1" t="s">
        <v>106</v>
      </c>
      <c r="L2286" s="1" t="s">
        <v>124</v>
      </c>
      <c r="N2286" s="1">
        <v>1</v>
      </c>
      <c r="O2286" s="58"/>
      <c r="P2286" s="58">
        <v>661564.68000000005</v>
      </c>
      <c r="Q2286" t="s">
        <v>107</v>
      </c>
      <c r="R2286" s="1" t="s">
        <v>158</v>
      </c>
    </row>
    <row r="2287" spans="3:18" x14ac:dyDescent="0.35">
      <c r="C2287" t="s">
        <v>51</v>
      </c>
      <c r="D2287" t="s">
        <v>19</v>
      </c>
      <c r="E2287" t="s">
        <v>49</v>
      </c>
      <c r="F2287" t="s">
        <v>46</v>
      </c>
      <c r="G2287" s="58">
        <v>290113</v>
      </c>
      <c r="H2287" s="1" t="s">
        <v>59</v>
      </c>
      <c r="I2287" s="1" t="s">
        <v>108</v>
      </c>
      <c r="J2287" s="58">
        <v>9863842</v>
      </c>
      <c r="K2287" s="1" t="s">
        <v>106</v>
      </c>
      <c r="L2287" s="1" t="s">
        <v>114</v>
      </c>
      <c r="N2287" s="1">
        <v>1</v>
      </c>
      <c r="O2287" s="58"/>
      <c r="P2287" s="58">
        <v>133451.98000000001</v>
      </c>
      <c r="Q2287" t="s">
        <v>113</v>
      </c>
      <c r="R2287" s="1" t="s">
        <v>158</v>
      </c>
    </row>
    <row r="2288" spans="3:18" x14ac:dyDescent="0.35">
      <c r="C2288" t="s">
        <v>51</v>
      </c>
      <c r="D2288" t="s">
        <v>20</v>
      </c>
      <c r="E2288" t="s">
        <v>49</v>
      </c>
      <c r="F2288" t="s">
        <v>46</v>
      </c>
      <c r="G2288" s="58">
        <v>1318574</v>
      </c>
      <c r="H2288" s="1" t="s">
        <v>56</v>
      </c>
      <c r="I2288" s="1" t="s">
        <v>108</v>
      </c>
      <c r="J2288" s="58">
        <v>43512942</v>
      </c>
      <c r="K2288" s="1" t="s">
        <v>112</v>
      </c>
      <c r="N2288" s="1">
        <v>1</v>
      </c>
      <c r="O2288" s="58"/>
      <c r="P2288" s="58">
        <v>909816.06</v>
      </c>
      <c r="Q2288" t="s">
        <v>118</v>
      </c>
      <c r="R2288" s="1" t="s">
        <v>158</v>
      </c>
    </row>
    <row r="2289" spans="3:18" x14ac:dyDescent="0.35">
      <c r="C2289" t="s">
        <v>51</v>
      </c>
      <c r="D2289" t="s">
        <v>24</v>
      </c>
      <c r="E2289" t="s">
        <v>50</v>
      </c>
      <c r="F2289" t="s">
        <v>46</v>
      </c>
      <c r="G2289" s="58">
        <v>887841</v>
      </c>
      <c r="H2289" s="1" t="s">
        <v>54</v>
      </c>
      <c r="I2289" s="1" t="s">
        <v>108</v>
      </c>
      <c r="J2289" s="58">
        <v>27523071</v>
      </c>
      <c r="K2289" s="1" t="s">
        <v>106</v>
      </c>
      <c r="L2289" s="1" t="s">
        <v>109</v>
      </c>
      <c r="N2289" s="1">
        <v>1</v>
      </c>
      <c r="O2289" s="58"/>
      <c r="P2289" s="58">
        <v>745786.44</v>
      </c>
      <c r="Q2289" t="s">
        <v>127</v>
      </c>
      <c r="R2289" s="1" t="s">
        <v>158</v>
      </c>
    </row>
    <row r="2290" spans="3:18" x14ac:dyDescent="0.35">
      <c r="C2290" t="s">
        <v>51</v>
      </c>
      <c r="D2290" t="s">
        <v>24</v>
      </c>
      <c r="E2290" t="s">
        <v>62</v>
      </c>
      <c r="F2290" t="s">
        <v>46</v>
      </c>
      <c r="G2290" s="58">
        <v>24827</v>
      </c>
      <c r="H2290" s="1" t="s">
        <v>48</v>
      </c>
      <c r="I2290" s="1" t="s">
        <v>105</v>
      </c>
      <c r="J2290" s="58">
        <v>124135</v>
      </c>
      <c r="K2290" s="1" t="s">
        <v>106</v>
      </c>
      <c r="L2290" s="1" t="s">
        <v>131</v>
      </c>
      <c r="M2290" s="1" t="s">
        <v>121</v>
      </c>
      <c r="N2290" s="1">
        <v>1</v>
      </c>
      <c r="O2290" s="58"/>
      <c r="P2290" s="58">
        <v>11916.96</v>
      </c>
      <c r="Q2290" t="s">
        <v>113</v>
      </c>
      <c r="R2290" s="1" t="s">
        <v>48</v>
      </c>
    </row>
    <row r="2291" spans="3:18" x14ac:dyDescent="0.35">
      <c r="C2291" t="s">
        <v>53</v>
      </c>
      <c r="D2291" t="s">
        <v>19</v>
      </c>
      <c r="E2291" t="s">
        <v>49</v>
      </c>
      <c r="F2291" t="s">
        <v>46</v>
      </c>
      <c r="G2291" s="58">
        <v>36952</v>
      </c>
      <c r="H2291" s="1" t="s">
        <v>48</v>
      </c>
      <c r="I2291" s="1" t="s">
        <v>105</v>
      </c>
      <c r="J2291" s="58">
        <v>110856</v>
      </c>
      <c r="K2291" s="1" t="s">
        <v>106</v>
      </c>
      <c r="L2291" s="1" t="s">
        <v>124</v>
      </c>
      <c r="M2291" s="1" t="s">
        <v>122</v>
      </c>
      <c r="N2291" s="1">
        <v>1</v>
      </c>
      <c r="O2291" s="58"/>
      <c r="P2291" s="58">
        <v>14041.76</v>
      </c>
      <c r="Q2291" t="s">
        <v>107</v>
      </c>
      <c r="R2291" s="1" t="s">
        <v>158</v>
      </c>
    </row>
    <row r="2292" spans="3:18" x14ac:dyDescent="0.35">
      <c r="C2292" t="s">
        <v>51</v>
      </c>
      <c r="D2292" t="s">
        <v>91</v>
      </c>
      <c r="E2292" t="s">
        <v>49</v>
      </c>
      <c r="F2292" t="s">
        <v>64</v>
      </c>
      <c r="G2292" s="58">
        <v>344917</v>
      </c>
      <c r="H2292" s="1" t="s">
        <v>48</v>
      </c>
      <c r="I2292" s="1" t="s">
        <v>108</v>
      </c>
      <c r="J2292" s="58">
        <v>12761929</v>
      </c>
      <c r="K2292" s="1" t="s">
        <v>112</v>
      </c>
      <c r="N2292" s="1">
        <v>1</v>
      </c>
      <c r="O2292" s="58"/>
      <c r="P2292" s="58">
        <v>293179.45</v>
      </c>
      <c r="Q2292" t="s">
        <v>127</v>
      </c>
      <c r="R2292" s="1" t="s">
        <v>48</v>
      </c>
    </row>
    <row r="2293" spans="3:18" x14ac:dyDescent="0.35">
      <c r="C2293" t="s">
        <v>53</v>
      </c>
      <c r="D2293" t="s">
        <v>60</v>
      </c>
      <c r="E2293" t="s">
        <v>60</v>
      </c>
      <c r="F2293" t="s">
        <v>46</v>
      </c>
      <c r="G2293" s="58">
        <v>239876</v>
      </c>
      <c r="H2293" s="1" t="s">
        <v>61</v>
      </c>
      <c r="I2293" s="1" t="s">
        <v>119</v>
      </c>
      <c r="J2293" s="58">
        <v>1679132</v>
      </c>
      <c r="K2293" s="1" t="s">
        <v>106</v>
      </c>
      <c r="N2293" s="1">
        <v>1</v>
      </c>
      <c r="O2293" s="58"/>
      <c r="P2293" s="58">
        <v>211090.88</v>
      </c>
      <c r="Q2293" t="s">
        <v>127</v>
      </c>
    </row>
    <row r="2294" spans="3:18" x14ac:dyDescent="0.35">
      <c r="C2294" t="s">
        <v>53</v>
      </c>
      <c r="D2294" t="s">
        <v>60</v>
      </c>
      <c r="E2294" t="s">
        <v>60</v>
      </c>
      <c r="F2294" t="s">
        <v>46</v>
      </c>
      <c r="G2294" s="58">
        <v>5999476</v>
      </c>
      <c r="H2294" s="1" t="s">
        <v>90</v>
      </c>
      <c r="I2294" s="1" t="s">
        <v>105</v>
      </c>
      <c r="J2294" s="58">
        <v>17998428</v>
      </c>
      <c r="K2294" s="1" t="s">
        <v>106</v>
      </c>
      <c r="N2294" s="1">
        <v>1</v>
      </c>
      <c r="O2294" s="58"/>
      <c r="P2294" s="58">
        <v>479958.08</v>
      </c>
      <c r="Q2294" t="s">
        <v>107</v>
      </c>
      <c r="R2294" s="1" t="s">
        <v>90</v>
      </c>
    </row>
    <row r="2295" spans="3:18" x14ac:dyDescent="0.35">
      <c r="C2295" t="s">
        <v>51</v>
      </c>
      <c r="D2295" t="s">
        <v>22</v>
      </c>
      <c r="E2295" t="s">
        <v>45</v>
      </c>
      <c r="F2295" t="s">
        <v>46</v>
      </c>
      <c r="G2295" s="58">
        <v>1840595</v>
      </c>
      <c r="H2295" s="1" t="s">
        <v>48</v>
      </c>
      <c r="I2295" s="1" t="s">
        <v>111</v>
      </c>
      <c r="J2295" s="58">
        <v>31290115</v>
      </c>
      <c r="K2295" s="1" t="s">
        <v>112</v>
      </c>
      <c r="N2295" s="1">
        <v>1</v>
      </c>
      <c r="O2295" s="58"/>
      <c r="P2295" s="58">
        <v>957109.4</v>
      </c>
      <c r="Q2295" t="s">
        <v>113</v>
      </c>
      <c r="R2295" s="1" t="s">
        <v>48</v>
      </c>
    </row>
    <row r="2296" spans="3:18" x14ac:dyDescent="0.35">
      <c r="C2296" t="s">
        <v>51</v>
      </c>
      <c r="D2296" t="s">
        <v>23</v>
      </c>
      <c r="E2296" t="s">
        <v>49</v>
      </c>
      <c r="F2296" t="s">
        <v>46</v>
      </c>
      <c r="G2296" s="58">
        <v>1318675</v>
      </c>
      <c r="H2296" s="1" t="s">
        <v>56</v>
      </c>
      <c r="I2296" s="1" t="s">
        <v>108</v>
      </c>
      <c r="J2296" s="58">
        <v>31648200</v>
      </c>
      <c r="K2296" s="1" t="s">
        <v>106</v>
      </c>
      <c r="L2296" s="1" t="s">
        <v>124</v>
      </c>
      <c r="N2296" s="1">
        <v>1</v>
      </c>
      <c r="O2296" s="58"/>
      <c r="P2296" s="58">
        <v>395602.5</v>
      </c>
      <c r="Q2296" t="s">
        <v>107</v>
      </c>
      <c r="R2296" s="1" t="s">
        <v>158</v>
      </c>
    </row>
    <row r="2297" spans="3:18" x14ac:dyDescent="0.35">
      <c r="C2297" t="s">
        <v>51</v>
      </c>
      <c r="D2297" t="s">
        <v>19</v>
      </c>
      <c r="E2297" t="s">
        <v>49</v>
      </c>
      <c r="F2297" t="s">
        <v>46</v>
      </c>
      <c r="G2297" s="58">
        <v>929453</v>
      </c>
      <c r="H2297" s="1" t="s">
        <v>59</v>
      </c>
      <c r="I2297" s="1" t="s">
        <v>108</v>
      </c>
      <c r="J2297" s="58">
        <v>32530855</v>
      </c>
      <c r="K2297" s="1" t="s">
        <v>106</v>
      </c>
      <c r="L2297" s="1" t="s">
        <v>120</v>
      </c>
      <c r="N2297" s="1">
        <v>1</v>
      </c>
      <c r="O2297" s="58"/>
      <c r="P2297" s="58">
        <v>622733.51</v>
      </c>
      <c r="Q2297" t="s">
        <v>118</v>
      </c>
      <c r="R2297" s="1" t="s">
        <v>158</v>
      </c>
    </row>
    <row r="2298" spans="3:18" x14ac:dyDescent="0.35">
      <c r="C2298" t="s">
        <v>51</v>
      </c>
      <c r="D2298" t="s">
        <v>22</v>
      </c>
      <c r="E2298" t="s">
        <v>45</v>
      </c>
      <c r="F2298" t="s">
        <v>46</v>
      </c>
      <c r="G2298" s="58">
        <v>14964</v>
      </c>
      <c r="H2298" s="1" t="s">
        <v>47</v>
      </c>
      <c r="I2298" s="1" t="s">
        <v>119</v>
      </c>
      <c r="J2298" s="58">
        <v>74820</v>
      </c>
      <c r="K2298" s="1" t="s">
        <v>106</v>
      </c>
      <c r="L2298" s="1" t="s">
        <v>124</v>
      </c>
      <c r="N2298" s="1">
        <v>1</v>
      </c>
      <c r="O2298" s="58"/>
      <c r="P2298" s="58">
        <v>22446</v>
      </c>
      <c r="Q2298" t="s">
        <v>110</v>
      </c>
      <c r="R2298" s="1" t="s">
        <v>158</v>
      </c>
    </row>
    <row r="2299" spans="3:18" x14ac:dyDescent="0.35">
      <c r="C2299" t="s">
        <v>51</v>
      </c>
      <c r="D2299" t="s">
        <v>20</v>
      </c>
      <c r="E2299" t="s">
        <v>49</v>
      </c>
      <c r="F2299" t="s">
        <v>46</v>
      </c>
      <c r="G2299" s="58">
        <v>1605961</v>
      </c>
      <c r="H2299" s="1" t="s">
        <v>48</v>
      </c>
      <c r="I2299" s="1" t="s">
        <v>108</v>
      </c>
      <c r="J2299" s="58">
        <v>44966908</v>
      </c>
      <c r="K2299" s="1" t="s">
        <v>106</v>
      </c>
      <c r="L2299" s="1" t="s">
        <v>124</v>
      </c>
      <c r="M2299" s="1" t="s">
        <v>126</v>
      </c>
      <c r="N2299" s="1">
        <v>1</v>
      </c>
      <c r="O2299" s="58"/>
      <c r="P2299" s="58">
        <v>433609.47</v>
      </c>
      <c r="Q2299" t="s">
        <v>107</v>
      </c>
      <c r="R2299" s="1" t="s">
        <v>48</v>
      </c>
    </row>
    <row r="2300" spans="3:18" x14ac:dyDescent="0.35">
      <c r="C2300" t="s">
        <v>51</v>
      </c>
      <c r="D2300" t="s">
        <v>22</v>
      </c>
      <c r="E2300" t="s">
        <v>52</v>
      </c>
      <c r="F2300" t="s">
        <v>46</v>
      </c>
      <c r="G2300" s="58">
        <v>5932564</v>
      </c>
      <c r="H2300" s="1" t="s">
        <v>48</v>
      </c>
      <c r="I2300" s="1" t="s">
        <v>108</v>
      </c>
      <c r="J2300" s="58">
        <v>189842048</v>
      </c>
      <c r="K2300" s="1" t="s">
        <v>112</v>
      </c>
      <c r="N2300" s="1">
        <v>1</v>
      </c>
      <c r="O2300" s="58"/>
      <c r="P2300" s="58">
        <v>4212120.4400000004</v>
      </c>
      <c r="Q2300" t="s">
        <v>118</v>
      </c>
      <c r="R2300" s="1" t="s">
        <v>48</v>
      </c>
    </row>
    <row r="2301" spans="3:18" x14ac:dyDescent="0.35">
      <c r="C2301" t="s">
        <v>51</v>
      </c>
      <c r="D2301" t="s">
        <v>19</v>
      </c>
      <c r="E2301" t="s">
        <v>49</v>
      </c>
      <c r="F2301" t="s">
        <v>46</v>
      </c>
      <c r="G2301" s="58">
        <v>13172161</v>
      </c>
      <c r="H2301" s="1" t="s">
        <v>47</v>
      </c>
      <c r="I2301" s="1" t="s">
        <v>111</v>
      </c>
      <c r="J2301" s="58">
        <v>223926737</v>
      </c>
      <c r="K2301" s="1" t="s">
        <v>106</v>
      </c>
      <c r="L2301" s="1" t="s">
        <v>124</v>
      </c>
      <c r="N2301" s="1">
        <v>1</v>
      </c>
      <c r="O2301" s="58"/>
      <c r="P2301" s="58">
        <v>8693626.2599999998</v>
      </c>
      <c r="Q2301" t="s">
        <v>118</v>
      </c>
      <c r="R2301" s="1" t="s">
        <v>158</v>
      </c>
    </row>
    <row r="2302" spans="3:18" x14ac:dyDescent="0.35">
      <c r="C2302" t="s">
        <v>51</v>
      </c>
      <c r="D2302" t="s">
        <v>21</v>
      </c>
      <c r="E2302" t="s">
        <v>55</v>
      </c>
      <c r="F2302" t="s">
        <v>46</v>
      </c>
      <c r="G2302" s="58">
        <v>245888</v>
      </c>
      <c r="H2302" s="1" t="s">
        <v>48</v>
      </c>
      <c r="I2302" s="1" t="s">
        <v>111</v>
      </c>
      <c r="J2302" s="58">
        <v>3196544</v>
      </c>
      <c r="K2302" s="1" t="s">
        <v>106</v>
      </c>
      <c r="L2302" s="1" t="s">
        <v>114</v>
      </c>
      <c r="M2302" s="1" t="s">
        <v>126</v>
      </c>
      <c r="N2302" s="1">
        <v>1</v>
      </c>
      <c r="O2302" s="58"/>
      <c r="P2302" s="58">
        <v>201628.16</v>
      </c>
      <c r="Q2302" t="s">
        <v>127</v>
      </c>
      <c r="R2302" s="1" t="s">
        <v>48</v>
      </c>
    </row>
    <row r="2303" spans="3:18" x14ac:dyDescent="0.35">
      <c r="C2303" t="s">
        <v>53</v>
      </c>
      <c r="D2303" t="s">
        <v>21</v>
      </c>
      <c r="E2303" t="s">
        <v>55</v>
      </c>
      <c r="F2303" t="s">
        <v>46</v>
      </c>
      <c r="G2303" s="58">
        <v>2</v>
      </c>
      <c r="H2303" s="1" t="s">
        <v>54</v>
      </c>
      <c r="I2303" s="1" t="s">
        <v>128</v>
      </c>
      <c r="J2303" s="58"/>
      <c r="K2303" s="1" t="s">
        <v>106</v>
      </c>
      <c r="L2303" s="1" t="s">
        <v>114</v>
      </c>
      <c r="N2303" s="1">
        <v>0</v>
      </c>
      <c r="O2303" s="58"/>
      <c r="P2303" s="58">
        <v>0</v>
      </c>
      <c r="Q2303" t="s">
        <v>107</v>
      </c>
      <c r="R2303" s="1" t="s">
        <v>158</v>
      </c>
    </row>
    <row r="2304" spans="3:18" x14ac:dyDescent="0.35">
      <c r="C2304" t="s">
        <v>51</v>
      </c>
      <c r="D2304" t="s">
        <v>91</v>
      </c>
      <c r="E2304" t="s">
        <v>49</v>
      </c>
      <c r="F2304" t="s">
        <v>46</v>
      </c>
      <c r="G2304" s="58">
        <v>40781</v>
      </c>
      <c r="H2304" s="1" t="s">
        <v>54</v>
      </c>
      <c r="I2304" s="1" t="s">
        <v>105</v>
      </c>
      <c r="J2304" s="58">
        <v>163124</v>
      </c>
      <c r="K2304" s="1" t="s">
        <v>106</v>
      </c>
      <c r="L2304" s="1" t="s">
        <v>124</v>
      </c>
      <c r="N2304" s="1">
        <v>1</v>
      </c>
      <c r="O2304" s="58"/>
      <c r="P2304" s="58">
        <v>17535.830000000002</v>
      </c>
      <c r="Q2304" t="s">
        <v>113</v>
      </c>
      <c r="R2304" s="1" t="s">
        <v>158</v>
      </c>
    </row>
    <row r="2305" spans="3:18" x14ac:dyDescent="0.35">
      <c r="C2305" t="s">
        <v>51</v>
      </c>
      <c r="D2305" t="s">
        <v>19</v>
      </c>
      <c r="E2305" t="s">
        <v>49</v>
      </c>
      <c r="F2305" t="s">
        <v>46</v>
      </c>
      <c r="G2305" s="58">
        <v>532314</v>
      </c>
      <c r="H2305" s="1" t="s">
        <v>54</v>
      </c>
      <c r="I2305" s="1" t="s">
        <v>108</v>
      </c>
      <c r="J2305" s="58">
        <v>13840164</v>
      </c>
      <c r="K2305" s="1" t="s">
        <v>112</v>
      </c>
      <c r="N2305" s="1">
        <v>1</v>
      </c>
      <c r="O2305" s="58"/>
      <c r="P2305" s="58">
        <v>260833.86</v>
      </c>
      <c r="Q2305" t="s">
        <v>113</v>
      </c>
      <c r="R2305" s="1" t="s">
        <v>158</v>
      </c>
    </row>
    <row r="2306" spans="3:18" x14ac:dyDescent="0.35">
      <c r="C2306" t="s">
        <v>53</v>
      </c>
      <c r="D2306" t="s">
        <v>23</v>
      </c>
      <c r="E2306" t="s">
        <v>45</v>
      </c>
      <c r="F2306" t="s">
        <v>46</v>
      </c>
      <c r="G2306" s="58">
        <v>246054</v>
      </c>
      <c r="H2306" s="1" t="s">
        <v>47</v>
      </c>
      <c r="I2306" s="1" t="s">
        <v>105</v>
      </c>
      <c r="J2306" s="58">
        <v>738162</v>
      </c>
      <c r="K2306" s="1" t="s">
        <v>106</v>
      </c>
      <c r="L2306" s="1" t="s">
        <v>120</v>
      </c>
      <c r="N2306" s="1">
        <v>1</v>
      </c>
      <c r="O2306" s="58"/>
      <c r="P2306" s="58">
        <v>187001.04</v>
      </c>
      <c r="Q2306" t="s">
        <v>118</v>
      </c>
      <c r="R2306" s="1" t="s">
        <v>158</v>
      </c>
    </row>
    <row r="2307" spans="3:18" x14ac:dyDescent="0.35">
      <c r="C2307" t="s">
        <v>53</v>
      </c>
      <c r="D2307" t="s">
        <v>23</v>
      </c>
      <c r="E2307" t="s">
        <v>45</v>
      </c>
      <c r="F2307" t="s">
        <v>46</v>
      </c>
      <c r="G2307" s="58">
        <v>1004176</v>
      </c>
      <c r="H2307" s="1" t="s">
        <v>47</v>
      </c>
      <c r="I2307" s="1" t="s">
        <v>119</v>
      </c>
      <c r="J2307" s="58">
        <v>10041760</v>
      </c>
      <c r="K2307" s="1" t="s">
        <v>112</v>
      </c>
      <c r="N2307" s="1">
        <v>1</v>
      </c>
      <c r="O2307" s="58"/>
      <c r="P2307" s="58">
        <v>371545.12</v>
      </c>
      <c r="Q2307" t="s">
        <v>107</v>
      </c>
      <c r="R2307" s="1" t="s">
        <v>158</v>
      </c>
    </row>
    <row r="2308" spans="3:18" x14ac:dyDescent="0.35">
      <c r="C2308" t="s">
        <v>53</v>
      </c>
      <c r="D2308" t="s">
        <v>21</v>
      </c>
      <c r="E2308" t="s">
        <v>49</v>
      </c>
      <c r="F2308" t="s">
        <v>46</v>
      </c>
      <c r="G2308" s="58">
        <v>16611858</v>
      </c>
      <c r="H2308" s="1" t="s">
        <v>47</v>
      </c>
      <c r="I2308" s="1" t="s">
        <v>111</v>
      </c>
      <c r="J2308" s="58">
        <v>232566012</v>
      </c>
      <c r="K2308" s="1" t="s">
        <v>106</v>
      </c>
      <c r="L2308" s="1" t="s">
        <v>120</v>
      </c>
      <c r="N2308" s="1">
        <v>1</v>
      </c>
      <c r="O2308" s="58"/>
      <c r="P2308" s="58">
        <v>12957249.24</v>
      </c>
      <c r="Q2308" t="s">
        <v>118</v>
      </c>
      <c r="R2308" s="1" t="s">
        <v>158</v>
      </c>
    </row>
    <row r="2309" spans="3:18" x14ac:dyDescent="0.35">
      <c r="C2309" t="s">
        <v>51</v>
      </c>
      <c r="D2309" t="s">
        <v>23</v>
      </c>
      <c r="E2309" t="s">
        <v>50</v>
      </c>
      <c r="F2309" t="s">
        <v>46</v>
      </c>
      <c r="G2309" s="58">
        <v>173957</v>
      </c>
      <c r="H2309" s="1" t="s">
        <v>48</v>
      </c>
      <c r="I2309" s="1" t="s">
        <v>111</v>
      </c>
      <c r="J2309" s="58">
        <v>3305183</v>
      </c>
      <c r="K2309" s="1" t="s">
        <v>106</v>
      </c>
      <c r="L2309" s="1" t="s">
        <v>114</v>
      </c>
      <c r="M2309" s="1" t="s">
        <v>125</v>
      </c>
      <c r="N2309" s="1">
        <v>1</v>
      </c>
      <c r="O2309" s="58"/>
      <c r="P2309" s="58">
        <v>45228.82</v>
      </c>
      <c r="Q2309" t="s">
        <v>107</v>
      </c>
      <c r="R2309" s="1" t="s">
        <v>48</v>
      </c>
    </row>
    <row r="2310" spans="3:18" x14ac:dyDescent="0.35">
      <c r="C2310" t="s">
        <v>51</v>
      </c>
      <c r="D2310" t="s">
        <v>20</v>
      </c>
      <c r="E2310" t="s">
        <v>49</v>
      </c>
      <c r="F2310" t="s">
        <v>46</v>
      </c>
      <c r="G2310" s="58">
        <v>608790</v>
      </c>
      <c r="H2310" s="1" t="s">
        <v>48</v>
      </c>
      <c r="I2310" s="1" t="s">
        <v>108</v>
      </c>
      <c r="J2310" s="58">
        <v>21307650</v>
      </c>
      <c r="K2310" s="1" t="s">
        <v>106</v>
      </c>
      <c r="L2310" s="1" t="s">
        <v>124</v>
      </c>
      <c r="M2310" s="1" t="s">
        <v>122</v>
      </c>
      <c r="N2310" s="1">
        <v>1</v>
      </c>
      <c r="O2310" s="58"/>
      <c r="P2310" s="58">
        <v>438328.8</v>
      </c>
      <c r="Q2310" t="s">
        <v>118</v>
      </c>
      <c r="R2310" s="1" t="s">
        <v>48</v>
      </c>
    </row>
    <row r="2311" spans="3:18" x14ac:dyDescent="0.35">
      <c r="C2311" t="s">
        <v>44</v>
      </c>
      <c r="D2311" t="s">
        <v>23</v>
      </c>
      <c r="E2311" t="s">
        <v>45</v>
      </c>
      <c r="F2311" t="s">
        <v>46</v>
      </c>
      <c r="G2311" s="58">
        <v>152454</v>
      </c>
      <c r="H2311" s="1" t="s">
        <v>54</v>
      </c>
      <c r="I2311" s="1" t="s">
        <v>108</v>
      </c>
      <c r="J2311" s="58"/>
      <c r="N2311" s="1">
        <v>0</v>
      </c>
      <c r="O2311" s="58"/>
      <c r="P2311" s="58"/>
      <c r="R2311" s="1" t="s">
        <v>158</v>
      </c>
    </row>
    <row r="2312" spans="3:18" x14ac:dyDescent="0.35">
      <c r="C2312" t="s">
        <v>53</v>
      </c>
      <c r="D2312" t="s">
        <v>25</v>
      </c>
      <c r="E2312" t="s">
        <v>45</v>
      </c>
      <c r="F2312" t="s">
        <v>46</v>
      </c>
      <c r="G2312" s="58">
        <v>178977</v>
      </c>
      <c r="H2312" s="1" t="s">
        <v>47</v>
      </c>
      <c r="I2312" s="1" t="s">
        <v>111</v>
      </c>
      <c r="J2312" s="58">
        <v>1789770</v>
      </c>
      <c r="K2312" s="1" t="s">
        <v>106</v>
      </c>
      <c r="L2312" s="1" t="s">
        <v>120</v>
      </c>
      <c r="N2312" s="1">
        <v>1</v>
      </c>
      <c r="O2312" s="58"/>
      <c r="P2312" s="58">
        <v>94857.81</v>
      </c>
      <c r="Q2312" t="s">
        <v>113</v>
      </c>
      <c r="R2312" s="1" t="s">
        <v>158</v>
      </c>
    </row>
    <row r="2313" spans="3:18" x14ac:dyDescent="0.35">
      <c r="C2313" t="s">
        <v>51</v>
      </c>
      <c r="D2313" t="s">
        <v>22</v>
      </c>
      <c r="E2313" t="s">
        <v>49</v>
      </c>
      <c r="F2313" t="s">
        <v>46</v>
      </c>
      <c r="G2313" s="58">
        <v>2416709</v>
      </c>
      <c r="H2313" s="1" t="s">
        <v>54</v>
      </c>
      <c r="I2313" s="1" t="s">
        <v>105</v>
      </c>
      <c r="J2313" s="58">
        <v>7250127</v>
      </c>
      <c r="K2313" s="1" t="s">
        <v>112</v>
      </c>
      <c r="N2313" s="1">
        <v>1</v>
      </c>
      <c r="O2313" s="58"/>
      <c r="P2313" s="58">
        <v>241670.9</v>
      </c>
      <c r="Q2313" t="s">
        <v>107</v>
      </c>
      <c r="R2313" s="1" t="s">
        <v>158</v>
      </c>
    </row>
    <row r="2314" spans="3:18" x14ac:dyDescent="0.35">
      <c r="C2314" t="s">
        <v>51</v>
      </c>
      <c r="D2314" t="s">
        <v>22</v>
      </c>
      <c r="E2314" t="s">
        <v>55</v>
      </c>
      <c r="F2314" t="s">
        <v>46</v>
      </c>
      <c r="G2314" s="58">
        <v>47827884</v>
      </c>
      <c r="H2314" s="1" t="s">
        <v>48</v>
      </c>
      <c r="I2314" s="1" t="s">
        <v>108</v>
      </c>
      <c r="J2314" s="58">
        <v>1530492288</v>
      </c>
      <c r="K2314" s="1" t="s">
        <v>106</v>
      </c>
      <c r="L2314" s="1" t="s">
        <v>114</v>
      </c>
      <c r="M2314" s="1" t="s">
        <v>115</v>
      </c>
      <c r="N2314" s="1">
        <v>1</v>
      </c>
      <c r="O2314" s="58"/>
      <c r="P2314" s="58">
        <v>33957797.640000001</v>
      </c>
      <c r="Q2314" t="s">
        <v>118</v>
      </c>
      <c r="R2314" s="1" t="s">
        <v>158</v>
      </c>
    </row>
    <row r="2315" spans="3:18" x14ac:dyDescent="0.35">
      <c r="C2315" t="s">
        <v>53</v>
      </c>
      <c r="D2315" t="s">
        <v>22</v>
      </c>
      <c r="E2315" t="s">
        <v>45</v>
      </c>
      <c r="F2315" t="s">
        <v>46</v>
      </c>
      <c r="G2315" s="58">
        <v>7194828</v>
      </c>
      <c r="H2315" s="1" t="s">
        <v>47</v>
      </c>
      <c r="I2315" s="1" t="s">
        <v>105</v>
      </c>
      <c r="J2315" s="58">
        <v>28779312</v>
      </c>
      <c r="K2315" s="1" t="s">
        <v>112</v>
      </c>
      <c r="N2315" s="1">
        <v>1</v>
      </c>
      <c r="O2315" s="58"/>
      <c r="P2315" s="58">
        <v>3669362.28</v>
      </c>
      <c r="Q2315" t="s">
        <v>113</v>
      </c>
      <c r="R2315" s="1" t="s">
        <v>158</v>
      </c>
    </row>
    <row r="2316" spans="3:18" x14ac:dyDescent="0.35">
      <c r="C2316" t="s">
        <v>44</v>
      </c>
      <c r="D2316" t="s">
        <v>21</v>
      </c>
      <c r="E2316" t="s">
        <v>45</v>
      </c>
      <c r="F2316" t="s">
        <v>46</v>
      </c>
      <c r="G2316" s="58">
        <v>33860</v>
      </c>
      <c r="H2316" s="1" t="s">
        <v>59</v>
      </c>
      <c r="I2316" s="1" t="s">
        <v>108</v>
      </c>
      <c r="J2316" s="58"/>
      <c r="N2316" s="1">
        <v>0</v>
      </c>
      <c r="O2316" s="58"/>
      <c r="P2316" s="58"/>
      <c r="R2316" s="1" t="s">
        <v>158</v>
      </c>
    </row>
    <row r="2317" spans="3:18" x14ac:dyDescent="0.35">
      <c r="C2317" t="s">
        <v>51</v>
      </c>
      <c r="D2317" t="s">
        <v>24</v>
      </c>
      <c r="E2317" t="s">
        <v>55</v>
      </c>
      <c r="F2317" t="s">
        <v>46</v>
      </c>
      <c r="G2317" s="58">
        <v>5087</v>
      </c>
      <c r="H2317" s="1" t="s">
        <v>56</v>
      </c>
      <c r="I2317" s="1" t="s">
        <v>111</v>
      </c>
      <c r="J2317" s="58">
        <v>96653</v>
      </c>
      <c r="K2317" s="1" t="s">
        <v>106</v>
      </c>
      <c r="L2317" s="1" t="s">
        <v>114</v>
      </c>
      <c r="N2317" s="1">
        <v>1</v>
      </c>
      <c r="O2317" s="58"/>
      <c r="P2317" s="58">
        <v>5646.57</v>
      </c>
      <c r="Q2317" t="s">
        <v>110</v>
      </c>
      <c r="R2317" s="1" t="s">
        <v>158</v>
      </c>
    </row>
    <row r="2318" spans="3:18" x14ac:dyDescent="0.35">
      <c r="C2318" t="s">
        <v>51</v>
      </c>
      <c r="D2318" t="s">
        <v>21</v>
      </c>
      <c r="E2318" t="s">
        <v>49</v>
      </c>
      <c r="F2318" t="s">
        <v>64</v>
      </c>
      <c r="G2318" s="58">
        <v>42423</v>
      </c>
      <c r="H2318" s="1" t="s">
        <v>56</v>
      </c>
      <c r="I2318" s="1" t="s">
        <v>119</v>
      </c>
      <c r="J2318" s="58">
        <v>254538</v>
      </c>
      <c r="K2318" s="1" t="s">
        <v>106</v>
      </c>
      <c r="L2318" s="1" t="s">
        <v>124</v>
      </c>
      <c r="N2318" s="1">
        <v>1</v>
      </c>
      <c r="O2318" s="58"/>
      <c r="P2318" s="58">
        <v>7636.14</v>
      </c>
      <c r="Q2318" t="s">
        <v>107</v>
      </c>
      <c r="R2318" s="1" t="s">
        <v>158</v>
      </c>
    </row>
    <row r="2319" spans="3:18" x14ac:dyDescent="0.35">
      <c r="C2319" t="s">
        <v>51</v>
      </c>
      <c r="D2319" t="s">
        <v>23</v>
      </c>
      <c r="E2319" t="s">
        <v>50</v>
      </c>
      <c r="F2319" t="s">
        <v>46</v>
      </c>
      <c r="G2319" s="58">
        <v>402624</v>
      </c>
      <c r="H2319" s="1" t="s">
        <v>48</v>
      </c>
      <c r="I2319" s="1" t="s">
        <v>108</v>
      </c>
      <c r="J2319" s="58">
        <v>10468224</v>
      </c>
      <c r="K2319" s="1" t="s">
        <v>106</v>
      </c>
      <c r="L2319" s="1" t="s">
        <v>124</v>
      </c>
      <c r="M2319" s="1" t="s">
        <v>125</v>
      </c>
      <c r="N2319" s="1">
        <v>1</v>
      </c>
      <c r="O2319" s="58"/>
      <c r="P2319" s="58">
        <v>289889.28000000003</v>
      </c>
      <c r="Q2319" t="s">
        <v>118</v>
      </c>
      <c r="R2319" s="1" t="s">
        <v>48</v>
      </c>
    </row>
    <row r="2320" spans="3:18" x14ac:dyDescent="0.35">
      <c r="C2320" t="s">
        <v>51</v>
      </c>
      <c r="D2320" t="s">
        <v>22</v>
      </c>
      <c r="E2320" t="s">
        <v>49</v>
      </c>
      <c r="F2320" t="s">
        <v>46</v>
      </c>
      <c r="G2320" s="58">
        <v>31733</v>
      </c>
      <c r="H2320" s="1" t="s">
        <v>54</v>
      </c>
      <c r="I2320" s="1" t="s">
        <v>119</v>
      </c>
      <c r="J2320" s="58">
        <v>285597</v>
      </c>
      <c r="K2320" s="1" t="s">
        <v>106</v>
      </c>
      <c r="L2320" s="1" t="s">
        <v>124</v>
      </c>
      <c r="N2320" s="1">
        <v>1</v>
      </c>
      <c r="O2320" s="58"/>
      <c r="P2320" s="58">
        <v>27607.71</v>
      </c>
      <c r="Q2320" t="s">
        <v>127</v>
      </c>
      <c r="R2320" s="1" t="s">
        <v>158</v>
      </c>
    </row>
    <row r="2321" spans="3:18" x14ac:dyDescent="0.35">
      <c r="C2321" t="s">
        <v>51</v>
      </c>
      <c r="D2321" t="s">
        <v>24</v>
      </c>
      <c r="E2321" t="s">
        <v>49</v>
      </c>
      <c r="F2321" t="s">
        <v>46</v>
      </c>
      <c r="G2321" s="58">
        <v>86281</v>
      </c>
      <c r="H2321" s="1" t="s">
        <v>47</v>
      </c>
      <c r="I2321" s="1" t="s">
        <v>119</v>
      </c>
      <c r="J2321" s="58">
        <v>776529</v>
      </c>
      <c r="K2321" s="1" t="s">
        <v>106</v>
      </c>
      <c r="L2321" s="1" t="s">
        <v>124</v>
      </c>
      <c r="N2321" s="1">
        <v>1</v>
      </c>
      <c r="O2321" s="58"/>
      <c r="P2321" s="58">
        <v>12079.34</v>
      </c>
      <c r="Q2321" t="s">
        <v>107</v>
      </c>
      <c r="R2321" s="1" t="s">
        <v>158</v>
      </c>
    </row>
    <row r="2322" spans="3:18" x14ac:dyDescent="0.35">
      <c r="C2322" t="s">
        <v>51</v>
      </c>
      <c r="D2322" t="s">
        <v>19</v>
      </c>
      <c r="E2322" t="s">
        <v>49</v>
      </c>
      <c r="F2322" t="s">
        <v>64</v>
      </c>
      <c r="G2322" s="58">
        <v>27370</v>
      </c>
      <c r="H2322" s="1" t="s">
        <v>54</v>
      </c>
      <c r="I2322" s="1" t="s">
        <v>105</v>
      </c>
      <c r="J2322" s="58">
        <v>136850</v>
      </c>
      <c r="K2322" s="1" t="s">
        <v>106</v>
      </c>
      <c r="L2322" s="1" t="s">
        <v>124</v>
      </c>
      <c r="N2322" s="1">
        <v>1</v>
      </c>
      <c r="O2322" s="58"/>
      <c r="P2322" s="58">
        <v>6021.4</v>
      </c>
      <c r="Q2322" t="s">
        <v>107</v>
      </c>
      <c r="R2322" s="1" t="s">
        <v>158</v>
      </c>
    </row>
    <row r="2323" spans="3:18" x14ac:dyDescent="0.35">
      <c r="C2323" t="s">
        <v>53</v>
      </c>
      <c r="D2323" t="s">
        <v>92</v>
      </c>
      <c r="E2323" t="s">
        <v>55</v>
      </c>
      <c r="F2323" t="s">
        <v>46</v>
      </c>
      <c r="G2323" s="58">
        <v>1292188</v>
      </c>
      <c r="H2323" s="1" t="s">
        <v>48</v>
      </c>
      <c r="I2323" s="1" t="s">
        <v>105</v>
      </c>
      <c r="J2323" s="58">
        <v>2584376</v>
      </c>
      <c r="K2323" s="1" t="s">
        <v>106</v>
      </c>
      <c r="L2323" s="1" t="s">
        <v>114</v>
      </c>
      <c r="M2323" s="1" t="s">
        <v>123</v>
      </c>
      <c r="N2323" s="1">
        <v>1</v>
      </c>
      <c r="O2323" s="58"/>
      <c r="P2323" s="58">
        <v>956219.12</v>
      </c>
      <c r="Q2323" t="s">
        <v>118</v>
      </c>
      <c r="R2323" s="1" t="s">
        <v>158</v>
      </c>
    </row>
    <row r="2324" spans="3:18" x14ac:dyDescent="0.35">
      <c r="C2324" t="s">
        <v>53</v>
      </c>
      <c r="D2324" t="s">
        <v>23</v>
      </c>
      <c r="E2324" t="s">
        <v>45</v>
      </c>
      <c r="F2324" t="s">
        <v>46</v>
      </c>
      <c r="G2324" s="58">
        <v>377295</v>
      </c>
      <c r="H2324" s="1" t="s">
        <v>47</v>
      </c>
      <c r="I2324" s="1" t="s">
        <v>105</v>
      </c>
      <c r="J2324" s="58">
        <v>1131885</v>
      </c>
      <c r="K2324" s="1" t="s">
        <v>106</v>
      </c>
      <c r="L2324" s="1" t="s">
        <v>114</v>
      </c>
      <c r="N2324" s="1">
        <v>1</v>
      </c>
      <c r="O2324" s="58"/>
      <c r="P2324" s="58">
        <v>166009.79999999999</v>
      </c>
      <c r="Q2324" t="s">
        <v>113</v>
      </c>
      <c r="R2324" s="1" t="s">
        <v>158</v>
      </c>
    </row>
    <row r="2325" spans="3:18" x14ac:dyDescent="0.35">
      <c r="C2325" t="s">
        <v>51</v>
      </c>
      <c r="D2325" t="s">
        <v>23</v>
      </c>
      <c r="E2325" t="s">
        <v>50</v>
      </c>
      <c r="F2325" t="s">
        <v>46</v>
      </c>
      <c r="G2325" s="58">
        <v>252208</v>
      </c>
      <c r="H2325" s="1" t="s">
        <v>48</v>
      </c>
      <c r="I2325" s="1" t="s">
        <v>111</v>
      </c>
      <c r="J2325" s="58">
        <v>4539744</v>
      </c>
      <c r="K2325" s="1" t="s">
        <v>106</v>
      </c>
      <c r="L2325" s="1" t="s">
        <v>109</v>
      </c>
      <c r="M2325" s="1" t="s">
        <v>125</v>
      </c>
      <c r="N2325" s="1">
        <v>1</v>
      </c>
      <c r="O2325" s="58"/>
      <c r="P2325" s="58">
        <v>123581.92</v>
      </c>
      <c r="Q2325" t="s">
        <v>113</v>
      </c>
      <c r="R2325" s="1" t="s">
        <v>158</v>
      </c>
    </row>
    <row r="2326" spans="3:18" x14ac:dyDescent="0.35">
      <c r="C2326" t="s">
        <v>51</v>
      </c>
      <c r="D2326" t="s">
        <v>92</v>
      </c>
      <c r="E2326" t="s">
        <v>49</v>
      </c>
      <c r="F2326" t="s">
        <v>46</v>
      </c>
      <c r="G2326" s="58">
        <v>380926</v>
      </c>
      <c r="H2326" s="1" t="s">
        <v>48</v>
      </c>
      <c r="I2326" s="1" t="s">
        <v>108</v>
      </c>
      <c r="J2326" s="58">
        <v>11808706</v>
      </c>
      <c r="K2326" s="1" t="s">
        <v>106</v>
      </c>
      <c r="L2326" s="1" t="s">
        <v>124</v>
      </c>
      <c r="M2326" s="1" t="s">
        <v>121</v>
      </c>
      <c r="N2326" s="1">
        <v>1</v>
      </c>
      <c r="O2326" s="58"/>
      <c r="P2326" s="58">
        <v>255220.42</v>
      </c>
      <c r="Q2326" t="s">
        <v>118</v>
      </c>
      <c r="R2326" s="1" t="s">
        <v>48</v>
      </c>
    </row>
    <row r="2327" spans="3:18" x14ac:dyDescent="0.35">
      <c r="C2327" t="s">
        <v>51</v>
      </c>
      <c r="D2327" t="s">
        <v>60</v>
      </c>
      <c r="E2327" t="s">
        <v>60</v>
      </c>
      <c r="F2327" t="s">
        <v>46</v>
      </c>
      <c r="G2327" s="58">
        <v>55525</v>
      </c>
      <c r="H2327" s="1" t="s">
        <v>90</v>
      </c>
      <c r="I2327" s="1" t="s">
        <v>105</v>
      </c>
      <c r="J2327" s="58">
        <v>277625</v>
      </c>
      <c r="K2327" s="1" t="s">
        <v>112</v>
      </c>
      <c r="N2327" s="1">
        <v>1</v>
      </c>
      <c r="O2327" s="58"/>
      <c r="P2327" s="58">
        <v>57746</v>
      </c>
      <c r="Q2327" t="s">
        <v>110</v>
      </c>
      <c r="R2327" s="1" t="s">
        <v>90</v>
      </c>
    </row>
    <row r="2328" spans="3:18" x14ac:dyDescent="0.35">
      <c r="C2328" t="s">
        <v>51</v>
      </c>
      <c r="D2328" t="s">
        <v>21</v>
      </c>
      <c r="E2328" t="s">
        <v>45</v>
      </c>
      <c r="F2328" t="s">
        <v>46</v>
      </c>
      <c r="G2328" s="58">
        <v>196701</v>
      </c>
      <c r="H2328" s="1" t="s">
        <v>48</v>
      </c>
      <c r="I2328" s="1" t="s">
        <v>108</v>
      </c>
      <c r="J2328" s="58">
        <v>4917525</v>
      </c>
      <c r="K2328" s="1" t="s">
        <v>106</v>
      </c>
      <c r="L2328" s="1" t="s">
        <v>124</v>
      </c>
      <c r="M2328" s="1" t="s">
        <v>122</v>
      </c>
      <c r="N2328" s="1">
        <v>1</v>
      </c>
      <c r="O2328" s="58"/>
      <c r="P2328" s="58">
        <v>123921.63</v>
      </c>
      <c r="Q2328" t="s">
        <v>118</v>
      </c>
      <c r="R2328" s="1" t="s">
        <v>158</v>
      </c>
    </row>
    <row r="2329" spans="3:18" x14ac:dyDescent="0.35">
      <c r="C2329" t="s">
        <v>51</v>
      </c>
      <c r="D2329" t="s">
        <v>22</v>
      </c>
      <c r="E2329" t="s">
        <v>49</v>
      </c>
      <c r="F2329" t="s">
        <v>46</v>
      </c>
      <c r="G2329" s="58">
        <v>11428688</v>
      </c>
      <c r="H2329" s="1" t="s">
        <v>48</v>
      </c>
      <c r="I2329" s="1" t="s">
        <v>108</v>
      </c>
      <c r="J2329" s="58">
        <v>400004080</v>
      </c>
      <c r="K2329" s="1" t="s">
        <v>112</v>
      </c>
      <c r="N2329" s="1">
        <v>1</v>
      </c>
      <c r="O2329" s="58"/>
      <c r="P2329" s="58">
        <v>10057245.439999999</v>
      </c>
      <c r="Q2329" t="s">
        <v>127</v>
      </c>
      <c r="R2329" s="1" t="s">
        <v>158</v>
      </c>
    </row>
    <row r="2330" spans="3:18" x14ac:dyDescent="0.35">
      <c r="C2330" t="s">
        <v>51</v>
      </c>
      <c r="D2330" t="s">
        <v>92</v>
      </c>
      <c r="E2330" t="s">
        <v>49</v>
      </c>
      <c r="F2330" t="s">
        <v>46</v>
      </c>
      <c r="G2330" s="58">
        <v>185435</v>
      </c>
      <c r="H2330" s="1" t="s">
        <v>56</v>
      </c>
      <c r="I2330" s="1" t="s">
        <v>108</v>
      </c>
      <c r="J2330" s="58">
        <v>4450440</v>
      </c>
      <c r="K2330" s="1" t="s">
        <v>106</v>
      </c>
      <c r="L2330" s="1" t="s">
        <v>116</v>
      </c>
      <c r="N2330" s="1">
        <v>1</v>
      </c>
      <c r="O2330" s="58"/>
      <c r="P2330" s="58">
        <v>89008.8</v>
      </c>
      <c r="Q2330" t="s">
        <v>113</v>
      </c>
      <c r="R2330" s="1" t="s">
        <v>158</v>
      </c>
    </row>
    <row r="2331" spans="3:18" x14ac:dyDescent="0.35">
      <c r="C2331" t="s">
        <v>53</v>
      </c>
      <c r="D2331" t="s">
        <v>19</v>
      </c>
      <c r="E2331" t="s">
        <v>50</v>
      </c>
      <c r="F2331" t="s">
        <v>46</v>
      </c>
      <c r="G2331" s="58">
        <v>1117057</v>
      </c>
      <c r="H2331" s="1" t="s">
        <v>48</v>
      </c>
      <c r="I2331" s="1" t="s">
        <v>111</v>
      </c>
      <c r="J2331" s="58">
        <v>13404684</v>
      </c>
      <c r="K2331" s="1" t="s">
        <v>106</v>
      </c>
      <c r="L2331" s="1" t="s">
        <v>109</v>
      </c>
      <c r="M2331" s="1" t="s">
        <v>122</v>
      </c>
      <c r="N2331" s="1">
        <v>1</v>
      </c>
      <c r="O2331" s="58"/>
      <c r="P2331" s="58">
        <v>692575.34</v>
      </c>
      <c r="Q2331" t="s">
        <v>118</v>
      </c>
      <c r="R2331" s="1" t="s">
        <v>158</v>
      </c>
    </row>
    <row r="2332" spans="3:18" x14ac:dyDescent="0.35">
      <c r="C2332" t="s">
        <v>51</v>
      </c>
      <c r="D2332" t="s">
        <v>92</v>
      </c>
      <c r="E2332" t="s">
        <v>49</v>
      </c>
      <c r="F2332" t="s">
        <v>46</v>
      </c>
      <c r="G2332" s="58">
        <v>200481</v>
      </c>
      <c r="H2332" s="1" t="s">
        <v>48</v>
      </c>
      <c r="I2332" s="1" t="s">
        <v>111</v>
      </c>
      <c r="J2332" s="58">
        <v>2405772</v>
      </c>
      <c r="K2332" s="1" t="s">
        <v>106</v>
      </c>
      <c r="L2332" s="1" t="s">
        <v>124</v>
      </c>
      <c r="M2332" s="1" t="s">
        <v>126</v>
      </c>
      <c r="N2332" s="1">
        <v>1</v>
      </c>
      <c r="O2332" s="58"/>
      <c r="P2332" s="58">
        <v>142341.51</v>
      </c>
      <c r="Q2332" t="s">
        <v>118</v>
      </c>
      <c r="R2332" s="1" t="s">
        <v>48</v>
      </c>
    </row>
    <row r="2333" spans="3:18" x14ac:dyDescent="0.35">
      <c r="C2333" t="s">
        <v>51</v>
      </c>
      <c r="D2333" t="s">
        <v>24</v>
      </c>
      <c r="E2333" t="s">
        <v>50</v>
      </c>
      <c r="F2333" t="s">
        <v>64</v>
      </c>
      <c r="G2333" s="58">
        <v>237668</v>
      </c>
      <c r="H2333" s="1" t="s">
        <v>48</v>
      </c>
      <c r="I2333" s="1" t="s">
        <v>111</v>
      </c>
      <c r="J2333" s="58">
        <v>2852016</v>
      </c>
      <c r="K2333" s="1" t="s">
        <v>112</v>
      </c>
      <c r="N2333" s="1">
        <v>1</v>
      </c>
      <c r="O2333" s="58"/>
      <c r="P2333" s="58">
        <v>121210.68</v>
      </c>
      <c r="Q2333" t="s">
        <v>113</v>
      </c>
      <c r="R2333" s="1" t="s">
        <v>48</v>
      </c>
    </row>
    <row r="2334" spans="3:18" x14ac:dyDescent="0.35">
      <c r="C2334" t="s">
        <v>51</v>
      </c>
      <c r="D2334" t="s">
        <v>22</v>
      </c>
      <c r="E2334" t="s">
        <v>45</v>
      </c>
      <c r="F2334" t="s">
        <v>46</v>
      </c>
      <c r="G2334" s="58">
        <v>1364529</v>
      </c>
      <c r="H2334" s="1" t="s">
        <v>48</v>
      </c>
      <c r="I2334" s="1" t="s">
        <v>111</v>
      </c>
      <c r="J2334" s="58">
        <v>20467935</v>
      </c>
      <c r="K2334" s="1" t="s">
        <v>112</v>
      </c>
      <c r="N2334" s="1">
        <v>1</v>
      </c>
      <c r="O2334" s="58"/>
      <c r="P2334" s="58">
        <v>395713.41</v>
      </c>
      <c r="Q2334" t="s">
        <v>107</v>
      </c>
      <c r="R2334" s="1" t="s">
        <v>48</v>
      </c>
    </row>
    <row r="2335" spans="3:18" x14ac:dyDescent="0.35">
      <c r="C2335" t="s">
        <v>53</v>
      </c>
      <c r="D2335" t="s">
        <v>60</v>
      </c>
      <c r="E2335" t="s">
        <v>60</v>
      </c>
      <c r="F2335" t="s">
        <v>46</v>
      </c>
      <c r="G2335" s="58">
        <v>0</v>
      </c>
      <c r="H2335" s="1" t="s">
        <v>61</v>
      </c>
      <c r="I2335" s="1" t="s">
        <v>105</v>
      </c>
      <c r="J2335" s="58">
        <v>0</v>
      </c>
      <c r="K2335" s="1" t="s">
        <v>106</v>
      </c>
      <c r="N2335" s="1">
        <v>1</v>
      </c>
      <c r="O2335" s="58"/>
      <c r="P2335" s="58">
        <v>0</v>
      </c>
      <c r="Q2335" t="s">
        <v>113</v>
      </c>
    </row>
    <row r="2336" spans="3:18" x14ac:dyDescent="0.35">
      <c r="C2336" t="s">
        <v>51</v>
      </c>
      <c r="D2336" t="s">
        <v>92</v>
      </c>
      <c r="E2336" t="s">
        <v>49</v>
      </c>
      <c r="F2336" t="s">
        <v>46</v>
      </c>
      <c r="G2336" s="58">
        <v>965555</v>
      </c>
      <c r="H2336" s="1" t="s">
        <v>59</v>
      </c>
      <c r="I2336" s="1" t="s">
        <v>108</v>
      </c>
      <c r="J2336" s="58">
        <v>28001095</v>
      </c>
      <c r="K2336" s="1" t="s">
        <v>106</v>
      </c>
      <c r="L2336" s="1" t="s">
        <v>120</v>
      </c>
      <c r="N2336" s="1">
        <v>1</v>
      </c>
      <c r="O2336" s="58"/>
      <c r="P2336" s="58">
        <v>666232.94999999995</v>
      </c>
      <c r="Q2336" t="s">
        <v>118</v>
      </c>
      <c r="R2336" s="1" t="s">
        <v>158</v>
      </c>
    </row>
    <row r="2337" spans="3:18" x14ac:dyDescent="0.35">
      <c r="C2337" t="s">
        <v>51</v>
      </c>
      <c r="D2337" t="s">
        <v>21</v>
      </c>
      <c r="E2337" t="s">
        <v>55</v>
      </c>
      <c r="F2337" t="s">
        <v>46</v>
      </c>
      <c r="G2337" s="58">
        <v>54865843</v>
      </c>
      <c r="H2337" s="1" t="s">
        <v>48</v>
      </c>
      <c r="I2337" s="1" t="s">
        <v>108</v>
      </c>
      <c r="J2337" s="58">
        <v>2030036191</v>
      </c>
      <c r="K2337" s="1" t="s">
        <v>112</v>
      </c>
      <c r="N2337" s="1">
        <v>1</v>
      </c>
      <c r="O2337" s="58"/>
      <c r="P2337" s="58">
        <v>48830600.270000003</v>
      </c>
      <c r="Q2337" t="s">
        <v>127</v>
      </c>
      <c r="R2337" s="1" t="s">
        <v>48</v>
      </c>
    </row>
    <row r="2338" spans="3:18" x14ac:dyDescent="0.35">
      <c r="C2338" t="s">
        <v>53</v>
      </c>
      <c r="D2338" t="s">
        <v>22</v>
      </c>
      <c r="E2338" t="s">
        <v>49</v>
      </c>
      <c r="F2338" t="s">
        <v>46</v>
      </c>
      <c r="G2338" s="58">
        <v>2596996</v>
      </c>
      <c r="H2338" s="1" t="s">
        <v>47</v>
      </c>
      <c r="I2338" s="1" t="s">
        <v>111</v>
      </c>
      <c r="J2338" s="58">
        <v>38954940</v>
      </c>
      <c r="K2338" s="1" t="s">
        <v>106</v>
      </c>
      <c r="L2338" s="1" t="s">
        <v>124</v>
      </c>
      <c r="N2338" s="1">
        <v>1</v>
      </c>
      <c r="O2338" s="58"/>
      <c r="P2338" s="58">
        <v>1947747</v>
      </c>
      <c r="Q2338" t="s">
        <v>118</v>
      </c>
      <c r="R2338" s="1" t="s">
        <v>158</v>
      </c>
    </row>
    <row r="2339" spans="3:18" x14ac:dyDescent="0.35">
      <c r="C2339" t="s">
        <v>51</v>
      </c>
      <c r="D2339" t="s">
        <v>23</v>
      </c>
      <c r="E2339" t="s">
        <v>50</v>
      </c>
      <c r="F2339" t="s">
        <v>46</v>
      </c>
      <c r="G2339" s="58">
        <v>1585481</v>
      </c>
      <c r="H2339" s="1" t="s">
        <v>48</v>
      </c>
      <c r="I2339" s="1" t="s">
        <v>111</v>
      </c>
      <c r="J2339" s="58">
        <v>28538658</v>
      </c>
      <c r="K2339" s="1" t="s">
        <v>112</v>
      </c>
      <c r="N2339" s="1">
        <v>1</v>
      </c>
      <c r="O2339" s="58"/>
      <c r="P2339" s="58">
        <v>776885.69</v>
      </c>
      <c r="Q2339" t="s">
        <v>113</v>
      </c>
      <c r="R2339" s="1" t="s">
        <v>48</v>
      </c>
    </row>
    <row r="2340" spans="3:18" x14ac:dyDescent="0.35">
      <c r="C2340" t="s">
        <v>51</v>
      </c>
      <c r="D2340" t="s">
        <v>21</v>
      </c>
      <c r="E2340" t="s">
        <v>49</v>
      </c>
      <c r="F2340" t="s">
        <v>46</v>
      </c>
      <c r="G2340" s="58">
        <v>520752</v>
      </c>
      <c r="H2340" s="1" t="s">
        <v>48</v>
      </c>
      <c r="I2340" s="1" t="s">
        <v>105</v>
      </c>
      <c r="J2340" s="58">
        <v>1562256</v>
      </c>
      <c r="K2340" s="1" t="s">
        <v>106</v>
      </c>
      <c r="L2340" s="1" t="s">
        <v>124</v>
      </c>
      <c r="M2340" s="1" t="s">
        <v>126</v>
      </c>
      <c r="N2340" s="1">
        <v>1</v>
      </c>
      <c r="O2340" s="58"/>
      <c r="P2340" s="58">
        <v>67697.759999999995</v>
      </c>
      <c r="Q2340" t="s">
        <v>107</v>
      </c>
      <c r="R2340" s="1" t="s">
        <v>48</v>
      </c>
    </row>
    <row r="2341" spans="3:18" x14ac:dyDescent="0.35">
      <c r="C2341" t="s">
        <v>51</v>
      </c>
      <c r="D2341" t="s">
        <v>19</v>
      </c>
      <c r="E2341" t="s">
        <v>45</v>
      </c>
      <c r="F2341" t="s">
        <v>46</v>
      </c>
      <c r="G2341" s="58">
        <v>253469</v>
      </c>
      <c r="H2341" s="1" t="s">
        <v>48</v>
      </c>
      <c r="I2341" s="1" t="s">
        <v>108</v>
      </c>
      <c r="J2341" s="58">
        <v>8617946</v>
      </c>
      <c r="K2341" s="1" t="s">
        <v>112</v>
      </c>
      <c r="N2341" s="1">
        <v>1</v>
      </c>
      <c r="O2341" s="58"/>
      <c r="P2341" s="58">
        <v>182497.68</v>
      </c>
      <c r="Q2341" t="s">
        <v>118</v>
      </c>
      <c r="R2341" s="1" t="s">
        <v>158</v>
      </c>
    </row>
    <row r="2342" spans="3:18" x14ac:dyDescent="0.35">
      <c r="C2342" t="s">
        <v>51</v>
      </c>
      <c r="D2342" t="s">
        <v>19</v>
      </c>
      <c r="E2342" t="s">
        <v>55</v>
      </c>
      <c r="F2342" t="s">
        <v>46</v>
      </c>
      <c r="G2342" s="58">
        <v>4120579</v>
      </c>
      <c r="H2342" s="1" t="s">
        <v>48</v>
      </c>
      <c r="I2342" s="1" t="s">
        <v>108</v>
      </c>
      <c r="J2342" s="58">
        <v>111255633</v>
      </c>
      <c r="K2342" s="1" t="s">
        <v>106</v>
      </c>
      <c r="L2342" s="1" t="s">
        <v>114</v>
      </c>
      <c r="M2342" s="1" t="s">
        <v>122</v>
      </c>
      <c r="N2342" s="1">
        <v>1</v>
      </c>
      <c r="O2342" s="58"/>
      <c r="P2342" s="58">
        <v>2142701.08</v>
      </c>
      <c r="Q2342" t="s">
        <v>113</v>
      </c>
      <c r="R2342" s="1" t="s">
        <v>158</v>
      </c>
    </row>
    <row r="2343" spans="3:18" x14ac:dyDescent="0.35">
      <c r="C2343" t="s">
        <v>51</v>
      </c>
      <c r="D2343" t="s">
        <v>23</v>
      </c>
      <c r="E2343" t="s">
        <v>49</v>
      </c>
      <c r="F2343" t="s">
        <v>46</v>
      </c>
      <c r="G2343" s="58">
        <v>84539</v>
      </c>
      <c r="H2343" s="1" t="s">
        <v>56</v>
      </c>
      <c r="I2343" s="1" t="s">
        <v>119</v>
      </c>
      <c r="J2343" s="58">
        <v>676312</v>
      </c>
      <c r="K2343" s="1" t="s">
        <v>106</v>
      </c>
      <c r="L2343" s="1" t="s">
        <v>124</v>
      </c>
      <c r="N2343" s="1">
        <v>1</v>
      </c>
      <c r="O2343" s="58"/>
      <c r="P2343" s="58">
        <v>38042.550000000003</v>
      </c>
      <c r="Q2343" t="s">
        <v>113</v>
      </c>
      <c r="R2343" s="1" t="s">
        <v>158</v>
      </c>
    </row>
    <row r="2344" spans="3:18" x14ac:dyDescent="0.35">
      <c r="C2344" t="s">
        <v>51</v>
      </c>
      <c r="D2344" t="s">
        <v>91</v>
      </c>
      <c r="E2344" t="s">
        <v>49</v>
      </c>
      <c r="F2344" t="s">
        <v>46</v>
      </c>
      <c r="G2344" s="58">
        <v>11873563</v>
      </c>
      <c r="H2344" s="1" t="s">
        <v>47</v>
      </c>
      <c r="I2344" s="1" t="s">
        <v>108</v>
      </c>
      <c r="J2344" s="58">
        <v>356206890</v>
      </c>
      <c r="K2344" s="1" t="s">
        <v>106</v>
      </c>
      <c r="L2344" s="1" t="s">
        <v>124</v>
      </c>
      <c r="N2344" s="1">
        <v>1</v>
      </c>
      <c r="O2344" s="58"/>
      <c r="P2344" s="58">
        <v>10092528.550000001</v>
      </c>
      <c r="Q2344" t="s">
        <v>127</v>
      </c>
      <c r="R2344" s="1" t="s">
        <v>158</v>
      </c>
    </row>
    <row r="2345" spans="3:18" x14ac:dyDescent="0.35">
      <c r="C2345" t="s">
        <v>51</v>
      </c>
      <c r="D2345" t="s">
        <v>91</v>
      </c>
      <c r="E2345" t="s">
        <v>49</v>
      </c>
      <c r="F2345" t="s">
        <v>64</v>
      </c>
      <c r="G2345" s="58">
        <v>127515</v>
      </c>
      <c r="H2345" s="1" t="s">
        <v>47</v>
      </c>
      <c r="I2345" s="1" t="s">
        <v>108</v>
      </c>
      <c r="J2345" s="58">
        <v>4718055</v>
      </c>
      <c r="K2345" s="1" t="s">
        <v>106</v>
      </c>
      <c r="L2345" s="1" t="s">
        <v>114</v>
      </c>
      <c r="N2345" s="1">
        <v>1</v>
      </c>
      <c r="O2345" s="58"/>
      <c r="P2345" s="58">
        <v>71408.399999999994</v>
      </c>
      <c r="Q2345" t="s">
        <v>113</v>
      </c>
      <c r="R2345" s="1" t="s">
        <v>158</v>
      </c>
    </row>
    <row r="2346" spans="3:18" x14ac:dyDescent="0.35">
      <c r="C2346" t="s">
        <v>51</v>
      </c>
      <c r="D2346" t="s">
        <v>23</v>
      </c>
      <c r="E2346" t="s">
        <v>45</v>
      </c>
      <c r="F2346" t="s">
        <v>46</v>
      </c>
      <c r="G2346" s="58">
        <v>1673334</v>
      </c>
      <c r="H2346" s="1" t="s">
        <v>47</v>
      </c>
      <c r="I2346" s="1" t="s">
        <v>108</v>
      </c>
      <c r="J2346" s="58">
        <v>41833350</v>
      </c>
      <c r="K2346" s="1" t="s">
        <v>106</v>
      </c>
      <c r="L2346" s="1" t="s">
        <v>114</v>
      </c>
      <c r="N2346" s="1">
        <v>1</v>
      </c>
      <c r="O2346" s="58"/>
      <c r="P2346" s="58">
        <v>853400.34</v>
      </c>
      <c r="Q2346" t="s">
        <v>113</v>
      </c>
      <c r="R2346" s="1" t="s">
        <v>158</v>
      </c>
    </row>
    <row r="2347" spans="3:18" x14ac:dyDescent="0.35">
      <c r="C2347" t="s">
        <v>51</v>
      </c>
      <c r="D2347" t="s">
        <v>23</v>
      </c>
      <c r="E2347" t="s">
        <v>55</v>
      </c>
      <c r="F2347" t="s">
        <v>46</v>
      </c>
      <c r="G2347" s="58">
        <v>1035636</v>
      </c>
      <c r="H2347" s="1" t="s">
        <v>48</v>
      </c>
      <c r="I2347" s="1" t="s">
        <v>105</v>
      </c>
      <c r="J2347" s="58">
        <v>3106908</v>
      </c>
      <c r="K2347" s="1" t="s">
        <v>106</v>
      </c>
      <c r="L2347" s="1" t="s">
        <v>114</v>
      </c>
      <c r="M2347" s="1" t="s">
        <v>125</v>
      </c>
      <c r="N2347" s="1">
        <v>1</v>
      </c>
      <c r="O2347" s="58"/>
      <c r="P2347" s="58">
        <v>144989.04</v>
      </c>
      <c r="Q2347" t="s">
        <v>107</v>
      </c>
      <c r="R2347" s="1" t="s">
        <v>158</v>
      </c>
    </row>
    <row r="2348" spans="3:18" x14ac:dyDescent="0.35">
      <c r="C2348" t="s">
        <v>53</v>
      </c>
      <c r="D2348" t="s">
        <v>21</v>
      </c>
      <c r="E2348" t="s">
        <v>49</v>
      </c>
      <c r="F2348" t="s">
        <v>46</v>
      </c>
      <c r="G2348" s="58">
        <v>137037450</v>
      </c>
      <c r="H2348" s="1" t="s">
        <v>54</v>
      </c>
      <c r="I2348" s="1" t="s">
        <v>105</v>
      </c>
      <c r="J2348" s="58">
        <v>411112350</v>
      </c>
      <c r="K2348" s="1" t="s">
        <v>106</v>
      </c>
      <c r="L2348" s="1" t="s">
        <v>124</v>
      </c>
      <c r="N2348" s="1">
        <v>1</v>
      </c>
      <c r="O2348" s="58"/>
      <c r="P2348" s="58">
        <v>19185243</v>
      </c>
      <c r="Q2348" t="s">
        <v>107</v>
      </c>
      <c r="R2348" s="1" t="s">
        <v>158</v>
      </c>
    </row>
    <row r="2349" spans="3:18" x14ac:dyDescent="0.35">
      <c r="C2349" t="s">
        <v>53</v>
      </c>
      <c r="D2349" t="s">
        <v>19</v>
      </c>
      <c r="E2349" t="s">
        <v>45</v>
      </c>
      <c r="F2349" t="s">
        <v>46</v>
      </c>
      <c r="G2349" s="58">
        <v>141043</v>
      </c>
      <c r="H2349" s="1" t="s">
        <v>48</v>
      </c>
      <c r="I2349" s="1" t="s">
        <v>108</v>
      </c>
      <c r="J2349" s="58">
        <v>4372333</v>
      </c>
      <c r="K2349" s="1" t="s">
        <v>106</v>
      </c>
      <c r="L2349" s="1" t="s">
        <v>120</v>
      </c>
      <c r="M2349" s="1" t="s">
        <v>122</v>
      </c>
      <c r="N2349" s="1">
        <v>1</v>
      </c>
      <c r="O2349" s="58"/>
      <c r="P2349" s="58">
        <v>25387.74</v>
      </c>
      <c r="Q2349" t="s">
        <v>107</v>
      </c>
      <c r="R2349" s="1" t="s">
        <v>158</v>
      </c>
    </row>
    <row r="2350" spans="3:18" x14ac:dyDescent="0.35">
      <c r="C2350" t="s">
        <v>51</v>
      </c>
      <c r="D2350" t="s">
        <v>24</v>
      </c>
      <c r="E2350" t="s">
        <v>50</v>
      </c>
      <c r="F2350" t="s">
        <v>46</v>
      </c>
      <c r="G2350" s="58">
        <v>12568755</v>
      </c>
      <c r="H2350" s="1" t="s">
        <v>47</v>
      </c>
      <c r="I2350" s="1" t="s">
        <v>108</v>
      </c>
      <c r="J2350" s="58">
        <v>339356385</v>
      </c>
      <c r="K2350" s="1" t="s">
        <v>106</v>
      </c>
      <c r="L2350" s="1" t="s">
        <v>109</v>
      </c>
      <c r="N2350" s="1">
        <v>1</v>
      </c>
      <c r="O2350" s="58"/>
      <c r="P2350" s="58">
        <v>3393563.85</v>
      </c>
      <c r="Q2350" t="s">
        <v>107</v>
      </c>
      <c r="R2350" s="1" t="s">
        <v>158</v>
      </c>
    </row>
    <row r="2351" spans="3:18" x14ac:dyDescent="0.35">
      <c r="C2351" t="s">
        <v>51</v>
      </c>
      <c r="D2351" t="s">
        <v>60</v>
      </c>
      <c r="E2351" t="s">
        <v>60</v>
      </c>
      <c r="F2351" t="s">
        <v>46</v>
      </c>
      <c r="G2351" s="58">
        <v>1375003</v>
      </c>
      <c r="H2351" s="1" t="s">
        <v>90</v>
      </c>
      <c r="I2351" s="1" t="s">
        <v>105</v>
      </c>
      <c r="J2351" s="58"/>
      <c r="K2351" s="1" t="s">
        <v>106</v>
      </c>
      <c r="N2351" s="1">
        <v>0</v>
      </c>
      <c r="O2351" s="58"/>
      <c r="P2351" s="58">
        <v>1581253.45</v>
      </c>
      <c r="Q2351" t="s">
        <v>110</v>
      </c>
      <c r="R2351" s="1" t="s">
        <v>90</v>
      </c>
    </row>
    <row r="2352" spans="3:18" x14ac:dyDescent="0.35">
      <c r="C2352" t="s">
        <v>51</v>
      </c>
      <c r="D2352" t="s">
        <v>22</v>
      </c>
      <c r="E2352" t="s">
        <v>45</v>
      </c>
      <c r="F2352" t="s">
        <v>46</v>
      </c>
      <c r="G2352" s="58">
        <v>867094064</v>
      </c>
      <c r="H2352" s="1" t="s">
        <v>48</v>
      </c>
      <c r="I2352" s="1" t="s">
        <v>108</v>
      </c>
      <c r="J2352" s="58">
        <v>29481198176</v>
      </c>
      <c r="K2352" s="1" t="s">
        <v>106</v>
      </c>
      <c r="L2352" s="1" t="s">
        <v>120</v>
      </c>
      <c r="M2352" s="1" t="s">
        <v>115</v>
      </c>
      <c r="N2352" s="1">
        <v>1</v>
      </c>
      <c r="O2352" s="58"/>
      <c r="P2352" s="58">
        <v>711017132.48000002</v>
      </c>
      <c r="Q2352" t="s">
        <v>127</v>
      </c>
      <c r="R2352" s="1" t="s">
        <v>158</v>
      </c>
    </row>
    <row r="2353" spans="3:18" x14ac:dyDescent="0.35">
      <c r="C2353" t="s">
        <v>51</v>
      </c>
      <c r="D2353" t="s">
        <v>23</v>
      </c>
      <c r="E2353" t="s">
        <v>45</v>
      </c>
      <c r="F2353" t="s">
        <v>46</v>
      </c>
      <c r="G2353" s="58">
        <v>22131</v>
      </c>
      <c r="H2353" s="1" t="s">
        <v>54</v>
      </c>
      <c r="I2353" s="1" t="s">
        <v>105</v>
      </c>
      <c r="J2353" s="58">
        <v>88524</v>
      </c>
      <c r="K2353" s="1" t="s">
        <v>106</v>
      </c>
      <c r="L2353" s="1" t="s">
        <v>124</v>
      </c>
      <c r="N2353" s="1">
        <v>1</v>
      </c>
      <c r="O2353" s="58"/>
      <c r="P2353" s="58">
        <v>4868.82</v>
      </c>
      <c r="Q2353" t="s">
        <v>107</v>
      </c>
      <c r="R2353" s="1" t="s">
        <v>158</v>
      </c>
    </row>
    <row r="2354" spans="3:18" x14ac:dyDescent="0.35">
      <c r="C2354" t="s">
        <v>51</v>
      </c>
      <c r="D2354" t="s">
        <v>25</v>
      </c>
      <c r="E2354" t="s">
        <v>55</v>
      </c>
      <c r="F2354" t="s">
        <v>46</v>
      </c>
      <c r="G2354" s="58">
        <v>431720</v>
      </c>
      <c r="H2354" s="1" t="s">
        <v>54</v>
      </c>
      <c r="I2354" s="1" t="s">
        <v>108</v>
      </c>
      <c r="J2354" s="58">
        <v>12088160</v>
      </c>
      <c r="K2354" s="1" t="s">
        <v>112</v>
      </c>
      <c r="N2354" s="1">
        <v>1</v>
      </c>
      <c r="O2354" s="58"/>
      <c r="P2354" s="58">
        <v>220177.2</v>
      </c>
      <c r="Q2354" t="s">
        <v>113</v>
      </c>
      <c r="R2354" s="1" t="s">
        <v>158</v>
      </c>
    </row>
    <row r="2355" spans="3:18" x14ac:dyDescent="0.35">
      <c r="C2355" t="s">
        <v>51</v>
      </c>
      <c r="D2355" t="s">
        <v>23</v>
      </c>
      <c r="E2355" t="s">
        <v>55</v>
      </c>
      <c r="F2355" t="s">
        <v>46</v>
      </c>
      <c r="G2355" s="58">
        <v>36713</v>
      </c>
      <c r="H2355" s="1" t="s">
        <v>48</v>
      </c>
      <c r="I2355" s="1" t="s">
        <v>119</v>
      </c>
      <c r="J2355" s="58">
        <v>220278</v>
      </c>
      <c r="K2355" s="1" t="s">
        <v>106</v>
      </c>
      <c r="L2355" s="1" t="s">
        <v>120</v>
      </c>
      <c r="M2355" s="1" t="s">
        <v>125</v>
      </c>
      <c r="N2355" s="1">
        <v>1</v>
      </c>
      <c r="O2355" s="58"/>
      <c r="P2355" s="58">
        <v>3304.17</v>
      </c>
      <c r="Q2355" t="s">
        <v>107</v>
      </c>
      <c r="R2355" s="1" t="s">
        <v>158</v>
      </c>
    </row>
    <row r="2356" spans="3:18" x14ac:dyDescent="0.35">
      <c r="C2356" t="s">
        <v>44</v>
      </c>
      <c r="D2356" t="s">
        <v>21</v>
      </c>
      <c r="E2356" t="s">
        <v>49</v>
      </c>
      <c r="F2356" t="s">
        <v>46</v>
      </c>
      <c r="G2356" s="58">
        <v>297242</v>
      </c>
      <c r="H2356" s="1" t="s">
        <v>48</v>
      </c>
      <c r="I2356" s="1" t="s">
        <v>108</v>
      </c>
      <c r="J2356" s="58"/>
      <c r="N2356" s="1">
        <v>0</v>
      </c>
      <c r="O2356" s="58"/>
      <c r="P2356" s="58"/>
      <c r="R2356" s="1" t="s">
        <v>158</v>
      </c>
    </row>
    <row r="2357" spans="3:18" x14ac:dyDescent="0.35">
      <c r="C2357" t="s">
        <v>51</v>
      </c>
      <c r="D2357" t="s">
        <v>22</v>
      </c>
      <c r="E2357" t="s">
        <v>49</v>
      </c>
      <c r="F2357" t="s">
        <v>46</v>
      </c>
      <c r="G2357" s="58">
        <v>88675</v>
      </c>
      <c r="H2357" s="1" t="s">
        <v>56</v>
      </c>
      <c r="I2357" s="1" t="s">
        <v>119</v>
      </c>
      <c r="J2357" s="58">
        <v>709400</v>
      </c>
      <c r="K2357" s="1" t="s">
        <v>106</v>
      </c>
      <c r="L2357" s="1" t="s">
        <v>124</v>
      </c>
      <c r="N2357" s="1">
        <v>1</v>
      </c>
      <c r="O2357" s="58"/>
      <c r="P2357" s="58">
        <v>58525.5</v>
      </c>
      <c r="Q2357" t="s">
        <v>118</v>
      </c>
      <c r="R2357" s="1" t="s">
        <v>158</v>
      </c>
    </row>
    <row r="2358" spans="3:18" x14ac:dyDescent="0.35">
      <c r="C2358" t="s">
        <v>51</v>
      </c>
      <c r="D2358" t="s">
        <v>22</v>
      </c>
      <c r="E2358" t="s">
        <v>45</v>
      </c>
      <c r="F2358" t="s">
        <v>64</v>
      </c>
      <c r="G2358" s="58">
        <v>13723</v>
      </c>
      <c r="H2358" s="1" t="s">
        <v>54</v>
      </c>
      <c r="I2358" s="1" t="s">
        <v>105</v>
      </c>
      <c r="J2358" s="58">
        <v>27446</v>
      </c>
      <c r="K2358" s="1" t="s">
        <v>106</v>
      </c>
      <c r="L2358" s="1" t="s">
        <v>120</v>
      </c>
      <c r="N2358" s="1">
        <v>1</v>
      </c>
      <c r="O2358" s="58"/>
      <c r="P2358" s="58">
        <v>1372.3</v>
      </c>
      <c r="Q2358" t="s">
        <v>107</v>
      </c>
      <c r="R2358" s="1" t="s">
        <v>158</v>
      </c>
    </row>
    <row r="2359" spans="3:18" x14ac:dyDescent="0.35">
      <c r="C2359" t="s">
        <v>51</v>
      </c>
      <c r="D2359" t="s">
        <v>91</v>
      </c>
      <c r="E2359" t="s">
        <v>49</v>
      </c>
      <c r="F2359" t="s">
        <v>46</v>
      </c>
      <c r="G2359" s="58">
        <v>206218</v>
      </c>
      <c r="H2359" s="1" t="s">
        <v>47</v>
      </c>
      <c r="I2359" s="1" t="s">
        <v>105</v>
      </c>
      <c r="J2359" s="58">
        <v>618654</v>
      </c>
      <c r="K2359" s="1" t="s">
        <v>106</v>
      </c>
      <c r="L2359" s="1" t="s">
        <v>114</v>
      </c>
      <c r="N2359" s="1">
        <v>1</v>
      </c>
      <c r="O2359" s="58"/>
      <c r="P2359" s="58">
        <v>39181.42</v>
      </c>
      <c r="Q2359" t="s">
        <v>107</v>
      </c>
      <c r="R2359" s="1" t="s">
        <v>158</v>
      </c>
    </row>
    <row r="2360" spans="3:18" x14ac:dyDescent="0.35">
      <c r="C2360" t="s">
        <v>53</v>
      </c>
      <c r="D2360" t="s">
        <v>23</v>
      </c>
      <c r="E2360" t="s">
        <v>45</v>
      </c>
      <c r="F2360" t="s">
        <v>46</v>
      </c>
      <c r="G2360" s="58">
        <v>1100722</v>
      </c>
      <c r="H2360" s="1" t="s">
        <v>59</v>
      </c>
      <c r="I2360" s="1" t="s">
        <v>111</v>
      </c>
      <c r="J2360" s="58">
        <v>12107942</v>
      </c>
      <c r="K2360" s="1" t="s">
        <v>106</v>
      </c>
      <c r="L2360" s="1" t="s">
        <v>120</v>
      </c>
      <c r="N2360" s="1">
        <v>1</v>
      </c>
      <c r="O2360" s="58"/>
      <c r="P2360" s="58">
        <v>539353.78</v>
      </c>
      <c r="Q2360" t="s">
        <v>113</v>
      </c>
      <c r="R2360" s="1" t="s">
        <v>158</v>
      </c>
    </row>
    <row r="2361" spans="3:18" x14ac:dyDescent="0.35">
      <c r="C2361" t="s">
        <v>51</v>
      </c>
      <c r="D2361" t="s">
        <v>25</v>
      </c>
      <c r="E2361" t="s">
        <v>49</v>
      </c>
      <c r="F2361" t="s">
        <v>46</v>
      </c>
      <c r="G2361" s="58">
        <v>111720</v>
      </c>
      <c r="H2361" s="1" t="s">
        <v>48</v>
      </c>
      <c r="I2361" s="1" t="s">
        <v>108</v>
      </c>
      <c r="J2361" s="58">
        <v>3798480</v>
      </c>
      <c r="K2361" s="1" t="s">
        <v>106</v>
      </c>
      <c r="L2361" s="1" t="s">
        <v>120</v>
      </c>
      <c r="M2361" s="1" t="s">
        <v>121</v>
      </c>
      <c r="N2361" s="1">
        <v>1</v>
      </c>
      <c r="O2361" s="58"/>
      <c r="P2361" s="58">
        <v>87141.6</v>
      </c>
      <c r="Q2361" t="s">
        <v>118</v>
      </c>
      <c r="R2361" s="1" t="s">
        <v>48</v>
      </c>
    </row>
    <row r="2362" spans="3:18" x14ac:dyDescent="0.35">
      <c r="C2362" t="s">
        <v>53</v>
      </c>
      <c r="D2362" t="s">
        <v>21</v>
      </c>
      <c r="E2362" t="s">
        <v>45</v>
      </c>
      <c r="F2362" t="s">
        <v>46</v>
      </c>
      <c r="G2362" s="58">
        <v>26521056</v>
      </c>
      <c r="H2362" s="1" t="s">
        <v>59</v>
      </c>
      <c r="I2362" s="1" t="s">
        <v>111</v>
      </c>
      <c r="J2362" s="58">
        <v>318252672</v>
      </c>
      <c r="K2362" s="1" t="s">
        <v>106</v>
      </c>
      <c r="L2362" s="1" t="s">
        <v>120</v>
      </c>
      <c r="N2362" s="1">
        <v>1</v>
      </c>
      <c r="O2362" s="58"/>
      <c r="P2362" s="58">
        <v>17769107.52</v>
      </c>
      <c r="Q2362" t="s">
        <v>118</v>
      </c>
      <c r="R2362" s="1" t="s">
        <v>158</v>
      </c>
    </row>
    <row r="2363" spans="3:18" x14ac:dyDescent="0.35">
      <c r="C2363" t="s">
        <v>53</v>
      </c>
      <c r="D2363" t="s">
        <v>24</v>
      </c>
      <c r="E2363" t="s">
        <v>50</v>
      </c>
      <c r="F2363" t="s">
        <v>46</v>
      </c>
      <c r="G2363" s="58">
        <v>470097</v>
      </c>
      <c r="H2363" s="1" t="s">
        <v>47</v>
      </c>
      <c r="I2363" s="1" t="s">
        <v>105</v>
      </c>
      <c r="J2363" s="58">
        <v>470097</v>
      </c>
      <c r="K2363" s="1" t="s">
        <v>106</v>
      </c>
      <c r="L2363" s="1" t="s">
        <v>109</v>
      </c>
      <c r="N2363" s="1">
        <v>1</v>
      </c>
      <c r="O2363" s="58"/>
      <c r="P2363" s="58">
        <v>37607.760000000002</v>
      </c>
      <c r="Q2363" t="s">
        <v>107</v>
      </c>
      <c r="R2363" s="1" t="s">
        <v>158</v>
      </c>
    </row>
    <row r="2364" spans="3:18" x14ac:dyDescent="0.35">
      <c r="C2364" t="s">
        <v>51</v>
      </c>
      <c r="D2364" t="s">
        <v>22</v>
      </c>
      <c r="E2364" t="s">
        <v>45</v>
      </c>
      <c r="F2364" t="s">
        <v>46</v>
      </c>
      <c r="G2364" s="58">
        <v>25953</v>
      </c>
      <c r="H2364" s="1" t="s">
        <v>48</v>
      </c>
      <c r="I2364" s="1" t="s">
        <v>108</v>
      </c>
      <c r="J2364" s="58">
        <v>908355</v>
      </c>
      <c r="K2364" s="1" t="s">
        <v>106</v>
      </c>
      <c r="L2364" s="1" t="s">
        <v>124</v>
      </c>
      <c r="M2364" s="1" t="s">
        <v>115</v>
      </c>
      <c r="N2364" s="1">
        <v>1</v>
      </c>
      <c r="O2364" s="58"/>
      <c r="P2364" s="58">
        <v>1816.71</v>
      </c>
      <c r="Q2364" t="s">
        <v>107</v>
      </c>
      <c r="R2364" s="1" t="s">
        <v>158</v>
      </c>
    </row>
    <row r="2365" spans="3:18" x14ac:dyDescent="0.35">
      <c r="C2365" t="s">
        <v>51</v>
      </c>
      <c r="D2365" t="s">
        <v>91</v>
      </c>
      <c r="E2365" t="s">
        <v>49</v>
      </c>
      <c r="F2365" t="s">
        <v>46</v>
      </c>
      <c r="G2365" s="58">
        <v>5054571</v>
      </c>
      <c r="H2365" s="1" t="s">
        <v>48</v>
      </c>
      <c r="I2365" s="1" t="s">
        <v>105</v>
      </c>
      <c r="J2365" s="58">
        <v>15163713</v>
      </c>
      <c r="K2365" s="1" t="s">
        <v>106</v>
      </c>
      <c r="L2365" s="1" t="s">
        <v>124</v>
      </c>
      <c r="M2365" s="1" t="s">
        <v>122</v>
      </c>
      <c r="N2365" s="1">
        <v>1</v>
      </c>
      <c r="O2365" s="58"/>
      <c r="P2365" s="58">
        <v>859277.07</v>
      </c>
      <c r="Q2365" t="s">
        <v>107</v>
      </c>
      <c r="R2365" s="1" t="s">
        <v>158</v>
      </c>
    </row>
    <row r="2366" spans="3:18" x14ac:dyDescent="0.35">
      <c r="C2366" t="s">
        <v>51</v>
      </c>
      <c r="D2366" t="s">
        <v>22</v>
      </c>
      <c r="E2366" t="s">
        <v>45</v>
      </c>
      <c r="F2366" t="s">
        <v>46</v>
      </c>
      <c r="G2366" s="58">
        <v>53044871</v>
      </c>
      <c r="H2366" s="1" t="s">
        <v>59</v>
      </c>
      <c r="I2366" s="1" t="s">
        <v>108</v>
      </c>
      <c r="J2366" s="58">
        <v>1379166646</v>
      </c>
      <c r="K2366" s="1" t="s">
        <v>106</v>
      </c>
      <c r="L2366" s="1" t="s">
        <v>120</v>
      </c>
      <c r="N2366" s="1">
        <v>1</v>
      </c>
      <c r="O2366" s="58"/>
      <c r="P2366" s="58">
        <v>15383012.59</v>
      </c>
      <c r="Q2366" t="s">
        <v>107</v>
      </c>
      <c r="R2366" s="1" t="s">
        <v>158</v>
      </c>
    </row>
    <row r="2367" spans="3:18" x14ac:dyDescent="0.35">
      <c r="C2367" t="s">
        <v>51</v>
      </c>
      <c r="D2367" t="s">
        <v>92</v>
      </c>
      <c r="E2367" t="s">
        <v>49</v>
      </c>
      <c r="F2367" t="s">
        <v>46</v>
      </c>
      <c r="G2367" s="58">
        <v>21376252</v>
      </c>
      <c r="H2367" s="1" t="s">
        <v>54</v>
      </c>
      <c r="I2367" s="1" t="s">
        <v>119</v>
      </c>
      <c r="J2367" s="58">
        <v>149633764</v>
      </c>
      <c r="K2367" s="1" t="s">
        <v>106</v>
      </c>
      <c r="L2367" s="1" t="s">
        <v>124</v>
      </c>
      <c r="N2367" s="1">
        <v>1</v>
      </c>
      <c r="O2367" s="58"/>
      <c r="P2367" s="58">
        <v>4702775.4400000004</v>
      </c>
      <c r="Q2367" t="s">
        <v>107</v>
      </c>
      <c r="R2367" s="1" t="s">
        <v>158</v>
      </c>
    </row>
    <row r="2368" spans="3:18" x14ac:dyDescent="0.35">
      <c r="C2368" t="s">
        <v>51</v>
      </c>
      <c r="D2368" t="s">
        <v>92</v>
      </c>
      <c r="E2368" t="s">
        <v>49</v>
      </c>
      <c r="F2368" t="s">
        <v>46</v>
      </c>
      <c r="G2368" s="58">
        <v>689269</v>
      </c>
      <c r="H2368" s="1" t="s">
        <v>54</v>
      </c>
      <c r="I2368" s="1" t="s">
        <v>108</v>
      </c>
      <c r="J2368" s="58">
        <v>20678070</v>
      </c>
      <c r="K2368" s="1" t="s">
        <v>112</v>
      </c>
      <c r="N2368" s="1">
        <v>1</v>
      </c>
      <c r="O2368" s="58"/>
      <c r="P2368" s="58">
        <v>227458.77</v>
      </c>
      <c r="Q2368" t="s">
        <v>107</v>
      </c>
      <c r="R2368" s="1" t="s">
        <v>158</v>
      </c>
    </row>
    <row r="2369" spans="3:18" x14ac:dyDescent="0.35">
      <c r="C2369" t="s">
        <v>51</v>
      </c>
      <c r="D2369" t="s">
        <v>22</v>
      </c>
      <c r="E2369" t="s">
        <v>50</v>
      </c>
      <c r="F2369" t="s">
        <v>46</v>
      </c>
      <c r="G2369" s="58">
        <v>2754993</v>
      </c>
      <c r="H2369" s="1" t="s">
        <v>48</v>
      </c>
      <c r="I2369" s="1" t="s">
        <v>108</v>
      </c>
      <c r="J2369" s="58">
        <v>93669762</v>
      </c>
      <c r="K2369" s="1" t="s">
        <v>106</v>
      </c>
      <c r="L2369" s="1" t="s">
        <v>109</v>
      </c>
      <c r="M2369" s="1" t="s">
        <v>115</v>
      </c>
      <c r="N2369" s="1">
        <v>1</v>
      </c>
      <c r="O2369" s="58"/>
      <c r="P2369" s="58">
        <v>1983594.96</v>
      </c>
      <c r="Q2369" t="s">
        <v>118</v>
      </c>
      <c r="R2369" s="1" t="s">
        <v>158</v>
      </c>
    </row>
    <row r="2370" spans="3:18" x14ac:dyDescent="0.35">
      <c r="C2370" t="s">
        <v>51</v>
      </c>
      <c r="D2370" t="s">
        <v>20</v>
      </c>
      <c r="E2370" t="s">
        <v>49</v>
      </c>
      <c r="F2370" t="s">
        <v>46</v>
      </c>
      <c r="G2370" s="58">
        <v>618914</v>
      </c>
      <c r="H2370" s="1" t="s">
        <v>48</v>
      </c>
      <c r="I2370" s="1" t="s">
        <v>108</v>
      </c>
      <c r="J2370" s="58">
        <v>15472850</v>
      </c>
      <c r="K2370" s="1" t="s">
        <v>106</v>
      </c>
      <c r="L2370" s="1" t="s">
        <v>120</v>
      </c>
      <c r="M2370" s="1" t="s">
        <v>126</v>
      </c>
      <c r="N2370" s="1">
        <v>1</v>
      </c>
      <c r="O2370" s="58"/>
      <c r="P2370" s="58">
        <v>241376.46</v>
      </c>
      <c r="Q2370" t="s">
        <v>107</v>
      </c>
      <c r="R2370" s="1" t="s">
        <v>158</v>
      </c>
    </row>
    <row r="2371" spans="3:18" x14ac:dyDescent="0.35">
      <c r="C2371" t="s">
        <v>51</v>
      </c>
      <c r="D2371" t="s">
        <v>24</v>
      </c>
      <c r="E2371" t="s">
        <v>50</v>
      </c>
      <c r="F2371" t="s">
        <v>46</v>
      </c>
      <c r="G2371" s="58">
        <v>56522</v>
      </c>
      <c r="H2371" s="1" t="s">
        <v>48</v>
      </c>
      <c r="I2371" s="1" t="s">
        <v>111</v>
      </c>
      <c r="J2371" s="58">
        <v>565220</v>
      </c>
      <c r="K2371" s="1" t="s">
        <v>106</v>
      </c>
      <c r="L2371" s="1" t="s">
        <v>120</v>
      </c>
      <c r="M2371" s="1" t="s">
        <v>121</v>
      </c>
      <c r="N2371" s="1">
        <v>1</v>
      </c>
      <c r="O2371" s="58"/>
      <c r="P2371" s="58">
        <v>22608.799999999999</v>
      </c>
      <c r="Q2371" t="s">
        <v>113</v>
      </c>
      <c r="R2371" s="1" t="s">
        <v>158</v>
      </c>
    </row>
    <row r="2372" spans="3:18" x14ac:dyDescent="0.35">
      <c r="C2372" t="s">
        <v>53</v>
      </c>
      <c r="D2372" t="s">
        <v>22</v>
      </c>
      <c r="E2372" t="s">
        <v>45</v>
      </c>
      <c r="F2372" t="s">
        <v>46</v>
      </c>
      <c r="G2372" s="58">
        <v>787456</v>
      </c>
      <c r="H2372" s="1" t="s">
        <v>54</v>
      </c>
      <c r="I2372" s="1" t="s">
        <v>119</v>
      </c>
      <c r="J2372" s="58">
        <v>5512192</v>
      </c>
      <c r="K2372" s="1" t="s">
        <v>106</v>
      </c>
      <c r="L2372" s="1" t="s">
        <v>120</v>
      </c>
      <c r="N2372" s="1">
        <v>1</v>
      </c>
      <c r="O2372" s="58"/>
      <c r="P2372" s="58">
        <v>1055191.04</v>
      </c>
      <c r="Q2372" t="s">
        <v>110</v>
      </c>
      <c r="R2372" s="1" t="s">
        <v>158</v>
      </c>
    </row>
    <row r="2373" spans="3:18" x14ac:dyDescent="0.35">
      <c r="C2373" t="s">
        <v>51</v>
      </c>
      <c r="D2373" t="s">
        <v>21</v>
      </c>
      <c r="E2373" t="s">
        <v>49</v>
      </c>
      <c r="F2373" t="s">
        <v>46</v>
      </c>
      <c r="G2373" s="58">
        <v>104016</v>
      </c>
      <c r="H2373" s="1" t="s">
        <v>47</v>
      </c>
      <c r="I2373" s="1" t="s">
        <v>128</v>
      </c>
      <c r="J2373" s="58"/>
      <c r="K2373" s="1" t="s">
        <v>106</v>
      </c>
      <c r="L2373" s="1" t="s">
        <v>124</v>
      </c>
      <c r="N2373" s="1">
        <v>0</v>
      </c>
      <c r="O2373" s="58"/>
      <c r="P2373" s="58">
        <v>84252.96</v>
      </c>
      <c r="Q2373" t="s">
        <v>127</v>
      </c>
      <c r="R2373" s="1" t="s">
        <v>158</v>
      </c>
    </row>
    <row r="2374" spans="3:18" x14ac:dyDescent="0.35">
      <c r="C2374" t="s">
        <v>51</v>
      </c>
      <c r="D2374" t="s">
        <v>21</v>
      </c>
      <c r="E2374" t="s">
        <v>49</v>
      </c>
      <c r="F2374" t="s">
        <v>46</v>
      </c>
      <c r="G2374" s="58">
        <v>593361</v>
      </c>
      <c r="H2374" s="1" t="s">
        <v>47</v>
      </c>
      <c r="I2374" s="1" t="s">
        <v>119</v>
      </c>
      <c r="J2374" s="58">
        <v>4746888</v>
      </c>
      <c r="K2374" s="1" t="s">
        <v>112</v>
      </c>
      <c r="N2374" s="1">
        <v>1</v>
      </c>
      <c r="O2374" s="58"/>
      <c r="P2374" s="58">
        <v>284813.28000000003</v>
      </c>
      <c r="Q2374" t="s">
        <v>113</v>
      </c>
      <c r="R2374" s="1" t="s">
        <v>158</v>
      </c>
    </row>
    <row r="2375" spans="3:18" x14ac:dyDescent="0.35">
      <c r="C2375" t="s">
        <v>51</v>
      </c>
      <c r="D2375" t="s">
        <v>19</v>
      </c>
      <c r="E2375" t="s">
        <v>49</v>
      </c>
      <c r="F2375" t="s">
        <v>46</v>
      </c>
      <c r="G2375" s="58">
        <v>177377</v>
      </c>
      <c r="H2375" s="1" t="s">
        <v>58</v>
      </c>
      <c r="I2375" s="1" t="s">
        <v>108</v>
      </c>
      <c r="J2375" s="58">
        <v>4079671</v>
      </c>
      <c r="K2375" s="1" t="s">
        <v>106</v>
      </c>
      <c r="L2375" s="1" t="s">
        <v>124</v>
      </c>
      <c r="N2375" s="1">
        <v>1</v>
      </c>
      <c r="O2375" s="58"/>
      <c r="P2375" s="58">
        <v>79819.649999999994</v>
      </c>
      <c r="Q2375" t="s">
        <v>113</v>
      </c>
      <c r="R2375" s="1" t="s">
        <v>158</v>
      </c>
    </row>
    <row r="2376" spans="3:18" x14ac:dyDescent="0.35">
      <c r="C2376" t="s">
        <v>51</v>
      </c>
      <c r="D2376" t="s">
        <v>19</v>
      </c>
      <c r="E2376" t="s">
        <v>49</v>
      </c>
      <c r="F2376" t="s">
        <v>46</v>
      </c>
      <c r="G2376" s="58">
        <v>160356</v>
      </c>
      <c r="H2376" s="1" t="s">
        <v>48</v>
      </c>
      <c r="I2376" s="1" t="s">
        <v>108</v>
      </c>
      <c r="J2376" s="58">
        <v>4971036</v>
      </c>
      <c r="K2376" s="1" t="s">
        <v>106</v>
      </c>
      <c r="L2376" s="1" t="s">
        <v>120</v>
      </c>
      <c r="M2376" s="1" t="s">
        <v>126</v>
      </c>
      <c r="N2376" s="1">
        <v>1</v>
      </c>
      <c r="O2376" s="58"/>
      <c r="P2376" s="58">
        <v>19242.72</v>
      </c>
      <c r="Q2376" t="s">
        <v>107</v>
      </c>
      <c r="R2376" s="1" t="s">
        <v>158</v>
      </c>
    </row>
    <row r="2377" spans="3:18" x14ac:dyDescent="0.35">
      <c r="C2377" t="s">
        <v>51</v>
      </c>
      <c r="D2377" t="s">
        <v>23</v>
      </c>
      <c r="E2377" t="s">
        <v>50</v>
      </c>
      <c r="F2377" t="s">
        <v>46</v>
      </c>
      <c r="G2377" s="58">
        <v>38540832</v>
      </c>
      <c r="H2377" s="1" t="s">
        <v>48</v>
      </c>
      <c r="I2377" s="1" t="s">
        <v>108</v>
      </c>
      <c r="J2377" s="58">
        <v>1310388288</v>
      </c>
      <c r="K2377" s="1" t="s">
        <v>112</v>
      </c>
      <c r="N2377" s="1">
        <v>1</v>
      </c>
      <c r="O2377" s="58"/>
      <c r="P2377" s="58">
        <v>27749399.039999999</v>
      </c>
      <c r="Q2377" t="s">
        <v>118</v>
      </c>
      <c r="R2377" s="1" t="s">
        <v>48</v>
      </c>
    </row>
    <row r="2378" spans="3:18" x14ac:dyDescent="0.35">
      <c r="C2378" t="s">
        <v>53</v>
      </c>
      <c r="D2378" t="s">
        <v>21</v>
      </c>
      <c r="E2378" t="s">
        <v>49</v>
      </c>
      <c r="F2378" t="s">
        <v>46</v>
      </c>
      <c r="G2378" s="58">
        <v>926713</v>
      </c>
      <c r="H2378" s="1" t="s">
        <v>59</v>
      </c>
      <c r="I2378" s="1" t="s">
        <v>108</v>
      </c>
      <c r="J2378" s="58">
        <v>21314399</v>
      </c>
      <c r="K2378" s="1" t="s">
        <v>106</v>
      </c>
      <c r="L2378" s="1" t="s">
        <v>124</v>
      </c>
      <c r="N2378" s="1">
        <v>1</v>
      </c>
      <c r="O2378" s="58"/>
      <c r="P2378" s="58">
        <v>444822.24</v>
      </c>
      <c r="Q2378" t="s">
        <v>113</v>
      </c>
      <c r="R2378" s="1" t="s">
        <v>158</v>
      </c>
    </row>
    <row r="2379" spans="3:18" x14ac:dyDescent="0.35">
      <c r="C2379" t="s">
        <v>51</v>
      </c>
      <c r="D2379" t="s">
        <v>23</v>
      </c>
      <c r="E2379" t="s">
        <v>45</v>
      </c>
      <c r="F2379" t="s">
        <v>46</v>
      </c>
      <c r="G2379" s="58">
        <v>10390</v>
      </c>
      <c r="H2379" s="1" t="s">
        <v>56</v>
      </c>
      <c r="I2379" s="1" t="s">
        <v>105</v>
      </c>
      <c r="J2379" s="58"/>
      <c r="K2379" s="1" t="s">
        <v>106</v>
      </c>
      <c r="L2379" s="1" t="s">
        <v>120</v>
      </c>
      <c r="N2379" s="1">
        <v>0</v>
      </c>
      <c r="O2379" s="58"/>
      <c r="P2379" s="58">
        <v>207.8</v>
      </c>
      <c r="Q2379" t="s">
        <v>107</v>
      </c>
      <c r="R2379" s="1" t="s">
        <v>158</v>
      </c>
    </row>
    <row r="2380" spans="3:18" x14ac:dyDescent="0.35">
      <c r="C2380" t="s">
        <v>51</v>
      </c>
      <c r="D2380" t="s">
        <v>22</v>
      </c>
      <c r="E2380" t="s">
        <v>55</v>
      </c>
      <c r="F2380" t="s">
        <v>46</v>
      </c>
      <c r="G2380" s="58">
        <v>1322422</v>
      </c>
      <c r="H2380" s="1" t="s">
        <v>48</v>
      </c>
      <c r="I2380" s="1" t="s">
        <v>111</v>
      </c>
      <c r="J2380" s="58">
        <v>19836330</v>
      </c>
      <c r="K2380" s="1" t="s">
        <v>106</v>
      </c>
      <c r="L2380" s="1" t="s">
        <v>120</v>
      </c>
      <c r="M2380" s="1" t="s">
        <v>115</v>
      </c>
      <c r="N2380" s="1">
        <v>1</v>
      </c>
      <c r="O2380" s="58"/>
      <c r="P2380" s="58">
        <v>621538.34</v>
      </c>
      <c r="Q2380" t="s">
        <v>113</v>
      </c>
      <c r="R2380" s="1" t="s">
        <v>48</v>
      </c>
    </row>
    <row r="2381" spans="3:18" x14ac:dyDescent="0.35">
      <c r="C2381" t="s">
        <v>51</v>
      </c>
      <c r="D2381" t="s">
        <v>20</v>
      </c>
      <c r="E2381" t="s">
        <v>49</v>
      </c>
      <c r="F2381" t="s">
        <v>46</v>
      </c>
      <c r="G2381" s="58">
        <v>8596359</v>
      </c>
      <c r="H2381" s="1" t="s">
        <v>47</v>
      </c>
      <c r="I2381" s="1" t="s">
        <v>105</v>
      </c>
      <c r="J2381" s="58">
        <v>25789077</v>
      </c>
      <c r="K2381" s="1" t="s">
        <v>106</v>
      </c>
      <c r="L2381" s="1" t="s">
        <v>124</v>
      </c>
      <c r="N2381" s="1">
        <v>1</v>
      </c>
      <c r="O2381" s="58"/>
      <c r="P2381" s="58">
        <v>945599.49</v>
      </c>
      <c r="Q2381" t="s">
        <v>107</v>
      </c>
      <c r="R2381" s="1" t="s">
        <v>158</v>
      </c>
    </row>
    <row r="2382" spans="3:18" x14ac:dyDescent="0.35">
      <c r="C2382" t="s">
        <v>51</v>
      </c>
      <c r="D2382" t="s">
        <v>20</v>
      </c>
      <c r="E2382" t="s">
        <v>45</v>
      </c>
      <c r="F2382" t="s">
        <v>46</v>
      </c>
      <c r="G2382" s="58">
        <v>3939097</v>
      </c>
      <c r="H2382" s="1" t="s">
        <v>48</v>
      </c>
      <c r="I2382" s="1" t="s">
        <v>105</v>
      </c>
      <c r="J2382" s="58">
        <v>7878194</v>
      </c>
      <c r="K2382" s="1" t="s">
        <v>106</v>
      </c>
      <c r="L2382" s="1" t="s">
        <v>120</v>
      </c>
      <c r="M2382" s="1" t="s">
        <v>123</v>
      </c>
      <c r="N2382" s="1">
        <v>1</v>
      </c>
      <c r="O2382" s="58"/>
      <c r="P2382" s="58">
        <v>630255.52</v>
      </c>
      <c r="Q2382" t="s">
        <v>107</v>
      </c>
      <c r="R2382" s="1" t="s">
        <v>158</v>
      </c>
    </row>
    <row r="2383" spans="3:18" x14ac:dyDescent="0.35">
      <c r="C2383" t="s">
        <v>51</v>
      </c>
      <c r="D2383" t="s">
        <v>20</v>
      </c>
      <c r="E2383" t="s">
        <v>49</v>
      </c>
      <c r="F2383" t="s">
        <v>46</v>
      </c>
      <c r="G2383" s="58">
        <v>1448389</v>
      </c>
      <c r="H2383" s="1" t="s">
        <v>48</v>
      </c>
      <c r="I2383" s="1" t="s">
        <v>111</v>
      </c>
      <c r="J2383" s="58">
        <v>20277446</v>
      </c>
      <c r="K2383" s="1" t="s">
        <v>106</v>
      </c>
      <c r="L2383" s="1" t="s">
        <v>124</v>
      </c>
      <c r="M2383" s="1" t="s">
        <v>126</v>
      </c>
      <c r="N2383" s="1">
        <v>1</v>
      </c>
      <c r="O2383" s="58"/>
      <c r="P2383" s="58">
        <v>405548.92</v>
      </c>
      <c r="Q2383" t="s">
        <v>107</v>
      </c>
      <c r="R2383" s="1" t="s">
        <v>48</v>
      </c>
    </row>
    <row r="2384" spans="3:18" x14ac:dyDescent="0.35">
      <c r="C2384" t="s">
        <v>51</v>
      </c>
      <c r="D2384" t="s">
        <v>24</v>
      </c>
      <c r="E2384" t="s">
        <v>52</v>
      </c>
      <c r="F2384" t="s">
        <v>46</v>
      </c>
      <c r="G2384" s="58">
        <v>188031</v>
      </c>
      <c r="H2384" s="1" t="s">
        <v>48</v>
      </c>
      <c r="I2384" s="1" t="s">
        <v>108</v>
      </c>
      <c r="J2384" s="58">
        <v>4700775</v>
      </c>
      <c r="K2384" s="1" t="s">
        <v>106</v>
      </c>
      <c r="L2384" s="1" t="s">
        <v>130</v>
      </c>
      <c r="M2384" s="1" t="s">
        <v>121</v>
      </c>
      <c r="N2384" s="1">
        <v>1</v>
      </c>
      <c r="O2384" s="58"/>
      <c r="P2384" s="58">
        <v>92135.19</v>
      </c>
      <c r="Q2384" t="s">
        <v>113</v>
      </c>
      <c r="R2384" s="1" t="s">
        <v>158</v>
      </c>
    </row>
    <row r="2385" spans="3:18" x14ac:dyDescent="0.35">
      <c r="C2385" t="s">
        <v>51</v>
      </c>
      <c r="D2385" t="s">
        <v>22</v>
      </c>
      <c r="E2385" t="s">
        <v>49</v>
      </c>
      <c r="F2385" t="s">
        <v>46</v>
      </c>
      <c r="G2385" s="58">
        <v>59260</v>
      </c>
      <c r="H2385" s="1" t="s">
        <v>56</v>
      </c>
      <c r="I2385" s="1" t="s">
        <v>119</v>
      </c>
      <c r="J2385" s="58">
        <v>592600</v>
      </c>
      <c r="K2385" s="1" t="s">
        <v>112</v>
      </c>
      <c r="N2385" s="1">
        <v>1</v>
      </c>
      <c r="O2385" s="58"/>
      <c r="P2385" s="58">
        <v>6518.6</v>
      </c>
      <c r="Q2385" t="s">
        <v>107</v>
      </c>
      <c r="R2385" s="1" t="s">
        <v>158</v>
      </c>
    </row>
    <row r="2386" spans="3:18" x14ac:dyDescent="0.35">
      <c r="C2386" t="s">
        <v>51</v>
      </c>
      <c r="D2386" t="s">
        <v>21</v>
      </c>
      <c r="E2386" t="s">
        <v>49</v>
      </c>
      <c r="F2386" t="s">
        <v>46</v>
      </c>
      <c r="G2386" s="58">
        <v>139107027</v>
      </c>
      <c r="H2386" s="1" t="s">
        <v>56</v>
      </c>
      <c r="I2386" s="1" t="s">
        <v>108</v>
      </c>
      <c r="J2386" s="58">
        <v>3616782702</v>
      </c>
      <c r="K2386" s="1" t="s">
        <v>106</v>
      </c>
      <c r="L2386" s="1" t="s">
        <v>124</v>
      </c>
      <c r="N2386" s="1">
        <v>1</v>
      </c>
      <c r="O2386" s="58"/>
      <c r="P2386" s="58">
        <v>40341037.829999998</v>
      </c>
      <c r="Q2386" t="s">
        <v>107</v>
      </c>
      <c r="R2386" s="1" t="s">
        <v>158</v>
      </c>
    </row>
    <row r="2387" spans="3:18" x14ac:dyDescent="0.35">
      <c r="C2387" t="s">
        <v>51</v>
      </c>
      <c r="D2387" t="s">
        <v>23</v>
      </c>
      <c r="E2387" t="s">
        <v>45</v>
      </c>
      <c r="F2387" t="s">
        <v>46</v>
      </c>
      <c r="G2387" s="58">
        <v>195392</v>
      </c>
      <c r="H2387" s="1" t="s">
        <v>47</v>
      </c>
      <c r="I2387" s="1" t="s">
        <v>108</v>
      </c>
      <c r="J2387" s="58">
        <v>5861760</v>
      </c>
      <c r="K2387" s="1" t="s">
        <v>106</v>
      </c>
      <c r="L2387" s="1" t="s">
        <v>124</v>
      </c>
      <c r="N2387" s="1">
        <v>1</v>
      </c>
      <c r="O2387" s="58"/>
      <c r="P2387" s="58">
        <v>293088</v>
      </c>
      <c r="Q2387" t="s">
        <v>110</v>
      </c>
      <c r="R2387" s="1" t="s">
        <v>158</v>
      </c>
    </row>
    <row r="2388" spans="3:18" x14ac:dyDescent="0.35">
      <c r="C2388" t="s">
        <v>51</v>
      </c>
      <c r="D2388" t="s">
        <v>24</v>
      </c>
      <c r="E2388" t="s">
        <v>45</v>
      </c>
      <c r="F2388" t="s">
        <v>46</v>
      </c>
      <c r="G2388" s="58">
        <v>531690</v>
      </c>
      <c r="H2388" s="1" t="s">
        <v>48</v>
      </c>
      <c r="I2388" s="1" t="s">
        <v>119</v>
      </c>
      <c r="J2388" s="58">
        <v>4253520</v>
      </c>
      <c r="K2388" s="1" t="s">
        <v>106</v>
      </c>
      <c r="L2388" s="1" t="s">
        <v>120</v>
      </c>
      <c r="M2388" s="1" t="s">
        <v>121</v>
      </c>
      <c r="N2388" s="1">
        <v>1</v>
      </c>
      <c r="O2388" s="58"/>
      <c r="P2388" s="58">
        <v>249894.3</v>
      </c>
      <c r="Q2388" t="s">
        <v>113</v>
      </c>
      <c r="R2388" s="1" t="s">
        <v>158</v>
      </c>
    </row>
    <row r="2389" spans="3:18" x14ac:dyDescent="0.35">
      <c r="C2389" t="s">
        <v>51</v>
      </c>
      <c r="D2389" t="s">
        <v>91</v>
      </c>
      <c r="E2389" t="s">
        <v>49</v>
      </c>
      <c r="F2389" t="s">
        <v>46</v>
      </c>
      <c r="G2389" s="58">
        <v>2168744</v>
      </c>
      <c r="H2389" s="1" t="s">
        <v>47</v>
      </c>
      <c r="I2389" s="1" t="s">
        <v>108</v>
      </c>
      <c r="J2389" s="58">
        <v>69399808</v>
      </c>
      <c r="K2389" s="1" t="s">
        <v>106</v>
      </c>
      <c r="L2389" s="1" t="s">
        <v>114</v>
      </c>
      <c r="N2389" s="1">
        <v>1</v>
      </c>
      <c r="O2389" s="58"/>
      <c r="P2389" s="58">
        <v>1539808.24</v>
      </c>
      <c r="Q2389" t="s">
        <v>118</v>
      </c>
      <c r="R2389" s="1" t="s">
        <v>158</v>
      </c>
    </row>
    <row r="2390" spans="3:18" x14ac:dyDescent="0.35">
      <c r="C2390" t="s">
        <v>51</v>
      </c>
      <c r="D2390" t="s">
        <v>19</v>
      </c>
      <c r="E2390" t="s">
        <v>49</v>
      </c>
      <c r="F2390" t="s">
        <v>46</v>
      </c>
      <c r="G2390" s="58">
        <v>29077486</v>
      </c>
      <c r="H2390" s="1" t="s">
        <v>47</v>
      </c>
      <c r="I2390" s="1" t="s">
        <v>108</v>
      </c>
      <c r="J2390" s="58">
        <v>901402066</v>
      </c>
      <c r="K2390" s="1" t="s">
        <v>106</v>
      </c>
      <c r="L2390" s="1" t="s">
        <v>124</v>
      </c>
      <c r="N2390" s="1">
        <v>1</v>
      </c>
      <c r="O2390" s="58"/>
      <c r="P2390" s="58">
        <v>25006637.960000001</v>
      </c>
      <c r="Q2390" t="s">
        <v>127</v>
      </c>
      <c r="R2390" s="1" t="s">
        <v>158</v>
      </c>
    </row>
    <row r="2391" spans="3:18" x14ac:dyDescent="0.35">
      <c r="C2391" t="s">
        <v>51</v>
      </c>
      <c r="D2391" t="s">
        <v>91</v>
      </c>
      <c r="E2391" t="s">
        <v>55</v>
      </c>
      <c r="F2391" t="s">
        <v>46</v>
      </c>
      <c r="G2391" s="58">
        <v>134160</v>
      </c>
      <c r="H2391" s="1" t="s">
        <v>48</v>
      </c>
      <c r="I2391" s="1" t="s">
        <v>108</v>
      </c>
      <c r="J2391" s="58">
        <v>4293120</v>
      </c>
      <c r="K2391" s="1" t="s">
        <v>106</v>
      </c>
      <c r="L2391" s="1" t="s">
        <v>114</v>
      </c>
      <c r="M2391" s="1" t="s">
        <v>122</v>
      </c>
      <c r="N2391" s="1">
        <v>1</v>
      </c>
      <c r="O2391" s="58"/>
      <c r="P2391" s="58">
        <v>72446.399999999994</v>
      </c>
      <c r="Q2391" t="s">
        <v>113</v>
      </c>
      <c r="R2391" s="1" t="s">
        <v>48</v>
      </c>
    </row>
    <row r="2392" spans="3:18" x14ac:dyDescent="0.35">
      <c r="C2392" t="s">
        <v>51</v>
      </c>
      <c r="D2392" t="s">
        <v>21</v>
      </c>
      <c r="E2392" t="s">
        <v>49</v>
      </c>
      <c r="F2392" t="s">
        <v>46</v>
      </c>
      <c r="G2392" s="58">
        <v>27422447</v>
      </c>
      <c r="H2392" s="1" t="s">
        <v>59</v>
      </c>
      <c r="I2392" s="1" t="s">
        <v>105</v>
      </c>
      <c r="J2392" s="58">
        <v>82267341</v>
      </c>
      <c r="K2392" s="1" t="s">
        <v>106</v>
      </c>
      <c r="L2392" s="1" t="s">
        <v>124</v>
      </c>
      <c r="N2392" s="1">
        <v>1</v>
      </c>
      <c r="O2392" s="58"/>
      <c r="P2392" s="58">
        <v>3290693.64</v>
      </c>
      <c r="Q2392" t="s">
        <v>107</v>
      </c>
      <c r="R2392" s="1" t="s">
        <v>158</v>
      </c>
    </row>
    <row r="2393" spans="3:18" x14ac:dyDescent="0.35">
      <c r="C2393" t="s">
        <v>53</v>
      </c>
      <c r="D2393" t="s">
        <v>21</v>
      </c>
      <c r="E2393" t="s">
        <v>55</v>
      </c>
      <c r="F2393" t="s">
        <v>46</v>
      </c>
      <c r="G2393" s="58">
        <v>445</v>
      </c>
      <c r="H2393" s="1" t="s">
        <v>47</v>
      </c>
      <c r="I2393" s="1" t="s">
        <v>105</v>
      </c>
      <c r="J2393" s="58"/>
      <c r="K2393" s="1" t="s">
        <v>106</v>
      </c>
      <c r="L2393" s="1" t="s">
        <v>114</v>
      </c>
      <c r="N2393" s="1">
        <v>0</v>
      </c>
      <c r="O2393" s="58"/>
      <c r="P2393" s="58">
        <v>0</v>
      </c>
      <c r="Q2393" t="s">
        <v>107</v>
      </c>
      <c r="R2393" s="1" t="s">
        <v>158</v>
      </c>
    </row>
    <row r="2394" spans="3:18" x14ac:dyDescent="0.35">
      <c r="C2394" t="s">
        <v>51</v>
      </c>
      <c r="D2394" t="s">
        <v>24</v>
      </c>
      <c r="E2394" t="s">
        <v>50</v>
      </c>
      <c r="F2394" t="s">
        <v>64</v>
      </c>
      <c r="G2394" s="58">
        <v>304482</v>
      </c>
      <c r="H2394" s="1" t="s">
        <v>48</v>
      </c>
      <c r="I2394" s="1" t="s">
        <v>108</v>
      </c>
      <c r="J2394" s="58">
        <v>9743424</v>
      </c>
      <c r="K2394" s="1" t="s">
        <v>112</v>
      </c>
      <c r="N2394" s="1">
        <v>1</v>
      </c>
      <c r="O2394" s="58"/>
      <c r="P2394" s="58">
        <v>231406.32</v>
      </c>
      <c r="Q2394" t="s">
        <v>118</v>
      </c>
      <c r="R2394" s="1" t="s">
        <v>48</v>
      </c>
    </row>
    <row r="2395" spans="3:18" x14ac:dyDescent="0.35">
      <c r="C2395" t="s">
        <v>51</v>
      </c>
      <c r="D2395" t="s">
        <v>21</v>
      </c>
      <c r="E2395" t="s">
        <v>45</v>
      </c>
      <c r="F2395" t="s">
        <v>46</v>
      </c>
      <c r="G2395" s="58">
        <v>18411</v>
      </c>
      <c r="H2395" s="1" t="s">
        <v>59</v>
      </c>
      <c r="I2395" s="1" t="s">
        <v>111</v>
      </c>
      <c r="J2395" s="58">
        <v>276165</v>
      </c>
      <c r="K2395" s="1" t="s">
        <v>106</v>
      </c>
      <c r="L2395" s="1" t="s">
        <v>114</v>
      </c>
      <c r="N2395" s="1">
        <v>1</v>
      </c>
      <c r="O2395" s="58"/>
      <c r="P2395" s="58">
        <v>14360.58</v>
      </c>
      <c r="Q2395" t="s">
        <v>118</v>
      </c>
      <c r="R2395" s="1" t="s">
        <v>158</v>
      </c>
    </row>
    <row r="2396" spans="3:18" x14ac:dyDescent="0.35">
      <c r="C2396" t="s">
        <v>53</v>
      </c>
      <c r="D2396" t="s">
        <v>23</v>
      </c>
      <c r="E2396" t="s">
        <v>55</v>
      </c>
      <c r="F2396" t="s">
        <v>46</v>
      </c>
      <c r="G2396" s="58">
        <v>3522465</v>
      </c>
      <c r="H2396" s="1" t="s">
        <v>54</v>
      </c>
      <c r="I2396" s="1" t="s">
        <v>111</v>
      </c>
      <c r="J2396" s="58">
        <v>52836975</v>
      </c>
      <c r="K2396" s="1" t="s">
        <v>112</v>
      </c>
      <c r="N2396" s="1">
        <v>1</v>
      </c>
      <c r="O2396" s="58"/>
      <c r="P2396" s="58">
        <v>2677073.4</v>
      </c>
      <c r="Q2396" t="s">
        <v>118</v>
      </c>
      <c r="R2396" s="1" t="s">
        <v>158</v>
      </c>
    </row>
    <row r="2397" spans="3:18" x14ac:dyDescent="0.35">
      <c r="C2397" t="s">
        <v>51</v>
      </c>
      <c r="D2397" t="s">
        <v>19</v>
      </c>
      <c r="E2397" t="s">
        <v>49</v>
      </c>
      <c r="F2397" t="s">
        <v>46</v>
      </c>
      <c r="G2397" s="58">
        <v>7032260</v>
      </c>
      <c r="H2397" s="1" t="s">
        <v>47</v>
      </c>
      <c r="I2397" s="1" t="s">
        <v>105</v>
      </c>
      <c r="J2397" s="58">
        <v>21096780</v>
      </c>
      <c r="K2397" s="1" t="s">
        <v>112</v>
      </c>
      <c r="N2397" s="1">
        <v>1</v>
      </c>
      <c r="O2397" s="58"/>
      <c r="P2397" s="58">
        <v>1406452</v>
      </c>
      <c r="Q2397" t="s">
        <v>107</v>
      </c>
      <c r="R2397" s="1" t="s">
        <v>158</v>
      </c>
    </row>
    <row r="2398" spans="3:18" x14ac:dyDescent="0.35">
      <c r="C2398" t="s">
        <v>51</v>
      </c>
      <c r="D2398" t="s">
        <v>24</v>
      </c>
      <c r="E2398" t="s">
        <v>45</v>
      </c>
      <c r="F2398" t="s">
        <v>46</v>
      </c>
      <c r="G2398" s="58">
        <v>80767</v>
      </c>
      <c r="H2398" s="1" t="s">
        <v>54</v>
      </c>
      <c r="I2398" s="1" t="s">
        <v>111</v>
      </c>
      <c r="J2398" s="58">
        <v>1211505</v>
      </c>
      <c r="K2398" s="1" t="s">
        <v>106</v>
      </c>
      <c r="L2398" s="1" t="s">
        <v>120</v>
      </c>
      <c r="N2398" s="1">
        <v>1</v>
      </c>
      <c r="O2398" s="58"/>
      <c r="P2398" s="58">
        <v>49267.87</v>
      </c>
      <c r="Q2398" t="s">
        <v>118</v>
      </c>
      <c r="R2398" s="1" t="s">
        <v>158</v>
      </c>
    </row>
    <row r="2399" spans="3:18" x14ac:dyDescent="0.35">
      <c r="C2399" t="s">
        <v>51</v>
      </c>
      <c r="D2399" t="s">
        <v>92</v>
      </c>
      <c r="E2399" t="s">
        <v>49</v>
      </c>
      <c r="F2399" t="s">
        <v>46</v>
      </c>
      <c r="G2399" s="58">
        <v>2285978</v>
      </c>
      <c r="H2399" s="1" t="s">
        <v>48</v>
      </c>
      <c r="I2399" s="1" t="s">
        <v>108</v>
      </c>
      <c r="J2399" s="58">
        <v>68579340</v>
      </c>
      <c r="K2399" s="1" t="s">
        <v>106</v>
      </c>
      <c r="L2399" s="1" t="s">
        <v>124</v>
      </c>
      <c r="M2399" s="1" t="s">
        <v>126</v>
      </c>
      <c r="N2399" s="1">
        <v>1</v>
      </c>
      <c r="O2399" s="58"/>
      <c r="P2399" s="58">
        <v>1554465.04</v>
      </c>
      <c r="Q2399" t="s">
        <v>118</v>
      </c>
      <c r="R2399" s="1" t="s">
        <v>48</v>
      </c>
    </row>
    <row r="2400" spans="3:18" x14ac:dyDescent="0.35">
      <c r="C2400" t="s">
        <v>51</v>
      </c>
      <c r="D2400" t="s">
        <v>20</v>
      </c>
      <c r="E2400" t="s">
        <v>49</v>
      </c>
      <c r="F2400" t="s">
        <v>46</v>
      </c>
      <c r="G2400" s="58">
        <v>174784</v>
      </c>
      <c r="H2400" s="1" t="s">
        <v>59</v>
      </c>
      <c r="I2400" s="1" t="s">
        <v>111</v>
      </c>
      <c r="J2400" s="58">
        <v>2796544</v>
      </c>
      <c r="K2400" s="1" t="s">
        <v>112</v>
      </c>
      <c r="N2400" s="1">
        <v>1</v>
      </c>
      <c r="O2400" s="58"/>
      <c r="P2400" s="58">
        <v>73409.279999999999</v>
      </c>
      <c r="Q2400" t="s">
        <v>113</v>
      </c>
      <c r="R2400" s="1" t="s">
        <v>158</v>
      </c>
    </row>
    <row r="2401" spans="3:18" x14ac:dyDescent="0.35">
      <c r="C2401" t="s">
        <v>51</v>
      </c>
      <c r="D2401" t="s">
        <v>22</v>
      </c>
      <c r="E2401" t="s">
        <v>45</v>
      </c>
      <c r="F2401" t="s">
        <v>46</v>
      </c>
      <c r="G2401" s="58">
        <v>425336</v>
      </c>
      <c r="H2401" s="1" t="s">
        <v>48</v>
      </c>
      <c r="I2401" s="1" t="s">
        <v>108</v>
      </c>
      <c r="J2401" s="58">
        <v>15737432</v>
      </c>
      <c r="K2401" s="1" t="s">
        <v>106</v>
      </c>
      <c r="L2401" s="1" t="s">
        <v>116</v>
      </c>
      <c r="M2401" s="1" t="s">
        <v>129</v>
      </c>
      <c r="N2401" s="1">
        <v>1</v>
      </c>
      <c r="O2401" s="58"/>
      <c r="P2401" s="58">
        <v>348775.52</v>
      </c>
      <c r="Q2401" t="s">
        <v>127</v>
      </c>
      <c r="R2401" s="1" t="s">
        <v>158</v>
      </c>
    </row>
    <row r="2402" spans="3:18" x14ac:dyDescent="0.35">
      <c r="C2402" t="s">
        <v>51</v>
      </c>
      <c r="D2402" t="s">
        <v>24</v>
      </c>
      <c r="E2402" t="s">
        <v>50</v>
      </c>
      <c r="F2402" t="s">
        <v>46</v>
      </c>
      <c r="G2402" s="58">
        <v>322484</v>
      </c>
      <c r="H2402" s="1" t="s">
        <v>47</v>
      </c>
      <c r="I2402" s="1" t="s">
        <v>119</v>
      </c>
      <c r="J2402" s="58">
        <v>2257388</v>
      </c>
      <c r="K2402" s="1" t="s">
        <v>106</v>
      </c>
      <c r="L2402" s="1" t="s">
        <v>114</v>
      </c>
      <c r="N2402" s="1">
        <v>1</v>
      </c>
      <c r="O2402" s="58"/>
      <c r="P2402" s="58">
        <v>67721.64</v>
      </c>
      <c r="Q2402" t="s">
        <v>107</v>
      </c>
      <c r="R2402" s="1" t="s">
        <v>158</v>
      </c>
    </row>
    <row r="2403" spans="3:18" x14ac:dyDescent="0.35">
      <c r="C2403" t="s">
        <v>51</v>
      </c>
      <c r="D2403" t="s">
        <v>22</v>
      </c>
      <c r="E2403" t="s">
        <v>52</v>
      </c>
      <c r="F2403" t="s">
        <v>46</v>
      </c>
      <c r="G2403" s="58">
        <v>159304</v>
      </c>
      <c r="H2403" s="1" t="s">
        <v>48</v>
      </c>
      <c r="I2403" s="1" t="s">
        <v>111</v>
      </c>
      <c r="J2403" s="58">
        <v>2389560</v>
      </c>
      <c r="K2403" s="1" t="s">
        <v>112</v>
      </c>
      <c r="N2403" s="1">
        <v>1</v>
      </c>
      <c r="O2403" s="58"/>
      <c r="P2403" s="58">
        <v>33453.839999999997</v>
      </c>
      <c r="Q2403" t="s">
        <v>107</v>
      </c>
      <c r="R2403" s="1" t="s">
        <v>48</v>
      </c>
    </row>
    <row r="2404" spans="3:18" x14ac:dyDescent="0.35">
      <c r="C2404" t="s">
        <v>51</v>
      </c>
      <c r="D2404" t="s">
        <v>20</v>
      </c>
      <c r="E2404" t="s">
        <v>49</v>
      </c>
      <c r="F2404" t="s">
        <v>46</v>
      </c>
      <c r="G2404" s="58">
        <v>2454130</v>
      </c>
      <c r="H2404" s="1" t="s">
        <v>47</v>
      </c>
      <c r="I2404" s="1" t="s">
        <v>119</v>
      </c>
      <c r="J2404" s="58">
        <v>19633040</v>
      </c>
      <c r="K2404" s="1" t="s">
        <v>106</v>
      </c>
      <c r="L2404" s="1" t="s">
        <v>124</v>
      </c>
      <c r="N2404" s="1">
        <v>1</v>
      </c>
      <c r="O2404" s="58"/>
      <c r="P2404" s="58">
        <v>1128899.8</v>
      </c>
      <c r="Q2404" t="s">
        <v>113</v>
      </c>
      <c r="R2404" s="1" t="s">
        <v>158</v>
      </c>
    </row>
    <row r="2405" spans="3:18" x14ac:dyDescent="0.35">
      <c r="C2405" t="s">
        <v>51</v>
      </c>
      <c r="D2405" t="s">
        <v>23</v>
      </c>
      <c r="E2405" t="s">
        <v>55</v>
      </c>
      <c r="F2405" t="s">
        <v>46</v>
      </c>
      <c r="G2405" s="58">
        <v>4362000</v>
      </c>
      <c r="H2405" s="1" t="s">
        <v>48</v>
      </c>
      <c r="I2405" s="1" t="s">
        <v>108</v>
      </c>
      <c r="J2405" s="58">
        <v>170118000</v>
      </c>
      <c r="K2405" s="1" t="s">
        <v>112</v>
      </c>
      <c r="N2405" s="1">
        <v>1</v>
      </c>
      <c r="O2405" s="58"/>
      <c r="P2405" s="58">
        <v>4362000</v>
      </c>
      <c r="Q2405" t="s">
        <v>110</v>
      </c>
      <c r="R2405" s="1" t="s">
        <v>48</v>
      </c>
    </row>
    <row r="2406" spans="3:18" x14ac:dyDescent="0.35">
      <c r="C2406" t="s">
        <v>51</v>
      </c>
      <c r="D2406" t="s">
        <v>92</v>
      </c>
      <c r="E2406" t="s">
        <v>45</v>
      </c>
      <c r="F2406" t="s">
        <v>46</v>
      </c>
      <c r="G2406" s="58">
        <v>412570</v>
      </c>
      <c r="H2406" s="1" t="s">
        <v>48</v>
      </c>
      <c r="I2406" s="1" t="s">
        <v>108</v>
      </c>
      <c r="J2406" s="58">
        <v>10314250</v>
      </c>
      <c r="K2406" s="1" t="s">
        <v>106</v>
      </c>
      <c r="L2406" s="1" t="s">
        <v>124</v>
      </c>
      <c r="M2406" s="1" t="s">
        <v>123</v>
      </c>
      <c r="N2406" s="1">
        <v>1</v>
      </c>
      <c r="O2406" s="58"/>
      <c r="P2406" s="58">
        <v>148525.20000000001</v>
      </c>
      <c r="Q2406" t="s">
        <v>107</v>
      </c>
      <c r="R2406" s="1" t="s">
        <v>48</v>
      </c>
    </row>
    <row r="2407" spans="3:18" x14ac:dyDescent="0.35">
      <c r="C2407" t="s">
        <v>51</v>
      </c>
      <c r="D2407" t="s">
        <v>21</v>
      </c>
      <c r="E2407" t="s">
        <v>50</v>
      </c>
      <c r="F2407" t="s">
        <v>46</v>
      </c>
      <c r="G2407" s="58">
        <v>305300</v>
      </c>
      <c r="H2407" s="1" t="s">
        <v>48</v>
      </c>
      <c r="I2407" s="1" t="s">
        <v>111</v>
      </c>
      <c r="J2407" s="58">
        <v>5495400</v>
      </c>
      <c r="K2407" s="1" t="s">
        <v>112</v>
      </c>
      <c r="N2407" s="1">
        <v>1</v>
      </c>
      <c r="O2407" s="58"/>
      <c r="P2407" s="58">
        <v>210657</v>
      </c>
      <c r="Q2407" t="s">
        <v>118</v>
      </c>
      <c r="R2407" s="1" t="s">
        <v>48</v>
      </c>
    </row>
    <row r="2408" spans="3:18" x14ac:dyDescent="0.35">
      <c r="C2408" t="s">
        <v>51</v>
      </c>
      <c r="D2408" t="s">
        <v>22</v>
      </c>
      <c r="E2408" t="s">
        <v>45</v>
      </c>
      <c r="F2408" t="s">
        <v>46</v>
      </c>
      <c r="G2408" s="58">
        <v>2276588</v>
      </c>
      <c r="H2408" s="1" t="s">
        <v>59</v>
      </c>
      <c r="I2408" s="1" t="s">
        <v>111</v>
      </c>
      <c r="J2408" s="58">
        <v>38701996</v>
      </c>
      <c r="K2408" s="1" t="s">
        <v>112</v>
      </c>
      <c r="N2408" s="1">
        <v>1</v>
      </c>
      <c r="O2408" s="58"/>
      <c r="P2408" s="58">
        <v>660210.52</v>
      </c>
      <c r="Q2408" t="s">
        <v>107</v>
      </c>
      <c r="R2408" s="1" t="s">
        <v>158</v>
      </c>
    </row>
    <row r="2409" spans="3:18" x14ac:dyDescent="0.35">
      <c r="C2409" t="s">
        <v>51</v>
      </c>
      <c r="D2409" t="s">
        <v>92</v>
      </c>
      <c r="E2409" t="s">
        <v>45</v>
      </c>
      <c r="F2409" t="s">
        <v>46</v>
      </c>
      <c r="G2409" s="58">
        <v>75141</v>
      </c>
      <c r="H2409" s="1" t="s">
        <v>47</v>
      </c>
      <c r="I2409" s="1" t="s">
        <v>105</v>
      </c>
      <c r="J2409" s="58">
        <v>225423</v>
      </c>
      <c r="K2409" s="1" t="s">
        <v>106</v>
      </c>
      <c r="L2409" s="1" t="s">
        <v>120</v>
      </c>
      <c r="N2409" s="1">
        <v>1</v>
      </c>
      <c r="O2409" s="58"/>
      <c r="P2409" s="58">
        <v>9016.92</v>
      </c>
      <c r="Q2409" t="s">
        <v>107</v>
      </c>
      <c r="R2409" s="1" t="s">
        <v>158</v>
      </c>
    </row>
    <row r="2410" spans="3:18" x14ac:dyDescent="0.35">
      <c r="C2410" t="s">
        <v>51</v>
      </c>
      <c r="D2410" t="s">
        <v>91</v>
      </c>
      <c r="E2410" t="s">
        <v>49</v>
      </c>
      <c r="F2410" t="s">
        <v>46</v>
      </c>
      <c r="G2410" s="58">
        <v>499087</v>
      </c>
      <c r="H2410" s="1" t="s">
        <v>48</v>
      </c>
      <c r="I2410" s="1" t="s">
        <v>108</v>
      </c>
      <c r="J2410" s="58">
        <v>14972610</v>
      </c>
      <c r="K2410" s="1" t="s">
        <v>106</v>
      </c>
      <c r="L2410" s="1" t="s">
        <v>120</v>
      </c>
      <c r="M2410" s="1" t="s">
        <v>125</v>
      </c>
      <c r="N2410" s="1">
        <v>1</v>
      </c>
      <c r="O2410" s="58"/>
      <c r="P2410" s="58">
        <v>344370.03</v>
      </c>
      <c r="Q2410" t="s">
        <v>118</v>
      </c>
      <c r="R2410" s="1" t="s">
        <v>158</v>
      </c>
    </row>
    <row r="2411" spans="3:18" x14ac:dyDescent="0.35">
      <c r="C2411" t="s">
        <v>51</v>
      </c>
      <c r="D2411" t="s">
        <v>91</v>
      </c>
      <c r="E2411" t="s">
        <v>45</v>
      </c>
      <c r="F2411" t="s">
        <v>46</v>
      </c>
      <c r="G2411" s="58">
        <v>2978485</v>
      </c>
      <c r="H2411" s="1" t="s">
        <v>48</v>
      </c>
      <c r="I2411" s="1" t="s">
        <v>108</v>
      </c>
      <c r="J2411" s="58">
        <v>92333035</v>
      </c>
      <c r="K2411" s="1" t="s">
        <v>106</v>
      </c>
      <c r="L2411" s="1" t="s">
        <v>120</v>
      </c>
      <c r="M2411" s="1" t="s">
        <v>122</v>
      </c>
      <c r="N2411" s="1">
        <v>1</v>
      </c>
      <c r="O2411" s="58"/>
      <c r="P2411" s="58">
        <v>2114724.35</v>
      </c>
      <c r="Q2411" t="s">
        <v>118</v>
      </c>
      <c r="R2411" s="1" t="s">
        <v>48</v>
      </c>
    </row>
    <row r="2412" spans="3:18" x14ac:dyDescent="0.35">
      <c r="C2412" t="s">
        <v>51</v>
      </c>
      <c r="D2412" t="s">
        <v>22</v>
      </c>
      <c r="E2412" t="s">
        <v>49</v>
      </c>
      <c r="F2412" t="s">
        <v>64</v>
      </c>
      <c r="G2412" s="58">
        <v>189029</v>
      </c>
      <c r="H2412" s="1" t="s">
        <v>48</v>
      </c>
      <c r="I2412" s="1" t="s">
        <v>119</v>
      </c>
      <c r="J2412" s="58">
        <v>1890290</v>
      </c>
      <c r="K2412" s="1" t="s">
        <v>112</v>
      </c>
      <c r="N2412" s="1">
        <v>1</v>
      </c>
      <c r="O2412" s="58"/>
      <c r="P2412" s="58">
        <v>145552.32999999999</v>
      </c>
      <c r="Q2412" t="s">
        <v>118</v>
      </c>
      <c r="R2412" s="1" t="s">
        <v>48</v>
      </c>
    </row>
    <row r="2413" spans="3:18" x14ac:dyDescent="0.35">
      <c r="C2413" t="s">
        <v>51</v>
      </c>
      <c r="D2413" t="s">
        <v>22</v>
      </c>
      <c r="E2413" t="s">
        <v>45</v>
      </c>
      <c r="F2413" t="s">
        <v>64</v>
      </c>
      <c r="G2413" s="58">
        <v>78092</v>
      </c>
      <c r="H2413" s="1" t="s">
        <v>47</v>
      </c>
      <c r="I2413" s="1" t="s">
        <v>111</v>
      </c>
      <c r="J2413" s="58">
        <v>1327564</v>
      </c>
      <c r="K2413" s="1" t="s">
        <v>106</v>
      </c>
      <c r="L2413" s="1" t="s">
        <v>124</v>
      </c>
      <c r="N2413" s="1">
        <v>1</v>
      </c>
      <c r="O2413" s="58"/>
      <c r="P2413" s="58">
        <v>6247.36</v>
      </c>
      <c r="Q2413" t="s">
        <v>107</v>
      </c>
      <c r="R2413" s="1" t="s">
        <v>158</v>
      </c>
    </row>
    <row r="2414" spans="3:18" x14ac:dyDescent="0.35">
      <c r="C2414" t="s">
        <v>51</v>
      </c>
      <c r="D2414" t="s">
        <v>22</v>
      </c>
      <c r="E2414" t="s">
        <v>50</v>
      </c>
      <c r="F2414" t="s">
        <v>46</v>
      </c>
      <c r="G2414" s="58">
        <v>61681</v>
      </c>
      <c r="H2414" s="1" t="s">
        <v>48</v>
      </c>
      <c r="I2414" s="1" t="s">
        <v>108</v>
      </c>
      <c r="J2414" s="58">
        <v>1727068</v>
      </c>
      <c r="K2414" s="1" t="s">
        <v>106</v>
      </c>
      <c r="L2414" s="1" t="s">
        <v>109</v>
      </c>
      <c r="M2414" s="1" t="s">
        <v>115</v>
      </c>
      <c r="N2414" s="1">
        <v>1</v>
      </c>
      <c r="O2414" s="58"/>
      <c r="P2414" s="58">
        <v>20354.73</v>
      </c>
      <c r="Q2414" t="s">
        <v>107</v>
      </c>
      <c r="R2414" s="1" t="s">
        <v>158</v>
      </c>
    </row>
    <row r="2415" spans="3:18" x14ac:dyDescent="0.35">
      <c r="C2415" t="s">
        <v>53</v>
      </c>
      <c r="D2415" t="s">
        <v>92</v>
      </c>
      <c r="E2415" t="s">
        <v>49</v>
      </c>
      <c r="F2415" t="s">
        <v>46</v>
      </c>
      <c r="G2415" s="58">
        <v>248384</v>
      </c>
      <c r="H2415" s="1" t="s">
        <v>48</v>
      </c>
      <c r="I2415" s="1" t="s">
        <v>119</v>
      </c>
      <c r="J2415" s="58">
        <v>2483840</v>
      </c>
      <c r="K2415" s="1" t="s">
        <v>112</v>
      </c>
      <c r="N2415" s="1">
        <v>1</v>
      </c>
      <c r="O2415" s="58"/>
      <c r="P2415" s="58">
        <v>171384.95999999999</v>
      </c>
      <c r="Q2415" t="s">
        <v>118</v>
      </c>
      <c r="R2415" s="1" t="s">
        <v>48</v>
      </c>
    </row>
    <row r="2416" spans="3:18" x14ac:dyDescent="0.35">
      <c r="C2416" t="s">
        <v>51</v>
      </c>
      <c r="D2416" t="s">
        <v>22</v>
      </c>
      <c r="E2416" t="s">
        <v>45</v>
      </c>
      <c r="F2416" t="s">
        <v>46</v>
      </c>
      <c r="G2416" s="58">
        <v>85625</v>
      </c>
      <c r="H2416" s="1" t="s">
        <v>47</v>
      </c>
      <c r="I2416" s="1" t="s">
        <v>119</v>
      </c>
      <c r="J2416" s="58">
        <v>599375</v>
      </c>
      <c r="K2416" s="1" t="s">
        <v>106</v>
      </c>
      <c r="L2416" s="1" t="s">
        <v>114</v>
      </c>
      <c r="N2416" s="1">
        <v>1</v>
      </c>
      <c r="O2416" s="58"/>
      <c r="P2416" s="58">
        <v>35962.5</v>
      </c>
      <c r="Q2416" t="s">
        <v>113</v>
      </c>
      <c r="R2416" s="1" t="s">
        <v>158</v>
      </c>
    </row>
    <row r="2417" spans="3:18" x14ac:dyDescent="0.35">
      <c r="C2417" t="s">
        <v>51</v>
      </c>
      <c r="D2417" t="s">
        <v>24</v>
      </c>
      <c r="E2417" t="s">
        <v>49</v>
      </c>
      <c r="F2417" t="s">
        <v>46</v>
      </c>
      <c r="G2417" s="58">
        <v>9101291</v>
      </c>
      <c r="H2417" s="1" t="s">
        <v>48</v>
      </c>
      <c r="I2417" s="1" t="s">
        <v>111</v>
      </c>
      <c r="J2417" s="58">
        <v>136519365</v>
      </c>
      <c r="K2417" s="1" t="s">
        <v>106</v>
      </c>
      <c r="L2417" s="1" t="s">
        <v>124</v>
      </c>
      <c r="M2417" s="1" t="s">
        <v>121</v>
      </c>
      <c r="N2417" s="1">
        <v>1</v>
      </c>
      <c r="O2417" s="58"/>
      <c r="P2417" s="58">
        <v>2548361.48</v>
      </c>
      <c r="Q2417" t="s">
        <v>107</v>
      </c>
      <c r="R2417" s="1" t="s">
        <v>158</v>
      </c>
    </row>
    <row r="2418" spans="3:18" x14ac:dyDescent="0.35">
      <c r="C2418" t="s">
        <v>51</v>
      </c>
      <c r="D2418" t="s">
        <v>92</v>
      </c>
      <c r="E2418" t="s">
        <v>49</v>
      </c>
      <c r="F2418" t="s">
        <v>46</v>
      </c>
      <c r="G2418" s="58">
        <v>0</v>
      </c>
      <c r="H2418" s="1" t="s">
        <v>59</v>
      </c>
      <c r="I2418" s="1" t="s">
        <v>105</v>
      </c>
      <c r="J2418" s="58">
        <v>0</v>
      </c>
      <c r="K2418" s="1" t="s">
        <v>106</v>
      </c>
      <c r="L2418" s="1" t="s">
        <v>124</v>
      </c>
      <c r="N2418" s="1">
        <v>1</v>
      </c>
      <c r="O2418" s="58"/>
      <c r="P2418" s="58">
        <v>0</v>
      </c>
      <c r="Q2418" t="s">
        <v>110</v>
      </c>
      <c r="R2418" s="1" t="s">
        <v>158</v>
      </c>
    </row>
    <row r="2419" spans="3:18" x14ac:dyDescent="0.35">
      <c r="C2419" t="s">
        <v>53</v>
      </c>
      <c r="D2419" t="s">
        <v>20</v>
      </c>
      <c r="E2419" t="s">
        <v>49</v>
      </c>
      <c r="F2419" t="s">
        <v>46</v>
      </c>
      <c r="G2419" s="58">
        <v>300800</v>
      </c>
      <c r="H2419" s="1" t="s">
        <v>47</v>
      </c>
      <c r="I2419" s="1" t="s">
        <v>111</v>
      </c>
      <c r="J2419" s="58">
        <v>4512000</v>
      </c>
      <c r="K2419" s="1" t="s">
        <v>112</v>
      </c>
      <c r="N2419" s="1">
        <v>1</v>
      </c>
      <c r="O2419" s="58"/>
      <c r="P2419" s="58">
        <v>141376</v>
      </c>
      <c r="Q2419" t="s">
        <v>113</v>
      </c>
      <c r="R2419" s="1" t="s">
        <v>158</v>
      </c>
    </row>
    <row r="2420" spans="3:18" x14ac:dyDescent="0.35">
      <c r="C2420" t="s">
        <v>51</v>
      </c>
      <c r="D2420" t="s">
        <v>21</v>
      </c>
      <c r="E2420" t="s">
        <v>49</v>
      </c>
      <c r="F2420" t="s">
        <v>46</v>
      </c>
      <c r="G2420" s="58">
        <v>572746</v>
      </c>
      <c r="H2420" s="1" t="s">
        <v>56</v>
      </c>
      <c r="I2420" s="1" t="s">
        <v>108</v>
      </c>
      <c r="J2420" s="58">
        <v>16609634</v>
      </c>
      <c r="K2420" s="1" t="s">
        <v>106</v>
      </c>
      <c r="L2420" s="1" t="s">
        <v>116</v>
      </c>
      <c r="N2420" s="1">
        <v>1</v>
      </c>
      <c r="O2420" s="58"/>
      <c r="P2420" s="58">
        <v>171823.8</v>
      </c>
      <c r="Q2420" t="s">
        <v>107</v>
      </c>
      <c r="R2420" s="1" t="s">
        <v>158</v>
      </c>
    </row>
    <row r="2421" spans="3:18" x14ac:dyDescent="0.35">
      <c r="C2421" t="s">
        <v>51</v>
      </c>
      <c r="D2421" t="s">
        <v>19</v>
      </c>
      <c r="E2421" t="s">
        <v>45</v>
      </c>
      <c r="F2421" t="s">
        <v>46</v>
      </c>
      <c r="G2421" s="58">
        <v>967044</v>
      </c>
      <c r="H2421" s="1" t="s">
        <v>48</v>
      </c>
      <c r="I2421" s="1" t="s">
        <v>108</v>
      </c>
      <c r="J2421" s="58">
        <v>28044276</v>
      </c>
      <c r="K2421" s="1" t="s">
        <v>106</v>
      </c>
      <c r="L2421" s="1" t="s">
        <v>120</v>
      </c>
      <c r="M2421" s="1" t="s">
        <v>122</v>
      </c>
      <c r="N2421" s="1">
        <v>1</v>
      </c>
      <c r="O2421" s="58"/>
      <c r="P2421" s="58">
        <v>686601.24</v>
      </c>
      <c r="Q2421" t="s">
        <v>118</v>
      </c>
      <c r="R2421" s="1" t="s">
        <v>48</v>
      </c>
    </row>
    <row r="2422" spans="3:18" x14ac:dyDescent="0.35">
      <c r="C2422" t="s">
        <v>51</v>
      </c>
      <c r="D2422" t="s">
        <v>24</v>
      </c>
      <c r="E2422" t="s">
        <v>50</v>
      </c>
      <c r="F2422" t="s">
        <v>46</v>
      </c>
      <c r="G2422" s="58">
        <v>139243</v>
      </c>
      <c r="H2422" s="1" t="s">
        <v>59</v>
      </c>
      <c r="I2422" s="1" t="s">
        <v>108</v>
      </c>
      <c r="J2422" s="58">
        <v>4177290</v>
      </c>
      <c r="K2422" s="1" t="s">
        <v>112</v>
      </c>
      <c r="N2422" s="1">
        <v>1</v>
      </c>
      <c r="O2422" s="58"/>
      <c r="P2422" s="58">
        <v>75191.22</v>
      </c>
      <c r="Q2422" t="s">
        <v>113</v>
      </c>
      <c r="R2422" s="1" t="s">
        <v>158</v>
      </c>
    </row>
    <row r="2423" spans="3:18" x14ac:dyDescent="0.35">
      <c r="C2423" t="s">
        <v>53</v>
      </c>
      <c r="D2423" t="s">
        <v>25</v>
      </c>
      <c r="E2423" t="s">
        <v>50</v>
      </c>
      <c r="F2423" t="s">
        <v>46</v>
      </c>
      <c r="G2423" s="58">
        <v>60251</v>
      </c>
      <c r="H2423" s="1" t="s">
        <v>47</v>
      </c>
      <c r="I2423" s="1" t="s">
        <v>119</v>
      </c>
      <c r="J2423" s="58">
        <v>602510</v>
      </c>
      <c r="K2423" s="1" t="s">
        <v>106</v>
      </c>
      <c r="L2423" s="1" t="s">
        <v>109</v>
      </c>
      <c r="N2423" s="1">
        <v>1</v>
      </c>
      <c r="O2423" s="58"/>
      <c r="P2423" s="58">
        <v>16267.77</v>
      </c>
      <c r="Q2423" t="s">
        <v>107</v>
      </c>
      <c r="R2423" s="1" t="s">
        <v>158</v>
      </c>
    </row>
    <row r="2424" spans="3:18" x14ac:dyDescent="0.35">
      <c r="C2424" t="s">
        <v>53</v>
      </c>
      <c r="D2424" t="s">
        <v>20</v>
      </c>
      <c r="E2424" t="s">
        <v>45</v>
      </c>
      <c r="F2424" t="s">
        <v>46</v>
      </c>
      <c r="G2424" s="58">
        <v>724857</v>
      </c>
      <c r="H2424" s="1" t="s">
        <v>59</v>
      </c>
      <c r="I2424" s="1" t="s">
        <v>111</v>
      </c>
      <c r="J2424" s="58">
        <v>7973427</v>
      </c>
      <c r="K2424" s="1" t="s">
        <v>106</v>
      </c>
      <c r="L2424" s="1" t="s">
        <v>120</v>
      </c>
      <c r="N2424" s="1">
        <v>1</v>
      </c>
      <c r="O2424" s="58"/>
      <c r="P2424" s="58">
        <v>594382.74</v>
      </c>
      <c r="Q2424" t="s">
        <v>127</v>
      </c>
      <c r="R2424" s="1" t="s">
        <v>158</v>
      </c>
    </row>
    <row r="2425" spans="3:18" x14ac:dyDescent="0.35">
      <c r="C2425" t="s">
        <v>51</v>
      </c>
      <c r="D2425" t="s">
        <v>23</v>
      </c>
      <c r="E2425" t="s">
        <v>45</v>
      </c>
      <c r="F2425" t="s">
        <v>46</v>
      </c>
      <c r="G2425" s="58">
        <v>40019346</v>
      </c>
      <c r="H2425" s="1" t="s">
        <v>47</v>
      </c>
      <c r="I2425" s="1" t="s">
        <v>105</v>
      </c>
      <c r="J2425" s="58">
        <v>120058038</v>
      </c>
      <c r="K2425" s="1" t="s">
        <v>106</v>
      </c>
      <c r="L2425" s="1" t="s">
        <v>120</v>
      </c>
      <c r="N2425" s="1">
        <v>1</v>
      </c>
      <c r="O2425" s="58"/>
      <c r="P2425" s="58">
        <v>4402128.0599999996</v>
      </c>
      <c r="Q2425" t="s">
        <v>107</v>
      </c>
      <c r="R2425" s="1" t="s">
        <v>158</v>
      </c>
    </row>
    <row r="2426" spans="3:18" x14ac:dyDescent="0.35">
      <c r="C2426" t="s">
        <v>51</v>
      </c>
      <c r="D2426" t="s">
        <v>25</v>
      </c>
      <c r="E2426" t="s">
        <v>50</v>
      </c>
      <c r="F2426" t="s">
        <v>46</v>
      </c>
      <c r="G2426" s="58">
        <v>27468</v>
      </c>
      <c r="H2426" s="1" t="s">
        <v>47</v>
      </c>
      <c r="I2426" s="1" t="s">
        <v>119</v>
      </c>
      <c r="J2426" s="58">
        <v>192276</v>
      </c>
      <c r="K2426" s="1" t="s">
        <v>106</v>
      </c>
      <c r="L2426" s="1" t="s">
        <v>109</v>
      </c>
      <c r="N2426" s="1">
        <v>1</v>
      </c>
      <c r="O2426" s="58"/>
      <c r="P2426" s="58">
        <v>9339.1200000000008</v>
      </c>
      <c r="Q2426" t="s">
        <v>107</v>
      </c>
      <c r="R2426" s="1" t="s">
        <v>158</v>
      </c>
    </row>
    <row r="2427" spans="3:18" x14ac:dyDescent="0.35">
      <c r="C2427" t="s">
        <v>51</v>
      </c>
      <c r="D2427" t="s">
        <v>22</v>
      </c>
      <c r="E2427" t="s">
        <v>55</v>
      </c>
      <c r="F2427" t="s">
        <v>46</v>
      </c>
      <c r="G2427" s="58">
        <v>3862115</v>
      </c>
      <c r="H2427" s="1" t="s">
        <v>48</v>
      </c>
      <c r="I2427" s="1" t="s">
        <v>111</v>
      </c>
      <c r="J2427" s="58">
        <v>57931725</v>
      </c>
      <c r="K2427" s="1" t="s">
        <v>106</v>
      </c>
      <c r="L2427" s="1" t="s">
        <v>114</v>
      </c>
      <c r="M2427" s="1" t="s">
        <v>115</v>
      </c>
      <c r="N2427" s="1">
        <v>1</v>
      </c>
      <c r="O2427" s="58"/>
      <c r="P2427" s="58">
        <v>1081392.2</v>
      </c>
      <c r="Q2427" t="s">
        <v>107</v>
      </c>
      <c r="R2427" s="1" t="s">
        <v>48</v>
      </c>
    </row>
    <row r="2428" spans="3:18" x14ac:dyDescent="0.35">
      <c r="C2428" t="s">
        <v>51</v>
      </c>
      <c r="D2428" t="s">
        <v>21</v>
      </c>
      <c r="E2428" t="s">
        <v>49</v>
      </c>
      <c r="F2428" t="s">
        <v>46</v>
      </c>
      <c r="G2428" s="58">
        <v>4174780</v>
      </c>
      <c r="H2428" s="1" t="s">
        <v>56</v>
      </c>
      <c r="I2428" s="1" t="s">
        <v>111</v>
      </c>
      <c r="J2428" s="58">
        <v>70971260</v>
      </c>
      <c r="K2428" s="1" t="s">
        <v>106</v>
      </c>
      <c r="L2428" s="1" t="s">
        <v>124</v>
      </c>
      <c r="N2428" s="1">
        <v>1</v>
      </c>
      <c r="O2428" s="58"/>
      <c r="P2428" s="58">
        <v>3632058.6</v>
      </c>
      <c r="Q2428" t="s">
        <v>127</v>
      </c>
      <c r="R2428" s="1" t="s">
        <v>158</v>
      </c>
    </row>
    <row r="2429" spans="3:18" x14ac:dyDescent="0.35">
      <c r="C2429" t="s">
        <v>51</v>
      </c>
      <c r="D2429" t="s">
        <v>22</v>
      </c>
      <c r="E2429" t="s">
        <v>52</v>
      </c>
      <c r="F2429" t="s">
        <v>46</v>
      </c>
      <c r="G2429" s="58">
        <v>826763</v>
      </c>
      <c r="H2429" s="1" t="s">
        <v>48</v>
      </c>
      <c r="I2429" s="1" t="s">
        <v>108</v>
      </c>
      <c r="J2429" s="58">
        <v>31416994</v>
      </c>
      <c r="K2429" s="1" t="s">
        <v>106</v>
      </c>
      <c r="L2429" s="1" t="s">
        <v>120</v>
      </c>
      <c r="M2429" s="1" t="s">
        <v>115</v>
      </c>
      <c r="N2429" s="1">
        <v>1</v>
      </c>
      <c r="O2429" s="58"/>
      <c r="P2429" s="58">
        <v>686213.29</v>
      </c>
      <c r="Q2429" t="s">
        <v>127</v>
      </c>
      <c r="R2429" s="1" t="s">
        <v>48</v>
      </c>
    </row>
    <row r="2430" spans="3:18" x14ac:dyDescent="0.35">
      <c r="C2430" t="s">
        <v>51</v>
      </c>
      <c r="D2430" t="s">
        <v>92</v>
      </c>
      <c r="E2430" t="s">
        <v>49</v>
      </c>
      <c r="F2430" t="s">
        <v>46</v>
      </c>
      <c r="G2430" s="58">
        <v>14055184</v>
      </c>
      <c r="H2430" s="1" t="s">
        <v>48</v>
      </c>
      <c r="I2430" s="1" t="s">
        <v>119</v>
      </c>
      <c r="J2430" s="58">
        <v>112441472</v>
      </c>
      <c r="K2430" s="1" t="s">
        <v>106</v>
      </c>
      <c r="L2430" s="1" t="s">
        <v>124</v>
      </c>
      <c r="M2430" s="1" t="s">
        <v>123</v>
      </c>
      <c r="N2430" s="1">
        <v>1</v>
      </c>
      <c r="O2430" s="58"/>
      <c r="P2430" s="58">
        <v>2811036.8</v>
      </c>
      <c r="Q2430" t="s">
        <v>107</v>
      </c>
      <c r="R2430" s="1" t="s">
        <v>158</v>
      </c>
    </row>
    <row r="2431" spans="3:18" x14ac:dyDescent="0.35">
      <c r="C2431" t="s">
        <v>51</v>
      </c>
      <c r="D2431" t="s">
        <v>20</v>
      </c>
      <c r="E2431" t="s">
        <v>49</v>
      </c>
      <c r="F2431" t="s">
        <v>46</v>
      </c>
      <c r="G2431" s="58">
        <v>151142</v>
      </c>
      <c r="H2431" s="1" t="s">
        <v>48</v>
      </c>
      <c r="I2431" s="1" t="s">
        <v>108</v>
      </c>
      <c r="J2431" s="58">
        <v>4987686</v>
      </c>
      <c r="K2431" s="1" t="s">
        <v>106</v>
      </c>
      <c r="L2431" s="1" t="s">
        <v>120</v>
      </c>
      <c r="M2431" s="1" t="s">
        <v>115</v>
      </c>
      <c r="N2431" s="1">
        <v>1</v>
      </c>
      <c r="O2431" s="58"/>
      <c r="P2431" s="58">
        <v>134516.38</v>
      </c>
      <c r="Q2431" t="s">
        <v>127</v>
      </c>
      <c r="R2431" s="1" t="s">
        <v>48</v>
      </c>
    </row>
    <row r="2432" spans="3:18" x14ac:dyDescent="0.35">
      <c r="C2432" t="s">
        <v>53</v>
      </c>
      <c r="D2432" t="s">
        <v>23</v>
      </c>
      <c r="E2432" t="s">
        <v>45</v>
      </c>
      <c r="F2432" t="s">
        <v>46</v>
      </c>
      <c r="G2432" s="58">
        <v>103384</v>
      </c>
      <c r="H2432" s="1" t="s">
        <v>47</v>
      </c>
      <c r="I2432" s="1" t="s">
        <v>119</v>
      </c>
      <c r="J2432" s="58">
        <v>1033840</v>
      </c>
      <c r="K2432" s="1" t="s">
        <v>112</v>
      </c>
      <c r="N2432" s="1">
        <v>1</v>
      </c>
      <c r="O2432" s="58"/>
      <c r="P2432" s="58">
        <v>79605.679999999993</v>
      </c>
      <c r="Q2432" t="s">
        <v>118</v>
      </c>
      <c r="R2432" s="1" t="s">
        <v>158</v>
      </c>
    </row>
    <row r="2433" spans="3:18" x14ac:dyDescent="0.35">
      <c r="C2433" t="s">
        <v>51</v>
      </c>
      <c r="D2433" t="s">
        <v>19</v>
      </c>
      <c r="E2433" t="s">
        <v>49</v>
      </c>
      <c r="F2433" t="s">
        <v>46</v>
      </c>
      <c r="G2433" s="58">
        <v>6056046</v>
      </c>
      <c r="H2433" s="1" t="s">
        <v>54</v>
      </c>
      <c r="I2433" s="1" t="s">
        <v>108</v>
      </c>
      <c r="J2433" s="58">
        <v>145345104</v>
      </c>
      <c r="K2433" s="1" t="s">
        <v>106</v>
      </c>
      <c r="L2433" s="1" t="s">
        <v>124</v>
      </c>
      <c r="N2433" s="1">
        <v>1</v>
      </c>
      <c r="O2433" s="58"/>
      <c r="P2433" s="58">
        <v>1756253.34</v>
      </c>
      <c r="Q2433" t="s">
        <v>107</v>
      </c>
      <c r="R2433" s="1" t="s">
        <v>158</v>
      </c>
    </row>
    <row r="2434" spans="3:18" x14ac:dyDescent="0.35">
      <c r="C2434" t="s">
        <v>51</v>
      </c>
      <c r="D2434" t="s">
        <v>21</v>
      </c>
      <c r="E2434" t="s">
        <v>49</v>
      </c>
      <c r="F2434" t="s">
        <v>46</v>
      </c>
      <c r="G2434" s="58">
        <v>267198</v>
      </c>
      <c r="H2434" s="1" t="s">
        <v>59</v>
      </c>
      <c r="I2434" s="1" t="s">
        <v>108</v>
      </c>
      <c r="J2434" s="58">
        <v>9619128</v>
      </c>
      <c r="K2434" s="1" t="s">
        <v>106</v>
      </c>
      <c r="L2434" s="1" t="s">
        <v>114</v>
      </c>
      <c r="N2434" s="1">
        <v>1</v>
      </c>
      <c r="O2434" s="58"/>
      <c r="P2434" s="58">
        <v>219102.36</v>
      </c>
      <c r="Q2434" t="s">
        <v>127</v>
      </c>
      <c r="R2434" s="1" t="s">
        <v>158</v>
      </c>
    </row>
    <row r="2435" spans="3:18" x14ac:dyDescent="0.35">
      <c r="C2435" t="s">
        <v>53</v>
      </c>
      <c r="D2435" t="s">
        <v>23</v>
      </c>
      <c r="E2435" t="s">
        <v>45</v>
      </c>
      <c r="F2435" t="s">
        <v>46</v>
      </c>
      <c r="G2435" s="58">
        <v>4375331</v>
      </c>
      <c r="H2435" s="1" t="s">
        <v>48</v>
      </c>
      <c r="I2435" s="1" t="s">
        <v>111</v>
      </c>
      <c r="J2435" s="58">
        <v>48128641</v>
      </c>
      <c r="K2435" s="1" t="s">
        <v>106</v>
      </c>
      <c r="L2435" s="1" t="s">
        <v>120</v>
      </c>
      <c r="M2435" s="1" t="s">
        <v>125</v>
      </c>
      <c r="N2435" s="1">
        <v>1</v>
      </c>
      <c r="O2435" s="58"/>
      <c r="P2435" s="58">
        <v>2975225.08</v>
      </c>
      <c r="Q2435" t="s">
        <v>118</v>
      </c>
      <c r="R2435" s="1" t="s">
        <v>158</v>
      </c>
    </row>
    <row r="2436" spans="3:18" x14ac:dyDescent="0.35">
      <c r="C2436" t="s">
        <v>51</v>
      </c>
      <c r="D2436" t="s">
        <v>22</v>
      </c>
      <c r="E2436" t="s">
        <v>45</v>
      </c>
      <c r="F2436" t="s">
        <v>64</v>
      </c>
      <c r="G2436" s="58">
        <v>349865</v>
      </c>
      <c r="H2436" s="1" t="s">
        <v>48</v>
      </c>
      <c r="I2436" s="1" t="s">
        <v>108</v>
      </c>
      <c r="J2436" s="58">
        <v>13994600</v>
      </c>
      <c r="K2436" s="1" t="s">
        <v>106</v>
      </c>
      <c r="L2436" s="1" t="s">
        <v>120</v>
      </c>
      <c r="M2436" s="1" t="s">
        <v>115</v>
      </c>
      <c r="N2436" s="1">
        <v>1</v>
      </c>
      <c r="O2436" s="58"/>
      <c r="P2436" s="58">
        <v>293886.59999999998</v>
      </c>
      <c r="Q2436" t="s">
        <v>127</v>
      </c>
      <c r="R2436" s="1" t="s">
        <v>48</v>
      </c>
    </row>
    <row r="2437" spans="3:18" x14ac:dyDescent="0.35">
      <c r="C2437" t="s">
        <v>51</v>
      </c>
      <c r="D2437" t="s">
        <v>19</v>
      </c>
      <c r="E2437" t="s">
        <v>49</v>
      </c>
      <c r="F2437" t="s">
        <v>46</v>
      </c>
      <c r="G2437" s="58">
        <v>162253</v>
      </c>
      <c r="H2437" s="1" t="s">
        <v>47</v>
      </c>
      <c r="I2437" s="1" t="s">
        <v>105</v>
      </c>
      <c r="J2437" s="58">
        <v>486759</v>
      </c>
      <c r="K2437" s="1" t="s">
        <v>106</v>
      </c>
      <c r="L2437" s="1" t="s">
        <v>114</v>
      </c>
      <c r="N2437" s="1">
        <v>1</v>
      </c>
      <c r="O2437" s="58"/>
      <c r="P2437" s="58">
        <v>21092.89</v>
      </c>
      <c r="Q2437" t="s">
        <v>107</v>
      </c>
      <c r="R2437" s="1" t="s">
        <v>158</v>
      </c>
    </row>
    <row r="2438" spans="3:18" x14ac:dyDescent="0.35">
      <c r="C2438" t="s">
        <v>51</v>
      </c>
      <c r="D2438" t="s">
        <v>24</v>
      </c>
      <c r="E2438" t="s">
        <v>50</v>
      </c>
      <c r="F2438" t="s">
        <v>46</v>
      </c>
      <c r="G2438" s="58">
        <v>1431465</v>
      </c>
      <c r="H2438" s="1" t="s">
        <v>48</v>
      </c>
      <c r="I2438" s="1" t="s">
        <v>108</v>
      </c>
      <c r="J2438" s="58">
        <v>47238345</v>
      </c>
      <c r="K2438" s="1" t="s">
        <v>106</v>
      </c>
      <c r="L2438" s="1" t="s">
        <v>120</v>
      </c>
      <c r="M2438" s="1" t="s">
        <v>121</v>
      </c>
      <c r="N2438" s="1">
        <v>1</v>
      </c>
      <c r="O2438" s="58"/>
      <c r="P2438" s="58">
        <v>1044969.45</v>
      </c>
      <c r="Q2438" t="s">
        <v>118</v>
      </c>
      <c r="R2438" s="1" t="s">
        <v>48</v>
      </c>
    </row>
    <row r="2439" spans="3:18" x14ac:dyDescent="0.35">
      <c r="C2439" t="s">
        <v>51</v>
      </c>
      <c r="D2439" t="s">
        <v>23</v>
      </c>
      <c r="E2439" t="s">
        <v>62</v>
      </c>
      <c r="F2439" t="s">
        <v>46</v>
      </c>
      <c r="G2439" s="58">
        <v>153374</v>
      </c>
      <c r="H2439" s="1" t="s">
        <v>48</v>
      </c>
      <c r="I2439" s="1" t="s">
        <v>119</v>
      </c>
      <c r="J2439" s="58">
        <v>920244</v>
      </c>
      <c r="K2439" s="1" t="s">
        <v>106</v>
      </c>
      <c r="L2439" s="1" t="s">
        <v>131</v>
      </c>
      <c r="M2439" s="1" t="s">
        <v>125</v>
      </c>
      <c r="N2439" s="1">
        <v>1</v>
      </c>
      <c r="O2439" s="58"/>
      <c r="P2439" s="58">
        <v>49079.68</v>
      </c>
      <c r="Q2439" t="s">
        <v>107</v>
      </c>
      <c r="R2439" s="1" t="s">
        <v>48</v>
      </c>
    </row>
    <row r="2440" spans="3:18" x14ac:dyDescent="0.35">
      <c r="C2440" t="s">
        <v>51</v>
      </c>
      <c r="D2440" t="s">
        <v>21</v>
      </c>
      <c r="E2440" t="s">
        <v>45</v>
      </c>
      <c r="F2440" t="s">
        <v>46</v>
      </c>
      <c r="G2440" s="58">
        <v>312710</v>
      </c>
      <c r="H2440" s="1" t="s">
        <v>54</v>
      </c>
      <c r="I2440" s="1" t="s">
        <v>111</v>
      </c>
      <c r="J2440" s="58">
        <v>5628780</v>
      </c>
      <c r="K2440" s="1" t="s">
        <v>106</v>
      </c>
      <c r="L2440" s="1" t="s">
        <v>124</v>
      </c>
      <c r="N2440" s="1">
        <v>1</v>
      </c>
      <c r="O2440" s="58"/>
      <c r="P2440" s="58">
        <v>237659.6</v>
      </c>
      <c r="Q2440" t="s">
        <v>118</v>
      </c>
      <c r="R2440" s="1" t="s">
        <v>158</v>
      </c>
    </row>
    <row r="2441" spans="3:18" x14ac:dyDescent="0.35">
      <c r="C2441" t="s">
        <v>51</v>
      </c>
      <c r="D2441" t="s">
        <v>20</v>
      </c>
      <c r="E2441" t="s">
        <v>49</v>
      </c>
      <c r="F2441" t="s">
        <v>46</v>
      </c>
      <c r="G2441" s="58">
        <v>796657</v>
      </c>
      <c r="H2441" s="1" t="s">
        <v>47</v>
      </c>
      <c r="I2441" s="1" t="s">
        <v>111</v>
      </c>
      <c r="J2441" s="58">
        <v>13543169</v>
      </c>
      <c r="K2441" s="1" t="s">
        <v>106</v>
      </c>
      <c r="L2441" s="1" t="s">
        <v>124</v>
      </c>
      <c r="N2441" s="1">
        <v>1</v>
      </c>
      <c r="O2441" s="58"/>
      <c r="P2441" s="58">
        <v>661225.31000000006</v>
      </c>
      <c r="Q2441" t="s">
        <v>127</v>
      </c>
      <c r="R2441" s="1" t="s">
        <v>158</v>
      </c>
    </row>
    <row r="2442" spans="3:18" x14ac:dyDescent="0.35">
      <c r="C2442" t="s">
        <v>44</v>
      </c>
      <c r="D2442" t="s">
        <v>21</v>
      </c>
      <c r="E2442" t="s">
        <v>45</v>
      </c>
      <c r="F2442" t="s">
        <v>46</v>
      </c>
      <c r="G2442" s="58">
        <v>38906</v>
      </c>
      <c r="H2442" s="1" t="s">
        <v>56</v>
      </c>
      <c r="I2442" s="1" t="s">
        <v>108</v>
      </c>
      <c r="J2442" s="58"/>
      <c r="N2442" s="1">
        <v>0</v>
      </c>
      <c r="O2442" s="58"/>
      <c r="P2442" s="58"/>
      <c r="R2442" s="1" t="s">
        <v>158</v>
      </c>
    </row>
    <row r="2443" spans="3:18" x14ac:dyDescent="0.35">
      <c r="C2443" t="s">
        <v>51</v>
      </c>
      <c r="D2443" t="s">
        <v>20</v>
      </c>
      <c r="E2443" t="s">
        <v>45</v>
      </c>
      <c r="F2443" t="s">
        <v>46</v>
      </c>
      <c r="G2443" s="58">
        <v>32267</v>
      </c>
      <c r="H2443" s="1" t="s">
        <v>48</v>
      </c>
      <c r="I2443" s="1" t="s">
        <v>108</v>
      </c>
      <c r="J2443" s="58">
        <v>709874</v>
      </c>
      <c r="K2443" s="1" t="s">
        <v>106</v>
      </c>
      <c r="L2443" s="1" t="s">
        <v>114</v>
      </c>
      <c r="M2443" s="1" t="s">
        <v>123</v>
      </c>
      <c r="N2443" s="1">
        <v>1</v>
      </c>
      <c r="O2443" s="58"/>
      <c r="P2443" s="58">
        <v>3872.04</v>
      </c>
      <c r="Q2443" t="s">
        <v>107</v>
      </c>
      <c r="R2443" s="1" t="s">
        <v>158</v>
      </c>
    </row>
    <row r="2444" spans="3:18" x14ac:dyDescent="0.35">
      <c r="C2444" t="s">
        <v>51</v>
      </c>
      <c r="D2444" t="s">
        <v>19</v>
      </c>
      <c r="E2444" t="s">
        <v>45</v>
      </c>
      <c r="F2444" t="s">
        <v>46</v>
      </c>
      <c r="G2444" s="58">
        <v>2401523</v>
      </c>
      <c r="H2444" s="1" t="s">
        <v>48</v>
      </c>
      <c r="I2444" s="1" t="s">
        <v>111</v>
      </c>
      <c r="J2444" s="58">
        <v>40825891</v>
      </c>
      <c r="K2444" s="1" t="s">
        <v>106</v>
      </c>
      <c r="L2444" s="1" t="s">
        <v>120</v>
      </c>
      <c r="M2444" s="1" t="s">
        <v>122</v>
      </c>
      <c r="N2444" s="1">
        <v>1</v>
      </c>
      <c r="O2444" s="58"/>
      <c r="P2444" s="58">
        <v>1152731.04</v>
      </c>
      <c r="Q2444" t="s">
        <v>113</v>
      </c>
      <c r="R2444" s="1" t="s">
        <v>158</v>
      </c>
    </row>
    <row r="2445" spans="3:18" x14ac:dyDescent="0.35">
      <c r="C2445" t="s">
        <v>51</v>
      </c>
      <c r="D2445" t="s">
        <v>92</v>
      </c>
      <c r="E2445" t="s">
        <v>49</v>
      </c>
      <c r="F2445" t="s">
        <v>46</v>
      </c>
      <c r="G2445" s="58">
        <v>1887378</v>
      </c>
      <c r="H2445" s="1" t="s">
        <v>48</v>
      </c>
      <c r="I2445" s="1" t="s">
        <v>108</v>
      </c>
      <c r="J2445" s="58">
        <v>52846584</v>
      </c>
      <c r="K2445" s="1" t="s">
        <v>112</v>
      </c>
      <c r="N2445" s="1">
        <v>1</v>
      </c>
      <c r="O2445" s="58"/>
      <c r="P2445" s="58">
        <v>434096.94</v>
      </c>
      <c r="Q2445" t="s">
        <v>107</v>
      </c>
      <c r="R2445" s="1" t="s">
        <v>158</v>
      </c>
    </row>
    <row r="2446" spans="3:18" x14ac:dyDescent="0.35">
      <c r="C2446" t="s">
        <v>53</v>
      </c>
      <c r="D2446" t="s">
        <v>23</v>
      </c>
      <c r="E2446" t="s">
        <v>45</v>
      </c>
      <c r="F2446" t="s">
        <v>46</v>
      </c>
      <c r="G2446" s="58">
        <v>819341</v>
      </c>
      <c r="H2446" s="1" t="s">
        <v>47</v>
      </c>
      <c r="I2446" s="1" t="s">
        <v>108</v>
      </c>
      <c r="J2446" s="58">
        <v>22941548</v>
      </c>
      <c r="K2446" s="1" t="s">
        <v>106</v>
      </c>
      <c r="L2446" s="1" t="s">
        <v>120</v>
      </c>
      <c r="N2446" s="1">
        <v>1</v>
      </c>
      <c r="O2446" s="58"/>
      <c r="P2446" s="58">
        <v>221222.07</v>
      </c>
      <c r="Q2446" t="s">
        <v>107</v>
      </c>
      <c r="R2446" s="1" t="s">
        <v>158</v>
      </c>
    </row>
    <row r="2447" spans="3:18" x14ac:dyDescent="0.35">
      <c r="C2447" t="s">
        <v>51</v>
      </c>
      <c r="D2447" t="s">
        <v>19</v>
      </c>
      <c r="E2447" t="s">
        <v>49</v>
      </c>
      <c r="F2447" t="s">
        <v>46</v>
      </c>
      <c r="G2447" s="58">
        <v>60433733</v>
      </c>
      <c r="H2447" s="1" t="s">
        <v>48</v>
      </c>
      <c r="I2447" s="1" t="s">
        <v>108</v>
      </c>
      <c r="J2447" s="58">
        <v>1933879456</v>
      </c>
      <c r="K2447" s="1" t="s">
        <v>112</v>
      </c>
      <c r="N2447" s="1">
        <v>1</v>
      </c>
      <c r="O2447" s="58"/>
      <c r="P2447" s="58">
        <v>31425541.16</v>
      </c>
      <c r="Q2447" t="s">
        <v>113</v>
      </c>
      <c r="R2447" s="1" t="s">
        <v>48</v>
      </c>
    </row>
    <row r="2448" spans="3:18" x14ac:dyDescent="0.35">
      <c r="C2448" t="s">
        <v>53</v>
      </c>
      <c r="D2448" t="s">
        <v>22</v>
      </c>
      <c r="E2448" t="s">
        <v>45</v>
      </c>
      <c r="F2448" t="s">
        <v>46</v>
      </c>
      <c r="G2448" s="58">
        <v>735403</v>
      </c>
      <c r="H2448" s="1" t="s">
        <v>47</v>
      </c>
      <c r="I2448" s="1" t="s">
        <v>119</v>
      </c>
      <c r="J2448" s="58">
        <v>7354030</v>
      </c>
      <c r="K2448" s="1" t="s">
        <v>112</v>
      </c>
      <c r="N2448" s="1">
        <v>1</v>
      </c>
      <c r="O2448" s="58"/>
      <c r="P2448" s="58">
        <v>110310.45</v>
      </c>
      <c r="Q2448" t="s">
        <v>107</v>
      </c>
      <c r="R2448" s="1" t="s">
        <v>158</v>
      </c>
    </row>
    <row r="2449" spans="3:18" x14ac:dyDescent="0.35">
      <c r="C2449" t="s">
        <v>51</v>
      </c>
      <c r="D2449" t="s">
        <v>24</v>
      </c>
      <c r="E2449" t="s">
        <v>50</v>
      </c>
      <c r="F2449" t="s">
        <v>46</v>
      </c>
      <c r="G2449" s="58">
        <v>0</v>
      </c>
      <c r="H2449" s="1" t="s">
        <v>54</v>
      </c>
      <c r="I2449" s="1" t="s">
        <v>119</v>
      </c>
      <c r="J2449" s="58">
        <v>0</v>
      </c>
      <c r="K2449" s="1" t="s">
        <v>106</v>
      </c>
      <c r="L2449" s="1" t="s">
        <v>109</v>
      </c>
      <c r="N2449" s="1">
        <v>1</v>
      </c>
      <c r="O2449" s="58"/>
      <c r="P2449" s="58">
        <v>0</v>
      </c>
      <c r="Q2449" t="s">
        <v>110</v>
      </c>
      <c r="R2449" s="1" t="s">
        <v>158</v>
      </c>
    </row>
    <row r="2450" spans="3:18" x14ac:dyDescent="0.35">
      <c r="C2450" t="s">
        <v>44</v>
      </c>
      <c r="D2450" t="s">
        <v>21</v>
      </c>
      <c r="E2450" t="s">
        <v>55</v>
      </c>
      <c r="F2450" t="s">
        <v>46</v>
      </c>
      <c r="G2450" s="58">
        <v>159243</v>
      </c>
      <c r="H2450" s="1" t="s">
        <v>48</v>
      </c>
      <c r="I2450" s="1" t="s">
        <v>108</v>
      </c>
      <c r="J2450" s="58"/>
      <c r="N2450" s="1">
        <v>0</v>
      </c>
      <c r="O2450" s="58"/>
      <c r="P2450" s="58"/>
      <c r="R2450" s="1" t="s">
        <v>158</v>
      </c>
    </row>
    <row r="2451" spans="3:18" x14ac:dyDescent="0.35">
      <c r="C2451" t="s">
        <v>51</v>
      </c>
      <c r="D2451" t="s">
        <v>19</v>
      </c>
      <c r="E2451" t="s">
        <v>49</v>
      </c>
      <c r="F2451" t="s">
        <v>46</v>
      </c>
      <c r="G2451" s="58">
        <v>51878</v>
      </c>
      <c r="H2451" s="1" t="s">
        <v>54</v>
      </c>
      <c r="I2451" s="1" t="s">
        <v>111</v>
      </c>
      <c r="J2451" s="58">
        <v>518780</v>
      </c>
      <c r="K2451" s="1" t="s">
        <v>106</v>
      </c>
      <c r="L2451" s="1" t="s">
        <v>114</v>
      </c>
      <c r="N2451" s="1">
        <v>1</v>
      </c>
      <c r="O2451" s="58"/>
      <c r="P2451" s="58">
        <v>14525.84</v>
      </c>
      <c r="Q2451" t="s">
        <v>107</v>
      </c>
      <c r="R2451" s="1" t="s">
        <v>158</v>
      </c>
    </row>
    <row r="2452" spans="3:18" x14ac:dyDescent="0.35">
      <c r="C2452" t="s">
        <v>53</v>
      </c>
      <c r="D2452" t="s">
        <v>22</v>
      </c>
      <c r="E2452" t="s">
        <v>49</v>
      </c>
      <c r="F2452" t="s">
        <v>46</v>
      </c>
      <c r="G2452" s="58">
        <v>397414</v>
      </c>
      <c r="H2452" s="1" t="s">
        <v>48</v>
      </c>
      <c r="I2452" s="1" t="s">
        <v>111</v>
      </c>
      <c r="J2452" s="58">
        <v>5166382</v>
      </c>
      <c r="K2452" s="1" t="s">
        <v>106</v>
      </c>
      <c r="L2452" s="1" t="s">
        <v>124</v>
      </c>
      <c r="M2452" s="1" t="s">
        <v>115</v>
      </c>
      <c r="N2452" s="1">
        <v>1</v>
      </c>
      <c r="O2452" s="58"/>
      <c r="P2452" s="58">
        <v>286138.08</v>
      </c>
      <c r="Q2452" t="s">
        <v>118</v>
      </c>
      <c r="R2452" s="1" t="s">
        <v>48</v>
      </c>
    </row>
    <row r="2453" spans="3:18" x14ac:dyDescent="0.35">
      <c r="C2453" t="s">
        <v>53</v>
      </c>
      <c r="D2453" t="s">
        <v>25</v>
      </c>
      <c r="E2453" t="s">
        <v>55</v>
      </c>
      <c r="F2453" t="s">
        <v>46</v>
      </c>
      <c r="G2453" s="58">
        <v>738753</v>
      </c>
      <c r="H2453" s="1" t="s">
        <v>54</v>
      </c>
      <c r="I2453" s="1" t="s">
        <v>119</v>
      </c>
      <c r="J2453" s="58">
        <v>7387530</v>
      </c>
      <c r="K2453" s="1" t="s">
        <v>112</v>
      </c>
      <c r="N2453" s="1">
        <v>1</v>
      </c>
      <c r="O2453" s="58"/>
      <c r="P2453" s="58">
        <v>450639.33</v>
      </c>
      <c r="Q2453" t="s">
        <v>118</v>
      </c>
      <c r="R2453" s="1" t="s">
        <v>158</v>
      </c>
    </row>
    <row r="2454" spans="3:18" x14ac:dyDescent="0.35">
      <c r="C2454" t="s">
        <v>53</v>
      </c>
      <c r="D2454" t="s">
        <v>22</v>
      </c>
      <c r="E2454" t="s">
        <v>49</v>
      </c>
      <c r="F2454" t="s">
        <v>46</v>
      </c>
      <c r="G2454" s="58">
        <v>1541265</v>
      </c>
      <c r="H2454" s="1" t="s">
        <v>47</v>
      </c>
      <c r="I2454" s="1" t="s">
        <v>111</v>
      </c>
      <c r="J2454" s="58">
        <v>16953915</v>
      </c>
      <c r="K2454" s="1" t="s">
        <v>106</v>
      </c>
      <c r="L2454" s="1" t="s">
        <v>124</v>
      </c>
      <c r="N2454" s="1">
        <v>1</v>
      </c>
      <c r="O2454" s="58"/>
      <c r="P2454" s="58">
        <v>385316.25</v>
      </c>
      <c r="Q2454" t="s">
        <v>107</v>
      </c>
      <c r="R2454" s="1" t="s">
        <v>158</v>
      </c>
    </row>
    <row r="2455" spans="3:18" x14ac:dyDescent="0.35">
      <c r="C2455" t="s">
        <v>51</v>
      </c>
      <c r="D2455" t="s">
        <v>23</v>
      </c>
      <c r="E2455" t="s">
        <v>55</v>
      </c>
      <c r="F2455" t="s">
        <v>46</v>
      </c>
      <c r="G2455" s="58">
        <v>175821</v>
      </c>
      <c r="H2455" s="1" t="s">
        <v>54</v>
      </c>
      <c r="I2455" s="1" t="s">
        <v>119</v>
      </c>
      <c r="J2455" s="58">
        <v>1230747</v>
      </c>
      <c r="K2455" s="1" t="s">
        <v>106</v>
      </c>
      <c r="L2455" s="1" t="s">
        <v>114</v>
      </c>
      <c r="N2455" s="1">
        <v>1</v>
      </c>
      <c r="O2455" s="58"/>
      <c r="P2455" s="58">
        <v>126591.12</v>
      </c>
      <c r="Q2455" t="s">
        <v>118</v>
      </c>
      <c r="R2455" s="1" t="s">
        <v>158</v>
      </c>
    </row>
    <row r="2456" spans="3:18" x14ac:dyDescent="0.35">
      <c r="C2456" t="s">
        <v>51</v>
      </c>
      <c r="D2456" t="s">
        <v>92</v>
      </c>
      <c r="E2456" t="s">
        <v>49</v>
      </c>
      <c r="F2456" t="s">
        <v>64</v>
      </c>
      <c r="G2456" s="58">
        <v>285961</v>
      </c>
      <c r="H2456" s="1" t="s">
        <v>59</v>
      </c>
      <c r="I2456" s="1" t="s">
        <v>108</v>
      </c>
      <c r="J2456" s="58">
        <v>8006908</v>
      </c>
      <c r="K2456" s="1" t="s">
        <v>112</v>
      </c>
      <c r="N2456" s="1">
        <v>1</v>
      </c>
      <c r="O2456" s="58"/>
      <c r="P2456" s="58">
        <v>117244.01</v>
      </c>
      <c r="Q2456" t="s">
        <v>113</v>
      </c>
      <c r="R2456" s="1" t="s">
        <v>158</v>
      </c>
    </row>
    <row r="2457" spans="3:18" x14ac:dyDescent="0.35">
      <c r="C2457" t="s">
        <v>51</v>
      </c>
      <c r="D2457" t="s">
        <v>20</v>
      </c>
      <c r="E2457" t="s">
        <v>49</v>
      </c>
      <c r="F2457" t="s">
        <v>46</v>
      </c>
      <c r="G2457" s="58">
        <v>251307</v>
      </c>
      <c r="H2457" s="1" t="s">
        <v>48</v>
      </c>
      <c r="I2457" s="1" t="s">
        <v>111</v>
      </c>
      <c r="J2457" s="58">
        <v>4272219</v>
      </c>
      <c r="K2457" s="1" t="s">
        <v>106</v>
      </c>
      <c r="L2457" s="1" t="s">
        <v>120</v>
      </c>
      <c r="M2457" s="1" t="s">
        <v>115</v>
      </c>
      <c r="N2457" s="1">
        <v>1</v>
      </c>
      <c r="O2457" s="58"/>
      <c r="P2457" s="58">
        <v>75392.100000000006</v>
      </c>
      <c r="Q2457" t="s">
        <v>107</v>
      </c>
      <c r="R2457" s="1" t="s">
        <v>48</v>
      </c>
    </row>
    <row r="2458" spans="3:18" x14ac:dyDescent="0.35">
      <c r="C2458" t="s">
        <v>51</v>
      </c>
      <c r="D2458" t="s">
        <v>23</v>
      </c>
      <c r="E2458" t="s">
        <v>45</v>
      </c>
      <c r="F2458" t="s">
        <v>46</v>
      </c>
      <c r="G2458" s="58">
        <v>189542</v>
      </c>
      <c r="H2458" s="1" t="s">
        <v>48</v>
      </c>
      <c r="I2458" s="1" t="s">
        <v>111</v>
      </c>
      <c r="J2458" s="58">
        <v>3601298</v>
      </c>
      <c r="K2458" s="1" t="s">
        <v>106</v>
      </c>
      <c r="L2458" s="1" t="s">
        <v>124</v>
      </c>
      <c r="M2458" s="1" t="s">
        <v>125</v>
      </c>
      <c r="N2458" s="1">
        <v>1</v>
      </c>
      <c r="O2458" s="58"/>
      <c r="P2458" s="58">
        <v>142156.5</v>
      </c>
      <c r="Q2458" t="s">
        <v>118</v>
      </c>
      <c r="R2458" s="1" t="s">
        <v>48</v>
      </c>
    </row>
    <row r="2459" spans="3:18" x14ac:dyDescent="0.35">
      <c r="C2459" t="s">
        <v>51</v>
      </c>
      <c r="D2459" t="s">
        <v>92</v>
      </c>
      <c r="E2459" t="s">
        <v>45</v>
      </c>
      <c r="F2459" t="s">
        <v>46</v>
      </c>
      <c r="G2459" s="58">
        <v>21899898</v>
      </c>
      <c r="H2459" s="1" t="s">
        <v>48</v>
      </c>
      <c r="I2459" s="1" t="s">
        <v>111</v>
      </c>
      <c r="J2459" s="58">
        <v>350398368</v>
      </c>
      <c r="K2459" s="1" t="s">
        <v>106</v>
      </c>
      <c r="L2459" s="1" t="s">
        <v>120</v>
      </c>
      <c r="M2459" s="1" t="s">
        <v>123</v>
      </c>
      <c r="N2459" s="1">
        <v>1</v>
      </c>
      <c r="O2459" s="58"/>
      <c r="P2459" s="58">
        <v>10949949</v>
      </c>
      <c r="Q2459" t="s">
        <v>113</v>
      </c>
      <c r="R2459" s="1" t="s">
        <v>158</v>
      </c>
    </row>
    <row r="2460" spans="3:18" x14ac:dyDescent="0.35">
      <c r="C2460" t="s">
        <v>53</v>
      </c>
      <c r="D2460" t="s">
        <v>21</v>
      </c>
      <c r="E2460" t="s">
        <v>45</v>
      </c>
      <c r="F2460" t="s">
        <v>46</v>
      </c>
      <c r="G2460" s="58">
        <v>688712</v>
      </c>
      <c r="H2460" s="1" t="s">
        <v>47</v>
      </c>
      <c r="I2460" s="1" t="s">
        <v>108</v>
      </c>
      <c r="J2460" s="58">
        <v>14462952</v>
      </c>
      <c r="K2460" s="1" t="s">
        <v>106</v>
      </c>
      <c r="L2460" s="1" t="s">
        <v>120</v>
      </c>
      <c r="N2460" s="1">
        <v>1</v>
      </c>
      <c r="O2460" s="58"/>
      <c r="P2460" s="58">
        <v>640502.16</v>
      </c>
      <c r="Q2460" t="s">
        <v>127</v>
      </c>
      <c r="R2460" s="1" t="s">
        <v>158</v>
      </c>
    </row>
    <row r="2461" spans="3:18" x14ac:dyDescent="0.35">
      <c r="C2461" t="s">
        <v>51</v>
      </c>
      <c r="D2461" t="s">
        <v>23</v>
      </c>
      <c r="E2461" t="s">
        <v>55</v>
      </c>
      <c r="F2461" t="s">
        <v>46</v>
      </c>
      <c r="G2461" s="58">
        <v>606287</v>
      </c>
      <c r="H2461" s="1" t="s">
        <v>48</v>
      </c>
      <c r="I2461" s="1" t="s">
        <v>111</v>
      </c>
      <c r="J2461" s="58">
        <v>8488018</v>
      </c>
      <c r="K2461" s="1" t="s">
        <v>106</v>
      </c>
      <c r="L2461" s="1" t="s">
        <v>120</v>
      </c>
      <c r="M2461" s="1" t="s">
        <v>125</v>
      </c>
      <c r="N2461" s="1">
        <v>1</v>
      </c>
      <c r="O2461" s="58"/>
      <c r="P2461" s="58">
        <v>327394.98</v>
      </c>
      <c r="Q2461" t="s">
        <v>113</v>
      </c>
      <c r="R2461" s="1" t="s">
        <v>48</v>
      </c>
    </row>
    <row r="2462" spans="3:18" x14ac:dyDescent="0.35">
      <c r="C2462" t="s">
        <v>51</v>
      </c>
      <c r="D2462" t="s">
        <v>23</v>
      </c>
      <c r="E2462" t="s">
        <v>55</v>
      </c>
      <c r="F2462" t="s">
        <v>46</v>
      </c>
      <c r="G2462" s="58">
        <v>17230616</v>
      </c>
      <c r="H2462" s="1" t="s">
        <v>54</v>
      </c>
      <c r="I2462" s="1" t="s">
        <v>111</v>
      </c>
      <c r="J2462" s="58">
        <v>275689856</v>
      </c>
      <c r="K2462" s="1" t="s">
        <v>106</v>
      </c>
      <c r="L2462" s="1" t="s">
        <v>114</v>
      </c>
      <c r="N2462" s="1">
        <v>1</v>
      </c>
      <c r="O2462" s="58"/>
      <c r="P2462" s="58">
        <v>8443001.8399999999</v>
      </c>
      <c r="Q2462" t="s">
        <v>113</v>
      </c>
      <c r="R2462" s="1" t="s">
        <v>158</v>
      </c>
    </row>
    <row r="2463" spans="3:18" x14ac:dyDescent="0.35">
      <c r="C2463" t="s">
        <v>51</v>
      </c>
      <c r="D2463" t="s">
        <v>22</v>
      </c>
      <c r="E2463" t="s">
        <v>55</v>
      </c>
      <c r="F2463" t="s">
        <v>46</v>
      </c>
      <c r="G2463" s="58">
        <v>556755</v>
      </c>
      <c r="H2463" s="1" t="s">
        <v>48</v>
      </c>
      <c r="I2463" s="1" t="s">
        <v>111</v>
      </c>
      <c r="J2463" s="58">
        <v>8351325</v>
      </c>
      <c r="K2463" s="1" t="s">
        <v>106</v>
      </c>
      <c r="L2463" s="1" t="s">
        <v>124</v>
      </c>
      <c r="M2463" s="1" t="s">
        <v>115</v>
      </c>
      <c r="N2463" s="1">
        <v>1</v>
      </c>
      <c r="O2463" s="58"/>
      <c r="P2463" s="58">
        <v>105783.45</v>
      </c>
      <c r="Q2463" t="s">
        <v>107</v>
      </c>
      <c r="R2463" s="1" t="s">
        <v>48</v>
      </c>
    </row>
    <row r="2464" spans="3:18" x14ac:dyDescent="0.35">
      <c r="C2464" t="s">
        <v>51</v>
      </c>
      <c r="D2464" t="s">
        <v>19</v>
      </c>
      <c r="E2464" t="s">
        <v>49</v>
      </c>
      <c r="F2464" t="s">
        <v>64</v>
      </c>
      <c r="G2464" s="58">
        <v>297622</v>
      </c>
      <c r="H2464" s="1" t="s">
        <v>48</v>
      </c>
      <c r="I2464" s="1" t="s">
        <v>108</v>
      </c>
      <c r="J2464" s="58">
        <v>8035794</v>
      </c>
      <c r="K2464" s="1" t="s">
        <v>106</v>
      </c>
      <c r="L2464" s="1" t="s">
        <v>124</v>
      </c>
      <c r="M2464" s="1" t="s">
        <v>122</v>
      </c>
      <c r="N2464" s="1">
        <v>1</v>
      </c>
      <c r="O2464" s="58"/>
      <c r="P2464" s="58">
        <v>163692.1</v>
      </c>
      <c r="Q2464" t="s">
        <v>113</v>
      </c>
      <c r="R2464" s="1" t="s">
        <v>48</v>
      </c>
    </row>
    <row r="2465" spans="3:18" x14ac:dyDescent="0.35">
      <c r="C2465" t="s">
        <v>53</v>
      </c>
      <c r="D2465" t="s">
        <v>20</v>
      </c>
      <c r="E2465" t="s">
        <v>49</v>
      </c>
      <c r="F2465" t="s">
        <v>46</v>
      </c>
      <c r="G2465" s="58">
        <v>192653</v>
      </c>
      <c r="H2465" s="1" t="s">
        <v>48</v>
      </c>
      <c r="I2465" s="1" t="s">
        <v>119</v>
      </c>
      <c r="J2465" s="58">
        <v>1348571</v>
      </c>
      <c r="K2465" s="1" t="s">
        <v>106</v>
      </c>
      <c r="L2465" s="1" t="s">
        <v>124</v>
      </c>
      <c r="M2465" s="1" t="s">
        <v>123</v>
      </c>
      <c r="N2465" s="1">
        <v>1</v>
      </c>
      <c r="O2465" s="58"/>
      <c r="P2465" s="58">
        <v>92473.44</v>
      </c>
      <c r="Q2465" t="s">
        <v>113</v>
      </c>
      <c r="R2465" s="1" t="s">
        <v>158</v>
      </c>
    </row>
    <row r="2466" spans="3:18" x14ac:dyDescent="0.35">
      <c r="C2466" t="s">
        <v>51</v>
      </c>
      <c r="D2466" t="s">
        <v>91</v>
      </c>
      <c r="E2466" t="s">
        <v>49</v>
      </c>
      <c r="F2466" t="s">
        <v>46</v>
      </c>
      <c r="G2466" s="58">
        <v>166161</v>
      </c>
      <c r="H2466" s="1" t="s">
        <v>54</v>
      </c>
      <c r="I2466" s="1" t="s">
        <v>108</v>
      </c>
      <c r="J2466" s="58">
        <v>4486347</v>
      </c>
      <c r="K2466" s="1" t="s">
        <v>112</v>
      </c>
      <c r="N2466" s="1">
        <v>1</v>
      </c>
      <c r="O2466" s="58"/>
      <c r="P2466" s="58">
        <v>41540.25</v>
      </c>
      <c r="Q2466" t="s">
        <v>107</v>
      </c>
      <c r="R2466" s="1" t="s">
        <v>158</v>
      </c>
    </row>
    <row r="2467" spans="3:18" x14ac:dyDescent="0.35">
      <c r="C2467" t="s">
        <v>51</v>
      </c>
      <c r="D2467" t="s">
        <v>91</v>
      </c>
      <c r="E2467" t="s">
        <v>49</v>
      </c>
      <c r="F2467" t="s">
        <v>46</v>
      </c>
      <c r="G2467" s="58">
        <v>271159</v>
      </c>
      <c r="H2467" s="1" t="s">
        <v>48</v>
      </c>
      <c r="I2467" s="1" t="s">
        <v>108</v>
      </c>
      <c r="J2467" s="58">
        <v>9219406</v>
      </c>
      <c r="K2467" s="1" t="s">
        <v>106</v>
      </c>
      <c r="L2467" s="1" t="s">
        <v>120</v>
      </c>
      <c r="M2467" s="1" t="s">
        <v>125</v>
      </c>
      <c r="N2467" s="1">
        <v>1</v>
      </c>
      <c r="O2467" s="58"/>
      <c r="P2467" s="58">
        <v>222350.38</v>
      </c>
      <c r="Q2467" t="s">
        <v>127</v>
      </c>
      <c r="R2467" s="1" t="s">
        <v>158</v>
      </c>
    </row>
    <row r="2468" spans="3:18" x14ac:dyDescent="0.35">
      <c r="C2468" t="s">
        <v>51</v>
      </c>
      <c r="D2468" t="s">
        <v>24</v>
      </c>
      <c r="E2468" t="s">
        <v>49</v>
      </c>
      <c r="F2468" t="s">
        <v>46</v>
      </c>
      <c r="G2468" s="58">
        <v>289706</v>
      </c>
      <c r="H2468" s="1" t="s">
        <v>48</v>
      </c>
      <c r="I2468" s="1" t="s">
        <v>108</v>
      </c>
      <c r="J2468" s="58">
        <v>9850004</v>
      </c>
      <c r="K2468" s="1" t="s">
        <v>106</v>
      </c>
      <c r="L2468" s="1" t="s">
        <v>124</v>
      </c>
      <c r="M2468" s="1" t="s">
        <v>125</v>
      </c>
      <c r="N2468" s="1">
        <v>1</v>
      </c>
      <c r="O2468" s="58"/>
      <c r="P2468" s="58">
        <v>208588.32</v>
      </c>
      <c r="Q2468" t="s">
        <v>118</v>
      </c>
      <c r="R2468" s="1" t="s">
        <v>158</v>
      </c>
    </row>
    <row r="2469" spans="3:18" x14ac:dyDescent="0.35">
      <c r="C2469" t="s">
        <v>51</v>
      </c>
      <c r="D2469" t="s">
        <v>91</v>
      </c>
      <c r="E2469" t="s">
        <v>49</v>
      </c>
      <c r="F2469" t="s">
        <v>46</v>
      </c>
      <c r="G2469" s="58">
        <v>4097620</v>
      </c>
      <c r="H2469" s="1" t="s">
        <v>48</v>
      </c>
      <c r="I2469" s="1" t="s">
        <v>119</v>
      </c>
      <c r="J2469" s="58">
        <v>32780960</v>
      </c>
      <c r="K2469" s="1" t="s">
        <v>106</v>
      </c>
      <c r="L2469" s="1" t="s">
        <v>124</v>
      </c>
      <c r="M2469" s="1" t="s">
        <v>122</v>
      </c>
      <c r="N2469" s="1">
        <v>1</v>
      </c>
      <c r="O2469" s="58"/>
      <c r="P2469" s="58">
        <v>1966857.6</v>
      </c>
      <c r="Q2469" t="s">
        <v>113</v>
      </c>
      <c r="R2469" s="1" t="s">
        <v>158</v>
      </c>
    </row>
    <row r="2470" spans="3:18" x14ac:dyDescent="0.35">
      <c r="C2470" t="s">
        <v>51</v>
      </c>
      <c r="D2470" t="s">
        <v>20</v>
      </c>
      <c r="E2470" t="s">
        <v>49</v>
      </c>
      <c r="F2470" t="s">
        <v>46</v>
      </c>
      <c r="G2470" s="58">
        <v>11079679</v>
      </c>
      <c r="H2470" s="1" t="s">
        <v>56</v>
      </c>
      <c r="I2470" s="1" t="s">
        <v>111</v>
      </c>
      <c r="J2470" s="58">
        <v>166195185</v>
      </c>
      <c r="K2470" s="1" t="s">
        <v>106</v>
      </c>
      <c r="L2470" s="1" t="s">
        <v>124</v>
      </c>
      <c r="N2470" s="1">
        <v>1</v>
      </c>
      <c r="O2470" s="58"/>
      <c r="P2470" s="58">
        <v>5429042.71</v>
      </c>
      <c r="Q2470" t="s">
        <v>113</v>
      </c>
      <c r="R2470" s="1" t="s">
        <v>158</v>
      </c>
    </row>
    <row r="2471" spans="3:18" x14ac:dyDescent="0.35">
      <c r="C2471" t="s">
        <v>51</v>
      </c>
      <c r="D2471" t="s">
        <v>92</v>
      </c>
      <c r="E2471" t="s">
        <v>49</v>
      </c>
      <c r="F2471" t="s">
        <v>46</v>
      </c>
      <c r="G2471" s="58">
        <v>112138</v>
      </c>
      <c r="H2471" s="1" t="s">
        <v>47</v>
      </c>
      <c r="I2471" s="1" t="s">
        <v>105</v>
      </c>
      <c r="J2471" s="58">
        <v>448552</v>
      </c>
      <c r="K2471" s="1" t="s">
        <v>106</v>
      </c>
      <c r="L2471" s="1" t="s">
        <v>124</v>
      </c>
      <c r="N2471" s="1">
        <v>1</v>
      </c>
      <c r="O2471" s="58"/>
      <c r="P2471" s="58">
        <v>58311.76</v>
      </c>
      <c r="Q2471" t="s">
        <v>113</v>
      </c>
      <c r="R2471" s="1" t="s">
        <v>158</v>
      </c>
    </row>
    <row r="2472" spans="3:18" x14ac:dyDescent="0.35">
      <c r="C2472" t="s">
        <v>51</v>
      </c>
      <c r="D2472" t="s">
        <v>23</v>
      </c>
      <c r="E2472" t="s">
        <v>45</v>
      </c>
      <c r="F2472" t="s">
        <v>46</v>
      </c>
      <c r="G2472" s="58">
        <v>87207893</v>
      </c>
      <c r="H2472" s="1" t="s">
        <v>56</v>
      </c>
      <c r="I2472" s="1" t="s">
        <v>108</v>
      </c>
      <c r="J2472" s="58">
        <v>2267405218</v>
      </c>
      <c r="K2472" s="1" t="s">
        <v>106</v>
      </c>
      <c r="L2472" s="1" t="s">
        <v>120</v>
      </c>
      <c r="N2472" s="1">
        <v>1</v>
      </c>
      <c r="O2472" s="58"/>
      <c r="P2472" s="58">
        <v>45348104.359999999</v>
      </c>
      <c r="Q2472" t="s">
        <v>113</v>
      </c>
      <c r="R2472" s="1" t="s">
        <v>158</v>
      </c>
    </row>
    <row r="2473" spans="3:18" x14ac:dyDescent="0.35">
      <c r="C2473" t="s">
        <v>51</v>
      </c>
      <c r="D2473" t="s">
        <v>19</v>
      </c>
      <c r="E2473" t="s">
        <v>49</v>
      </c>
      <c r="F2473" t="s">
        <v>64</v>
      </c>
      <c r="G2473" s="58">
        <v>132875</v>
      </c>
      <c r="H2473" s="1" t="s">
        <v>48</v>
      </c>
      <c r="I2473" s="1" t="s">
        <v>108</v>
      </c>
      <c r="J2473" s="58">
        <v>3587625</v>
      </c>
      <c r="K2473" s="1" t="s">
        <v>106</v>
      </c>
      <c r="L2473" s="1" t="s">
        <v>124</v>
      </c>
      <c r="M2473" s="1" t="s">
        <v>122</v>
      </c>
      <c r="N2473" s="1">
        <v>1</v>
      </c>
      <c r="O2473" s="58"/>
      <c r="P2473" s="58">
        <v>43848.75</v>
      </c>
      <c r="Q2473" t="s">
        <v>107</v>
      </c>
      <c r="R2473" s="1" t="s">
        <v>48</v>
      </c>
    </row>
    <row r="2474" spans="3:18" x14ac:dyDescent="0.35">
      <c r="C2474" t="s">
        <v>51</v>
      </c>
      <c r="D2474" t="s">
        <v>23</v>
      </c>
      <c r="E2474" t="s">
        <v>45</v>
      </c>
      <c r="F2474" t="s">
        <v>46</v>
      </c>
      <c r="G2474" s="58">
        <v>213733</v>
      </c>
      <c r="H2474" s="1" t="s">
        <v>48</v>
      </c>
      <c r="I2474" s="1" t="s">
        <v>119</v>
      </c>
      <c r="J2474" s="58">
        <v>1923597</v>
      </c>
      <c r="K2474" s="1" t="s">
        <v>106</v>
      </c>
      <c r="L2474" s="1" t="s">
        <v>120</v>
      </c>
      <c r="M2474" s="1" t="s">
        <v>115</v>
      </c>
      <c r="N2474" s="1">
        <v>1</v>
      </c>
      <c r="O2474" s="58"/>
      <c r="P2474" s="58">
        <v>102591.84</v>
      </c>
      <c r="Q2474" t="s">
        <v>113</v>
      </c>
      <c r="R2474" s="1" t="s">
        <v>158</v>
      </c>
    </row>
    <row r="2475" spans="3:18" x14ac:dyDescent="0.35">
      <c r="C2475" t="s">
        <v>51</v>
      </c>
      <c r="D2475" t="s">
        <v>22</v>
      </c>
      <c r="E2475" t="s">
        <v>45</v>
      </c>
      <c r="F2475" t="s">
        <v>46</v>
      </c>
      <c r="G2475" s="58">
        <v>41251153</v>
      </c>
      <c r="H2475" s="1" t="s">
        <v>59</v>
      </c>
      <c r="I2475" s="1" t="s">
        <v>108</v>
      </c>
      <c r="J2475" s="58">
        <v>1237534590</v>
      </c>
      <c r="K2475" s="1" t="s">
        <v>106</v>
      </c>
      <c r="L2475" s="1" t="s">
        <v>120</v>
      </c>
      <c r="N2475" s="1">
        <v>1</v>
      </c>
      <c r="O2475" s="58"/>
      <c r="P2475" s="58">
        <v>35063480.049999997</v>
      </c>
      <c r="Q2475" t="s">
        <v>127</v>
      </c>
      <c r="R2475" s="1" t="s">
        <v>158</v>
      </c>
    </row>
    <row r="2476" spans="3:18" x14ac:dyDescent="0.35">
      <c r="C2476" t="s">
        <v>51</v>
      </c>
      <c r="D2476" t="s">
        <v>19</v>
      </c>
      <c r="E2476" t="s">
        <v>49</v>
      </c>
      <c r="F2476" t="s">
        <v>46</v>
      </c>
      <c r="G2476" s="58">
        <v>551204</v>
      </c>
      <c r="H2476" s="1" t="s">
        <v>56</v>
      </c>
      <c r="I2476" s="1" t="s">
        <v>105</v>
      </c>
      <c r="J2476" s="58">
        <v>1653612</v>
      </c>
      <c r="K2476" s="1" t="s">
        <v>106</v>
      </c>
      <c r="L2476" s="1" t="s">
        <v>124</v>
      </c>
      <c r="N2476" s="1">
        <v>1</v>
      </c>
      <c r="O2476" s="58"/>
      <c r="P2476" s="58">
        <v>512619.72</v>
      </c>
      <c r="Q2476" t="s">
        <v>127</v>
      </c>
      <c r="R2476" s="1" t="s">
        <v>158</v>
      </c>
    </row>
    <row r="2477" spans="3:18" x14ac:dyDescent="0.35">
      <c r="C2477" t="s">
        <v>51</v>
      </c>
      <c r="D2477" t="s">
        <v>22</v>
      </c>
      <c r="E2477" t="s">
        <v>45</v>
      </c>
      <c r="F2477" t="s">
        <v>46</v>
      </c>
      <c r="G2477" s="58">
        <v>1726746</v>
      </c>
      <c r="H2477" s="1" t="s">
        <v>54</v>
      </c>
      <c r="I2477" s="1" t="s">
        <v>105</v>
      </c>
      <c r="J2477" s="58">
        <v>3453492</v>
      </c>
      <c r="K2477" s="1" t="s">
        <v>106</v>
      </c>
      <c r="L2477" s="1" t="s">
        <v>120</v>
      </c>
      <c r="N2477" s="1">
        <v>1</v>
      </c>
      <c r="O2477" s="58"/>
      <c r="P2477" s="58">
        <v>1070582.52</v>
      </c>
      <c r="Q2477" t="s">
        <v>118</v>
      </c>
      <c r="R2477" s="1" t="s">
        <v>158</v>
      </c>
    </row>
    <row r="2478" spans="3:18" x14ac:dyDescent="0.35">
      <c r="C2478" t="s">
        <v>53</v>
      </c>
      <c r="D2478" t="s">
        <v>22</v>
      </c>
      <c r="E2478" t="s">
        <v>45</v>
      </c>
      <c r="F2478" t="s">
        <v>46</v>
      </c>
      <c r="G2478" s="58">
        <v>4332298</v>
      </c>
      <c r="H2478" s="1" t="s">
        <v>47</v>
      </c>
      <c r="I2478" s="1" t="s">
        <v>111</v>
      </c>
      <c r="J2478" s="58">
        <v>60652172</v>
      </c>
      <c r="K2478" s="1" t="s">
        <v>112</v>
      </c>
      <c r="N2478" s="1">
        <v>1</v>
      </c>
      <c r="O2478" s="58"/>
      <c r="P2478" s="58">
        <v>1126397.48</v>
      </c>
      <c r="Q2478" t="s">
        <v>107</v>
      </c>
      <c r="R2478" s="1" t="s">
        <v>158</v>
      </c>
    </row>
    <row r="2479" spans="3:18" x14ac:dyDescent="0.35">
      <c r="C2479" t="s">
        <v>51</v>
      </c>
      <c r="D2479" t="s">
        <v>22</v>
      </c>
      <c r="E2479" t="s">
        <v>45</v>
      </c>
      <c r="F2479" t="s">
        <v>46</v>
      </c>
      <c r="G2479" s="58">
        <v>96901</v>
      </c>
      <c r="H2479" s="1" t="s">
        <v>58</v>
      </c>
      <c r="I2479" s="1" t="s">
        <v>105</v>
      </c>
      <c r="J2479" s="58">
        <v>290703</v>
      </c>
      <c r="K2479" s="1" t="s">
        <v>106</v>
      </c>
      <c r="L2479" s="1" t="s">
        <v>120</v>
      </c>
      <c r="N2479" s="1">
        <v>1</v>
      </c>
      <c r="O2479" s="58"/>
      <c r="P2479" s="58">
        <v>5814.06</v>
      </c>
      <c r="Q2479" t="s">
        <v>107</v>
      </c>
      <c r="R2479" s="1" t="s">
        <v>158</v>
      </c>
    </row>
    <row r="2480" spans="3:18" x14ac:dyDescent="0.35">
      <c r="C2480" t="s">
        <v>51</v>
      </c>
      <c r="D2480" t="s">
        <v>19</v>
      </c>
      <c r="E2480" t="s">
        <v>49</v>
      </c>
      <c r="F2480" t="s">
        <v>46</v>
      </c>
      <c r="G2480" s="58">
        <v>2637321</v>
      </c>
      <c r="H2480" s="1" t="s">
        <v>48</v>
      </c>
      <c r="I2480" s="1" t="s">
        <v>108</v>
      </c>
      <c r="J2480" s="58">
        <v>79119630</v>
      </c>
      <c r="K2480" s="1" t="s">
        <v>112</v>
      </c>
      <c r="N2480" s="1">
        <v>1</v>
      </c>
      <c r="O2480" s="58"/>
      <c r="P2480" s="58">
        <v>659330.25</v>
      </c>
      <c r="Q2480" t="s">
        <v>107</v>
      </c>
      <c r="R2480" s="1" t="s">
        <v>158</v>
      </c>
    </row>
    <row r="2481" spans="3:18" x14ac:dyDescent="0.35">
      <c r="C2481" t="s">
        <v>51</v>
      </c>
      <c r="D2481" t="s">
        <v>92</v>
      </c>
      <c r="E2481" t="s">
        <v>55</v>
      </c>
      <c r="F2481" t="s">
        <v>46</v>
      </c>
      <c r="G2481" s="58">
        <v>1537704</v>
      </c>
      <c r="H2481" s="1" t="s">
        <v>48</v>
      </c>
      <c r="I2481" s="1" t="s">
        <v>111</v>
      </c>
      <c r="J2481" s="58">
        <v>26140968</v>
      </c>
      <c r="K2481" s="1" t="s">
        <v>106</v>
      </c>
      <c r="L2481" s="1" t="s">
        <v>114</v>
      </c>
      <c r="M2481" s="1" t="s">
        <v>123</v>
      </c>
      <c r="N2481" s="1">
        <v>1</v>
      </c>
      <c r="O2481" s="58"/>
      <c r="P2481" s="58">
        <v>814983.12</v>
      </c>
      <c r="Q2481" t="s">
        <v>113</v>
      </c>
      <c r="R2481" s="1" t="s">
        <v>158</v>
      </c>
    </row>
    <row r="2482" spans="3:18" x14ac:dyDescent="0.35">
      <c r="C2482" t="s">
        <v>51</v>
      </c>
      <c r="D2482" t="s">
        <v>20</v>
      </c>
      <c r="E2482" t="s">
        <v>49</v>
      </c>
      <c r="F2482" t="s">
        <v>46</v>
      </c>
      <c r="G2482" s="58">
        <v>168632</v>
      </c>
      <c r="H2482" s="1" t="s">
        <v>48</v>
      </c>
      <c r="I2482" s="1" t="s">
        <v>111</v>
      </c>
      <c r="J2482" s="58">
        <v>3204008</v>
      </c>
      <c r="K2482" s="1" t="s">
        <v>112</v>
      </c>
      <c r="N2482" s="1">
        <v>1</v>
      </c>
      <c r="O2482" s="58"/>
      <c r="P2482" s="58">
        <v>57334.879999999997</v>
      </c>
      <c r="Q2482" t="s">
        <v>107</v>
      </c>
      <c r="R2482" s="1" t="s">
        <v>158</v>
      </c>
    </row>
    <row r="2483" spans="3:18" x14ac:dyDescent="0.35">
      <c r="C2483" t="s">
        <v>51</v>
      </c>
      <c r="D2483" t="s">
        <v>22</v>
      </c>
      <c r="E2483" t="s">
        <v>49</v>
      </c>
      <c r="F2483" t="s">
        <v>46</v>
      </c>
      <c r="G2483" s="58">
        <v>1767073</v>
      </c>
      <c r="H2483" s="1" t="s">
        <v>47</v>
      </c>
      <c r="I2483" s="1" t="s">
        <v>111</v>
      </c>
      <c r="J2483" s="58">
        <v>30040241</v>
      </c>
      <c r="K2483" s="1" t="s">
        <v>112</v>
      </c>
      <c r="N2483" s="1">
        <v>1</v>
      </c>
      <c r="O2483" s="58"/>
      <c r="P2483" s="58">
        <v>441768.25</v>
      </c>
      <c r="Q2483" t="s">
        <v>107</v>
      </c>
      <c r="R2483" s="1" t="s">
        <v>158</v>
      </c>
    </row>
    <row r="2484" spans="3:18" x14ac:dyDescent="0.35">
      <c r="C2484" t="s">
        <v>53</v>
      </c>
      <c r="D2484" t="s">
        <v>21</v>
      </c>
      <c r="E2484" t="s">
        <v>45</v>
      </c>
      <c r="F2484" t="s">
        <v>46</v>
      </c>
      <c r="G2484" s="58">
        <v>78559</v>
      </c>
      <c r="H2484" s="1" t="s">
        <v>48</v>
      </c>
      <c r="I2484" s="1" t="s">
        <v>119</v>
      </c>
      <c r="J2484" s="58">
        <v>785590</v>
      </c>
      <c r="K2484" s="1" t="s">
        <v>112</v>
      </c>
      <c r="N2484" s="1">
        <v>1</v>
      </c>
      <c r="O2484" s="58"/>
      <c r="P2484" s="58">
        <v>35351.550000000003</v>
      </c>
      <c r="Q2484" t="s">
        <v>113</v>
      </c>
      <c r="R2484" s="1" t="s">
        <v>158</v>
      </c>
    </row>
    <row r="2485" spans="3:18" x14ac:dyDescent="0.35">
      <c r="C2485" t="s">
        <v>51</v>
      </c>
      <c r="D2485" t="s">
        <v>91</v>
      </c>
      <c r="E2485" t="s">
        <v>49</v>
      </c>
      <c r="F2485" t="s">
        <v>46</v>
      </c>
      <c r="G2485" s="58">
        <v>67154</v>
      </c>
      <c r="H2485" s="1" t="s">
        <v>47</v>
      </c>
      <c r="I2485" s="1" t="s">
        <v>108</v>
      </c>
      <c r="J2485" s="58">
        <v>2216082</v>
      </c>
      <c r="K2485" s="1" t="s">
        <v>106</v>
      </c>
      <c r="L2485" s="1" t="s">
        <v>120</v>
      </c>
      <c r="N2485" s="1">
        <v>1</v>
      </c>
      <c r="O2485" s="58"/>
      <c r="P2485" s="58">
        <v>100731</v>
      </c>
      <c r="Q2485" t="s">
        <v>110</v>
      </c>
      <c r="R2485" s="1" t="s">
        <v>158</v>
      </c>
    </row>
    <row r="2486" spans="3:18" x14ac:dyDescent="0.35">
      <c r="C2486" t="s">
        <v>51</v>
      </c>
      <c r="D2486" t="s">
        <v>23</v>
      </c>
      <c r="E2486" t="s">
        <v>55</v>
      </c>
      <c r="F2486" t="s">
        <v>46</v>
      </c>
      <c r="G2486" s="58">
        <v>1097970</v>
      </c>
      <c r="H2486" s="1" t="s">
        <v>48</v>
      </c>
      <c r="I2486" s="1" t="s">
        <v>119</v>
      </c>
      <c r="J2486" s="58">
        <v>8783760</v>
      </c>
      <c r="K2486" s="1" t="s">
        <v>106</v>
      </c>
      <c r="L2486" s="1" t="s">
        <v>114</v>
      </c>
      <c r="M2486" s="1" t="s">
        <v>125</v>
      </c>
      <c r="N2486" s="1">
        <v>1</v>
      </c>
      <c r="O2486" s="58"/>
      <c r="P2486" s="58">
        <v>505066.2</v>
      </c>
      <c r="Q2486" t="s">
        <v>113</v>
      </c>
      <c r="R2486" s="1" t="s">
        <v>158</v>
      </c>
    </row>
    <row r="2487" spans="3:18" x14ac:dyDescent="0.35">
      <c r="C2487" t="s">
        <v>53</v>
      </c>
      <c r="D2487" t="s">
        <v>20</v>
      </c>
      <c r="E2487" t="s">
        <v>45</v>
      </c>
      <c r="F2487" t="s">
        <v>46</v>
      </c>
      <c r="G2487" s="58">
        <v>2739225</v>
      </c>
      <c r="H2487" s="1" t="s">
        <v>47</v>
      </c>
      <c r="I2487" s="1" t="s">
        <v>105</v>
      </c>
      <c r="J2487" s="58">
        <v>10956900</v>
      </c>
      <c r="K2487" s="1" t="s">
        <v>106</v>
      </c>
      <c r="L2487" s="1" t="s">
        <v>120</v>
      </c>
      <c r="N2487" s="1">
        <v>1</v>
      </c>
      <c r="O2487" s="58"/>
      <c r="P2487" s="58">
        <v>1397004.75</v>
      </c>
      <c r="Q2487" t="s">
        <v>113</v>
      </c>
      <c r="R2487" s="1" t="s">
        <v>158</v>
      </c>
    </row>
    <row r="2488" spans="3:18" x14ac:dyDescent="0.35">
      <c r="C2488" t="s">
        <v>51</v>
      </c>
      <c r="D2488" t="s">
        <v>22</v>
      </c>
      <c r="E2488" t="s">
        <v>49</v>
      </c>
      <c r="F2488" t="s">
        <v>46</v>
      </c>
      <c r="G2488" s="58">
        <v>893635</v>
      </c>
      <c r="H2488" s="1" t="s">
        <v>47</v>
      </c>
      <c r="I2488" s="1" t="s">
        <v>111</v>
      </c>
      <c r="J2488" s="58">
        <v>17872700</v>
      </c>
      <c r="K2488" s="1" t="s">
        <v>106</v>
      </c>
      <c r="L2488" s="1" t="s">
        <v>120</v>
      </c>
      <c r="N2488" s="1">
        <v>1</v>
      </c>
      <c r="O2488" s="58"/>
      <c r="P2488" s="58">
        <v>446817.5</v>
      </c>
      <c r="Q2488" t="s">
        <v>113</v>
      </c>
      <c r="R2488" s="1" t="s">
        <v>158</v>
      </c>
    </row>
    <row r="2489" spans="3:18" x14ac:dyDescent="0.35">
      <c r="C2489" t="s">
        <v>53</v>
      </c>
      <c r="D2489" t="s">
        <v>21</v>
      </c>
      <c r="E2489" t="s">
        <v>49</v>
      </c>
      <c r="F2489" t="s">
        <v>46</v>
      </c>
      <c r="G2489" s="58">
        <v>236898</v>
      </c>
      <c r="H2489" s="1" t="s">
        <v>59</v>
      </c>
      <c r="I2489" s="1" t="s">
        <v>105</v>
      </c>
      <c r="J2489" s="58"/>
      <c r="K2489" s="1" t="s">
        <v>106</v>
      </c>
      <c r="L2489" s="1" t="s">
        <v>124</v>
      </c>
      <c r="N2489" s="1">
        <v>0</v>
      </c>
      <c r="O2489" s="58"/>
      <c r="P2489" s="58">
        <v>33165.72</v>
      </c>
      <c r="Q2489" t="s">
        <v>107</v>
      </c>
      <c r="R2489" s="1" t="s">
        <v>158</v>
      </c>
    </row>
    <row r="2490" spans="3:18" x14ac:dyDescent="0.35">
      <c r="C2490" t="s">
        <v>51</v>
      </c>
      <c r="D2490" t="s">
        <v>60</v>
      </c>
      <c r="E2490" t="s">
        <v>60</v>
      </c>
      <c r="F2490" t="s">
        <v>46</v>
      </c>
      <c r="G2490" s="58">
        <v>1042678</v>
      </c>
      <c r="H2490" s="1" t="s">
        <v>90</v>
      </c>
      <c r="I2490" s="1" t="s">
        <v>105</v>
      </c>
      <c r="J2490" s="58">
        <v>2085356</v>
      </c>
      <c r="K2490" s="1" t="s">
        <v>106</v>
      </c>
      <c r="N2490" s="1">
        <v>1</v>
      </c>
      <c r="O2490" s="58"/>
      <c r="P2490" s="58">
        <v>72987.460000000006</v>
      </c>
      <c r="Q2490" t="s">
        <v>107</v>
      </c>
      <c r="R2490" s="1" t="s">
        <v>90</v>
      </c>
    </row>
    <row r="2491" spans="3:18" x14ac:dyDescent="0.35">
      <c r="C2491" t="s">
        <v>51</v>
      </c>
      <c r="D2491" t="s">
        <v>19</v>
      </c>
      <c r="E2491" t="s">
        <v>49</v>
      </c>
      <c r="F2491" t="s">
        <v>46</v>
      </c>
      <c r="G2491" s="58">
        <v>524816</v>
      </c>
      <c r="H2491" s="1" t="s">
        <v>56</v>
      </c>
      <c r="I2491" s="1" t="s">
        <v>111</v>
      </c>
      <c r="J2491" s="58">
        <v>8397056</v>
      </c>
      <c r="K2491" s="1" t="s">
        <v>112</v>
      </c>
      <c r="N2491" s="1">
        <v>1</v>
      </c>
      <c r="O2491" s="58"/>
      <c r="P2491" s="58">
        <v>167941.12</v>
      </c>
      <c r="Q2491" t="s">
        <v>107</v>
      </c>
      <c r="R2491" s="1" t="s">
        <v>158</v>
      </c>
    </row>
    <row r="2492" spans="3:18" x14ac:dyDescent="0.35">
      <c r="C2492" t="s">
        <v>51</v>
      </c>
      <c r="D2492" t="s">
        <v>23</v>
      </c>
      <c r="E2492" t="s">
        <v>49</v>
      </c>
      <c r="F2492" t="s">
        <v>46</v>
      </c>
      <c r="G2492" s="58">
        <v>1957861</v>
      </c>
      <c r="H2492" s="1" t="s">
        <v>54</v>
      </c>
      <c r="I2492" s="1" t="s">
        <v>108</v>
      </c>
      <c r="J2492" s="58">
        <v>50904386</v>
      </c>
      <c r="K2492" s="1" t="s">
        <v>106</v>
      </c>
      <c r="L2492" s="1" t="s">
        <v>124</v>
      </c>
      <c r="N2492" s="1">
        <v>1</v>
      </c>
      <c r="O2492" s="58"/>
      <c r="P2492" s="58">
        <v>548201.07999999996</v>
      </c>
      <c r="Q2492" t="s">
        <v>107</v>
      </c>
      <c r="R2492" s="1" t="s">
        <v>158</v>
      </c>
    </row>
    <row r="2493" spans="3:18" x14ac:dyDescent="0.35">
      <c r="C2493" t="s">
        <v>51</v>
      </c>
      <c r="D2493" t="s">
        <v>22</v>
      </c>
      <c r="E2493" t="s">
        <v>45</v>
      </c>
      <c r="F2493" t="s">
        <v>46</v>
      </c>
      <c r="G2493" s="58">
        <v>18259197</v>
      </c>
      <c r="H2493" s="1" t="s">
        <v>48</v>
      </c>
      <c r="I2493" s="1" t="s">
        <v>108</v>
      </c>
      <c r="J2493" s="58">
        <v>511257516</v>
      </c>
      <c r="K2493" s="1" t="s">
        <v>106</v>
      </c>
      <c r="L2493" s="1" t="s">
        <v>120</v>
      </c>
      <c r="M2493" s="1" t="s">
        <v>115</v>
      </c>
      <c r="N2493" s="1">
        <v>1</v>
      </c>
      <c r="O2493" s="58"/>
      <c r="P2493" s="58">
        <v>4929983.1900000004</v>
      </c>
      <c r="Q2493" t="s">
        <v>107</v>
      </c>
      <c r="R2493" s="1" t="s">
        <v>48</v>
      </c>
    </row>
    <row r="2494" spans="3:18" x14ac:dyDescent="0.35">
      <c r="C2494" t="s">
        <v>51</v>
      </c>
      <c r="D2494" t="s">
        <v>19</v>
      </c>
      <c r="E2494" t="s">
        <v>49</v>
      </c>
      <c r="F2494" t="s">
        <v>46</v>
      </c>
      <c r="G2494" s="58">
        <v>177059954</v>
      </c>
      <c r="H2494" s="1" t="s">
        <v>47</v>
      </c>
      <c r="I2494" s="1" t="s">
        <v>108</v>
      </c>
      <c r="J2494" s="58">
        <v>5134738666</v>
      </c>
      <c r="K2494" s="1" t="s">
        <v>106</v>
      </c>
      <c r="L2494" s="1" t="s">
        <v>124</v>
      </c>
      <c r="N2494" s="1">
        <v>1</v>
      </c>
      <c r="O2494" s="58"/>
      <c r="P2494" s="58">
        <v>120400768.72</v>
      </c>
      <c r="Q2494" t="s">
        <v>118</v>
      </c>
      <c r="R2494" s="1" t="s">
        <v>158</v>
      </c>
    </row>
    <row r="2495" spans="3:18" x14ac:dyDescent="0.35">
      <c r="C2495" t="s">
        <v>51</v>
      </c>
      <c r="D2495" t="s">
        <v>21</v>
      </c>
      <c r="E2495" t="s">
        <v>45</v>
      </c>
      <c r="F2495" t="s">
        <v>46</v>
      </c>
      <c r="G2495" s="58">
        <v>573915</v>
      </c>
      <c r="H2495" s="1" t="s">
        <v>56</v>
      </c>
      <c r="I2495" s="1" t="s">
        <v>108</v>
      </c>
      <c r="J2495" s="58">
        <v>17217450</v>
      </c>
      <c r="K2495" s="1" t="s">
        <v>112</v>
      </c>
      <c r="N2495" s="1">
        <v>1</v>
      </c>
      <c r="O2495" s="58"/>
      <c r="P2495" s="58">
        <v>482088.6</v>
      </c>
      <c r="Q2495" t="s">
        <v>127</v>
      </c>
      <c r="R2495" s="1" t="s">
        <v>158</v>
      </c>
    </row>
    <row r="2496" spans="3:18" x14ac:dyDescent="0.35">
      <c r="C2496" t="s">
        <v>51</v>
      </c>
      <c r="D2496" t="s">
        <v>22</v>
      </c>
      <c r="E2496" t="s">
        <v>45</v>
      </c>
      <c r="F2496" t="s">
        <v>46</v>
      </c>
      <c r="G2496" s="58">
        <v>4583</v>
      </c>
      <c r="H2496" s="1" t="s">
        <v>58</v>
      </c>
      <c r="I2496" s="1" t="s">
        <v>108</v>
      </c>
      <c r="J2496" s="58">
        <v>96243</v>
      </c>
      <c r="K2496" s="1" t="s">
        <v>106</v>
      </c>
      <c r="L2496" s="1" t="s">
        <v>120</v>
      </c>
      <c r="N2496" s="1">
        <v>1</v>
      </c>
      <c r="O2496" s="58"/>
      <c r="P2496" s="58">
        <v>137.49</v>
      </c>
      <c r="Q2496" t="s">
        <v>107</v>
      </c>
      <c r="R2496" s="1" t="s">
        <v>158</v>
      </c>
    </row>
    <row r="2497" spans="3:18" x14ac:dyDescent="0.35">
      <c r="C2497" t="s">
        <v>51</v>
      </c>
      <c r="D2497" t="s">
        <v>23</v>
      </c>
      <c r="E2497" t="s">
        <v>45</v>
      </c>
      <c r="F2497" t="s">
        <v>46</v>
      </c>
      <c r="G2497" s="58">
        <v>1366921</v>
      </c>
      <c r="H2497" s="1" t="s">
        <v>59</v>
      </c>
      <c r="I2497" s="1" t="s">
        <v>111</v>
      </c>
      <c r="J2497" s="58">
        <v>23237657</v>
      </c>
      <c r="K2497" s="1" t="s">
        <v>106</v>
      </c>
      <c r="L2497" s="1" t="s">
        <v>120</v>
      </c>
      <c r="N2497" s="1">
        <v>1</v>
      </c>
      <c r="O2497" s="58"/>
      <c r="P2497" s="58">
        <v>1202890.48</v>
      </c>
      <c r="Q2497" t="s">
        <v>127</v>
      </c>
      <c r="R2497" s="1" t="s">
        <v>158</v>
      </c>
    </row>
    <row r="2498" spans="3:18" x14ac:dyDescent="0.35">
      <c r="C2498" t="s">
        <v>51</v>
      </c>
      <c r="D2498" t="s">
        <v>23</v>
      </c>
      <c r="E2498" t="s">
        <v>55</v>
      </c>
      <c r="F2498" t="s">
        <v>46</v>
      </c>
      <c r="G2498" s="58">
        <v>129021</v>
      </c>
      <c r="H2498" s="1" t="s">
        <v>48</v>
      </c>
      <c r="I2498" s="1" t="s">
        <v>108</v>
      </c>
      <c r="J2498" s="58">
        <v>4128672</v>
      </c>
      <c r="K2498" s="1" t="s">
        <v>106</v>
      </c>
      <c r="L2498" s="1" t="s">
        <v>120</v>
      </c>
      <c r="M2498" s="1" t="s">
        <v>115</v>
      </c>
      <c r="N2498" s="1">
        <v>1</v>
      </c>
      <c r="O2498" s="58"/>
      <c r="P2498" s="58">
        <v>96765.75</v>
      </c>
      <c r="Q2498" t="s">
        <v>118</v>
      </c>
      <c r="R2498" s="1" t="s">
        <v>158</v>
      </c>
    </row>
    <row r="2499" spans="3:18" x14ac:dyDescent="0.35">
      <c r="C2499" t="s">
        <v>51</v>
      </c>
      <c r="D2499" t="s">
        <v>20</v>
      </c>
      <c r="E2499" t="s">
        <v>49</v>
      </c>
      <c r="F2499" t="s">
        <v>46</v>
      </c>
      <c r="G2499" s="58">
        <v>739793</v>
      </c>
      <c r="H2499" s="1" t="s">
        <v>48</v>
      </c>
      <c r="I2499" s="1" t="s">
        <v>111</v>
      </c>
      <c r="J2499" s="58">
        <v>12576481</v>
      </c>
      <c r="K2499" s="1" t="s">
        <v>112</v>
      </c>
      <c r="N2499" s="1">
        <v>1</v>
      </c>
      <c r="O2499" s="58"/>
      <c r="P2499" s="58">
        <v>614028.18999999994</v>
      </c>
      <c r="Q2499" t="s">
        <v>127</v>
      </c>
      <c r="R2499" s="1" t="s">
        <v>48</v>
      </c>
    </row>
    <row r="2500" spans="3:18" x14ac:dyDescent="0.35">
      <c r="C2500" t="s">
        <v>51</v>
      </c>
      <c r="D2500" t="s">
        <v>91</v>
      </c>
      <c r="E2500" t="s">
        <v>45</v>
      </c>
      <c r="F2500" t="s">
        <v>46</v>
      </c>
      <c r="G2500" s="58">
        <v>3362509</v>
      </c>
      <c r="H2500" s="1" t="s">
        <v>48</v>
      </c>
      <c r="I2500" s="1" t="s">
        <v>111</v>
      </c>
      <c r="J2500" s="58">
        <v>60525162</v>
      </c>
      <c r="K2500" s="1" t="s">
        <v>106</v>
      </c>
      <c r="L2500" s="1" t="s">
        <v>120</v>
      </c>
      <c r="M2500" s="1" t="s">
        <v>122</v>
      </c>
      <c r="N2500" s="1">
        <v>1</v>
      </c>
      <c r="O2500" s="58"/>
      <c r="P2500" s="58">
        <v>840627.25</v>
      </c>
      <c r="Q2500" t="s">
        <v>107</v>
      </c>
      <c r="R2500" s="1" t="s">
        <v>158</v>
      </c>
    </row>
    <row r="2501" spans="3:18" x14ac:dyDescent="0.35">
      <c r="C2501" t="s">
        <v>51</v>
      </c>
      <c r="D2501" t="s">
        <v>22</v>
      </c>
      <c r="E2501" t="s">
        <v>45</v>
      </c>
      <c r="F2501" t="s">
        <v>46</v>
      </c>
      <c r="G2501" s="58">
        <v>36529</v>
      </c>
      <c r="H2501" s="1" t="s">
        <v>56</v>
      </c>
      <c r="I2501" s="1" t="s">
        <v>128</v>
      </c>
      <c r="J2501" s="58"/>
      <c r="K2501" s="1" t="s">
        <v>106</v>
      </c>
      <c r="L2501" s="1" t="s">
        <v>120</v>
      </c>
      <c r="N2501" s="1">
        <v>0</v>
      </c>
      <c r="O2501" s="58"/>
      <c r="P2501" s="58">
        <v>0</v>
      </c>
      <c r="Q2501" t="s">
        <v>107</v>
      </c>
      <c r="R2501" s="1" t="s">
        <v>158</v>
      </c>
    </row>
    <row r="2502" spans="3:18" x14ac:dyDescent="0.35">
      <c r="C2502" t="s">
        <v>53</v>
      </c>
      <c r="D2502" t="s">
        <v>92</v>
      </c>
      <c r="E2502" t="s">
        <v>45</v>
      </c>
      <c r="F2502" t="s">
        <v>46</v>
      </c>
      <c r="G2502" s="58">
        <v>4143901</v>
      </c>
      <c r="H2502" s="1" t="s">
        <v>59</v>
      </c>
      <c r="I2502" s="1" t="s">
        <v>119</v>
      </c>
      <c r="J2502" s="58">
        <v>33151208</v>
      </c>
      <c r="K2502" s="1" t="s">
        <v>106</v>
      </c>
      <c r="L2502" s="1" t="s">
        <v>120</v>
      </c>
      <c r="N2502" s="1">
        <v>1</v>
      </c>
      <c r="O2502" s="58"/>
      <c r="P2502" s="58">
        <v>2113389.5099999998</v>
      </c>
      <c r="Q2502" t="s">
        <v>113</v>
      </c>
      <c r="R2502" s="1" t="s">
        <v>158</v>
      </c>
    </row>
    <row r="2503" spans="3:18" x14ac:dyDescent="0.35">
      <c r="C2503" t="s">
        <v>51</v>
      </c>
      <c r="D2503" t="s">
        <v>22</v>
      </c>
      <c r="E2503" t="s">
        <v>49</v>
      </c>
      <c r="F2503" t="s">
        <v>46</v>
      </c>
      <c r="G2503" s="58">
        <v>310646</v>
      </c>
      <c r="H2503" s="1" t="s">
        <v>54</v>
      </c>
      <c r="I2503" s="1" t="s">
        <v>105</v>
      </c>
      <c r="J2503" s="58">
        <v>1242584</v>
      </c>
      <c r="K2503" s="1" t="s">
        <v>106</v>
      </c>
      <c r="L2503" s="1" t="s">
        <v>124</v>
      </c>
      <c r="N2503" s="1">
        <v>1</v>
      </c>
      <c r="O2503" s="58"/>
      <c r="P2503" s="58">
        <v>149110.07999999999</v>
      </c>
      <c r="Q2503" t="s">
        <v>113</v>
      </c>
      <c r="R2503" s="1" t="s">
        <v>158</v>
      </c>
    </row>
    <row r="2504" spans="3:18" x14ac:dyDescent="0.35">
      <c r="C2504" t="s">
        <v>51</v>
      </c>
      <c r="D2504" t="s">
        <v>24</v>
      </c>
      <c r="E2504" t="s">
        <v>55</v>
      </c>
      <c r="F2504" t="s">
        <v>46</v>
      </c>
      <c r="G2504" s="58">
        <v>282578</v>
      </c>
      <c r="H2504" s="1" t="s">
        <v>48</v>
      </c>
      <c r="I2504" s="1" t="s">
        <v>111</v>
      </c>
      <c r="J2504" s="58">
        <v>5086404</v>
      </c>
      <c r="K2504" s="1" t="s">
        <v>106</v>
      </c>
      <c r="L2504" s="1" t="s">
        <v>114</v>
      </c>
      <c r="M2504" s="1" t="s">
        <v>121</v>
      </c>
      <c r="N2504" s="1">
        <v>1</v>
      </c>
      <c r="O2504" s="58"/>
      <c r="P2504" s="58">
        <v>200630.38</v>
      </c>
      <c r="Q2504" t="s">
        <v>118</v>
      </c>
      <c r="R2504" s="1" t="s">
        <v>48</v>
      </c>
    </row>
    <row r="2505" spans="3:18" x14ac:dyDescent="0.35">
      <c r="C2505" t="s">
        <v>53</v>
      </c>
      <c r="D2505" t="s">
        <v>23</v>
      </c>
      <c r="E2505" t="s">
        <v>45</v>
      </c>
      <c r="F2505" t="s">
        <v>46</v>
      </c>
      <c r="G2505" s="58">
        <v>961000</v>
      </c>
      <c r="H2505" s="1" t="s">
        <v>59</v>
      </c>
      <c r="I2505" s="1" t="s">
        <v>119</v>
      </c>
      <c r="J2505" s="58">
        <v>9610000</v>
      </c>
      <c r="K2505" s="1" t="s">
        <v>112</v>
      </c>
      <c r="N2505" s="1">
        <v>1</v>
      </c>
      <c r="O2505" s="58"/>
      <c r="P2505" s="58">
        <v>499720</v>
      </c>
      <c r="Q2505" t="s">
        <v>113</v>
      </c>
      <c r="R2505" s="1" t="s">
        <v>158</v>
      </c>
    </row>
    <row r="2506" spans="3:18" x14ac:dyDescent="0.35">
      <c r="C2506" t="s">
        <v>51</v>
      </c>
      <c r="D2506" t="s">
        <v>23</v>
      </c>
      <c r="E2506" t="s">
        <v>49</v>
      </c>
      <c r="F2506" t="s">
        <v>46</v>
      </c>
      <c r="G2506" s="58">
        <v>14103717</v>
      </c>
      <c r="H2506" s="1" t="s">
        <v>47</v>
      </c>
      <c r="I2506" s="1" t="s">
        <v>108</v>
      </c>
      <c r="J2506" s="58">
        <v>366696642</v>
      </c>
      <c r="K2506" s="1" t="s">
        <v>106</v>
      </c>
      <c r="L2506" s="1" t="s">
        <v>124</v>
      </c>
      <c r="N2506" s="1">
        <v>1</v>
      </c>
      <c r="O2506" s="58"/>
      <c r="P2506" s="58">
        <v>7192895.6699999999</v>
      </c>
      <c r="Q2506" t="s">
        <v>113</v>
      </c>
      <c r="R2506" s="1" t="s">
        <v>158</v>
      </c>
    </row>
    <row r="2507" spans="3:18" x14ac:dyDescent="0.35">
      <c r="C2507" t="s">
        <v>51</v>
      </c>
      <c r="D2507" t="s">
        <v>22</v>
      </c>
      <c r="E2507" t="s">
        <v>45</v>
      </c>
      <c r="F2507" t="s">
        <v>46</v>
      </c>
      <c r="G2507" s="58">
        <v>299552</v>
      </c>
      <c r="H2507" s="1" t="s">
        <v>48</v>
      </c>
      <c r="I2507" s="1" t="s">
        <v>108</v>
      </c>
      <c r="J2507" s="58">
        <v>8387456</v>
      </c>
      <c r="K2507" s="1" t="s">
        <v>106</v>
      </c>
      <c r="L2507" s="1" t="s">
        <v>124</v>
      </c>
      <c r="M2507" s="1" t="s">
        <v>126</v>
      </c>
      <c r="N2507" s="1">
        <v>1</v>
      </c>
      <c r="O2507" s="58"/>
      <c r="P2507" s="58">
        <v>92861.119999999995</v>
      </c>
      <c r="Q2507" t="s">
        <v>107</v>
      </c>
      <c r="R2507" s="1" t="s">
        <v>48</v>
      </c>
    </row>
    <row r="2508" spans="3:18" x14ac:dyDescent="0.35">
      <c r="C2508" t="s">
        <v>51</v>
      </c>
      <c r="D2508" t="s">
        <v>19</v>
      </c>
      <c r="E2508" t="s">
        <v>49</v>
      </c>
      <c r="F2508" t="s">
        <v>46</v>
      </c>
      <c r="G2508" s="58">
        <v>123902</v>
      </c>
      <c r="H2508" s="1" t="s">
        <v>58</v>
      </c>
      <c r="I2508" s="1" t="s">
        <v>111</v>
      </c>
      <c r="J2508" s="58">
        <v>1734628</v>
      </c>
      <c r="K2508" s="1" t="s">
        <v>106</v>
      </c>
      <c r="L2508" s="1" t="s">
        <v>124</v>
      </c>
      <c r="N2508" s="1">
        <v>1</v>
      </c>
      <c r="O2508" s="58"/>
      <c r="P2508" s="58">
        <v>68146.100000000006</v>
      </c>
      <c r="Q2508" t="s">
        <v>113</v>
      </c>
      <c r="R2508" s="1" t="s">
        <v>158</v>
      </c>
    </row>
    <row r="2509" spans="3:18" x14ac:dyDescent="0.35">
      <c r="C2509" t="s">
        <v>51</v>
      </c>
      <c r="D2509" t="s">
        <v>21</v>
      </c>
      <c r="E2509" t="s">
        <v>45</v>
      </c>
      <c r="F2509" t="s">
        <v>46</v>
      </c>
      <c r="G2509" s="58">
        <v>195286</v>
      </c>
      <c r="H2509" s="1" t="s">
        <v>47</v>
      </c>
      <c r="I2509" s="1" t="s">
        <v>119</v>
      </c>
      <c r="J2509" s="58">
        <v>1562288</v>
      </c>
      <c r="K2509" s="1" t="s">
        <v>106</v>
      </c>
      <c r="L2509" s="1" t="s">
        <v>114</v>
      </c>
      <c r="N2509" s="1">
        <v>1</v>
      </c>
      <c r="O2509" s="58"/>
      <c r="P2509" s="58">
        <v>54680.08</v>
      </c>
      <c r="Q2509" t="s">
        <v>107</v>
      </c>
      <c r="R2509" s="1" t="s">
        <v>158</v>
      </c>
    </row>
    <row r="2510" spans="3:18" x14ac:dyDescent="0.35">
      <c r="C2510" t="s">
        <v>51</v>
      </c>
      <c r="D2510" t="s">
        <v>23</v>
      </c>
      <c r="E2510" t="s">
        <v>49</v>
      </c>
      <c r="F2510" t="s">
        <v>46</v>
      </c>
      <c r="G2510" s="58">
        <v>1214681</v>
      </c>
      <c r="H2510" s="1" t="s">
        <v>59</v>
      </c>
      <c r="I2510" s="1" t="s">
        <v>111</v>
      </c>
      <c r="J2510" s="58">
        <v>20649577</v>
      </c>
      <c r="K2510" s="1" t="s">
        <v>106</v>
      </c>
      <c r="L2510" s="1" t="s">
        <v>124</v>
      </c>
      <c r="N2510" s="1">
        <v>1</v>
      </c>
      <c r="O2510" s="58"/>
      <c r="P2510" s="58">
        <v>643780.93000000005</v>
      </c>
      <c r="Q2510" t="s">
        <v>113</v>
      </c>
      <c r="R2510" s="1" t="s">
        <v>158</v>
      </c>
    </row>
    <row r="2511" spans="3:18" x14ac:dyDescent="0.35">
      <c r="C2511" t="s">
        <v>51</v>
      </c>
      <c r="D2511" t="s">
        <v>22</v>
      </c>
      <c r="E2511" t="s">
        <v>45</v>
      </c>
      <c r="F2511" t="s">
        <v>46</v>
      </c>
      <c r="G2511" s="58">
        <v>284297939</v>
      </c>
      <c r="H2511" s="1" t="s">
        <v>47</v>
      </c>
      <c r="I2511" s="1" t="s">
        <v>111</v>
      </c>
      <c r="J2511" s="58">
        <v>4548767024</v>
      </c>
      <c r="K2511" s="1" t="s">
        <v>106</v>
      </c>
      <c r="L2511" s="1" t="s">
        <v>120</v>
      </c>
      <c r="N2511" s="1">
        <v>1</v>
      </c>
      <c r="O2511" s="58"/>
      <c r="P2511" s="58">
        <v>139305990.11000001</v>
      </c>
      <c r="Q2511" t="s">
        <v>113</v>
      </c>
      <c r="R2511" s="1" t="s">
        <v>158</v>
      </c>
    </row>
    <row r="2512" spans="3:18" x14ac:dyDescent="0.35">
      <c r="C2512" t="s">
        <v>51</v>
      </c>
      <c r="D2512" t="s">
        <v>22</v>
      </c>
      <c r="E2512" t="s">
        <v>45</v>
      </c>
      <c r="F2512" t="s">
        <v>46</v>
      </c>
      <c r="G2512" s="58">
        <v>1226060</v>
      </c>
      <c r="H2512" s="1" t="s">
        <v>48</v>
      </c>
      <c r="I2512" s="1" t="s">
        <v>111</v>
      </c>
      <c r="J2512" s="58">
        <v>22069080</v>
      </c>
      <c r="K2512" s="1" t="s">
        <v>106</v>
      </c>
      <c r="L2512" s="1" t="s">
        <v>124</v>
      </c>
      <c r="M2512" s="1" t="s">
        <v>126</v>
      </c>
      <c r="N2512" s="1">
        <v>1</v>
      </c>
      <c r="O2512" s="58"/>
      <c r="P2512" s="58">
        <v>662072.4</v>
      </c>
      <c r="Q2512" t="s">
        <v>113</v>
      </c>
      <c r="R2512" s="1" t="s">
        <v>158</v>
      </c>
    </row>
    <row r="2513" spans="3:18" x14ac:dyDescent="0.35">
      <c r="C2513" t="s">
        <v>51</v>
      </c>
      <c r="D2513" t="s">
        <v>24</v>
      </c>
      <c r="E2513" t="s">
        <v>55</v>
      </c>
      <c r="F2513" t="s">
        <v>46</v>
      </c>
      <c r="G2513" s="58">
        <v>76258114</v>
      </c>
      <c r="H2513" s="1" t="s">
        <v>47</v>
      </c>
      <c r="I2513" s="1" t="s">
        <v>119</v>
      </c>
      <c r="J2513" s="58">
        <v>533806798</v>
      </c>
      <c r="K2513" s="1" t="s">
        <v>106</v>
      </c>
      <c r="L2513" s="1" t="s">
        <v>114</v>
      </c>
      <c r="N2513" s="1">
        <v>1</v>
      </c>
      <c r="O2513" s="58"/>
      <c r="P2513" s="58">
        <v>16014203.939999999</v>
      </c>
      <c r="Q2513" t="s">
        <v>107</v>
      </c>
      <c r="R2513" s="1" t="s">
        <v>158</v>
      </c>
    </row>
    <row r="2514" spans="3:18" x14ac:dyDescent="0.35">
      <c r="C2514" t="s">
        <v>51</v>
      </c>
      <c r="D2514" t="s">
        <v>19</v>
      </c>
      <c r="E2514" t="s">
        <v>49</v>
      </c>
      <c r="F2514" t="s">
        <v>46</v>
      </c>
      <c r="G2514" s="58">
        <v>1729001</v>
      </c>
      <c r="H2514" s="1" t="s">
        <v>48</v>
      </c>
      <c r="I2514" s="1" t="s">
        <v>108</v>
      </c>
      <c r="J2514" s="58">
        <v>44954026</v>
      </c>
      <c r="K2514" s="1" t="s">
        <v>106</v>
      </c>
      <c r="L2514" s="1" t="s">
        <v>124</v>
      </c>
      <c r="M2514" s="1" t="s">
        <v>123</v>
      </c>
      <c r="N2514" s="1">
        <v>1</v>
      </c>
      <c r="O2514" s="58"/>
      <c r="P2514" s="58">
        <v>1158430.67</v>
      </c>
      <c r="Q2514" t="s">
        <v>118</v>
      </c>
      <c r="R2514" s="1" t="s">
        <v>48</v>
      </c>
    </row>
    <row r="2515" spans="3:18" x14ac:dyDescent="0.35">
      <c r="C2515" t="s">
        <v>53</v>
      </c>
      <c r="D2515" t="s">
        <v>22</v>
      </c>
      <c r="E2515" t="s">
        <v>50</v>
      </c>
      <c r="F2515" t="s">
        <v>46</v>
      </c>
      <c r="G2515" s="58">
        <v>849711</v>
      </c>
      <c r="H2515" s="1" t="s">
        <v>48</v>
      </c>
      <c r="I2515" s="1" t="s">
        <v>119</v>
      </c>
      <c r="J2515" s="58">
        <v>5947977</v>
      </c>
      <c r="K2515" s="1" t="s">
        <v>106</v>
      </c>
      <c r="L2515" s="1" t="s">
        <v>109</v>
      </c>
      <c r="M2515" s="1" t="s">
        <v>115</v>
      </c>
      <c r="N2515" s="1">
        <v>1</v>
      </c>
      <c r="O2515" s="58"/>
      <c r="P2515" s="58">
        <v>424855.5</v>
      </c>
      <c r="Q2515" t="s">
        <v>113</v>
      </c>
      <c r="R2515" s="1" t="s">
        <v>158</v>
      </c>
    </row>
    <row r="2516" spans="3:18" x14ac:dyDescent="0.35">
      <c r="C2516" t="s">
        <v>51</v>
      </c>
      <c r="D2516" t="s">
        <v>23</v>
      </c>
      <c r="E2516" t="s">
        <v>55</v>
      </c>
      <c r="F2516" t="s">
        <v>46</v>
      </c>
      <c r="G2516" s="58">
        <v>2461943</v>
      </c>
      <c r="H2516" s="1" t="s">
        <v>48</v>
      </c>
      <c r="I2516" s="1" t="s">
        <v>108</v>
      </c>
      <c r="J2516" s="58">
        <v>78782176</v>
      </c>
      <c r="K2516" s="1" t="s">
        <v>112</v>
      </c>
      <c r="N2516" s="1">
        <v>1</v>
      </c>
      <c r="O2516" s="58"/>
      <c r="P2516" s="58">
        <v>689344.04</v>
      </c>
      <c r="Q2516" t="s">
        <v>107</v>
      </c>
      <c r="R2516" s="1" t="s">
        <v>48</v>
      </c>
    </row>
    <row r="2517" spans="3:18" x14ac:dyDescent="0.35">
      <c r="C2517" t="s">
        <v>51</v>
      </c>
      <c r="D2517" t="s">
        <v>24</v>
      </c>
      <c r="E2517" t="s">
        <v>50</v>
      </c>
      <c r="F2517" t="s">
        <v>46</v>
      </c>
      <c r="G2517" s="58">
        <v>2082748</v>
      </c>
      <c r="H2517" s="1" t="s">
        <v>54</v>
      </c>
      <c r="I2517" s="1" t="s">
        <v>108</v>
      </c>
      <c r="J2517" s="58">
        <v>52068700</v>
      </c>
      <c r="K2517" s="1" t="s">
        <v>106</v>
      </c>
      <c r="L2517" s="1" t="s">
        <v>109</v>
      </c>
      <c r="N2517" s="1">
        <v>1</v>
      </c>
      <c r="O2517" s="58"/>
      <c r="P2517" s="58">
        <v>520687</v>
      </c>
      <c r="Q2517" t="s">
        <v>107</v>
      </c>
      <c r="R2517" s="1" t="s">
        <v>158</v>
      </c>
    </row>
    <row r="2518" spans="3:18" x14ac:dyDescent="0.35">
      <c r="C2518" t="s">
        <v>51</v>
      </c>
      <c r="D2518" t="s">
        <v>22</v>
      </c>
      <c r="E2518" t="s">
        <v>45</v>
      </c>
      <c r="F2518" t="s">
        <v>46</v>
      </c>
      <c r="G2518" s="58">
        <v>106945</v>
      </c>
      <c r="H2518" s="1" t="s">
        <v>56</v>
      </c>
      <c r="I2518" s="1" t="s">
        <v>105</v>
      </c>
      <c r="J2518" s="58">
        <v>427780</v>
      </c>
      <c r="K2518" s="1" t="s">
        <v>106</v>
      </c>
      <c r="L2518" s="1" t="s">
        <v>120</v>
      </c>
      <c r="N2518" s="1">
        <v>1</v>
      </c>
      <c r="O2518" s="58"/>
      <c r="P2518" s="58">
        <v>74861.5</v>
      </c>
      <c r="Q2518" t="s">
        <v>118</v>
      </c>
      <c r="R2518" s="1" t="s">
        <v>158</v>
      </c>
    </row>
    <row r="2519" spans="3:18" x14ac:dyDescent="0.35">
      <c r="C2519" t="s">
        <v>53</v>
      </c>
      <c r="D2519" t="s">
        <v>19</v>
      </c>
      <c r="E2519" t="s">
        <v>45</v>
      </c>
      <c r="F2519" t="s">
        <v>46</v>
      </c>
      <c r="G2519" s="58">
        <v>1682959</v>
      </c>
      <c r="H2519" s="1" t="s">
        <v>54</v>
      </c>
      <c r="I2519" s="1" t="s">
        <v>111</v>
      </c>
      <c r="J2519" s="58">
        <v>18512549</v>
      </c>
      <c r="K2519" s="1" t="s">
        <v>106</v>
      </c>
      <c r="L2519" s="1" t="s">
        <v>120</v>
      </c>
      <c r="N2519" s="1">
        <v>1</v>
      </c>
      <c r="O2519" s="58"/>
      <c r="P2519" s="58">
        <v>875138.68</v>
      </c>
      <c r="Q2519" t="s">
        <v>113</v>
      </c>
      <c r="R2519" s="1" t="s">
        <v>158</v>
      </c>
    </row>
    <row r="2520" spans="3:18" x14ac:dyDescent="0.35">
      <c r="C2520" t="s">
        <v>51</v>
      </c>
      <c r="D2520" t="s">
        <v>22</v>
      </c>
      <c r="E2520" t="s">
        <v>50</v>
      </c>
      <c r="F2520" t="s">
        <v>46</v>
      </c>
      <c r="G2520" s="58">
        <v>172524</v>
      </c>
      <c r="H2520" s="1" t="s">
        <v>48</v>
      </c>
      <c r="I2520" s="1" t="s">
        <v>119</v>
      </c>
      <c r="J2520" s="58">
        <v>1552716</v>
      </c>
      <c r="K2520" s="1" t="s">
        <v>106</v>
      </c>
      <c r="L2520" s="1" t="s">
        <v>109</v>
      </c>
      <c r="M2520" s="1" t="s">
        <v>115</v>
      </c>
      <c r="N2520" s="1">
        <v>1</v>
      </c>
      <c r="O2520" s="58"/>
      <c r="P2520" s="58">
        <v>72460.08</v>
      </c>
      <c r="Q2520" t="s">
        <v>113</v>
      </c>
      <c r="R2520" s="1" t="s">
        <v>48</v>
      </c>
    </row>
    <row r="2521" spans="3:18" x14ac:dyDescent="0.35">
      <c r="C2521" t="s">
        <v>51</v>
      </c>
      <c r="D2521" t="s">
        <v>24</v>
      </c>
      <c r="E2521" t="s">
        <v>45</v>
      </c>
      <c r="F2521" t="s">
        <v>46</v>
      </c>
      <c r="G2521" s="58">
        <v>87526</v>
      </c>
      <c r="H2521" s="1" t="s">
        <v>48</v>
      </c>
      <c r="I2521" s="1" t="s">
        <v>108</v>
      </c>
      <c r="J2521" s="58">
        <v>3588566</v>
      </c>
      <c r="K2521" s="1" t="s">
        <v>106</v>
      </c>
      <c r="L2521" s="1" t="s">
        <v>120</v>
      </c>
      <c r="M2521" s="1" t="s">
        <v>121</v>
      </c>
      <c r="N2521" s="1">
        <v>1</v>
      </c>
      <c r="O2521" s="58"/>
      <c r="P2521" s="58">
        <v>70896.06</v>
      </c>
      <c r="Q2521" t="s">
        <v>127</v>
      </c>
      <c r="R2521" s="1" t="s">
        <v>48</v>
      </c>
    </row>
    <row r="2522" spans="3:18" x14ac:dyDescent="0.35">
      <c r="C2522" t="s">
        <v>51</v>
      </c>
      <c r="D2522" t="s">
        <v>22</v>
      </c>
      <c r="E2522" t="s">
        <v>55</v>
      </c>
      <c r="F2522" t="s">
        <v>46</v>
      </c>
      <c r="G2522" s="58">
        <v>98597</v>
      </c>
      <c r="H2522" s="1" t="s">
        <v>54</v>
      </c>
      <c r="I2522" s="1" t="s">
        <v>111</v>
      </c>
      <c r="J2522" s="58">
        <v>1281761</v>
      </c>
      <c r="K2522" s="1" t="s">
        <v>106</v>
      </c>
      <c r="L2522" s="1" t="s">
        <v>114</v>
      </c>
      <c r="N2522" s="1">
        <v>1</v>
      </c>
      <c r="O2522" s="58"/>
      <c r="P2522" s="58">
        <v>19719.400000000001</v>
      </c>
      <c r="Q2522" t="s">
        <v>107</v>
      </c>
      <c r="R2522" s="1" t="s">
        <v>158</v>
      </c>
    </row>
    <row r="2523" spans="3:18" x14ac:dyDescent="0.35">
      <c r="C2523" t="s">
        <v>51</v>
      </c>
      <c r="D2523" t="s">
        <v>24</v>
      </c>
      <c r="E2523" t="s">
        <v>52</v>
      </c>
      <c r="F2523" t="s">
        <v>46</v>
      </c>
      <c r="G2523" s="58">
        <v>117029</v>
      </c>
      <c r="H2523" s="1" t="s">
        <v>48</v>
      </c>
      <c r="I2523" s="1" t="s">
        <v>105</v>
      </c>
      <c r="J2523" s="58">
        <v>468116</v>
      </c>
      <c r="K2523" s="1" t="s">
        <v>106</v>
      </c>
      <c r="L2523" s="1" t="s">
        <v>130</v>
      </c>
      <c r="M2523" s="1" t="s">
        <v>121</v>
      </c>
      <c r="N2523" s="1">
        <v>1</v>
      </c>
      <c r="O2523" s="58"/>
      <c r="P2523" s="58">
        <v>23405.8</v>
      </c>
      <c r="Q2523" t="s">
        <v>107</v>
      </c>
      <c r="R2523" s="1" t="s">
        <v>48</v>
      </c>
    </row>
    <row r="2524" spans="3:18" x14ac:dyDescent="0.35">
      <c r="C2524" t="s">
        <v>51</v>
      </c>
      <c r="D2524" t="s">
        <v>20</v>
      </c>
      <c r="E2524" t="s">
        <v>49</v>
      </c>
      <c r="F2524" t="s">
        <v>46</v>
      </c>
      <c r="G2524" s="58">
        <v>7335206</v>
      </c>
      <c r="H2524" s="1" t="s">
        <v>48</v>
      </c>
      <c r="I2524" s="1" t="s">
        <v>108</v>
      </c>
      <c r="J2524" s="58">
        <v>212720974</v>
      </c>
      <c r="K2524" s="1" t="s">
        <v>106</v>
      </c>
      <c r="L2524" s="1" t="s">
        <v>124</v>
      </c>
      <c r="M2524" s="1" t="s">
        <v>126</v>
      </c>
      <c r="N2524" s="1">
        <v>1</v>
      </c>
      <c r="O2524" s="58"/>
      <c r="P2524" s="58">
        <v>5061292.1399999997</v>
      </c>
      <c r="Q2524" t="s">
        <v>118</v>
      </c>
      <c r="R2524" s="1" t="s">
        <v>48</v>
      </c>
    </row>
    <row r="2525" spans="3:18" x14ac:dyDescent="0.35">
      <c r="C2525" t="s">
        <v>51</v>
      </c>
      <c r="D2525" t="s">
        <v>20</v>
      </c>
      <c r="E2525" t="s">
        <v>49</v>
      </c>
      <c r="F2525" t="s">
        <v>46</v>
      </c>
      <c r="G2525" s="58">
        <v>2790207</v>
      </c>
      <c r="H2525" s="1" t="s">
        <v>47</v>
      </c>
      <c r="I2525" s="1" t="s">
        <v>108</v>
      </c>
      <c r="J2525" s="58">
        <v>83706210</v>
      </c>
      <c r="K2525" s="1" t="s">
        <v>106</v>
      </c>
      <c r="L2525" s="1" t="s">
        <v>114</v>
      </c>
      <c r="N2525" s="1">
        <v>1</v>
      </c>
      <c r="O2525" s="58"/>
      <c r="P2525" s="58">
        <v>1869438.69</v>
      </c>
      <c r="Q2525" t="s">
        <v>118</v>
      </c>
      <c r="R2525" s="1" t="s">
        <v>158</v>
      </c>
    </row>
    <row r="2526" spans="3:18" x14ac:dyDescent="0.35">
      <c r="C2526" t="s">
        <v>51</v>
      </c>
      <c r="D2526" t="s">
        <v>20</v>
      </c>
      <c r="E2526" t="s">
        <v>49</v>
      </c>
      <c r="F2526" t="s">
        <v>46</v>
      </c>
      <c r="G2526" s="58">
        <v>583241</v>
      </c>
      <c r="H2526" s="1" t="s">
        <v>48</v>
      </c>
      <c r="I2526" s="1" t="s">
        <v>108</v>
      </c>
      <c r="J2526" s="58">
        <v>19830194</v>
      </c>
      <c r="K2526" s="1" t="s">
        <v>106</v>
      </c>
      <c r="L2526" s="1" t="s">
        <v>120</v>
      </c>
      <c r="M2526" s="1" t="s">
        <v>123</v>
      </c>
      <c r="N2526" s="1">
        <v>1</v>
      </c>
      <c r="O2526" s="58"/>
      <c r="P2526" s="58">
        <v>379106.65</v>
      </c>
      <c r="Q2526" t="s">
        <v>118</v>
      </c>
      <c r="R2526" s="1" t="s">
        <v>158</v>
      </c>
    </row>
    <row r="2527" spans="3:18" x14ac:dyDescent="0.35">
      <c r="C2527" t="s">
        <v>53</v>
      </c>
      <c r="D2527" t="s">
        <v>20</v>
      </c>
      <c r="E2527" t="s">
        <v>45</v>
      </c>
      <c r="F2527" t="s">
        <v>46</v>
      </c>
      <c r="G2527" s="58">
        <v>2046051</v>
      </c>
      <c r="H2527" s="1" t="s">
        <v>48</v>
      </c>
      <c r="I2527" s="1" t="s">
        <v>119</v>
      </c>
      <c r="J2527" s="58">
        <v>12276306</v>
      </c>
      <c r="K2527" s="1" t="s">
        <v>106</v>
      </c>
      <c r="L2527" s="1" t="s">
        <v>120</v>
      </c>
      <c r="M2527" s="1" t="s">
        <v>126</v>
      </c>
      <c r="N2527" s="1">
        <v>1</v>
      </c>
      <c r="O2527" s="58"/>
      <c r="P2527" s="58">
        <v>1227630.6000000001</v>
      </c>
      <c r="Q2527" t="s">
        <v>118</v>
      </c>
      <c r="R2527" s="1" t="s">
        <v>158</v>
      </c>
    </row>
    <row r="2528" spans="3:18" x14ac:dyDescent="0.35">
      <c r="C2528" t="s">
        <v>51</v>
      </c>
      <c r="D2528" t="s">
        <v>21</v>
      </c>
      <c r="E2528" t="s">
        <v>55</v>
      </c>
      <c r="F2528" t="s">
        <v>46</v>
      </c>
      <c r="G2528" s="58">
        <v>194471</v>
      </c>
      <c r="H2528" s="1" t="s">
        <v>47</v>
      </c>
      <c r="I2528" s="1" t="s">
        <v>119</v>
      </c>
      <c r="J2528" s="58">
        <v>1750239</v>
      </c>
      <c r="K2528" s="1" t="s">
        <v>106</v>
      </c>
      <c r="L2528" s="1" t="s">
        <v>114</v>
      </c>
      <c r="N2528" s="1">
        <v>1</v>
      </c>
      <c r="O2528" s="58"/>
      <c r="P2528" s="58">
        <v>40838.910000000003</v>
      </c>
      <c r="Q2528" t="s">
        <v>107</v>
      </c>
      <c r="R2528" s="1" t="s">
        <v>158</v>
      </c>
    </row>
    <row r="2529" spans="3:18" x14ac:dyDescent="0.35">
      <c r="C2529" t="s">
        <v>51</v>
      </c>
      <c r="D2529" t="s">
        <v>20</v>
      </c>
      <c r="E2529" t="s">
        <v>49</v>
      </c>
      <c r="F2529" t="s">
        <v>46</v>
      </c>
      <c r="G2529" s="58">
        <v>80314</v>
      </c>
      <c r="H2529" s="1" t="s">
        <v>47</v>
      </c>
      <c r="I2529" s="1" t="s">
        <v>111</v>
      </c>
      <c r="J2529" s="58">
        <v>1044082</v>
      </c>
      <c r="K2529" s="1" t="s">
        <v>112</v>
      </c>
      <c r="N2529" s="1">
        <v>1</v>
      </c>
      <c r="O2529" s="58"/>
      <c r="P2529" s="58">
        <v>34535.019999999997</v>
      </c>
      <c r="Q2529" t="s">
        <v>113</v>
      </c>
      <c r="R2529" s="1" t="s">
        <v>158</v>
      </c>
    </row>
    <row r="2530" spans="3:18" x14ac:dyDescent="0.35">
      <c r="C2530" t="s">
        <v>51</v>
      </c>
      <c r="D2530" t="s">
        <v>23</v>
      </c>
      <c r="E2530" t="s">
        <v>45</v>
      </c>
      <c r="F2530" t="s">
        <v>46</v>
      </c>
      <c r="G2530" s="58">
        <v>17175</v>
      </c>
      <c r="H2530" s="1" t="s">
        <v>48</v>
      </c>
      <c r="I2530" s="1" t="s">
        <v>105</v>
      </c>
      <c r="J2530" s="58">
        <v>51525</v>
      </c>
      <c r="K2530" s="1" t="s">
        <v>106</v>
      </c>
      <c r="L2530" s="1" t="s">
        <v>120</v>
      </c>
      <c r="M2530" s="1" t="s">
        <v>125</v>
      </c>
      <c r="N2530" s="1">
        <v>1</v>
      </c>
      <c r="O2530" s="58"/>
      <c r="P2530" s="58">
        <v>10476.75</v>
      </c>
      <c r="Q2530" t="s">
        <v>118</v>
      </c>
      <c r="R2530" s="1" t="s">
        <v>158</v>
      </c>
    </row>
    <row r="2531" spans="3:18" x14ac:dyDescent="0.35">
      <c r="C2531" t="s">
        <v>51</v>
      </c>
      <c r="D2531" t="s">
        <v>22</v>
      </c>
      <c r="E2531" t="s">
        <v>49</v>
      </c>
      <c r="F2531" t="s">
        <v>46</v>
      </c>
      <c r="G2531" s="58">
        <v>3128153</v>
      </c>
      <c r="H2531" s="1" t="s">
        <v>48</v>
      </c>
      <c r="I2531" s="1" t="s">
        <v>108</v>
      </c>
      <c r="J2531" s="58">
        <v>90716437</v>
      </c>
      <c r="K2531" s="1" t="s">
        <v>112</v>
      </c>
      <c r="N2531" s="1">
        <v>1</v>
      </c>
      <c r="O2531" s="58"/>
      <c r="P2531" s="58">
        <v>907164.37</v>
      </c>
      <c r="Q2531" t="s">
        <v>107</v>
      </c>
      <c r="R2531" s="1" t="s">
        <v>158</v>
      </c>
    </row>
    <row r="2532" spans="3:18" x14ac:dyDescent="0.35">
      <c r="C2532" t="s">
        <v>51</v>
      </c>
      <c r="D2532" t="s">
        <v>24</v>
      </c>
      <c r="E2532" t="s">
        <v>55</v>
      </c>
      <c r="F2532" t="s">
        <v>46</v>
      </c>
      <c r="G2532" s="58">
        <v>54171</v>
      </c>
      <c r="H2532" s="1" t="s">
        <v>56</v>
      </c>
      <c r="I2532" s="1" t="s">
        <v>111</v>
      </c>
      <c r="J2532" s="58">
        <v>595881</v>
      </c>
      <c r="K2532" s="1" t="s">
        <v>106</v>
      </c>
      <c r="L2532" s="1" t="s">
        <v>120</v>
      </c>
      <c r="N2532" s="1">
        <v>1</v>
      </c>
      <c r="O2532" s="58"/>
      <c r="P2532" s="58">
        <v>15167.88</v>
      </c>
      <c r="Q2532" t="s">
        <v>107</v>
      </c>
      <c r="R2532" s="1" t="s">
        <v>158</v>
      </c>
    </row>
    <row r="2533" spans="3:18" x14ac:dyDescent="0.35">
      <c r="C2533" t="s">
        <v>51</v>
      </c>
      <c r="D2533" t="s">
        <v>91</v>
      </c>
      <c r="E2533" t="s">
        <v>49</v>
      </c>
      <c r="F2533" t="s">
        <v>46</v>
      </c>
      <c r="G2533" s="58">
        <v>11566282</v>
      </c>
      <c r="H2533" s="1" t="s">
        <v>47</v>
      </c>
      <c r="I2533" s="1" t="s">
        <v>105</v>
      </c>
      <c r="J2533" s="58">
        <v>34698846</v>
      </c>
      <c r="K2533" s="1" t="s">
        <v>106</v>
      </c>
      <c r="L2533" s="1" t="s">
        <v>124</v>
      </c>
      <c r="N2533" s="1">
        <v>1</v>
      </c>
      <c r="O2533" s="58"/>
      <c r="P2533" s="58">
        <v>1272291.02</v>
      </c>
      <c r="Q2533" t="s">
        <v>107</v>
      </c>
      <c r="R2533" s="1" t="s">
        <v>158</v>
      </c>
    </row>
    <row r="2534" spans="3:18" x14ac:dyDescent="0.35">
      <c r="C2534" t="s">
        <v>51</v>
      </c>
      <c r="D2534" t="s">
        <v>24</v>
      </c>
      <c r="E2534" t="s">
        <v>55</v>
      </c>
      <c r="F2534" t="s">
        <v>46</v>
      </c>
      <c r="G2534" s="58">
        <v>9337238</v>
      </c>
      <c r="H2534" s="1" t="s">
        <v>47</v>
      </c>
      <c r="I2534" s="1" t="s">
        <v>108</v>
      </c>
      <c r="J2534" s="58">
        <v>289454378</v>
      </c>
      <c r="K2534" s="1" t="s">
        <v>112</v>
      </c>
      <c r="N2534" s="1">
        <v>1</v>
      </c>
      <c r="O2534" s="58"/>
      <c r="P2534" s="58">
        <v>6442694.2199999997</v>
      </c>
      <c r="Q2534" t="s">
        <v>118</v>
      </c>
      <c r="R2534" s="1" t="s">
        <v>158</v>
      </c>
    </row>
    <row r="2535" spans="3:18" x14ac:dyDescent="0.35">
      <c r="C2535" t="s">
        <v>51</v>
      </c>
      <c r="D2535" t="s">
        <v>20</v>
      </c>
      <c r="E2535" t="s">
        <v>45</v>
      </c>
      <c r="F2535" t="s">
        <v>46</v>
      </c>
      <c r="G2535" s="58">
        <v>304466</v>
      </c>
      <c r="H2535" s="1" t="s">
        <v>48</v>
      </c>
      <c r="I2535" s="1" t="s">
        <v>108</v>
      </c>
      <c r="J2535" s="58">
        <v>8525048</v>
      </c>
      <c r="K2535" s="1" t="s">
        <v>112</v>
      </c>
      <c r="N2535" s="1">
        <v>1</v>
      </c>
      <c r="O2535" s="58"/>
      <c r="P2535" s="58">
        <v>137009.70000000001</v>
      </c>
      <c r="Q2535" t="s">
        <v>113</v>
      </c>
      <c r="R2535" s="1" t="s">
        <v>158</v>
      </c>
    </row>
    <row r="2536" spans="3:18" x14ac:dyDescent="0.35">
      <c r="C2536" t="s">
        <v>51</v>
      </c>
      <c r="D2536" t="s">
        <v>24</v>
      </c>
      <c r="E2536" t="s">
        <v>55</v>
      </c>
      <c r="F2536" t="s">
        <v>46</v>
      </c>
      <c r="G2536" s="58">
        <v>1213629</v>
      </c>
      <c r="H2536" s="1" t="s">
        <v>47</v>
      </c>
      <c r="I2536" s="1" t="s">
        <v>111</v>
      </c>
      <c r="J2536" s="58">
        <v>20631693</v>
      </c>
      <c r="K2536" s="1" t="s">
        <v>106</v>
      </c>
      <c r="L2536" s="1" t="s">
        <v>124</v>
      </c>
      <c r="N2536" s="1">
        <v>1</v>
      </c>
      <c r="O2536" s="58"/>
      <c r="P2536" s="58">
        <v>582541.92000000004</v>
      </c>
      <c r="Q2536" t="s">
        <v>113</v>
      </c>
      <c r="R2536" s="1" t="s">
        <v>158</v>
      </c>
    </row>
    <row r="2537" spans="3:18" x14ac:dyDescent="0.35">
      <c r="C2537" t="s">
        <v>53</v>
      </c>
      <c r="D2537" t="s">
        <v>21</v>
      </c>
      <c r="E2537" t="s">
        <v>45</v>
      </c>
      <c r="F2537" t="s">
        <v>46</v>
      </c>
      <c r="G2537" s="58">
        <v>176382</v>
      </c>
      <c r="H2537" s="1" t="s">
        <v>47</v>
      </c>
      <c r="I2537" s="1" t="s">
        <v>128</v>
      </c>
      <c r="J2537" s="58"/>
      <c r="K2537" s="1" t="s">
        <v>106</v>
      </c>
      <c r="L2537" s="1" t="s">
        <v>120</v>
      </c>
      <c r="N2537" s="1">
        <v>0</v>
      </c>
      <c r="O2537" s="58"/>
      <c r="P2537" s="58">
        <v>17638.2</v>
      </c>
      <c r="Q2537" t="s">
        <v>107</v>
      </c>
      <c r="R2537" s="1" t="s">
        <v>158</v>
      </c>
    </row>
    <row r="2538" spans="3:18" x14ac:dyDescent="0.35">
      <c r="C2538" t="s">
        <v>51</v>
      </c>
      <c r="D2538" t="s">
        <v>23</v>
      </c>
      <c r="E2538" t="s">
        <v>55</v>
      </c>
      <c r="F2538" t="s">
        <v>46</v>
      </c>
      <c r="G2538" s="58">
        <v>50520</v>
      </c>
      <c r="H2538" s="1" t="s">
        <v>48</v>
      </c>
      <c r="I2538" s="1" t="s">
        <v>119</v>
      </c>
      <c r="J2538" s="58">
        <v>505200</v>
      </c>
      <c r="K2538" s="1" t="s">
        <v>112</v>
      </c>
      <c r="N2538" s="1">
        <v>1</v>
      </c>
      <c r="O2538" s="58"/>
      <c r="P2538" s="58">
        <v>5052</v>
      </c>
      <c r="Q2538" t="s">
        <v>107</v>
      </c>
      <c r="R2538" s="1" t="s">
        <v>158</v>
      </c>
    </row>
    <row r="2539" spans="3:18" x14ac:dyDescent="0.35">
      <c r="C2539" t="s">
        <v>51</v>
      </c>
      <c r="D2539" t="s">
        <v>23</v>
      </c>
      <c r="E2539" t="s">
        <v>49</v>
      </c>
      <c r="F2539" t="s">
        <v>46</v>
      </c>
      <c r="G2539" s="58">
        <v>454675</v>
      </c>
      <c r="H2539" s="1" t="s">
        <v>48</v>
      </c>
      <c r="I2539" s="1" t="s">
        <v>119</v>
      </c>
      <c r="J2539" s="58">
        <v>4092075</v>
      </c>
      <c r="K2539" s="1" t="s">
        <v>106</v>
      </c>
      <c r="L2539" s="1" t="s">
        <v>124</v>
      </c>
      <c r="M2539" s="1" t="s">
        <v>125</v>
      </c>
      <c r="N2539" s="1">
        <v>1</v>
      </c>
      <c r="O2539" s="58"/>
      <c r="P2539" s="58">
        <v>304632.25</v>
      </c>
      <c r="Q2539" t="s">
        <v>118</v>
      </c>
      <c r="R2539" s="1" t="s">
        <v>158</v>
      </c>
    </row>
    <row r="2540" spans="3:18" x14ac:dyDescent="0.35">
      <c r="C2540" t="s">
        <v>51</v>
      </c>
      <c r="D2540" t="s">
        <v>23</v>
      </c>
      <c r="E2540" t="s">
        <v>55</v>
      </c>
      <c r="F2540" t="s">
        <v>46</v>
      </c>
      <c r="G2540" s="58">
        <v>27665569</v>
      </c>
      <c r="H2540" s="1" t="s">
        <v>48</v>
      </c>
      <c r="I2540" s="1" t="s">
        <v>108</v>
      </c>
      <c r="J2540" s="58">
        <v>968294915</v>
      </c>
      <c r="K2540" s="1" t="s">
        <v>106</v>
      </c>
      <c r="L2540" s="1" t="s">
        <v>114</v>
      </c>
      <c r="M2540" s="1" t="s">
        <v>125</v>
      </c>
      <c r="N2540" s="1">
        <v>1</v>
      </c>
      <c r="O2540" s="58"/>
      <c r="P2540" s="58">
        <v>22962422.27</v>
      </c>
      <c r="Q2540" t="s">
        <v>127</v>
      </c>
      <c r="R2540" s="1" t="s">
        <v>48</v>
      </c>
    </row>
    <row r="2541" spans="3:18" x14ac:dyDescent="0.35">
      <c r="C2541" t="s">
        <v>51</v>
      </c>
      <c r="D2541" t="s">
        <v>21</v>
      </c>
      <c r="E2541" t="s">
        <v>49</v>
      </c>
      <c r="F2541" t="s">
        <v>64</v>
      </c>
      <c r="G2541" s="58">
        <v>698768</v>
      </c>
      <c r="H2541" s="1" t="s">
        <v>48</v>
      </c>
      <c r="I2541" s="1" t="s">
        <v>108</v>
      </c>
      <c r="J2541" s="58">
        <v>23059344</v>
      </c>
      <c r="K2541" s="1" t="s">
        <v>112</v>
      </c>
      <c r="N2541" s="1">
        <v>1</v>
      </c>
      <c r="O2541" s="58"/>
      <c r="P2541" s="58">
        <v>335408.64000000001</v>
      </c>
      <c r="Q2541" t="s">
        <v>113</v>
      </c>
      <c r="R2541" s="1" t="s">
        <v>158</v>
      </c>
    </row>
    <row r="2542" spans="3:18" x14ac:dyDescent="0.35">
      <c r="C2542" t="s">
        <v>51</v>
      </c>
      <c r="D2542" t="s">
        <v>21</v>
      </c>
      <c r="E2542" t="s">
        <v>45</v>
      </c>
      <c r="F2542" t="s">
        <v>46</v>
      </c>
      <c r="G2542" s="58">
        <v>865688</v>
      </c>
      <c r="H2542" s="1" t="s">
        <v>54</v>
      </c>
      <c r="I2542" s="1" t="s">
        <v>108</v>
      </c>
      <c r="J2542" s="58">
        <v>28567704</v>
      </c>
      <c r="K2542" s="1" t="s">
        <v>106</v>
      </c>
      <c r="L2542" s="1" t="s">
        <v>120</v>
      </c>
      <c r="N2542" s="1">
        <v>1</v>
      </c>
      <c r="O2542" s="58"/>
      <c r="P2542" s="58">
        <v>1090766.8799999999</v>
      </c>
      <c r="Q2542" t="s">
        <v>110</v>
      </c>
      <c r="R2542" s="1" t="s">
        <v>158</v>
      </c>
    </row>
    <row r="2543" spans="3:18" x14ac:dyDescent="0.35">
      <c r="C2543" t="s">
        <v>51</v>
      </c>
      <c r="D2543" t="s">
        <v>22</v>
      </c>
      <c r="E2543" t="s">
        <v>55</v>
      </c>
      <c r="F2543" t="s">
        <v>46</v>
      </c>
      <c r="G2543" s="58">
        <v>112910</v>
      </c>
      <c r="H2543" s="1" t="s">
        <v>47</v>
      </c>
      <c r="I2543" s="1" t="s">
        <v>111</v>
      </c>
      <c r="J2543" s="58">
        <v>1693650</v>
      </c>
      <c r="K2543" s="1" t="s">
        <v>106</v>
      </c>
      <c r="L2543" s="1" t="s">
        <v>114</v>
      </c>
      <c r="N2543" s="1">
        <v>1</v>
      </c>
      <c r="O2543" s="58"/>
      <c r="P2543" s="58">
        <v>73391.5</v>
      </c>
      <c r="Q2543" t="s">
        <v>118</v>
      </c>
      <c r="R2543" s="1" t="s">
        <v>158</v>
      </c>
    </row>
    <row r="2544" spans="3:18" x14ac:dyDescent="0.35">
      <c r="C2544" t="s">
        <v>51</v>
      </c>
      <c r="D2544" t="s">
        <v>22</v>
      </c>
      <c r="E2544" t="s">
        <v>45</v>
      </c>
      <c r="F2544" t="s">
        <v>46</v>
      </c>
      <c r="G2544" s="58">
        <v>337314506</v>
      </c>
      <c r="H2544" s="1" t="s">
        <v>56</v>
      </c>
      <c r="I2544" s="1" t="s">
        <v>108</v>
      </c>
      <c r="J2544" s="58">
        <v>9444806168</v>
      </c>
      <c r="K2544" s="1" t="s">
        <v>106</v>
      </c>
      <c r="L2544" s="1" t="s">
        <v>120</v>
      </c>
      <c r="N2544" s="1">
        <v>1</v>
      </c>
      <c r="O2544" s="58"/>
      <c r="P2544" s="58">
        <v>232747009.13999999</v>
      </c>
      <c r="Q2544" t="s">
        <v>118</v>
      </c>
      <c r="R2544" s="1" t="s">
        <v>158</v>
      </c>
    </row>
    <row r="2545" spans="3:18" x14ac:dyDescent="0.35">
      <c r="C2545" t="s">
        <v>51</v>
      </c>
      <c r="D2545" t="s">
        <v>21</v>
      </c>
      <c r="E2545" t="s">
        <v>45</v>
      </c>
      <c r="F2545" t="s">
        <v>46</v>
      </c>
      <c r="G2545" s="58">
        <v>1733331</v>
      </c>
      <c r="H2545" s="1" t="s">
        <v>48</v>
      </c>
      <c r="I2545" s="1" t="s">
        <v>111</v>
      </c>
      <c r="J2545" s="58">
        <v>32933289</v>
      </c>
      <c r="K2545" s="1" t="s">
        <v>106</v>
      </c>
      <c r="L2545" s="1" t="s">
        <v>120</v>
      </c>
      <c r="M2545" s="1" t="s">
        <v>126</v>
      </c>
      <c r="N2545" s="1">
        <v>1</v>
      </c>
      <c r="O2545" s="58"/>
      <c r="P2545" s="58">
        <v>1421331.42</v>
      </c>
      <c r="Q2545" t="s">
        <v>127</v>
      </c>
      <c r="R2545" s="1" t="s">
        <v>48</v>
      </c>
    </row>
    <row r="2546" spans="3:18" x14ac:dyDescent="0.35">
      <c r="C2546" t="s">
        <v>53</v>
      </c>
      <c r="D2546" t="s">
        <v>21</v>
      </c>
      <c r="E2546" t="s">
        <v>45</v>
      </c>
      <c r="F2546" t="s">
        <v>46</v>
      </c>
      <c r="G2546" s="58">
        <v>1468588</v>
      </c>
      <c r="H2546" s="1" t="s">
        <v>54</v>
      </c>
      <c r="I2546" s="1" t="s">
        <v>111</v>
      </c>
      <c r="J2546" s="58">
        <v>19091644</v>
      </c>
      <c r="K2546" s="1" t="s">
        <v>112</v>
      </c>
      <c r="N2546" s="1">
        <v>1</v>
      </c>
      <c r="O2546" s="58"/>
      <c r="P2546" s="58">
        <v>1028011.6</v>
      </c>
      <c r="Q2546" t="s">
        <v>118</v>
      </c>
      <c r="R2546" s="1" t="s">
        <v>158</v>
      </c>
    </row>
    <row r="2547" spans="3:18" x14ac:dyDescent="0.35">
      <c r="C2547" t="s">
        <v>51</v>
      </c>
      <c r="D2547" t="s">
        <v>20</v>
      </c>
      <c r="E2547" t="s">
        <v>49</v>
      </c>
      <c r="F2547" t="s">
        <v>46</v>
      </c>
      <c r="G2547" s="58">
        <v>70391231</v>
      </c>
      <c r="H2547" s="1" t="s">
        <v>59</v>
      </c>
      <c r="I2547" s="1" t="s">
        <v>108</v>
      </c>
      <c r="J2547" s="58">
        <v>2041345699</v>
      </c>
      <c r="K2547" s="1" t="s">
        <v>106</v>
      </c>
      <c r="L2547" s="1" t="s">
        <v>124</v>
      </c>
      <c r="N2547" s="1">
        <v>1</v>
      </c>
      <c r="O2547" s="58"/>
      <c r="P2547" s="58">
        <v>48569949.390000001</v>
      </c>
      <c r="Q2547" t="s">
        <v>118</v>
      </c>
      <c r="R2547" s="1" t="s">
        <v>158</v>
      </c>
    </row>
    <row r="2548" spans="3:18" x14ac:dyDescent="0.35">
      <c r="C2548" t="s">
        <v>53</v>
      </c>
      <c r="D2548" t="s">
        <v>20</v>
      </c>
      <c r="E2548" t="s">
        <v>45</v>
      </c>
      <c r="F2548" t="s">
        <v>46</v>
      </c>
      <c r="G2548" s="58">
        <v>1512050</v>
      </c>
      <c r="H2548" s="1" t="s">
        <v>59</v>
      </c>
      <c r="I2548" s="1" t="s">
        <v>111</v>
      </c>
      <c r="J2548" s="58">
        <v>22680750</v>
      </c>
      <c r="K2548" s="1" t="s">
        <v>106</v>
      </c>
      <c r="L2548" s="1" t="s">
        <v>120</v>
      </c>
      <c r="N2548" s="1">
        <v>1</v>
      </c>
      <c r="O2548" s="58"/>
      <c r="P2548" s="58">
        <v>982832.5</v>
      </c>
      <c r="Q2548" t="s">
        <v>118</v>
      </c>
      <c r="R2548" s="1" t="s">
        <v>158</v>
      </c>
    </row>
    <row r="2549" spans="3:18" x14ac:dyDescent="0.35">
      <c r="C2549" t="s">
        <v>51</v>
      </c>
      <c r="D2549" t="s">
        <v>22</v>
      </c>
      <c r="E2549" t="s">
        <v>45</v>
      </c>
      <c r="F2549" t="s">
        <v>46</v>
      </c>
      <c r="G2549" s="58">
        <v>14107997</v>
      </c>
      <c r="H2549" s="1" t="s">
        <v>47</v>
      </c>
      <c r="I2549" s="1" t="s">
        <v>108</v>
      </c>
      <c r="J2549" s="58">
        <v>409131913</v>
      </c>
      <c r="K2549" s="1" t="s">
        <v>106</v>
      </c>
      <c r="L2549" s="1" t="s">
        <v>124</v>
      </c>
      <c r="N2549" s="1">
        <v>1</v>
      </c>
      <c r="O2549" s="58"/>
      <c r="P2549" s="58">
        <v>9734517.9299999997</v>
      </c>
      <c r="Q2549" t="s">
        <v>118</v>
      </c>
      <c r="R2549" s="1" t="s">
        <v>158</v>
      </c>
    </row>
    <row r="2550" spans="3:18" x14ac:dyDescent="0.35">
      <c r="C2550" t="s">
        <v>51</v>
      </c>
      <c r="D2550" t="s">
        <v>22</v>
      </c>
      <c r="E2550" t="s">
        <v>45</v>
      </c>
      <c r="F2550" t="s">
        <v>46</v>
      </c>
      <c r="G2550" s="58">
        <v>2664954</v>
      </c>
      <c r="H2550" s="1" t="s">
        <v>54</v>
      </c>
      <c r="I2550" s="1" t="s">
        <v>108</v>
      </c>
      <c r="J2550" s="58">
        <v>79948620</v>
      </c>
      <c r="K2550" s="1" t="s">
        <v>112</v>
      </c>
      <c r="N2550" s="1">
        <v>1</v>
      </c>
      <c r="O2550" s="58"/>
      <c r="P2550" s="58">
        <v>1945416.42</v>
      </c>
      <c r="Q2550" t="s">
        <v>118</v>
      </c>
      <c r="R2550" s="1" t="s">
        <v>158</v>
      </c>
    </row>
    <row r="2551" spans="3:18" x14ac:dyDescent="0.35">
      <c r="C2551" t="s">
        <v>51</v>
      </c>
      <c r="D2551" t="s">
        <v>24</v>
      </c>
      <c r="E2551" t="s">
        <v>55</v>
      </c>
      <c r="F2551" t="s">
        <v>46</v>
      </c>
      <c r="G2551" s="58">
        <v>12593951</v>
      </c>
      <c r="H2551" s="1" t="s">
        <v>48</v>
      </c>
      <c r="I2551" s="1" t="s">
        <v>108</v>
      </c>
      <c r="J2551" s="58">
        <v>415600383</v>
      </c>
      <c r="K2551" s="1" t="s">
        <v>106</v>
      </c>
      <c r="L2551" s="1" t="s">
        <v>114</v>
      </c>
      <c r="M2551" s="1" t="s">
        <v>121</v>
      </c>
      <c r="N2551" s="1">
        <v>1</v>
      </c>
      <c r="O2551" s="58"/>
      <c r="P2551" s="58">
        <v>8941705.2100000009</v>
      </c>
      <c r="Q2551" t="s">
        <v>118</v>
      </c>
      <c r="R2551" s="1" t="s">
        <v>48</v>
      </c>
    </row>
    <row r="2552" spans="3:18" x14ac:dyDescent="0.35">
      <c r="C2552" t="s">
        <v>51</v>
      </c>
      <c r="D2552" t="s">
        <v>23</v>
      </c>
      <c r="E2552" t="s">
        <v>49</v>
      </c>
      <c r="F2552" t="s">
        <v>46</v>
      </c>
      <c r="G2552" s="58">
        <v>15685966</v>
      </c>
      <c r="H2552" s="1" t="s">
        <v>48</v>
      </c>
      <c r="I2552" s="1" t="s">
        <v>108</v>
      </c>
      <c r="J2552" s="58">
        <v>454893014</v>
      </c>
      <c r="K2552" s="1" t="s">
        <v>106</v>
      </c>
      <c r="L2552" s="1" t="s">
        <v>124</v>
      </c>
      <c r="M2552" s="1" t="s">
        <v>125</v>
      </c>
      <c r="N2552" s="1">
        <v>1</v>
      </c>
      <c r="O2552" s="58"/>
      <c r="P2552" s="58">
        <v>4548930.1399999997</v>
      </c>
      <c r="Q2552" t="s">
        <v>107</v>
      </c>
      <c r="R2552" s="1" t="s">
        <v>158</v>
      </c>
    </row>
    <row r="2553" spans="3:18" x14ac:dyDescent="0.35">
      <c r="C2553" t="s">
        <v>51</v>
      </c>
      <c r="D2553" t="s">
        <v>92</v>
      </c>
      <c r="E2553" t="s">
        <v>49</v>
      </c>
      <c r="F2553" t="s">
        <v>46</v>
      </c>
      <c r="G2553" s="58">
        <v>167371429</v>
      </c>
      <c r="H2553" s="1" t="s">
        <v>48</v>
      </c>
      <c r="I2553" s="1" t="s">
        <v>108</v>
      </c>
      <c r="J2553" s="58">
        <v>5858000015</v>
      </c>
      <c r="K2553" s="1" t="s">
        <v>106</v>
      </c>
      <c r="L2553" s="1" t="s">
        <v>124</v>
      </c>
      <c r="M2553" s="1" t="s">
        <v>123</v>
      </c>
      <c r="N2553" s="1">
        <v>1</v>
      </c>
      <c r="O2553" s="58"/>
      <c r="P2553" s="58">
        <v>138918286.06999999</v>
      </c>
      <c r="Q2553" t="s">
        <v>127</v>
      </c>
      <c r="R2553" s="1" t="s">
        <v>158</v>
      </c>
    </row>
    <row r="2554" spans="3:18" x14ac:dyDescent="0.35">
      <c r="C2554" t="s">
        <v>51</v>
      </c>
      <c r="D2554" t="s">
        <v>21</v>
      </c>
      <c r="E2554" t="s">
        <v>49</v>
      </c>
      <c r="F2554" t="s">
        <v>46</v>
      </c>
      <c r="G2554" s="58">
        <v>94281</v>
      </c>
      <c r="H2554" s="1" t="s">
        <v>58</v>
      </c>
      <c r="I2554" s="1" t="s">
        <v>128</v>
      </c>
      <c r="J2554" s="58"/>
      <c r="K2554" s="1" t="s">
        <v>106</v>
      </c>
      <c r="L2554" s="1" t="s">
        <v>124</v>
      </c>
      <c r="N2554" s="1">
        <v>0</v>
      </c>
      <c r="O2554" s="58"/>
      <c r="P2554" s="58">
        <v>7542.48</v>
      </c>
      <c r="Q2554" t="s">
        <v>107</v>
      </c>
      <c r="R2554" s="1" t="s">
        <v>158</v>
      </c>
    </row>
    <row r="2555" spans="3:18" x14ac:dyDescent="0.35">
      <c r="C2555" t="s">
        <v>51</v>
      </c>
      <c r="D2555" t="s">
        <v>19</v>
      </c>
      <c r="E2555" t="s">
        <v>60</v>
      </c>
      <c r="F2555" t="s">
        <v>46</v>
      </c>
      <c r="G2555" s="58">
        <v>195279</v>
      </c>
      <c r="H2555" s="1" t="s">
        <v>48</v>
      </c>
      <c r="I2555" s="1" t="s">
        <v>108</v>
      </c>
      <c r="J2555" s="58">
        <v>3905580</v>
      </c>
      <c r="K2555" s="1" t="s">
        <v>106</v>
      </c>
      <c r="M2555" s="1" t="s">
        <v>122</v>
      </c>
      <c r="N2555" s="1">
        <v>1</v>
      </c>
      <c r="O2555" s="58"/>
      <c r="P2555" s="58">
        <v>66394.86</v>
      </c>
      <c r="Q2555" t="s">
        <v>107</v>
      </c>
    </row>
    <row r="2556" spans="3:18" x14ac:dyDescent="0.35">
      <c r="C2556" t="s">
        <v>53</v>
      </c>
      <c r="D2556" t="s">
        <v>19</v>
      </c>
      <c r="E2556" t="s">
        <v>49</v>
      </c>
      <c r="F2556" t="s">
        <v>46</v>
      </c>
      <c r="G2556" s="58">
        <v>200123</v>
      </c>
      <c r="H2556" s="1" t="s">
        <v>54</v>
      </c>
      <c r="I2556" s="1" t="s">
        <v>111</v>
      </c>
      <c r="J2556" s="58">
        <v>2201353</v>
      </c>
      <c r="K2556" s="1" t="s">
        <v>106</v>
      </c>
      <c r="L2556" s="1" t="s">
        <v>124</v>
      </c>
      <c r="N2556" s="1">
        <v>1</v>
      </c>
      <c r="O2556" s="58"/>
      <c r="P2556" s="58">
        <v>32019.68</v>
      </c>
      <c r="Q2556" t="s">
        <v>107</v>
      </c>
      <c r="R2556" s="1" t="s">
        <v>158</v>
      </c>
    </row>
    <row r="2557" spans="3:18" x14ac:dyDescent="0.35">
      <c r="C2557" t="s">
        <v>51</v>
      </c>
      <c r="D2557" t="s">
        <v>92</v>
      </c>
      <c r="E2557" t="s">
        <v>45</v>
      </c>
      <c r="F2557" t="s">
        <v>46</v>
      </c>
      <c r="G2557" s="58">
        <v>15447820</v>
      </c>
      <c r="H2557" s="1" t="s">
        <v>48</v>
      </c>
      <c r="I2557" s="1" t="s">
        <v>108</v>
      </c>
      <c r="J2557" s="58">
        <v>447986780</v>
      </c>
      <c r="K2557" s="1" t="s">
        <v>106</v>
      </c>
      <c r="L2557" s="1" t="s">
        <v>120</v>
      </c>
      <c r="M2557" s="1" t="s">
        <v>123</v>
      </c>
      <c r="N2557" s="1">
        <v>1</v>
      </c>
      <c r="O2557" s="58"/>
      <c r="P2557" s="58">
        <v>7878388.2000000002</v>
      </c>
      <c r="Q2557" t="s">
        <v>113</v>
      </c>
      <c r="R2557" s="1" t="s">
        <v>158</v>
      </c>
    </row>
    <row r="2558" spans="3:18" x14ac:dyDescent="0.35">
      <c r="C2558" t="s">
        <v>51</v>
      </c>
      <c r="D2558" t="s">
        <v>19</v>
      </c>
      <c r="E2558" t="s">
        <v>49</v>
      </c>
      <c r="F2558" t="s">
        <v>46</v>
      </c>
      <c r="G2558" s="58">
        <v>454720</v>
      </c>
      <c r="H2558" s="1" t="s">
        <v>48</v>
      </c>
      <c r="I2558" s="1" t="s">
        <v>108</v>
      </c>
      <c r="J2558" s="58">
        <v>15915200</v>
      </c>
      <c r="K2558" s="1" t="s">
        <v>106</v>
      </c>
      <c r="L2558" s="1" t="s">
        <v>120</v>
      </c>
      <c r="M2558" s="1" t="s">
        <v>115</v>
      </c>
      <c r="N2558" s="1">
        <v>1</v>
      </c>
      <c r="O2558" s="58"/>
      <c r="P2558" s="58">
        <v>536569.59999999998</v>
      </c>
      <c r="Q2558" t="s">
        <v>110</v>
      </c>
      <c r="R2558" s="1" t="s">
        <v>158</v>
      </c>
    </row>
    <row r="2559" spans="3:18" x14ac:dyDescent="0.35">
      <c r="C2559" t="s">
        <v>51</v>
      </c>
      <c r="D2559" t="s">
        <v>21</v>
      </c>
      <c r="E2559" t="s">
        <v>45</v>
      </c>
      <c r="F2559" t="s">
        <v>46</v>
      </c>
      <c r="G2559" s="58">
        <v>14108740</v>
      </c>
      <c r="H2559" s="1" t="s">
        <v>48</v>
      </c>
      <c r="I2559" s="1" t="s">
        <v>111</v>
      </c>
      <c r="J2559" s="58">
        <v>225739840</v>
      </c>
      <c r="K2559" s="1" t="s">
        <v>106</v>
      </c>
      <c r="L2559" s="1" t="s">
        <v>120</v>
      </c>
      <c r="M2559" s="1" t="s">
        <v>126</v>
      </c>
      <c r="N2559" s="1">
        <v>1</v>
      </c>
      <c r="O2559" s="58"/>
      <c r="P2559" s="58">
        <v>7054370</v>
      </c>
      <c r="Q2559" t="s">
        <v>113</v>
      </c>
      <c r="R2559" s="1" t="s">
        <v>48</v>
      </c>
    </row>
    <row r="2560" spans="3:18" x14ac:dyDescent="0.35">
      <c r="C2560" t="s">
        <v>51</v>
      </c>
      <c r="D2560" t="s">
        <v>21</v>
      </c>
      <c r="E2560" t="s">
        <v>49</v>
      </c>
      <c r="F2560" t="s">
        <v>64</v>
      </c>
      <c r="G2560" s="58">
        <v>32111</v>
      </c>
      <c r="H2560" s="1" t="s">
        <v>59</v>
      </c>
      <c r="I2560" s="1" t="s">
        <v>119</v>
      </c>
      <c r="J2560" s="58">
        <v>192666</v>
      </c>
      <c r="K2560" s="1" t="s">
        <v>106</v>
      </c>
      <c r="L2560" s="1" t="s">
        <v>124</v>
      </c>
      <c r="N2560" s="1">
        <v>1</v>
      </c>
      <c r="O2560" s="58"/>
      <c r="P2560" s="58">
        <v>6422.2</v>
      </c>
      <c r="Q2560" t="s">
        <v>107</v>
      </c>
      <c r="R2560" s="1" t="s">
        <v>158</v>
      </c>
    </row>
    <row r="2561" spans="3:18" x14ac:dyDescent="0.35">
      <c r="C2561" t="s">
        <v>53</v>
      </c>
      <c r="D2561" t="s">
        <v>60</v>
      </c>
      <c r="E2561" t="s">
        <v>60</v>
      </c>
      <c r="F2561" t="s">
        <v>46</v>
      </c>
      <c r="G2561" s="58">
        <v>0</v>
      </c>
      <c r="H2561" s="1" t="s">
        <v>61</v>
      </c>
      <c r="I2561" s="1" t="s">
        <v>111</v>
      </c>
      <c r="J2561" s="58">
        <v>0</v>
      </c>
      <c r="K2561" s="1" t="s">
        <v>112</v>
      </c>
      <c r="N2561" s="1">
        <v>1</v>
      </c>
      <c r="O2561" s="58"/>
      <c r="P2561" s="58">
        <v>0</v>
      </c>
      <c r="Q2561" t="s">
        <v>118</v>
      </c>
    </row>
    <row r="2562" spans="3:18" x14ac:dyDescent="0.35">
      <c r="C2562" t="s">
        <v>53</v>
      </c>
      <c r="D2562" t="s">
        <v>22</v>
      </c>
      <c r="E2562" t="s">
        <v>45</v>
      </c>
      <c r="F2562" t="s">
        <v>46</v>
      </c>
      <c r="G2562" s="58">
        <v>770642</v>
      </c>
      <c r="H2562" s="1" t="s">
        <v>47</v>
      </c>
      <c r="I2562" s="1" t="s">
        <v>111</v>
      </c>
      <c r="J2562" s="58">
        <v>10018346</v>
      </c>
      <c r="K2562" s="1" t="s">
        <v>112</v>
      </c>
      <c r="N2562" s="1">
        <v>1</v>
      </c>
      <c r="O2562" s="58"/>
      <c r="P2562" s="58">
        <v>485504.46</v>
      </c>
      <c r="Q2562" t="s">
        <v>118</v>
      </c>
      <c r="R2562" s="1" t="s">
        <v>158</v>
      </c>
    </row>
    <row r="2563" spans="3:18" x14ac:dyDescent="0.35">
      <c r="C2563" t="s">
        <v>51</v>
      </c>
      <c r="D2563" t="s">
        <v>23</v>
      </c>
      <c r="E2563" t="s">
        <v>45</v>
      </c>
      <c r="F2563" t="s">
        <v>46</v>
      </c>
      <c r="G2563" s="58">
        <v>99698005</v>
      </c>
      <c r="H2563" s="1" t="s">
        <v>47</v>
      </c>
      <c r="I2563" s="1" t="s">
        <v>111</v>
      </c>
      <c r="J2563" s="58">
        <v>1495470075</v>
      </c>
      <c r="K2563" s="1" t="s">
        <v>106</v>
      </c>
      <c r="L2563" s="1" t="s">
        <v>120</v>
      </c>
      <c r="N2563" s="1">
        <v>1</v>
      </c>
      <c r="O2563" s="58"/>
      <c r="P2563" s="58">
        <v>25921481.300000001</v>
      </c>
      <c r="Q2563" t="s">
        <v>107</v>
      </c>
      <c r="R2563" s="1" t="s">
        <v>158</v>
      </c>
    </row>
    <row r="2564" spans="3:18" x14ac:dyDescent="0.35">
      <c r="C2564" t="s">
        <v>53</v>
      </c>
      <c r="D2564" t="s">
        <v>20</v>
      </c>
      <c r="E2564" t="s">
        <v>49</v>
      </c>
      <c r="F2564" t="s">
        <v>46</v>
      </c>
      <c r="G2564" s="58">
        <v>495138</v>
      </c>
      <c r="H2564" s="1" t="s">
        <v>56</v>
      </c>
      <c r="I2564" s="1" t="s">
        <v>119</v>
      </c>
      <c r="J2564" s="58">
        <v>4456242</v>
      </c>
      <c r="K2564" s="1" t="s">
        <v>106</v>
      </c>
      <c r="L2564" s="1" t="s">
        <v>124</v>
      </c>
      <c r="N2564" s="1">
        <v>1</v>
      </c>
      <c r="O2564" s="58"/>
      <c r="P2564" s="58">
        <v>183201.06</v>
      </c>
      <c r="Q2564" t="s">
        <v>107</v>
      </c>
      <c r="R2564" s="1" t="s">
        <v>158</v>
      </c>
    </row>
    <row r="2565" spans="3:18" x14ac:dyDescent="0.35">
      <c r="C2565" t="s">
        <v>51</v>
      </c>
      <c r="D2565" t="s">
        <v>23</v>
      </c>
      <c r="E2565" t="s">
        <v>45</v>
      </c>
      <c r="F2565" t="s">
        <v>46</v>
      </c>
      <c r="G2565" s="58">
        <v>734488</v>
      </c>
      <c r="H2565" s="1" t="s">
        <v>48</v>
      </c>
      <c r="I2565" s="1" t="s">
        <v>111</v>
      </c>
      <c r="J2565" s="58">
        <v>11751808</v>
      </c>
      <c r="K2565" s="1" t="s">
        <v>112</v>
      </c>
      <c r="N2565" s="1">
        <v>1</v>
      </c>
      <c r="O2565" s="58"/>
      <c r="P2565" s="58">
        <v>213001.52</v>
      </c>
      <c r="Q2565" t="s">
        <v>107</v>
      </c>
      <c r="R2565" s="1" t="s">
        <v>158</v>
      </c>
    </row>
    <row r="2566" spans="3:18" x14ac:dyDescent="0.35">
      <c r="C2566" t="s">
        <v>51</v>
      </c>
      <c r="D2566" t="s">
        <v>24</v>
      </c>
      <c r="E2566" t="s">
        <v>55</v>
      </c>
      <c r="F2566" t="s">
        <v>46</v>
      </c>
      <c r="G2566" s="58">
        <v>200981</v>
      </c>
      <c r="H2566" s="1" t="s">
        <v>48</v>
      </c>
      <c r="I2566" s="1" t="s">
        <v>108</v>
      </c>
      <c r="J2566" s="58">
        <v>5024525</v>
      </c>
      <c r="K2566" s="1" t="s">
        <v>106</v>
      </c>
      <c r="L2566" s="1" t="s">
        <v>124</v>
      </c>
      <c r="M2566" s="1" t="s">
        <v>121</v>
      </c>
      <c r="N2566" s="1">
        <v>1</v>
      </c>
      <c r="O2566" s="58"/>
      <c r="P2566" s="58">
        <v>120588.6</v>
      </c>
      <c r="Q2566" t="s">
        <v>118</v>
      </c>
      <c r="R2566" s="1" t="s">
        <v>158</v>
      </c>
    </row>
    <row r="2567" spans="3:18" x14ac:dyDescent="0.35">
      <c r="C2567" t="s">
        <v>51</v>
      </c>
      <c r="D2567" t="s">
        <v>24</v>
      </c>
      <c r="E2567" t="s">
        <v>55</v>
      </c>
      <c r="F2567" t="s">
        <v>46</v>
      </c>
      <c r="G2567" s="58">
        <v>166366</v>
      </c>
      <c r="H2567" s="1" t="s">
        <v>47</v>
      </c>
      <c r="I2567" s="1" t="s">
        <v>108</v>
      </c>
      <c r="J2567" s="58">
        <v>4159150</v>
      </c>
      <c r="K2567" s="1" t="s">
        <v>106</v>
      </c>
      <c r="L2567" s="1" t="s">
        <v>124</v>
      </c>
      <c r="N2567" s="1">
        <v>1</v>
      </c>
      <c r="O2567" s="58"/>
      <c r="P2567" s="58">
        <v>249549</v>
      </c>
      <c r="Q2567" t="s">
        <v>110</v>
      </c>
      <c r="R2567" s="1" t="s">
        <v>158</v>
      </c>
    </row>
    <row r="2568" spans="3:18" x14ac:dyDescent="0.35">
      <c r="C2568" t="s">
        <v>51</v>
      </c>
      <c r="D2568" t="s">
        <v>19</v>
      </c>
      <c r="E2568" t="s">
        <v>49</v>
      </c>
      <c r="F2568" t="s">
        <v>46</v>
      </c>
      <c r="G2568" s="58">
        <v>259138</v>
      </c>
      <c r="H2568" s="1" t="s">
        <v>59</v>
      </c>
      <c r="I2568" s="1" t="s">
        <v>119</v>
      </c>
      <c r="J2568" s="58">
        <v>2332242</v>
      </c>
      <c r="K2568" s="1" t="s">
        <v>106</v>
      </c>
      <c r="L2568" s="1" t="s">
        <v>124</v>
      </c>
      <c r="N2568" s="1">
        <v>1</v>
      </c>
      <c r="O2568" s="58"/>
      <c r="P2568" s="58">
        <v>163256.94</v>
      </c>
      <c r="Q2568" t="s">
        <v>118</v>
      </c>
      <c r="R2568" s="1" t="s">
        <v>158</v>
      </c>
    </row>
    <row r="2569" spans="3:18" x14ac:dyDescent="0.35">
      <c r="C2569" t="s">
        <v>51</v>
      </c>
      <c r="D2569" t="s">
        <v>23</v>
      </c>
      <c r="E2569" t="s">
        <v>55</v>
      </c>
      <c r="F2569" t="s">
        <v>46</v>
      </c>
      <c r="G2569" s="58">
        <v>415542</v>
      </c>
      <c r="H2569" s="1" t="s">
        <v>59</v>
      </c>
      <c r="I2569" s="1" t="s">
        <v>108</v>
      </c>
      <c r="J2569" s="58">
        <v>9141924</v>
      </c>
      <c r="K2569" s="1" t="s">
        <v>106</v>
      </c>
      <c r="L2569" s="1" t="s">
        <v>124</v>
      </c>
      <c r="N2569" s="1">
        <v>1</v>
      </c>
      <c r="O2569" s="58"/>
      <c r="P2569" s="58">
        <v>344899.86</v>
      </c>
      <c r="Q2569" t="s">
        <v>127</v>
      </c>
      <c r="R2569" s="1" t="s">
        <v>158</v>
      </c>
    </row>
    <row r="2570" spans="3:18" x14ac:dyDescent="0.35">
      <c r="C2570" t="s">
        <v>51</v>
      </c>
      <c r="D2570" t="s">
        <v>23</v>
      </c>
      <c r="E2570" t="s">
        <v>62</v>
      </c>
      <c r="F2570" t="s">
        <v>46</v>
      </c>
      <c r="G2570" s="58">
        <v>833604</v>
      </c>
      <c r="H2570" s="1" t="s">
        <v>48</v>
      </c>
      <c r="I2570" s="1" t="s">
        <v>108</v>
      </c>
      <c r="J2570" s="58">
        <v>29176140</v>
      </c>
      <c r="K2570" s="1" t="s">
        <v>106</v>
      </c>
      <c r="L2570" s="1" t="s">
        <v>114</v>
      </c>
      <c r="M2570" s="1" t="s">
        <v>125</v>
      </c>
      <c r="N2570" s="1">
        <v>1</v>
      </c>
      <c r="O2570" s="58"/>
      <c r="P2570" s="58">
        <v>683555.28</v>
      </c>
      <c r="Q2570" t="s">
        <v>127</v>
      </c>
      <c r="R2570" s="1" t="s">
        <v>48</v>
      </c>
    </row>
    <row r="2571" spans="3:18" x14ac:dyDescent="0.35">
      <c r="C2571" t="s">
        <v>51</v>
      </c>
      <c r="D2571" t="s">
        <v>92</v>
      </c>
      <c r="E2571" t="s">
        <v>49</v>
      </c>
      <c r="F2571" t="s">
        <v>46</v>
      </c>
      <c r="G2571" s="58">
        <v>1730233</v>
      </c>
      <c r="H2571" s="1" t="s">
        <v>48</v>
      </c>
      <c r="I2571" s="1" t="s">
        <v>108</v>
      </c>
      <c r="J2571" s="58">
        <v>46716291</v>
      </c>
      <c r="K2571" s="1" t="s">
        <v>106</v>
      </c>
      <c r="L2571" s="1" t="s">
        <v>124</v>
      </c>
      <c r="M2571" s="1" t="s">
        <v>126</v>
      </c>
      <c r="N2571" s="1">
        <v>1</v>
      </c>
      <c r="O2571" s="58"/>
      <c r="P2571" s="58">
        <v>847814.17</v>
      </c>
      <c r="Q2571" t="s">
        <v>113</v>
      </c>
      <c r="R2571" s="1" t="s">
        <v>48</v>
      </c>
    </row>
    <row r="2572" spans="3:18" x14ac:dyDescent="0.35">
      <c r="C2572" t="s">
        <v>51</v>
      </c>
      <c r="D2572" t="s">
        <v>23</v>
      </c>
      <c r="E2572" t="s">
        <v>55</v>
      </c>
      <c r="F2572" t="s">
        <v>46</v>
      </c>
      <c r="G2572" s="58">
        <v>5329730</v>
      </c>
      <c r="H2572" s="1" t="s">
        <v>47</v>
      </c>
      <c r="I2572" s="1" t="s">
        <v>111</v>
      </c>
      <c r="J2572" s="58">
        <v>79945950</v>
      </c>
      <c r="K2572" s="1" t="s">
        <v>106</v>
      </c>
      <c r="L2572" s="1" t="s">
        <v>120</v>
      </c>
      <c r="N2572" s="1">
        <v>1</v>
      </c>
      <c r="O2572" s="58"/>
      <c r="P2572" s="58">
        <v>1492324.4</v>
      </c>
      <c r="Q2572" t="s">
        <v>107</v>
      </c>
      <c r="R2572" s="1" t="s">
        <v>158</v>
      </c>
    </row>
    <row r="2573" spans="3:18" x14ac:dyDescent="0.35">
      <c r="C2573" t="s">
        <v>53</v>
      </c>
      <c r="D2573" t="s">
        <v>23</v>
      </c>
      <c r="E2573" t="s">
        <v>45</v>
      </c>
      <c r="F2573" t="s">
        <v>46</v>
      </c>
      <c r="G2573" s="58">
        <v>6602578</v>
      </c>
      <c r="H2573" s="1" t="s">
        <v>54</v>
      </c>
      <c r="I2573" s="1" t="s">
        <v>119</v>
      </c>
      <c r="J2573" s="58">
        <v>66025780</v>
      </c>
      <c r="K2573" s="1" t="s">
        <v>112</v>
      </c>
      <c r="N2573" s="1">
        <v>1</v>
      </c>
      <c r="O2573" s="58"/>
      <c r="P2573" s="58">
        <v>6206423.3200000003</v>
      </c>
      <c r="Q2573" t="s">
        <v>127</v>
      </c>
      <c r="R2573" s="1" t="s">
        <v>158</v>
      </c>
    </row>
    <row r="2574" spans="3:18" x14ac:dyDescent="0.35">
      <c r="C2574" t="s">
        <v>51</v>
      </c>
      <c r="D2574" t="s">
        <v>23</v>
      </c>
      <c r="E2574" t="s">
        <v>49</v>
      </c>
      <c r="F2574" t="s">
        <v>46</v>
      </c>
      <c r="G2574" s="58">
        <v>458814</v>
      </c>
      <c r="H2574" s="1" t="s">
        <v>47</v>
      </c>
      <c r="I2574" s="1" t="s">
        <v>108</v>
      </c>
      <c r="J2574" s="58">
        <v>14682048</v>
      </c>
      <c r="K2574" s="1" t="s">
        <v>106</v>
      </c>
      <c r="L2574" s="1" t="s">
        <v>120</v>
      </c>
      <c r="N2574" s="1">
        <v>1</v>
      </c>
      <c r="O2574" s="58"/>
      <c r="P2574" s="58">
        <v>385403.76</v>
      </c>
      <c r="Q2574" t="s">
        <v>127</v>
      </c>
      <c r="R2574" s="1" t="s">
        <v>158</v>
      </c>
    </row>
    <row r="2575" spans="3:18" x14ac:dyDescent="0.35">
      <c r="C2575" t="s">
        <v>51</v>
      </c>
      <c r="D2575" t="s">
        <v>92</v>
      </c>
      <c r="E2575" t="s">
        <v>49</v>
      </c>
      <c r="F2575" t="s">
        <v>46</v>
      </c>
      <c r="G2575" s="58">
        <v>226263</v>
      </c>
      <c r="H2575" s="1" t="s">
        <v>59</v>
      </c>
      <c r="I2575" s="1" t="s">
        <v>119</v>
      </c>
      <c r="J2575" s="58">
        <v>2262630</v>
      </c>
      <c r="K2575" s="1" t="s">
        <v>112</v>
      </c>
      <c r="N2575" s="1">
        <v>1</v>
      </c>
      <c r="O2575" s="58"/>
      <c r="P2575" s="58">
        <v>178747.77</v>
      </c>
      <c r="Q2575" t="s">
        <v>118</v>
      </c>
      <c r="R2575" s="1" t="s">
        <v>158</v>
      </c>
    </row>
    <row r="2576" spans="3:18" x14ac:dyDescent="0.35">
      <c r="C2576" t="s">
        <v>51</v>
      </c>
      <c r="D2576" t="s">
        <v>25</v>
      </c>
      <c r="E2576" t="s">
        <v>50</v>
      </c>
      <c r="F2576" t="s">
        <v>46</v>
      </c>
      <c r="G2576" s="58">
        <v>86504</v>
      </c>
      <c r="H2576" s="1" t="s">
        <v>47</v>
      </c>
      <c r="I2576" s="1" t="s">
        <v>111</v>
      </c>
      <c r="J2576" s="58">
        <v>1211056</v>
      </c>
      <c r="K2576" s="1" t="s">
        <v>106</v>
      </c>
      <c r="L2576" s="1" t="s">
        <v>109</v>
      </c>
      <c r="N2576" s="1">
        <v>1</v>
      </c>
      <c r="O2576" s="58"/>
      <c r="P2576" s="58">
        <v>38061.760000000002</v>
      </c>
      <c r="Q2576" t="s">
        <v>113</v>
      </c>
      <c r="R2576" s="1" t="s">
        <v>158</v>
      </c>
    </row>
    <row r="2577" spans="3:18" x14ac:dyDescent="0.35">
      <c r="C2577" t="s">
        <v>51</v>
      </c>
      <c r="D2577" t="s">
        <v>91</v>
      </c>
      <c r="E2577" t="s">
        <v>49</v>
      </c>
      <c r="F2577" t="s">
        <v>46</v>
      </c>
      <c r="G2577" s="58">
        <v>108361</v>
      </c>
      <c r="H2577" s="1" t="s">
        <v>48</v>
      </c>
      <c r="I2577" s="1" t="s">
        <v>105</v>
      </c>
      <c r="J2577" s="58">
        <v>108361</v>
      </c>
      <c r="K2577" s="1" t="s">
        <v>106</v>
      </c>
      <c r="L2577" s="1" t="s">
        <v>124</v>
      </c>
      <c r="M2577" s="1" t="s">
        <v>126</v>
      </c>
      <c r="N2577" s="1">
        <v>1</v>
      </c>
      <c r="O2577" s="58"/>
      <c r="P2577" s="58">
        <v>22755.81</v>
      </c>
      <c r="Q2577" t="s">
        <v>107</v>
      </c>
      <c r="R2577" s="1" t="s">
        <v>158</v>
      </c>
    </row>
    <row r="2578" spans="3:18" x14ac:dyDescent="0.35">
      <c r="C2578" t="s">
        <v>53</v>
      </c>
      <c r="D2578" t="s">
        <v>60</v>
      </c>
      <c r="E2578" t="s">
        <v>60</v>
      </c>
      <c r="F2578" t="s">
        <v>46</v>
      </c>
      <c r="G2578" s="58">
        <v>707841</v>
      </c>
      <c r="H2578" s="1" t="s">
        <v>61</v>
      </c>
      <c r="I2578" s="1" t="s">
        <v>105</v>
      </c>
      <c r="J2578" s="58"/>
      <c r="K2578" s="1" t="s">
        <v>106</v>
      </c>
      <c r="N2578" s="1">
        <v>0</v>
      </c>
      <c r="O2578" s="58"/>
      <c r="P2578" s="58">
        <v>0</v>
      </c>
      <c r="Q2578" t="s">
        <v>107</v>
      </c>
    </row>
    <row r="2579" spans="3:18" x14ac:dyDescent="0.35">
      <c r="C2579" t="s">
        <v>51</v>
      </c>
      <c r="D2579" t="s">
        <v>22</v>
      </c>
      <c r="E2579" t="s">
        <v>55</v>
      </c>
      <c r="F2579" t="s">
        <v>46</v>
      </c>
      <c r="G2579" s="58">
        <v>338025</v>
      </c>
      <c r="H2579" s="1" t="s">
        <v>47</v>
      </c>
      <c r="I2579" s="1" t="s">
        <v>108</v>
      </c>
      <c r="J2579" s="58">
        <v>10816800</v>
      </c>
      <c r="K2579" s="1" t="s">
        <v>106</v>
      </c>
      <c r="L2579" s="1" t="s">
        <v>114</v>
      </c>
      <c r="N2579" s="1">
        <v>1</v>
      </c>
      <c r="O2579" s="58"/>
      <c r="P2579" s="58">
        <v>277180.5</v>
      </c>
      <c r="Q2579" t="s">
        <v>127</v>
      </c>
      <c r="R2579" s="1" t="s">
        <v>158</v>
      </c>
    </row>
    <row r="2580" spans="3:18" x14ac:dyDescent="0.35">
      <c r="C2580" t="s">
        <v>51</v>
      </c>
      <c r="D2580" t="s">
        <v>24</v>
      </c>
      <c r="E2580" t="s">
        <v>45</v>
      </c>
      <c r="F2580" t="s">
        <v>46</v>
      </c>
      <c r="G2580" s="58">
        <v>349019</v>
      </c>
      <c r="H2580" s="1" t="s">
        <v>54</v>
      </c>
      <c r="I2580" s="1" t="s">
        <v>105</v>
      </c>
      <c r="J2580" s="58">
        <v>1047057</v>
      </c>
      <c r="K2580" s="1" t="s">
        <v>106</v>
      </c>
      <c r="L2580" s="1" t="s">
        <v>120</v>
      </c>
      <c r="N2580" s="1">
        <v>1</v>
      </c>
      <c r="O2580" s="58"/>
      <c r="P2580" s="58">
        <v>31411.71</v>
      </c>
      <c r="Q2580" t="s">
        <v>107</v>
      </c>
      <c r="R2580" s="1" t="s">
        <v>158</v>
      </c>
    </row>
    <row r="2581" spans="3:18" x14ac:dyDescent="0.35">
      <c r="C2581" t="s">
        <v>51</v>
      </c>
      <c r="D2581" t="s">
        <v>24</v>
      </c>
      <c r="E2581" t="s">
        <v>50</v>
      </c>
      <c r="F2581" t="s">
        <v>46</v>
      </c>
      <c r="G2581" s="58">
        <v>750165</v>
      </c>
      <c r="H2581" s="1" t="s">
        <v>48</v>
      </c>
      <c r="I2581" s="1" t="s">
        <v>108</v>
      </c>
      <c r="J2581" s="58">
        <v>21754785</v>
      </c>
      <c r="K2581" s="1" t="s">
        <v>112</v>
      </c>
      <c r="N2581" s="1">
        <v>1</v>
      </c>
      <c r="O2581" s="58"/>
      <c r="P2581" s="58">
        <v>217547.85</v>
      </c>
      <c r="Q2581" t="s">
        <v>107</v>
      </c>
      <c r="R2581" s="1" t="s">
        <v>158</v>
      </c>
    </row>
    <row r="2582" spans="3:18" x14ac:dyDescent="0.35">
      <c r="C2582" t="s">
        <v>51</v>
      </c>
      <c r="D2582" t="s">
        <v>21</v>
      </c>
      <c r="E2582" t="s">
        <v>45</v>
      </c>
      <c r="F2582" t="s">
        <v>46</v>
      </c>
      <c r="G2582" s="58">
        <v>22640863</v>
      </c>
      <c r="H2582" s="1" t="s">
        <v>48</v>
      </c>
      <c r="I2582" s="1" t="s">
        <v>108</v>
      </c>
      <c r="J2582" s="58">
        <v>656585027</v>
      </c>
      <c r="K2582" s="1" t="s">
        <v>106</v>
      </c>
      <c r="L2582" s="1" t="s">
        <v>120</v>
      </c>
      <c r="M2582" s="1" t="s">
        <v>126</v>
      </c>
      <c r="N2582" s="1">
        <v>1</v>
      </c>
      <c r="O2582" s="58"/>
      <c r="P2582" s="58">
        <v>6339441.6399999997</v>
      </c>
      <c r="Q2582" t="s">
        <v>107</v>
      </c>
      <c r="R2582" s="1" t="s">
        <v>48</v>
      </c>
    </row>
    <row r="2583" spans="3:18" x14ac:dyDescent="0.35">
      <c r="C2583" t="s">
        <v>51</v>
      </c>
      <c r="D2583" t="s">
        <v>19</v>
      </c>
      <c r="E2583" t="s">
        <v>49</v>
      </c>
      <c r="F2583" t="s">
        <v>64</v>
      </c>
      <c r="G2583" s="58">
        <v>2941515</v>
      </c>
      <c r="H2583" s="1" t="s">
        <v>48</v>
      </c>
      <c r="I2583" s="1" t="s">
        <v>119</v>
      </c>
      <c r="J2583" s="58">
        <v>26473635</v>
      </c>
      <c r="K2583" s="1" t="s">
        <v>112</v>
      </c>
      <c r="N2583" s="1">
        <v>1</v>
      </c>
      <c r="O2583" s="58"/>
      <c r="P2583" s="58">
        <v>2059060.5</v>
      </c>
      <c r="Q2583" t="s">
        <v>118</v>
      </c>
      <c r="R2583" s="1" t="s">
        <v>48</v>
      </c>
    </row>
    <row r="2584" spans="3:18" x14ac:dyDescent="0.35">
      <c r="C2584" t="s">
        <v>51</v>
      </c>
      <c r="D2584" t="s">
        <v>91</v>
      </c>
      <c r="E2584" t="s">
        <v>49</v>
      </c>
      <c r="F2584" t="s">
        <v>46</v>
      </c>
      <c r="G2584" s="58">
        <v>205057</v>
      </c>
      <c r="H2584" s="1" t="s">
        <v>47</v>
      </c>
      <c r="I2584" s="1" t="s">
        <v>119</v>
      </c>
      <c r="J2584" s="58">
        <v>1640456</v>
      </c>
      <c r="K2584" s="1" t="s">
        <v>106</v>
      </c>
      <c r="L2584" s="1" t="s">
        <v>124</v>
      </c>
      <c r="N2584" s="1">
        <v>1</v>
      </c>
      <c r="O2584" s="58"/>
      <c r="P2584" s="58">
        <v>88174.51</v>
      </c>
      <c r="Q2584" t="s">
        <v>113</v>
      </c>
      <c r="R2584" s="1" t="s">
        <v>158</v>
      </c>
    </row>
    <row r="2585" spans="3:18" x14ac:dyDescent="0.35">
      <c r="C2585" t="s">
        <v>51</v>
      </c>
      <c r="D2585" t="s">
        <v>24</v>
      </c>
      <c r="E2585" t="s">
        <v>45</v>
      </c>
      <c r="F2585" t="s">
        <v>46</v>
      </c>
      <c r="G2585" s="58">
        <v>2288832</v>
      </c>
      <c r="H2585" s="1" t="s">
        <v>48</v>
      </c>
      <c r="I2585" s="1" t="s">
        <v>108</v>
      </c>
      <c r="J2585" s="58">
        <v>70953792</v>
      </c>
      <c r="K2585" s="1" t="s">
        <v>106</v>
      </c>
      <c r="L2585" s="1" t="s">
        <v>120</v>
      </c>
      <c r="M2585" s="1" t="s">
        <v>121</v>
      </c>
      <c r="N2585" s="1">
        <v>1</v>
      </c>
      <c r="O2585" s="58"/>
      <c r="P2585" s="58">
        <v>2815263.36</v>
      </c>
      <c r="Q2585" t="s">
        <v>110</v>
      </c>
      <c r="R2585" s="1" t="s">
        <v>158</v>
      </c>
    </row>
    <row r="2586" spans="3:18" x14ac:dyDescent="0.35">
      <c r="C2586" t="s">
        <v>51</v>
      </c>
      <c r="D2586" t="s">
        <v>92</v>
      </c>
      <c r="E2586" t="s">
        <v>49</v>
      </c>
      <c r="F2586" t="s">
        <v>46</v>
      </c>
      <c r="G2586" s="58">
        <v>871303</v>
      </c>
      <c r="H2586" s="1" t="s">
        <v>48</v>
      </c>
      <c r="I2586" s="1" t="s">
        <v>111</v>
      </c>
      <c r="J2586" s="58">
        <v>14812151</v>
      </c>
      <c r="K2586" s="1" t="s">
        <v>112</v>
      </c>
      <c r="N2586" s="1">
        <v>1</v>
      </c>
      <c r="O2586" s="58"/>
      <c r="P2586" s="58">
        <v>418225.44</v>
      </c>
      <c r="Q2586" t="s">
        <v>113</v>
      </c>
      <c r="R2586" s="1" t="s">
        <v>158</v>
      </c>
    </row>
    <row r="2587" spans="3:18" x14ac:dyDescent="0.35">
      <c r="C2587" t="s">
        <v>51</v>
      </c>
      <c r="D2587" t="s">
        <v>22</v>
      </c>
      <c r="E2587" t="s">
        <v>45</v>
      </c>
      <c r="F2587" t="s">
        <v>64</v>
      </c>
      <c r="G2587" s="58">
        <v>125340</v>
      </c>
      <c r="H2587" s="1" t="s">
        <v>54</v>
      </c>
      <c r="I2587" s="1" t="s">
        <v>111</v>
      </c>
      <c r="J2587" s="58">
        <v>1880100</v>
      </c>
      <c r="K2587" s="1" t="s">
        <v>106</v>
      </c>
      <c r="L2587" s="1" t="s">
        <v>120</v>
      </c>
      <c r="N2587" s="1">
        <v>1</v>
      </c>
      <c r="O2587" s="58"/>
      <c r="P2587" s="58">
        <v>28828.2</v>
      </c>
      <c r="Q2587" t="s">
        <v>107</v>
      </c>
      <c r="R2587" s="1" t="s">
        <v>158</v>
      </c>
    </row>
    <row r="2588" spans="3:18" x14ac:dyDescent="0.35">
      <c r="C2588" t="s">
        <v>51</v>
      </c>
      <c r="D2588" t="s">
        <v>20</v>
      </c>
      <c r="E2588" t="s">
        <v>49</v>
      </c>
      <c r="F2588" t="s">
        <v>46</v>
      </c>
      <c r="G2588" s="58">
        <v>59887</v>
      </c>
      <c r="H2588" s="1" t="s">
        <v>56</v>
      </c>
      <c r="I2588" s="1" t="s">
        <v>111</v>
      </c>
      <c r="J2588" s="58">
        <v>958192</v>
      </c>
      <c r="K2588" s="1" t="s">
        <v>112</v>
      </c>
      <c r="N2588" s="1">
        <v>1</v>
      </c>
      <c r="O2588" s="58"/>
      <c r="P2588" s="58">
        <v>25751.41</v>
      </c>
      <c r="Q2588" t="s">
        <v>113</v>
      </c>
      <c r="R2588" s="1" t="s">
        <v>158</v>
      </c>
    </row>
    <row r="2589" spans="3:18" x14ac:dyDescent="0.35">
      <c r="C2589" t="s">
        <v>51</v>
      </c>
      <c r="D2589" t="s">
        <v>22</v>
      </c>
      <c r="E2589" t="s">
        <v>49</v>
      </c>
      <c r="F2589" t="s">
        <v>46</v>
      </c>
      <c r="G2589" s="58">
        <v>2866749</v>
      </c>
      <c r="H2589" s="1" t="s">
        <v>48</v>
      </c>
      <c r="I2589" s="1" t="s">
        <v>105</v>
      </c>
      <c r="J2589" s="58">
        <v>8600247</v>
      </c>
      <c r="K2589" s="1" t="s">
        <v>106</v>
      </c>
      <c r="L2589" s="1" t="s">
        <v>124</v>
      </c>
      <c r="M2589" s="1" t="s">
        <v>115</v>
      </c>
      <c r="N2589" s="1">
        <v>1</v>
      </c>
      <c r="O2589" s="58"/>
      <c r="P2589" s="58">
        <v>286674.90000000002</v>
      </c>
      <c r="Q2589" t="s">
        <v>107</v>
      </c>
      <c r="R2589" s="1" t="s">
        <v>158</v>
      </c>
    </row>
    <row r="2590" spans="3:18" x14ac:dyDescent="0.35">
      <c r="C2590" t="s">
        <v>51</v>
      </c>
      <c r="D2590" t="s">
        <v>23</v>
      </c>
      <c r="E2590" t="s">
        <v>55</v>
      </c>
      <c r="F2590" t="s">
        <v>46</v>
      </c>
      <c r="G2590" s="58">
        <v>3092418</v>
      </c>
      <c r="H2590" s="1" t="s">
        <v>48</v>
      </c>
      <c r="I2590" s="1" t="s">
        <v>111</v>
      </c>
      <c r="J2590" s="58">
        <v>49478688</v>
      </c>
      <c r="K2590" s="1" t="s">
        <v>106</v>
      </c>
      <c r="L2590" s="1" t="s">
        <v>114</v>
      </c>
      <c r="M2590" s="1" t="s">
        <v>125</v>
      </c>
      <c r="N2590" s="1">
        <v>1</v>
      </c>
      <c r="O2590" s="58"/>
      <c r="P2590" s="58">
        <v>1546209</v>
      </c>
      <c r="Q2590" t="s">
        <v>113</v>
      </c>
      <c r="R2590" s="1" t="s">
        <v>48</v>
      </c>
    </row>
    <row r="2591" spans="3:18" x14ac:dyDescent="0.35">
      <c r="C2591" t="s">
        <v>51</v>
      </c>
      <c r="D2591" t="s">
        <v>23</v>
      </c>
      <c r="E2591" t="s">
        <v>45</v>
      </c>
      <c r="F2591" t="s">
        <v>46</v>
      </c>
      <c r="G2591" s="58">
        <v>79930</v>
      </c>
      <c r="H2591" s="1" t="s">
        <v>47</v>
      </c>
      <c r="I2591" s="1" t="s">
        <v>119</v>
      </c>
      <c r="J2591" s="58">
        <v>639440</v>
      </c>
      <c r="K2591" s="1" t="s">
        <v>106</v>
      </c>
      <c r="L2591" s="1" t="s">
        <v>120</v>
      </c>
      <c r="N2591" s="1">
        <v>1</v>
      </c>
      <c r="O2591" s="58"/>
      <c r="P2591" s="58">
        <v>109504.1</v>
      </c>
      <c r="Q2591" t="s">
        <v>110</v>
      </c>
      <c r="R2591" s="1" t="s">
        <v>158</v>
      </c>
    </row>
    <row r="2592" spans="3:18" x14ac:dyDescent="0.35">
      <c r="C2592" t="s">
        <v>51</v>
      </c>
      <c r="D2592" t="s">
        <v>19</v>
      </c>
      <c r="E2592" t="s">
        <v>49</v>
      </c>
      <c r="F2592" t="s">
        <v>46</v>
      </c>
      <c r="G2592" s="58">
        <v>2030478</v>
      </c>
      <c r="H2592" s="1" t="s">
        <v>48</v>
      </c>
      <c r="I2592" s="1" t="s">
        <v>119</v>
      </c>
      <c r="J2592" s="58">
        <v>14213346</v>
      </c>
      <c r="K2592" s="1" t="s">
        <v>106</v>
      </c>
      <c r="L2592" s="1" t="s">
        <v>124</v>
      </c>
      <c r="M2592" s="1" t="s">
        <v>122</v>
      </c>
      <c r="N2592" s="1">
        <v>1</v>
      </c>
      <c r="O2592" s="58"/>
      <c r="P2592" s="58">
        <v>507619.5</v>
      </c>
      <c r="Q2592" t="s">
        <v>107</v>
      </c>
      <c r="R2592" s="1" t="s">
        <v>48</v>
      </c>
    </row>
    <row r="2593" spans="3:18" x14ac:dyDescent="0.35">
      <c r="C2593" t="s">
        <v>51</v>
      </c>
      <c r="D2593" t="s">
        <v>21</v>
      </c>
      <c r="E2593" t="s">
        <v>50</v>
      </c>
      <c r="F2593" t="s">
        <v>46</v>
      </c>
      <c r="G2593" s="58">
        <v>2456580</v>
      </c>
      <c r="H2593" s="1" t="s">
        <v>48</v>
      </c>
      <c r="I2593" s="1" t="s">
        <v>108</v>
      </c>
      <c r="J2593" s="58">
        <v>90893460</v>
      </c>
      <c r="K2593" s="1" t="s">
        <v>112</v>
      </c>
      <c r="N2593" s="1">
        <v>1</v>
      </c>
      <c r="O2593" s="58"/>
      <c r="P2593" s="58">
        <v>1768737.6</v>
      </c>
      <c r="Q2593" t="s">
        <v>118</v>
      </c>
      <c r="R2593" s="1" t="s">
        <v>48</v>
      </c>
    </row>
    <row r="2594" spans="3:18" x14ac:dyDescent="0.35">
      <c r="C2594" t="s">
        <v>53</v>
      </c>
      <c r="D2594" t="s">
        <v>20</v>
      </c>
      <c r="E2594" t="s">
        <v>49</v>
      </c>
      <c r="F2594" t="s">
        <v>46</v>
      </c>
      <c r="G2594" s="58">
        <v>981469</v>
      </c>
      <c r="H2594" s="1" t="s">
        <v>47</v>
      </c>
      <c r="I2594" s="1" t="s">
        <v>111</v>
      </c>
      <c r="J2594" s="58">
        <v>10796159</v>
      </c>
      <c r="K2594" s="1" t="s">
        <v>106</v>
      </c>
      <c r="L2594" s="1" t="s">
        <v>124</v>
      </c>
      <c r="N2594" s="1">
        <v>1</v>
      </c>
      <c r="O2594" s="58"/>
      <c r="P2594" s="58">
        <v>696842.99</v>
      </c>
      <c r="Q2594" t="s">
        <v>118</v>
      </c>
      <c r="R2594" s="1" t="s">
        <v>158</v>
      </c>
    </row>
    <row r="2595" spans="3:18" x14ac:dyDescent="0.35">
      <c r="C2595" t="s">
        <v>51</v>
      </c>
      <c r="D2595" t="s">
        <v>91</v>
      </c>
      <c r="E2595" t="s">
        <v>45</v>
      </c>
      <c r="F2595" t="s">
        <v>46</v>
      </c>
      <c r="G2595" s="58">
        <v>628290</v>
      </c>
      <c r="H2595" s="1" t="s">
        <v>48</v>
      </c>
      <c r="I2595" s="1" t="s">
        <v>108</v>
      </c>
      <c r="J2595" s="58">
        <v>20733570</v>
      </c>
      <c r="K2595" s="1" t="s">
        <v>106</v>
      </c>
      <c r="L2595" s="1" t="s">
        <v>120</v>
      </c>
      <c r="M2595" s="1" t="s">
        <v>122</v>
      </c>
      <c r="N2595" s="1">
        <v>1</v>
      </c>
      <c r="O2595" s="58"/>
      <c r="P2595" s="58">
        <v>527763.6</v>
      </c>
      <c r="Q2595" t="s">
        <v>127</v>
      </c>
      <c r="R2595" s="1" t="s">
        <v>48</v>
      </c>
    </row>
    <row r="2596" spans="3:18" x14ac:dyDescent="0.35">
      <c r="C2596" t="s">
        <v>51</v>
      </c>
      <c r="D2596" t="s">
        <v>24</v>
      </c>
      <c r="E2596" t="s">
        <v>45</v>
      </c>
      <c r="F2596" t="s">
        <v>46</v>
      </c>
      <c r="G2596" s="58">
        <v>542843</v>
      </c>
      <c r="H2596" s="1" t="s">
        <v>56</v>
      </c>
      <c r="I2596" s="1" t="s">
        <v>105</v>
      </c>
      <c r="J2596" s="58">
        <v>1628529</v>
      </c>
      <c r="K2596" s="1" t="s">
        <v>106</v>
      </c>
      <c r="L2596" s="1" t="s">
        <v>120</v>
      </c>
      <c r="N2596" s="1">
        <v>1</v>
      </c>
      <c r="O2596" s="58"/>
      <c r="P2596" s="58">
        <v>70569.59</v>
      </c>
      <c r="Q2596" t="s">
        <v>107</v>
      </c>
      <c r="R2596" s="1" t="s">
        <v>158</v>
      </c>
    </row>
    <row r="2597" spans="3:18" x14ac:dyDescent="0.35">
      <c r="C2597" t="s">
        <v>51</v>
      </c>
      <c r="D2597" t="s">
        <v>19</v>
      </c>
      <c r="E2597" t="s">
        <v>49</v>
      </c>
      <c r="F2597" t="s">
        <v>46</v>
      </c>
      <c r="G2597" s="58">
        <v>3790549</v>
      </c>
      <c r="H2597" s="1" t="s">
        <v>47</v>
      </c>
      <c r="I2597" s="1" t="s">
        <v>108</v>
      </c>
      <c r="J2597" s="58">
        <v>132669215</v>
      </c>
      <c r="K2597" s="1" t="s">
        <v>112</v>
      </c>
      <c r="N2597" s="1">
        <v>1</v>
      </c>
      <c r="O2597" s="58"/>
      <c r="P2597" s="58">
        <v>3184061.16</v>
      </c>
      <c r="Q2597" t="s">
        <v>127</v>
      </c>
      <c r="R2597" s="1" t="s">
        <v>158</v>
      </c>
    </row>
    <row r="2598" spans="3:18" x14ac:dyDescent="0.35">
      <c r="C2598" t="s">
        <v>51</v>
      </c>
      <c r="D2598" t="s">
        <v>24</v>
      </c>
      <c r="E2598" t="s">
        <v>55</v>
      </c>
      <c r="F2598" t="s">
        <v>64</v>
      </c>
      <c r="G2598" s="58">
        <v>50753</v>
      </c>
      <c r="H2598" s="1" t="s">
        <v>56</v>
      </c>
      <c r="I2598" s="1" t="s">
        <v>119</v>
      </c>
      <c r="J2598" s="58">
        <v>355271</v>
      </c>
      <c r="K2598" s="1" t="s">
        <v>106</v>
      </c>
      <c r="L2598" s="1" t="s">
        <v>114</v>
      </c>
      <c r="N2598" s="1">
        <v>1</v>
      </c>
      <c r="O2598" s="58"/>
      <c r="P2598" s="58">
        <v>13703.31</v>
      </c>
      <c r="Q2598" t="s">
        <v>107</v>
      </c>
      <c r="R2598" s="1" t="s">
        <v>158</v>
      </c>
    </row>
    <row r="2599" spans="3:18" x14ac:dyDescent="0.35">
      <c r="C2599" t="s">
        <v>53</v>
      </c>
      <c r="D2599" t="s">
        <v>22</v>
      </c>
      <c r="E2599" t="s">
        <v>49</v>
      </c>
      <c r="F2599" t="s">
        <v>46</v>
      </c>
      <c r="G2599" s="58">
        <v>14332862</v>
      </c>
      <c r="H2599" s="1" t="s">
        <v>59</v>
      </c>
      <c r="I2599" s="1" t="s">
        <v>108</v>
      </c>
      <c r="J2599" s="58">
        <v>401320136</v>
      </c>
      <c r="K2599" s="1" t="s">
        <v>106</v>
      </c>
      <c r="L2599" s="1" t="s">
        <v>124</v>
      </c>
      <c r="N2599" s="1">
        <v>1</v>
      </c>
      <c r="O2599" s="58"/>
      <c r="P2599" s="58">
        <v>0</v>
      </c>
      <c r="Q2599" t="s">
        <v>107</v>
      </c>
      <c r="R2599" s="1" t="s">
        <v>158</v>
      </c>
    </row>
    <row r="2600" spans="3:18" x14ac:dyDescent="0.35">
      <c r="C2600" t="s">
        <v>51</v>
      </c>
      <c r="D2600" t="s">
        <v>20</v>
      </c>
      <c r="E2600" t="s">
        <v>49</v>
      </c>
      <c r="F2600" t="s">
        <v>46</v>
      </c>
      <c r="G2600" s="58">
        <v>12507151</v>
      </c>
      <c r="H2600" s="1" t="s">
        <v>47</v>
      </c>
      <c r="I2600" s="1" t="s">
        <v>111</v>
      </c>
      <c r="J2600" s="58">
        <v>212621567</v>
      </c>
      <c r="K2600" s="1" t="s">
        <v>106</v>
      </c>
      <c r="L2600" s="1" t="s">
        <v>124</v>
      </c>
      <c r="N2600" s="1">
        <v>1</v>
      </c>
      <c r="O2600" s="58"/>
      <c r="P2600" s="58">
        <v>8254719.6600000001</v>
      </c>
      <c r="Q2600" t="s">
        <v>118</v>
      </c>
      <c r="R2600" s="1" t="s">
        <v>158</v>
      </c>
    </row>
    <row r="2601" spans="3:18" x14ac:dyDescent="0.35">
      <c r="C2601" t="s">
        <v>51</v>
      </c>
      <c r="D2601" t="s">
        <v>22</v>
      </c>
      <c r="E2601" t="s">
        <v>50</v>
      </c>
      <c r="F2601" t="s">
        <v>64</v>
      </c>
      <c r="G2601" s="58">
        <v>594253</v>
      </c>
      <c r="H2601" s="1" t="s">
        <v>48</v>
      </c>
      <c r="I2601" s="1" t="s">
        <v>111</v>
      </c>
      <c r="J2601" s="58">
        <v>10696554</v>
      </c>
      <c r="K2601" s="1" t="s">
        <v>112</v>
      </c>
      <c r="N2601" s="1">
        <v>1</v>
      </c>
      <c r="O2601" s="58"/>
      <c r="P2601" s="58">
        <v>410034.57</v>
      </c>
      <c r="Q2601" t="s">
        <v>118</v>
      </c>
      <c r="R2601" s="1" t="s">
        <v>48</v>
      </c>
    </row>
    <row r="2602" spans="3:18" x14ac:dyDescent="0.35">
      <c r="C2602" t="s">
        <v>51</v>
      </c>
      <c r="D2602" t="s">
        <v>22</v>
      </c>
      <c r="E2602" t="s">
        <v>45</v>
      </c>
      <c r="F2602" t="s">
        <v>46</v>
      </c>
      <c r="G2602" s="58">
        <v>60589616</v>
      </c>
      <c r="H2602" s="1" t="s">
        <v>59</v>
      </c>
      <c r="I2602" s="1" t="s">
        <v>111</v>
      </c>
      <c r="J2602" s="58">
        <v>848254624</v>
      </c>
      <c r="K2602" s="1" t="s">
        <v>106</v>
      </c>
      <c r="L2602" s="1" t="s">
        <v>120</v>
      </c>
      <c r="N2602" s="1">
        <v>1</v>
      </c>
      <c r="O2602" s="58"/>
      <c r="P2602" s="58">
        <v>16965092.48</v>
      </c>
      <c r="Q2602" t="s">
        <v>107</v>
      </c>
      <c r="R2602" s="1" t="s">
        <v>158</v>
      </c>
    </row>
    <row r="2603" spans="3:18" x14ac:dyDescent="0.35">
      <c r="C2603" t="s">
        <v>53</v>
      </c>
      <c r="D2603" t="s">
        <v>22</v>
      </c>
      <c r="E2603" t="s">
        <v>49</v>
      </c>
      <c r="F2603" t="s">
        <v>46</v>
      </c>
      <c r="G2603" s="58">
        <v>417077</v>
      </c>
      <c r="H2603" s="1" t="s">
        <v>54</v>
      </c>
      <c r="I2603" s="1" t="s">
        <v>108</v>
      </c>
      <c r="J2603" s="58">
        <v>11678156</v>
      </c>
      <c r="K2603" s="1" t="s">
        <v>106</v>
      </c>
      <c r="L2603" s="1" t="s">
        <v>124</v>
      </c>
      <c r="N2603" s="1">
        <v>1</v>
      </c>
      <c r="O2603" s="58"/>
      <c r="P2603" s="58">
        <v>191855.42</v>
      </c>
      <c r="Q2603" t="s">
        <v>113</v>
      </c>
      <c r="R2603" s="1" t="s">
        <v>158</v>
      </c>
    </row>
    <row r="2604" spans="3:18" x14ac:dyDescent="0.35">
      <c r="C2604" t="s">
        <v>51</v>
      </c>
      <c r="D2604" t="s">
        <v>24</v>
      </c>
      <c r="E2604" t="s">
        <v>50</v>
      </c>
      <c r="F2604" t="s">
        <v>46</v>
      </c>
      <c r="G2604" s="58">
        <v>258494</v>
      </c>
      <c r="H2604" s="1" t="s">
        <v>48</v>
      </c>
      <c r="I2604" s="1" t="s">
        <v>108</v>
      </c>
      <c r="J2604" s="58">
        <v>9305784</v>
      </c>
      <c r="K2604" s="1" t="s">
        <v>106</v>
      </c>
      <c r="L2604" s="1" t="s">
        <v>124</v>
      </c>
      <c r="M2604" s="1" t="s">
        <v>126</v>
      </c>
      <c r="N2604" s="1">
        <v>1</v>
      </c>
      <c r="O2604" s="58"/>
      <c r="P2604" s="58">
        <v>168021.1</v>
      </c>
      <c r="Q2604" t="s">
        <v>118</v>
      </c>
      <c r="R2604" s="1" t="s">
        <v>158</v>
      </c>
    </row>
    <row r="2605" spans="3:18" x14ac:dyDescent="0.35">
      <c r="C2605" t="s">
        <v>51</v>
      </c>
      <c r="D2605" t="s">
        <v>23</v>
      </c>
      <c r="E2605" t="s">
        <v>45</v>
      </c>
      <c r="F2605" t="s">
        <v>46</v>
      </c>
      <c r="G2605" s="58">
        <v>1821631</v>
      </c>
      <c r="H2605" s="1" t="s">
        <v>48</v>
      </c>
      <c r="I2605" s="1" t="s">
        <v>108</v>
      </c>
      <c r="J2605" s="58">
        <v>58292192</v>
      </c>
      <c r="K2605" s="1" t="s">
        <v>106</v>
      </c>
      <c r="L2605" s="1" t="s">
        <v>120</v>
      </c>
      <c r="M2605" s="1" t="s">
        <v>115</v>
      </c>
      <c r="N2605" s="1">
        <v>1</v>
      </c>
      <c r="O2605" s="58"/>
      <c r="P2605" s="58">
        <v>1001897.05</v>
      </c>
      <c r="Q2605" t="s">
        <v>113</v>
      </c>
      <c r="R2605" s="1" t="s">
        <v>158</v>
      </c>
    </row>
    <row r="2606" spans="3:18" x14ac:dyDescent="0.35">
      <c r="C2606" t="s">
        <v>51</v>
      </c>
      <c r="D2606" t="s">
        <v>22</v>
      </c>
      <c r="E2606" t="s">
        <v>45</v>
      </c>
      <c r="F2606" t="s">
        <v>46</v>
      </c>
      <c r="G2606" s="58">
        <v>5014345</v>
      </c>
      <c r="H2606" s="1" t="s">
        <v>48</v>
      </c>
      <c r="I2606" s="1" t="s">
        <v>111</v>
      </c>
      <c r="J2606" s="58">
        <v>90258210</v>
      </c>
      <c r="K2606" s="1" t="s">
        <v>106</v>
      </c>
      <c r="L2606" s="1" t="s">
        <v>120</v>
      </c>
      <c r="M2606" s="1" t="s">
        <v>115</v>
      </c>
      <c r="N2606" s="1">
        <v>1</v>
      </c>
      <c r="O2606" s="58"/>
      <c r="P2606" s="58">
        <v>4111762.9</v>
      </c>
      <c r="Q2606" t="s">
        <v>127</v>
      </c>
      <c r="R2606" s="1" t="s">
        <v>158</v>
      </c>
    </row>
    <row r="2607" spans="3:18" x14ac:dyDescent="0.35">
      <c r="C2607" t="s">
        <v>51</v>
      </c>
      <c r="D2607" t="s">
        <v>24</v>
      </c>
      <c r="E2607" t="s">
        <v>55</v>
      </c>
      <c r="F2607" t="s">
        <v>46</v>
      </c>
      <c r="G2607" s="58">
        <v>197286</v>
      </c>
      <c r="H2607" s="1" t="s">
        <v>54</v>
      </c>
      <c r="I2607" s="1" t="s">
        <v>108</v>
      </c>
      <c r="J2607" s="58">
        <v>5129436</v>
      </c>
      <c r="K2607" s="1" t="s">
        <v>112</v>
      </c>
      <c r="N2607" s="1">
        <v>1</v>
      </c>
      <c r="O2607" s="58"/>
      <c r="P2607" s="58">
        <v>126263.03999999999</v>
      </c>
      <c r="Q2607" t="s">
        <v>118</v>
      </c>
      <c r="R2607" s="1" t="s">
        <v>158</v>
      </c>
    </row>
    <row r="2608" spans="3:18" x14ac:dyDescent="0.35">
      <c r="C2608" t="s">
        <v>51</v>
      </c>
      <c r="D2608" t="s">
        <v>24</v>
      </c>
      <c r="E2608" t="s">
        <v>45</v>
      </c>
      <c r="F2608" t="s">
        <v>46</v>
      </c>
      <c r="G2608" s="58">
        <v>794234</v>
      </c>
      <c r="H2608" s="1" t="s">
        <v>47</v>
      </c>
      <c r="I2608" s="1" t="s">
        <v>108</v>
      </c>
      <c r="J2608" s="58">
        <v>23827020</v>
      </c>
      <c r="K2608" s="1" t="s">
        <v>112</v>
      </c>
      <c r="N2608" s="1">
        <v>1</v>
      </c>
      <c r="O2608" s="58"/>
      <c r="P2608" s="58">
        <v>397117</v>
      </c>
      <c r="Q2608" t="s">
        <v>113</v>
      </c>
      <c r="R2608" s="1" t="s">
        <v>158</v>
      </c>
    </row>
    <row r="2609" spans="3:18" x14ac:dyDescent="0.35">
      <c r="C2609" t="s">
        <v>53</v>
      </c>
      <c r="D2609" t="s">
        <v>22</v>
      </c>
      <c r="E2609" t="s">
        <v>49</v>
      </c>
      <c r="F2609" t="s">
        <v>46</v>
      </c>
      <c r="G2609" s="58">
        <v>1155352</v>
      </c>
      <c r="H2609" s="1" t="s">
        <v>56</v>
      </c>
      <c r="I2609" s="1" t="s">
        <v>119</v>
      </c>
      <c r="J2609" s="58">
        <v>8087464</v>
      </c>
      <c r="K2609" s="1" t="s">
        <v>106</v>
      </c>
      <c r="L2609" s="1" t="s">
        <v>124</v>
      </c>
      <c r="N2609" s="1">
        <v>1</v>
      </c>
      <c r="O2609" s="58"/>
      <c r="P2609" s="58">
        <v>231070.4</v>
      </c>
      <c r="Q2609" t="s">
        <v>107</v>
      </c>
      <c r="R2609" s="1" t="s">
        <v>158</v>
      </c>
    </row>
    <row r="2610" spans="3:18" x14ac:dyDescent="0.35">
      <c r="C2610" t="s">
        <v>51</v>
      </c>
      <c r="D2610" t="s">
        <v>22</v>
      </c>
      <c r="E2610" t="s">
        <v>45</v>
      </c>
      <c r="F2610" t="s">
        <v>46</v>
      </c>
      <c r="G2610" s="58">
        <v>176064093</v>
      </c>
      <c r="H2610" s="1" t="s">
        <v>48</v>
      </c>
      <c r="I2610" s="1" t="s">
        <v>108</v>
      </c>
      <c r="J2610" s="58">
        <v>6514371441</v>
      </c>
      <c r="K2610" s="1" t="s">
        <v>112</v>
      </c>
      <c r="N2610" s="1">
        <v>1</v>
      </c>
      <c r="O2610" s="58"/>
      <c r="P2610" s="58">
        <v>158457683.69999999</v>
      </c>
      <c r="Q2610" t="s">
        <v>127</v>
      </c>
      <c r="R2610" s="1" t="s">
        <v>48</v>
      </c>
    </row>
    <row r="2611" spans="3:18" x14ac:dyDescent="0.35">
      <c r="C2611" t="s">
        <v>51</v>
      </c>
      <c r="D2611" t="s">
        <v>91</v>
      </c>
      <c r="E2611" t="s">
        <v>49</v>
      </c>
      <c r="F2611" t="s">
        <v>64</v>
      </c>
      <c r="G2611" s="58">
        <v>318236</v>
      </c>
      <c r="H2611" s="1" t="s">
        <v>48</v>
      </c>
      <c r="I2611" s="1" t="s">
        <v>111</v>
      </c>
      <c r="J2611" s="58">
        <v>5410012</v>
      </c>
      <c r="K2611" s="1" t="s">
        <v>112</v>
      </c>
      <c r="N2611" s="1">
        <v>1</v>
      </c>
      <c r="O2611" s="58"/>
      <c r="P2611" s="58">
        <v>162300.35999999999</v>
      </c>
      <c r="Q2611" t="s">
        <v>113</v>
      </c>
      <c r="R2611" s="1" t="s">
        <v>48</v>
      </c>
    </row>
    <row r="2612" spans="3:18" x14ac:dyDescent="0.35">
      <c r="C2612" t="s">
        <v>53</v>
      </c>
      <c r="D2612" t="s">
        <v>23</v>
      </c>
      <c r="E2612" t="s">
        <v>55</v>
      </c>
      <c r="F2612" t="s">
        <v>46</v>
      </c>
      <c r="G2612" s="58">
        <v>435</v>
      </c>
      <c r="H2612" s="1" t="s">
        <v>54</v>
      </c>
      <c r="I2612" s="1" t="s">
        <v>128</v>
      </c>
      <c r="J2612" s="58"/>
      <c r="K2612" s="1" t="s">
        <v>106</v>
      </c>
      <c r="L2612" s="1" t="s">
        <v>114</v>
      </c>
      <c r="N2612" s="1">
        <v>0</v>
      </c>
      <c r="O2612" s="58"/>
      <c r="P2612" s="58">
        <v>0</v>
      </c>
      <c r="Q2612" t="s">
        <v>107</v>
      </c>
      <c r="R2612" s="1" t="s">
        <v>158</v>
      </c>
    </row>
    <row r="2613" spans="3:18" x14ac:dyDescent="0.35">
      <c r="C2613" t="s">
        <v>51</v>
      </c>
      <c r="D2613" t="s">
        <v>92</v>
      </c>
      <c r="E2613" t="s">
        <v>49</v>
      </c>
      <c r="F2613" t="s">
        <v>46</v>
      </c>
      <c r="G2613" s="58">
        <v>767000</v>
      </c>
      <c r="H2613" s="1" t="s">
        <v>48</v>
      </c>
      <c r="I2613" s="1" t="s">
        <v>111</v>
      </c>
      <c r="J2613" s="58">
        <v>13806000</v>
      </c>
      <c r="K2613" s="1" t="s">
        <v>106</v>
      </c>
      <c r="L2613" s="1" t="s">
        <v>124</v>
      </c>
      <c r="M2613" s="1" t="s">
        <v>126</v>
      </c>
      <c r="N2613" s="1">
        <v>1</v>
      </c>
      <c r="O2613" s="58"/>
      <c r="P2613" s="58">
        <v>368160</v>
      </c>
      <c r="Q2613" t="s">
        <v>113</v>
      </c>
      <c r="R2613" s="1" t="s">
        <v>48</v>
      </c>
    </row>
    <row r="2614" spans="3:18" x14ac:dyDescent="0.35">
      <c r="C2614" t="s">
        <v>51</v>
      </c>
      <c r="D2614" t="s">
        <v>22</v>
      </c>
      <c r="E2614" t="s">
        <v>49</v>
      </c>
      <c r="F2614" t="s">
        <v>46</v>
      </c>
      <c r="G2614" s="58">
        <v>174928055</v>
      </c>
      <c r="H2614" s="1" t="s">
        <v>54</v>
      </c>
      <c r="I2614" s="1" t="s">
        <v>108</v>
      </c>
      <c r="J2614" s="58">
        <v>4897985540</v>
      </c>
      <c r="K2614" s="1" t="s">
        <v>106</v>
      </c>
      <c r="L2614" s="1" t="s">
        <v>124</v>
      </c>
      <c r="N2614" s="1">
        <v>1</v>
      </c>
      <c r="O2614" s="58"/>
      <c r="P2614" s="58">
        <v>90962588.599999994</v>
      </c>
      <c r="Q2614" t="s">
        <v>113</v>
      </c>
      <c r="R2614" s="1" t="s">
        <v>158</v>
      </c>
    </row>
    <row r="2615" spans="3:18" x14ac:dyDescent="0.35">
      <c r="C2615" t="s">
        <v>51</v>
      </c>
      <c r="D2615" t="s">
        <v>21</v>
      </c>
      <c r="E2615" t="s">
        <v>55</v>
      </c>
      <c r="F2615" t="s">
        <v>46</v>
      </c>
      <c r="G2615" s="58">
        <v>959496</v>
      </c>
      <c r="H2615" s="1" t="s">
        <v>48</v>
      </c>
      <c r="I2615" s="1" t="s">
        <v>111</v>
      </c>
      <c r="J2615" s="58">
        <v>16311432</v>
      </c>
      <c r="K2615" s="1" t="s">
        <v>112</v>
      </c>
      <c r="N2615" s="1">
        <v>1</v>
      </c>
      <c r="O2615" s="58"/>
      <c r="P2615" s="58">
        <v>441368.16</v>
      </c>
      <c r="Q2615" t="s">
        <v>113</v>
      </c>
      <c r="R2615" s="1" t="s">
        <v>48</v>
      </c>
    </row>
    <row r="2616" spans="3:18" x14ac:dyDescent="0.35">
      <c r="C2616" t="s">
        <v>53</v>
      </c>
      <c r="D2616" t="s">
        <v>22</v>
      </c>
      <c r="E2616" t="s">
        <v>45</v>
      </c>
      <c r="F2616" t="s">
        <v>46</v>
      </c>
      <c r="G2616" s="58">
        <v>322400</v>
      </c>
      <c r="H2616" s="1" t="s">
        <v>48</v>
      </c>
      <c r="I2616" s="1" t="s">
        <v>119</v>
      </c>
      <c r="J2616" s="58">
        <v>2901600</v>
      </c>
      <c r="K2616" s="1" t="s">
        <v>106</v>
      </c>
      <c r="L2616" s="1" t="s">
        <v>120</v>
      </c>
      <c r="M2616" s="1" t="s">
        <v>115</v>
      </c>
      <c r="N2616" s="1">
        <v>1</v>
      </c>
      <c r="O2616" s="58"/>
      <c r="P2616" s="58">
        <v>364312</v>
      </c>
      <c r="Q2616" t="s">
        <v>110</v>
      </c>
      <c r="R2616" s="1" t="s">
        <v>158</v>
      </c>
    </row>
    <row r="2617" spans="3:18" x14ac:dyDescent="0.35">
      <c r="C2617" t="s">
        <v>51</v>
      </c>
      <c r="D2617" t="s">
        <v>23</v>
      </c>
      <c r="E2617" t="s">
        <v>55</v>
      </c>
      <c r="F2617" t="s">
        <v>46</v>
      </c>
      <c r="G2617" s="58">
        <v>18808</v>
      </c>
      <c r="H2617" s="1" t="s">
        <v>47</v>
      </c>
      <c r="I2617" s="1" t="s">
        <v>119</v>
      </c>
      <c r="J2617" s="58">
        <v>112848</v>
      </c>
      <c r="K2617" s="1" t="s">
        <v>106</v>
      </c>
      <c r="L2617" s="1" t="s">
        <v>114</v>
      </c>
      <c r="N2617" s="1">
        <v>1</v>
      </c>
      <c r="O2617" s="58"/>
      <c r="P2617" s="58">
        <v>16174.88</v>
      </c>
      <c r="Q2617" t="s">
        <v>127</v>
      </c>
      <c r="R2617" s="1" t="s">
        <v>158</v>
      </c>
    </row>
    <row r="2618" spans="3:18" x14ac:dyDescent="0.35">
      <c r="C2618" t="s">
        <v>53</v>
      </c>
      <c r="D2618" t="s">
        <v>22</v>
      </c>
      <c r="E2618" t="s">
        <v>49</v>
      </c>
      <c r="F2618" t="s">
        <v>46</v>
      </c>
      <c r="G2618" s="58">
        <v>669669</v>
      </c>
      <c r="H2618" s="1" t="s">
        <v>59</v>
      </c>
      <c r="I2618" s="1" t="s">
        <v>105</v>
      </c>
      <c r="J2618" s="58">
        <v>2009007</v>
      </c>
      <c r="K2618" s="1" t="s">
        <v>106</v>
      </c>
      <c r="L2618" s="1" t="s">
        <v>124</v>
      </c>
      <c r="N2618" s="1">
        <v>1</v>
      </c>
      <c r="O2618" s="58"/>
      <c r="P2618" s="58">
        <v>127237.11</v>
      </c>
      <c r="Q2618" t="s">
        <v>107</v>
      </c>
      <c r="R2618" s="1" t="s">
        <v>158</v>
      </c>
    </row>
    <row r="2619" spans="3:18" x14ac:dyDescent="0.35">
      <c r="C2619" t="s">
        <v>51</v>
      </c>
      <c r="D2619" t="s">
        <v>24</v>
      </c>
      <c r="E2619" t="s">
        <v>50</v>
      </c>
      <c r="F2619" t="s">
        <v>46</v>
      </c>
      <c r="G2619" s="58">
        <v>12049029</v>
      </c>
      <c r="H2619" s="1" t="s">
        <v>47</v>
      </c>
      <c r="I2619" s="1" t="s">
        <v>111</v>
      </c>
      <c r="J2619" s="58">
        <v>168686406</v>
      </c>
      <c r="K2619" s="1" t="s">
        <v>106</v>
      </c>
      <c r="L2619" s="1" t="s">
        <v>109</v>
      </c>
      <c r="N2619" s="1">
        <v>1</v>
      </c>
      <c r="O2619" s="58"/>
      <c r="P2619" s="58">
        <v>3253237.83</v>
      </c>
      <c r="Q2619" t="s">
        <v>107</v>
      </c>
      <c r="R2619" s="1" t="s">
        <v>158</v>
      </c>
    </row>
    <row r="2620" spans="3:18" x14ac:dyDescent="0.35">
      <c r="C2620" t="s">
        <v>51</v>
      </c>
      <c r="D2620" t="s">
        <v>23</v>
      </c>
      <c r="E2620" t="s">
        <v>45</v>
      </c>
      <c r="F2620" t="s">
        <v>46</v>
      </c>
      <c r="G2620" s="58">
        <v>312874</v>
      </c>
      <c r="H2620" s="1" t="s">
        <v>48</v>
      </c>
      <c r="I2620" s="1" t="s">
        <v>119</v>
      </c>
      <c r="J2620" s="58">
        <v>2815866</v>
      </c>
      <c r="K2620" s="1" t="s">
        <v>106</v>
      </c>
      <c r="L2620" s="1" t="s">
        <v>120</v>
      </c>
      <c r="M2620" s="1" t="s">
        <v>125</v>
      </c>
      <c r="N2620" s="1">
        <v>1</v>
      </c>
      <c r="O2620" s="58"/>
      <c r="P2620" s="58">
        <v>469311</v>
      </c>
      <c r="Q2620" t="s">
        <v>110</v>
      </c>
      <c r="R2620" s="1" t="s">
        <v>158</v>
      </c>
    </row>
    <row r="2621" spans="3:18" x14ac:dyDescent="0.35">
      <c r="C2621" t="s">
        <v>53</v>
      </c>
      <c r="D2621" t="s">
        <v>22</v>
      </c>
      <c r="E2621" t="s">
        <v>45</v>
      </c>
      <c r="F2621" t="s">
        <v>46</v>
      </c>
      <c r="G2621" s="58">
        <v>3011122</v>
      </c>
      <c r="H2621" s="1" t="s">
        <v>59</v>
      </c>
      <c r="I2621" s="1" t="s">
        <v>111</v>
      </c>
      <c r="J2621" s="58">
        <v>36133464</v>
      </c>
      <c r="K2621" s="1" t="s">
        <v>106</v>
      </c>
      <c r="L2621" s="1" t="s">
        <v>120</v>
      </c>
      <c r="N2621" s="1">
        <v>1</v>
      </c>
      <c r="O2621" s="58"/>
      <c r="P2621" s="58">
        <v>1626005.88</v>
      </c>
      <c r="Q2621" t="s">
        <v>113</v>
      </c>
      <c r="R2621" s="1" t="s">
        <v>158</v>
      </c>
    </row>
    <row r="2622" spans="3:18" x14ac:dyDescent="0.35">
      <c r="C2622" t="s">
        <v>53</v>
      </c>
      <c r="D2622" t="s">
        <v>21</v>
      </c>
      <c r="E2622" t="s">
        <v>45</v>
      </c>
      <c r="F2622" t="s">
        <v>46</v>
      </c>
      <c r="G2622" s="58">
        <v>171522</v>
      </c>
      <c r="H2622" s="1" t="s">
        <v>47</v>
      </c>
      <c r="I2622" s="1" t="s">
        <v>105</v>
      </c>
      <c r="J2622" s="58">
        <v>686088</v>
      </c>
      <c r="K2622" s="1" t="s">
        <v>106</v>
      </c>
      <c r="L2622" s="1" t="s">
        <v>114</v>
      </c>
      <c r="N2622" s="1">
        <v>1</v>
      </c>
      <c r="O2622" s="58"/>
      <c r="P2622" s="58">
        <v>90906.66</v>
      </c>
      <c r="Q2622" t="s">
        <v>113</v>
      </c>
      <c r="R2622" s="1" t="s">
        <v>158</v>
      </c>
    </row>
    <row r="2623" spans="3:18" x14ac:dyDescent="0.35">
      <c r="C2623" t="s">
        <v>51</v>
      </c>
      <c r="D2623" t="s">
        <v>23</v>
      </c>
      <c r="E2623" t="s">
        <v>52</v>
      </c>
      <c r="F2623" t="s">
        <v>46</v>
      </c>
      <c r="G2623" s="58">
        <v>1295258</v>
      </c>
      <c r="H2623" s="1" t="s">
        <v>48</v>
      </c>
      <c r="I2623" s="1" t="s">
        <v>111</v>
      </c>
      <c r="J2623" s="58">
        <v>19428870</v>
      </c>
      <c r="K2623" s="1" t="s">
        <v>106</v>
      </c>
      <c r="L2623" s="1" t="s">
        <v>130</v>
      </c>
      <c r="M2623" s="1" t="s">
        <v>125</v>
      </c>
      <c r="N2623" s="1">
        <v>1</v>
      </c>
      <c r="O2623" s="58"/>
      <c r="P2623" s="58">
        <v>323814.5</v>
      </c>
      <c r="Q2623" t="s">
        <v>107</v>
      </c>
      <c r="R2623" s="1" t="s">
        <v>48</v>
      </c>
    </row>
    <row r="2624" spans="3:18" x14ac:dyDescent="0.35">
      <c r="C2624" t="s">
        <v>51</v>
      </c>
      <c r="D2624" t="s">
        <v>24</v>
      </c>
      <c r="E2624" t="s">
        <v>55</v>
      </c>
      <c r="F2624" t="s">
        <v>46</v>
      </c>
      <c r="G2624" s="58">
        <v>267289</v>
      </c>
      <c r="H2624" s="1" t="s">
        <v>47</v>
      </c>
      <c r="I2624" s="1" t="s">
        <v>111</v>
      </c>
      <c r="J2624" s="58">
        <v>4543913</v>
      </c>
      <c r="K2624" s="1" t="s">
        <v>106</v>
      </c>
      <c r="L2624" s="1" t="s">
        <v>124</v>
      </c>
      <c r="N2624" s="1">
        <v>1</v>
      </c>
      <c r="O2624" s="58"/>
      <c r="P2624" s="58">
        <v>221849.87</v>
      </c>
      <c r="Q2624" t="s">
        <v>127</v>
      </c>
      <c r="R2624" s="1" t="s">
        <v>158</v>
      </c>
    </row>
    <row r="2625" spans="3:18" x14ac:dyDescent="0.35">
      <c r="C2625" t="s">
        <v>53</v>
      </c>
      <c r="D2625" t="s">
        <v>19</v>
      </c>
      <c r="E2625" t="s">
        <v>45</v>
      </c>
      <c r="F2625" t="s">
        <v>46</v>
      </c>
      <c r="G2625" s="58">
        <v>368974</v>
      </c>
      <c r="H2625" s="1" t="s">
        <v>59</v>
      </c>
      <c r="I2625" s="1" t="s">
        <v>119</v>
      </c>
      <c r="J2625" s="58">
        <v>2213844</v>
      </c>
      <c r="K2625" s="1" t="s">
        <v>106</v>
      </c>
      <c r="L2625" s="1" t="s">
        <v>120</v>
      </c>
      <c r="N2625" s="1">
        <v>1</v>
      </c>
      <c r="O2625" s="58"/>
      <c r="P2625" s="58">
        <v>158658.82</v>
      </c>
      <c r="Q2625" t="s">
        <v>113</v>
      </c>
      <c r="R2625" s="1" t="s">
        <v>158</v>
      </c>
    </row>
    <row r="2626" spans="3:18" x14ac:dyDescent="0.35">
      <c r="C2626" t="s">
        <v>51</v>
      </c>
      <c r="D2626" t="s">
        <v>22</v>
      </c>
      <c r="E2626" t="s">
        <v>45</v>
      </c>
      <c r="F2626" t="s">
        <v>46</v>
      </c>
      <c r="G2626" s="58">
        <v>8555642</v>
      </c>
      <c r="H2626" s="1" t="s">
        <v>47</v>
      </c>
      <c r="I2626" s="1" t="s">
        <v>108</v>
      </c>
      <c r="J2626" s="58">
        <v>290891828</v>
      </c>
      <c r="K2626" s="1" t="s">
        <v>112</v>
      </c>
      <c r="N2626" s="1">
        <v>1</v>
      </c>
      <c r="O2626" s="58"/>
      <c r="P2626" s="58">
        <v>7186739.2800000003</v>
      </c>
      <c r="Q2626" t="s">
        <v>127</v>
      </c>
      <c r="R2626" s="1" t="s">
        <v>158</v>
      </c>
    </row>
    <row r="2627" spans="3:18" x14ac:dyDescent="0.35">
      <c r="C2627" t="s">
        <v>51</v>
      </c>
      <c r="D2627" t="s">
        <v>22</v>
      </c>
      <c r="E2627" t="s">
        <v>45</v>
      </c>
      <c r="F2627" t="s">
        <v>46</v>
      </c>
      <c r="G2627" s="58">
        <v>191238790</v>
      </c>
      <c r="H2627" s="1" t="s">
        <v>48</v>
      </c>
      <c r="I2627" s="1" t="s">
        <v>111</v>
      </c>
      <c r="J2627" s="58">
        <v>3059820640</v>
      </c>
      <c r="K2627" s="1" t="s">
        <v>106</v>
      </c>
      <c r="L2627" s="1" t="s">
        <v>120</v>
      </c>
      <c r="M2627" s="1" t="s">
        <v>115</v>
      </c>
      <c r="N2627" s="1">
        <v>1</v>
      </c>
      <c r="O2627" s="58"/>
      <c r="P2627" s="58">
        <v>95619395</v>
      </c>
      <c r="Q2627" t="s">
        <v>113</v>
      </c>
      <c r="R2627" s="1" t="s">
        <v>158</v>
      </c>
    </row>
    <row r="2628" spans="3:18" x14ac:dyDescent="0.35">
      <c r="C2628" t="s">
        <v>51</v>
      </c>
      <c r="D2628" t="s">
        <v>21</v>
      </c>
      <c r="E2628" t="s">
        <v>49</v>
      </c>
      <c r="F2628" t="s">
        <v>46</v>
      </c>
      <c r="G2628" s="58">
        <v>658937</v>
      </c>
      <c r="H2628" s="1" t="s">
        <v>47</v>
      </c>
      <c r="I2628" s="1" t="s">
        <v>108</v>
      </c>
      <c r="J2628" s="58">
        <v>18450236</v>
      </c>
      <c r="K2628" s="1" t="s">
        <v>106</v>
      </c>
      <c r="L2628" s="1" t="s">
        <v>116</v>
      </c>
      <c r="N2628" s="1">
        <v>1</v>
      </c>
      <c r="O2628" s="58"/>
      <c r="P2628" s="58">
        <v>184502.36</v>
      </c>
      <c r="Q2628" t="s">
        <v>107</v>
      </c>
      <c r="R2628" s="1" t="s">
        <v>158</v>
      </c>
    </row>
    <row r="2629" spans="3:18" x14ac:dyDescent="0.35">
      <c r="C2629" t="s">
        <v>51</v>
      </c>
      <c r="D2629" t="s">
        <v>24</v>
      </c>
      <c r="E2629" t="s">
        <v>50</v>
      </c>
      <c r="F2629" t="s">
        <v>46</v>
      </c>
      <c r="G2629" s="58">
        <v>20226562</v>
      </c>
      <c r="H2629" s="1" t="s">
        <v>48</v>
      </c>
      <c r="I2629" s="1" t="s">
        <v>108</v>
      </c>
      <c r="J2629" s="58">
        <v>687703108</v>
      </c>
      <c r="K2629" s="1" t="s">
        <v>106</v>
      </c>
      <c r="L2629" s="1" t="s">
        <v>109</v>
      </c>
      <c r="M2629" s="1" t="s">
        <v>121</v>
      </c>
      <c r="N2629" s="1">
        <v>1</v>
      </c>
      <c r="O2629" s="58"/>
      <c r="P2629" s="58">
        <v>16990312.079999998</v>
      </c>
      <c r="Q2629" t="s">
        <v>127</v>
      </c>
      <c r="R2629" s="1" t="s">
        <v>158</v>
      </c>
    </row>
    <row r="2630" spans="3:18" x14ac:dyDescent="0.35">
      <c r="C2630" t="s">
        <v>53</v>
      </c>
      <c r="D2630" t="s">
        <v>19</v>
      </c>
      <c r="E2630" t="s">
        <v>49</v>
      </c>
      <c r="F2630" t="s">
        <v>46</v>
      </c>
      <c r="G2630" s="58">
        <v>58</v>
      </c>
      <c r="H2630" s="1" t="s">
        <v>47</v>
      </c>
      <c r="I2630" s="1" t="s">
        <v>105</v>
      </c>
      <c r="J2630" s="58"/>
      <c r="K2630" s="1" t="s">
        <v>106</v>
      </c>
      <c r="L2630" s="1" t="s">
        <v>124</v>
      </c>
      <c r="N2630" s="1">
        <v>0</v>
      </c>
      <c r="O2630" s="58"/>
      <c r="P2630" s="58">
        <v>0</v>
      </c>
      <c r="Q2630" t="s">
        <v>107</v>
      </c>
      <c r="R2630" s="1" t="s">
        <v>158</v>
      </c>
    </row>
    <row r="2631" spans="3:18" x14ac:dyDescent="0.35">
      <c r="C2631" t="s">
        <v>51</v>
      </c>
      <c r="D2631" t="s">
        <v>20</v>
      </c>
      <c r="E2631" t="s">
        <v>49</v>
      </c>
      <c r="F2631" t="s">
        <v>46</v>
      </c>
      <c r="G2631" s="58">
        <v>121566</v>
      </c>
      <c r="H2631" s="1" t="s">
        <v>48</v>
      </c>
      <c r="I2631" s="1" t="s">
        <v>119</v>
      </c>
      <c r="J2631" s="58">
        <v>1094094</v>
      </c>
      <c r="K2631" s="1" t="s">
        <v>106</v>
      </c>
      <c r="L2631" s="1" t="s">
        <v>120</v>
      </c>
      <c r="M2631" s="1" t="s">
        <v>121</v>
      </c>
      <c r="N2631" s="1">
        <v>1</v>
      </c>
      <c r="O2631" s="58"/>
      <c r="P2631" s="58">
        <v>41332.44</v>
      </c>
      <c r="Q2631" t="s">
        <v>107</v>
      </c>
      <c r="R2631" s="1" t="s">
        <v>48</v>
      </c>
    </row>
    <row r="2632" spans="3:18" x14ac:dyDescent="0.35">
      <c r="C2632" t="s">
        <v>51</v>
      </c>
      <c r="D2632" t="s">
        <v>91</v>
      </c>
      <c r="E2632" t="s">
        <v>49</v>
      </c>
      <c r="F2632" t="s">
        <v>46</v>
      </c>
      <c r="G2632" s="58">
        <v>84780549</v>
      </c>
      <c r="H2632" s="1" t="s">
        <v>48</v>
      </c>
      <c r="I2632" s="1" t="s">
        <v>108</v>
      </c>
      <c r="J2632" s="58">
        <v>2882538666</v>
      </c>
      <c r="K2632" s="1" t="s">
        <v>106</v>
      </c>
      <c r="L2632" s="1" t="s">
        <v>124</v>
      </c>
      <c r="M2632" s="1" t="s">
        <v>122</v>
      </c>
      <c r="N2632" s="1">
        <v>1</v>
      </c>
      <c r="O2632" s="58"/>
      <c r="P2632" s="58">
        <v>70367855.670000002</v>
      </c>
      <c r="Q2632" t="s">
        <v>127</v>
      </c>
      <c r="R2632" s="1" t="s">
        <v>158</v>
      </c>
    </row>
    <row r="2633" spans="3:18" x14ac:dyDescent="0.35">
      <c r="C2633" t="s">
        <v>53</v>
      </c>
      <c r="D2633" t="s">
        <v>23</v>
      </c>
      <c r="E2633" t="s">
        <v>45</v>
      </c>
      <c r="F2633" t="s">
        <v>46</v>
      </c>
      <c r="G2633" s="58">
        <v>13021</v>
      </c>
      <c r="H2633" s="1" t="s">
        <v>47</v>
      </c>
      <c r="I2633" s="1" t="s">
        <v>111</v>
      </c>
      <c r="J2633" s="58">
        <v>143231</v>
      </c>
      <c r="K2633" s="1" t="s">
        <v>106</v>
      </c>
      <c r="L2633" s="1" t="s">
        <v>124</v>
      </c>
      <c r="N2633" s="1">
        <v>1</v>
      </c>
      <c r="O2633" s="58"/>
      <c r="P2633" s="58">
        <v>260.42</v>
      </c>
      <c r="Q2633" t="s">
        <v>107</v>
      </c>
      <c r="R2633" s="1" t="s">
        <v>158</v>
      </c>
    </row>
    <row r="2634" spans="3:18" x14ac:dyDescent="0.35">
      <c r="C2634" t="s">
        <v>51</v>
      </c>
      <c r="D2634" t="s">
        <v>20</v>
      </c>
      <c r="E2634" t="s">
        <v>49</v>
      </c>
      <c r="F2634" t="s">
        <v>46</v>
      </c>
      <c r="G2634" s="58">
        <v>2852871</v>
      </c>
      <c r="H2634" s="1" t="s">
        <v>54</v>
      </c>
      <c r="I2634" s="1" t="s">
        <v>119</v>
      </c>
      <c r="J2634" s="58">
        <v>22822968</v>
      </c>
      <c r="K2634" s="1" t="s">
        <v>106</v>
      </c>
      <c r="L2634" s="1" t="s">
        <v>124</v>
      </c>
      <c r="N2634" s="1">
        <v>1</v>
      </c>
      <c r="O2634" s="58"/>
      <c r="P2634" s="58">
        <v>1312320.6599999999</v>
      </c>
      <c r="Q2634" t="s">
        <v>113</v>
      </c>
      <c r="R2634" s="1" t="s">
        <v>158</v>
      </c>
    </row>
    <row r="2635" spans="3:18" x14ac:dyDescent="0.35">
      <c r="C2635" t="s">
        <v>51</v>
      </c>
      <c r="D2635" t="s">
        <v>60</v>
      </c>
      <c r="E2635" t="s">
        <v>60</v>
      </c>
      <c r="F2635" t="s">
        <v>64</v>
      </c>
      <c r="G2635" s="58">
        <v>3102</v>
      </c>
      <c r="H2635" s="1" t="s">
        <v>90</v>
      </c>
      <c r="I2635" s="1" t="s">
        <v>119</v>
      </c>
      <c r="J2635" s="58">
        <v>21714</v>
      </c>
      <c r="K2635" s="1" t="s">
        <v>106</v>
      </c>
      <c r="N2635" s="1">
        <v>1</v>
      </c>
      <c r="O2635" s="58"/>
      <c r="P2635" s="58">
        <v>4653</v>
      </c>
      <c r="Q2635" t="s">
        <v>110</v>
      </c>
      <c r="R2635" s="1" t="s">
        <v>90</v>
      </c>
    </row>
    <row r="2636" spans="3:18" x14ac:dyDescent="0.35">
      <c r="C2636" t="s">
        <v>51</v>
      </c>
      <c r="D2636" t="s">
        <v>20</v>
      </c>
      <c r="E2636" t="s">
        <v>49</v>
      </c>
      <c r="F2636" t="s">
        <v>46</v>
      </c>
      <c r="G2636" s="58">
        <v>165447</v>
      </c>
      <c r="H2636" s="1" t="s">
        <v>47</v>
      </c>
      <c r="I2636" s="1" t="s">
        <v>108</v>
      </c>
      <c r="J2636" s="58">
        <v>4467069</v>
      </c>
      <c r="K2636" s="1" t="s">
        <v>106</v>
      </c>
      <c r="L2636" s="1" t="s">
        <v>120</v>
      </c>
      <c r="N2636" s="1">
        <v>1</v>
      </c>
      <c r="O2636" s="58"/>
      <c r="P2636" s="58">
        <v>138975.48000000001</v>
      </c>
      <c r="Q2636" t="s">
        <v>127</v>
      </c>
      <c r="R2636" s="1" t="s">
        <v>158</v>
      </c>
    </row>
    <row r="2637" spans="3:18" x14ac:dyDescent="0.35">
      <c r="C2637" t="s">
        <v>53</v>
      </c>
      <c r="D2637" t="s">
        <v>19</v>
      </c>
      <c r="E2637" t="s">
        <v>49</v>
      </c>
      <c r="F2637" t="s">
        <v>46</v>
      </c>
      <c r="G2637" s="58">
        <v>1370277</v>
      </c>
      <c r="H2637" s="1" t="s">
        <v>48</v>
      </c>
      <c r="I2637" s="1" t="s">
        <v>111</v>
      </c>
      <c r="J2637" s="58">
        <v>21924432</v>
      </c>
      <c r="K2637" s="1" t="s">
        <v>106</v>
      </c>
      <c r="L2637" s="1" t="s">
        <v>124</v>
      </c>
      <c r="M2637" s="1" t="s">
        <v>122</v>
      </c>
      <c r="N2637" s="1">
        <v>1</v>
      </c>
      <c r="O2637" s="58"/>
      <c r="P2637" s="58">
        <v>205541.55</v>
      </c>
      <c r="Q2637" t="s">
        <v>107</v>
      </c>
      <c r="R2637" s="1" t="s">
        <v>158</v>
      </c>
    </row>
    <row r="2638" spans="3:18" x14ac:dyDescent="0.35">
      <c r="C2638" t="s">
        <v>51</v>
      </c>
      <c r="D2638" t="s">
        <v>22</v>
      </c>
      <c r="E2638" t="s">
        <v>49</v>
      </c>
      <c r="F2638" t="s">
        <v>46</v>
      </c>
      <c r="G2638" s="58">
        <v>309788</v>
      </c>
      <c r="H2638" s="1" t="s">
        <v>58</v>
      </c>
      <c r="I2638" s="1" t="s">
        <v>105</v>
      </c>
      <c r="J2638" s="58">
        <v>1239152</v>
      </c>
      <c r="K2638" s="1" t="s">
        <v>106</v>
      </c>
      <c r="L2638" s="1" t="s">
        <v>124</v>
      </c>
      <c r="N2638" s="1">
        <v>1</v>
      </c>
      <c r="O2638" s="58"/>
      <c r="P2638" s="58">
        <v>18587.28</v>
      </c>
      <c r="Q2638" t="s">
        <v>107</v>
      </c>
      <c r="R2638" s="1" t="s">
        <v>158</v>
      </c>
    </row>
    <row r="2639" spans="3:18" x14ac:dyDescent="0.35">
      <c r="C2639" t="s">
        <v>51</v>
      </c>
      <c r="D2639" t="s">
        <v>21</v>
      </c>
      <c r="E2639" t="s">
        <v>49</v>
      </c>
      <c r="F2639" t="s">
        <v>46</v>
      </c>
      <c r="G2639" s="58">
        <v>486977</v>
      </c>
      <c r="H2639" s="1" t="s">
        <v>56</v>
      </c>
      <c r="I2639" s="1" t="s">
        <v>111</v>
      </c>
      <c r="J2639" s="58">
        <v>8278609</v>
      </c>
      <c r="K2639" s="1" t="s">
        <v>106</v>
      </c>
      <c r="L2639" s="1" t="s">
        <v>124</v>
      </c>
      <c r="N2639" s="1">
        <v>1</v>
      </c>
      <c r="O2639" s="58"/>
      <c r="P2639" s="58">
        <v>555153.78</v>
      </c>
      <c r="Q2639" t="s">
        <v>110</v>
      </c>
      <c r="R2639" s="1" t="s">
        <v>158</v>
      </c>
    </row>
    <row r="2640" spans="3:18" x14ac:dyDescent="0.35">
      <c r="C2640" t="s">
        <v>51</v>
      </c>
      <c r="D2640" t="s">
        <v>22</v>
      </c>
      <c r="E2640" t="s">
        <v>45</v>
      </c>
      <c r="F2640" t="s">
        <v>64</v>
      </c>
      <c r="G2640" s="58">
        <v>208292</v>
      </c>
      <c r="H2640" s="1" t="s">
        <v>56</v>
      </c>
      <c r="I2640" s="1" t="s">
        <v>108</v>
      </c>
      <c r="J2640" s="58">
        <v>6248760</v>
      </c>
      <c r="K2640" s="1" t="s">
        <v>106</v>
      </c>
      <c r="L2640" s="1" t="s">
        <v>120</v>
      </c>
      <c r="N2640" s="1">
        <v>1</v>
      </c>
      <c r="O2640" s="58"/>
      <c r="P2640" s="58">
        <v>131223.96</v>
      </c>
      <c r="Q2640" t="s">
        <v>118</v>
      </c>
      <c r="R2640" s="1" t="s">
        <v>158</v>
      </c>
    </row>
    <row r="2641" spans="3:18" x14ac:dyDescent="0.35">
      <c r="C2641" t="s">
        <v>53</v>
      </c>
      <c r="D2641" t="s">
        <v>25</v>
      </c>
      <c r="E2641" t="s">
        <v>50</v>
      </c>
      <c r="F2641" t="s">
        <v>46</v>
      </c>
      <c r="G2641" s="58">
        <v>126447</v>
      </c>
      <c r="H2641" s="1" t="s">
        <v>54</v>
      </c>
      <c r="I2641" s="1" t="s">
        <v>111</v>
      </c>
      <c r="J2641" s="58">
        <v>1643811</v>
      </c>
      <c r="K2641" s="1" t="s">
        <v>106</v>
      </c>
      <c r="L2641" s="1" t="s">
        <v>109</v>
      </c>
      <c r="N2641" s="1">
        <v>1</v>
      </c>
      <c r="O2641" s="58"/>
      <c r="P2641" s="58">
        <v>42991.98</v>
      </c>
      <c r="Q2641" t="s">
        <v>107</v>
      </c>
      <c r="R2641" s="1" t="s">
        <v>158</v>
      </c>
    </row>
    <row r="2642" spans="3:18" x14ac:dyDescent="0.35">
      <c r="C2642" t="s">
        <v>51</v>
      </c>
      <c r="D2642" t="s">
        <v>21</v>
      </c>
      <c r="E2642" t="s">
        <v>49</v>
      </c>
      <c r="F2642" t="s">
        <v>46</v>
      </c>
      <c r="G2642" s="58">
        <v>3328332</v>
      </c>
      <c r="H2642" s="1" t="s">
        <v>54</v>
      </c>
      <c r="I2642" s="1" t="s">
        <v>111</v>
      </c>
      <c r="J2642" s="58">
        <v>49924980</v>
      </c>
      <c r="K2642" s="1" t="s">
        <v>112</v>
      </c>
      <c r="N2642" s="1">
        <v>1</v>
      </c>
      <c r="O2642" s="58"/>
      <c r="P2642" s="58">
        <v>1531032.72</v>
      </c>
      <c r="Q2642" t="s">
        <v>113</v>
      </c>
      <c r="R2642" s="1" t="s">
        <v>158</v>
      </c>
    </row>
    <row r="2643" spans="3:18" x14ac:dyDescent="0.35">
      <c r="C2643" t="s">
        <v>51</v>
      </c>
      <c r="D2643" t="s">
        <v>23</v>
      </c>
      <c r="E2643" t="s">
        <v>49</v>
      </c>
      <c r="F2643" t="s">
        <v>46</v>
      </c>
      <c r="G2643" s="58">
        <v>1963529</v>
      </c>
      <c r="H2643" s="1" t="s">
        <v>47</v>
      </c>
      <c r="I2643" s="1" t="s">
        <v>108</v>
      </c>
      <c r="J2643" s="58">
        <v>60869399</v>
      </c>
      <c r="K2643" s="1" t="s">
        <v>106</v>
      </c>
      <c r="L2643" s="1" t="s">
        <v>124</v>
      </c>
      <c r="N2643" s="1">
        <v>1</v>
      </c>
      <c r="O2643" s="58"/>
      <c r="P2643" s="58">
        <v>1708270.23</v>
      </c>
      <c r="Q2643" t="s">
        <v>127</v>
      </c>
      <c r="R2643" s="1" t="s">
        <v>158</v>
      </c>
    </row>
    <row r="2644" spans="3:18" x14ac:dyDescent="0.35">
      <c r="C2644" t="s">
        <v>51</v>
      </c>
      <c r="D2644" t="s">
        <v>21</v>
      </c>
      <c r="E2644" t="s">
        <v>49</v>
      </c>
      <c r="F2644" t="s">
        <v>46</v>
      </c>
      <c r="G2644" s="58">
        <v>818604</v>
      </c>
      <c r="H2644" s="1" t="s">
        <v>48</v>
      </c>
      <c r="I2644" s="1" t="s">
        <v>108</v>
      </c>
      <c r="J2644" s="58">
        <v>27013932</v>
      </c>
      <c r="K2644" s="1" t="s">
        <v>106</v>
      </c>
      <c r="L2644" s="1" t="s">
        <v>120</v>
      </c>
      <c r="M2644" s="1" t="s">
        <v>115</v>
      </c>
      <c r="N2644" s="1">
        <v>1</v>
      </c>
      <c r="O2644" s="58"/>
      <c r="P2644" s="58">
        <v>417488.04</v>
      </c>
      <c r="Q2644" t="s">
        <v>113</v>
      </c>
      <c r="R2644" s="1" t="s">
        <v>158</v>
      </c>
    </row>
    <row r="2645" spans="3:18" x14ac:dyDescent="0.35">
      <c r="C2645" t="s">
        <v>53</v>
      </c>
      <c r="D2645" t="s">
        <v>21</v>
      </c>
      <c r="E2645" t="s">
        <v>49</v>
      </c>
      <c r="F2645" t="s">
        <v>46</v>
      </c>
      <c r="G2645" s="58">
        <v>320411</v>
      </c>
      <c r="H2645" s="1" t="s">
        <v>47</v>
      </c>
      <c r="I2645" s="1" t="s">
        <v>105</v>
      </c>
      <c r="J2645" s="58">
        <v>1281644</v>
      </c>
      <c r="K2645" s="1" t="s">
        <v>106</v>
      </c>
      <c r="L2645" s="1" t="s">
        <v>116</v>
      </c>
      <c r="N2645" s="1">
        <v>1</v>
      </c>
      <c r="O2645" s="58"/>
      <c r="P2645" s="58">
        <v>3204.11</v>
      </c>
      <c r="Q2645" t="s">
        <v>107</v>
      </c>
      <c r="R2645" s="1" t="s">
        <v>158</v>
      </c>
    </row>
    <row r="2646" spans="3:18" x14ac:dyDescent="0.35">
      <c r="C2646" t="s">
        <v>53</v>
      </c>
      <c r="D2646" t="s">
        <v>92</v>
      </c>
      <c r="E2646" t="s">
        <v>49</v>
      </c>
      <c r="F2646" t="s">
        <v>46</v>
      </c>
      <c r="G2646" s="58">
        <v>76736</v>
      </c>
      <c r="H2646" s="1" t="s">
        <v>47</v>
      </c>
      <c r="I2646" s="1" t="s">
        <v>119</v>
      </c>
      <c r="J2646" s="58">
        <v>767360</v>
      </c>
      <c r="K2646" s="1" t="s">
        <v>112</v>
      </c>
      <c r="N2646" s="1">
        <v>1</v>
      </c>
      <c r="O2646" s="58"/>
      <c r="P2646" s="58">
        <v>53715.199999999997</v>
      </c>
      <c r="Q2646" t="s">
        <v>118</v>
      </c>
      <c r="R2646" s="1" t="s">
        <v>158</v>
      </c>
    </row>
    <row r="2647" spans="3:18" x14ac:dyDescent="0.35">
      <c r="C2647" t="s">
        <v>51</v>
      </c>
      <c r="D2647" t="s">
        <v>92</v>
      </c>
      <c r="E2647" t="s">
        <v>45</v>
      </c>
      <c r="F2647" t="s">
        <v>46</v>
      </c>
      <c r="G2647" s="58">
        <v>244351</v>
      </c>
      <c r="H2647" s="1" t="s">
        <v>48</v>
      </c>
      <c r="I2647" s="1" t="s">
        <v>108</v>
      </c>
      <c r="J2647" s="58">
        <v>9040987</v>
      </c>
      <c r="K2647" s="1" t="s">
        <v>106</v>
      </c>
      <c r="L2647" s="1" t="s">
        <v>114</v>
      </c>
      <c r="M2647" s="1" t="s">
        <v>121</v>
      </c>
      <c r="N2647" s="1">
        <v>1</v>
      </c>
      <c r="O2647" s="58"/>
      <c r="P2647" s="58">
        <v>166158.68</v>
      </c>
      <c r="Q2647" t="s">
        <v>118</v>
      </c>
      <c r="R2647" s="1" t="s">
        <v>158</v>
      </c>
    </row>
    <row r="2648" spans="3:18" x14ac:dyDescent="0.35">
      <c r="C2648" t="s">
        <v>51</v>
      </c>
      <c r="D2648" t="s">
        <v>24</v>
      </c>
      <c r="E2648" t="s">
        <v>50</v>
      </c>
      <c r="F2648" t="s">
        <v>46</v>
      </c>
      <c r="G2648" s="58">
        <v>1374611</v>
      </c>
      <c r="H2648" s="1" t="s">
        <v>48</v>
      </c>
      <c r="I2648" s="1" t="s">
        <v>111</v>
      </c>
      <c r="J2648" s="58">
        <v>21993776</v>
      </c>
      <c r="K2648" s="1" t="s">
        <v>106</v>
      </c>
      <c r="L2648" s="1" t="s">
        <v>109</v>
      </c>
      <c r="M2648" s="1" t="s">
        <v>121</v>
      </c>
      <c r="N2648" s="1">
        <v>1</v>
      </c>
      <c r="O2648" s="58"/>
      <c r="P2648" s="58">
        <v>426129.41</v>
      </c>
      <c r="Q2648" t="s">
        <v>107</v>
      </c>
      <c r="R2648" s="1" t="s">
        <v>48</v>
      </c>
    </row>
    <row r="2649" spans="3:18" x14ac:dyDescent="0.35">
      <c r="C2649" t="s">
        <v>51</v>
      </c>
      <c r="D2649" t="s">
        <v>24</v>
      </c>
      <c r="E2649" t="s">
        <v>50</v>
      </c>
      <c r="F2649" t="s">
        <v>46</v>
      </c>
      <c r="G2649" s="58">
        <v>98503</v>
      </c>
      <c r="H2649" s="1" t="s">
        <v>48</v>
      </c>
      <c r="I2649" s="1" t="s">
        <v>108</v>
      </c>
      <c r="J2649" s="58">
        <v>2758084</v>
      </c>
      <c r="K2649" s="1" t="s">
        <v>106</v>
      </c>
      <c r="L2649" s="1" t="s">
        <v>114</v>
      </c>
      <c r="M2649" s="1" t="s">
        <v>121</v>
      </c>
      <c r="N2649" s="1">
        <v>1</v>
      </c>
      <c r="O2649" s="58"/>
      <c r="P2649" s="58">
        <v>51221.56</v>
      </c>
      <c r="Q2649" t="s">
        <v>113</v>
      </c>
      <c r="R2649" s="1" t="s">
        <v>158</v>
      </c>
    </row>
    <row r="2650" spans="3:18" x14ac:dyDescent="0.35">
      <c r="C2650" t="s">
        <v>51</v>
      </c>
      <c r="D2650" t="s">
        <v>25</v>
      </c>
      <c r="E2650" t="s">
        <v>50</v>
      </c>
      <c r="F2650" t="s">
        <v>46</v>
      </c>
      <c r="G2650" s="58">
        <v>236304</v>
      </c>
      <c r="H2650" s="1" t="s">
        <v>54</v>
      </c>
      <c r="I2650" s="1" t="s">
        <v>111</v>
      </c>
      <c r="J2650" s="58">
        <v>3308256</v>
      </c>
      <c r="K2650" s="1" t="s">
        <v>106</v>
      </c>
      <c r="L2650" s="1" t="s">
        <v>109</v>
      </c>
      <c r="N2650" s="1">
        <v>1</v>
      </c>
      <c r="O2650" s="58"/>
      <c r="P2650" s="58">
        <v>47260.800000000003</v>
      </c>
      <c r="Q2650" t="s">
        <v>107</v>
      </c>
      <c r="R2650" s="1" t="s">
        <v>158</v>
      </c>
    </row>
    <row r="2651" spans="3:18" x14ac:dyDescent="0.35">
      <c r="C2651" t="s">
        <v>53</v>
      </c>
      <c r="D2651" t="s">
        <v>23</v>
      </c>
      <c r="E2651" t="s">
        <v>55</v>
      </c>
      <c r="F2651" t="s">
        <v>46</v>
      </c>
      <c r="G2651" s="58">
        <v>4432390</v>
      </c>
      <c r="H2651" s="1" t="s">
        <v>47</v>
      </c>
      <c r="I2651" s="1" t="s">
        <v>105</v>
      </c>
      <c r="J2651" s="58">
        <v>8864780</v>
      </c>
      <c r="K2651" s="1" t="s">
        <v>106</v>
      </c>
      <c r="L2651" s="1" t="s">
        <v>114</v>
      </c>
      <c r="N2651" s="1">
        <v>1</v>
      </c>
      <c r="O2651" s="58"/>
      <c r="P2651" s="58">
        <v>709182.4</v>
      </c>
      <c r="Q2651" t="s">
        <v>107</v>
      </c>
      <c r="R2651" s="1" t="s">
        <v>158</v>
      </c>
    </row>
    <row r="2652" spans="3:18" x14ac:dyDescent="0.35">
      <c r="C2652" t="s">
        <v>51</v>
      </c>
      <c r="D2652" t="s">
        <v>92</v>
      </c>
      <c r="E2652" t="s">
        <v>49</v>
      </c>
      <c r="F2652" t="s">
        <v>46</v>
      </c>
      <c r="G2652" s="58">
        <v>141544</v>
      </c>
      <c r="H2652" s="1" t="s">
        <v>48</v>
      </c>
      <c r="I2652" s="1" t="s">
        <v>111</v>
      </c>
      <c r="J2652" s="58">
        <v>1981616</v>
      </c>
      <c r="K2652" s="1" t="s">
        <v>106</v>
      </c>
      <c r="L2652" s="1" t="s">
        <v>120</v>
      </c>
      <c r="M2652" s="1" t="s">
        <v>125</v>
      </c>
      <c r="N2652" s="1">
        <v>1</v>
      </c>
      <c r="O2652" s="58"/>
      <c r="P2652" s="58">
        <v>53786.720000000001</v>
      </c>
      <c r="Q2652" t="s">
        <v>107</v>
      </c>
      <c r="R2652" s="1" t="s">
        <v>48</v>
      </c>
    </row>
    <row r="2653" spans="3:18" x14ac:dyDescent="0.35">
      <c r="C2653" t="s">
        <v>53</v>
      </c>
      <c r="D2653" t="s">
        <v>92</v>
      </c>
      <c r="E2653" t="s">
        <v>55</v>
      </c>
      <c r="F2653" t="s">
        <v>46</v>
      </c>
      <c r="G2653" s="58">
        <v>757937</v>
      </c>
      <c r="H2653" s="1" t="s">
        <v>47</v>
      </c>
      <c r="I2653" s="1" t="s">
        <v>111</v>
      </c>
      <c r="J2653" s="58">
        <v>11369055</v>
      </c>
      <c r="K2653" s="1" t="s">
        <v>112</v>
      </c>
      <c r="N2653" s="1">
        <v>1</v>
      </c>
      <c r="O2653" s="58"/>
      <c r="P2653" s="58">
        <v>325912.90999999997</v>
      </c>
      <c r="Q2653" t="s">
        <v>113</v>
      </c>
      <c r="R2653" s="1" t="s">
        <v>158</v>
      </c>
    </row>
    <row r="2654" spans="3:18" x14ac:dyDescent="0.35">
      <c r="C2654" t="s">
        <v>51</v>
      </c>
      <c r="D2654" t="s">
        <v>20</v>
      </c>
      <c r="E2654" t="s">
        <v>49</v>
      </c>
      <c r="F2654" t="s">
        <v>46</v>
      </c>
      <c r="G2654" s="58">
        <v>369601</v>
      </c>
      <c r="H2654" s="1" t="s">
        <v>47</v>
      </c>
      <c r="I2654" s="1" t="s">
        <v>111</v>
      </c>
      <c r="J2654" s="58">
        <v>6283217</v>
      </c>
      <c r="K2654" s="1" t="s">
        <v>106</v>
      </c>
      <c r="L2654" s="1" t="s">
        <v>124</v>
      </c>
      <c r="N2654" s="1">
        <v>1</v>
      </c>
      <c r="O2654" s="58"/>
      <c r="P2654" s="58">
        <v>413953.12</v>
      </c>
      <c r="Q2654" t="s">
        <v>110</v>
      </c>
      <c r="R2654" s="1" t="s">
        <v>158</v>
      </c>
    </row>
    <row r="2655" spans="3:18" x14ac:dyDescent="0.35">
      <c r="C2655" t="s">
        <v>51</v>
      </c>
      <c r="D2655" t="s">
        <v>23</v>
      </c>
      <c r="E2655" t="s">
        <v>55</v>
      </c>
      <c r="F2655" t="s">
        <v>46</v>
      </c>
      <c r="G2655" s="58">
        <v>394681</v>
      </c>
      <c r="H2655" s="1" t="s">
        <v>59</v>
      </c>
      <c r="I2655" s="1" t="s">
        <v>119</v>
      </c>
      <c r="J2655" s="58">
        <v>3946810</v>
      </c>
      <c r="K2655" s="1" t="s">
        <v>112</v>
      </c>
      <c r="N2655" s="1">
        <v>1</v>
      </c>
      <c r="O2655" s="58"/>
      <c r="P2655" s="58">
        <v>272329.89</v>
      </c>
      <c r="Q2655" t="s">
        <v>118</v>
      </c>
      <c r="R2655" s="1" t="s">
        <v>158</v>
      </c>
    </row>
    <row r="2656" spans="3:18" x14ac:dyDescent="0.35">
      <c r="C2656" t="s">
        <v>51</v>
      </c>
      <c r="D2656" t="s">
        <v>91</v>
      </c>
      <c r="E2656" t="s">
        <v>49</v>
      </c>
      <c r="F2656" t="s">
        <v>46</v>
      </c>
      <c r="G2656" s="58">
        <v>2362453</v>
      </c>
      <c r="H2656" s="1" t="s">
        <v>48</v>
      </c>
      <c r="I2656" s="1" t="s">
        <v>108</v>
      </c>
      <c r="J2656" s="58">
        <v>77960949</v>
      </c>
      <c r="K2656" s="1" t="s">
        <v>106</v>
      </c>
      <c r="L2656" s="1" t="s">
        <v>124</v>
      </c>
      <c r="M2656" s="1" t="s">
        <v>126</v>
      </c>
      <c r="N2656" s="1">
        <v>1</v>
      </c>
      <c r="O2656" s="58"/>
      <c r="P2656" s="58">
        <v>1677341.63</v>
      </c>
      <c r="Q2656" t="s">
        <v>118</v>
      </c>
      <c r="R2656" s="1" t="s">
        <v>158</v>
      </c>
    </row>
    <row r="2657" spans="3:18" x14ac:dyDescent="0.35">
      <c r="C2657" t="s">
        <v>51</v>
      </c>
      <c r="D2657" t="s">
        <v>92</v>
      </c>
      <c r="E2657" t="s">
        <v>49</v>
      </c>
      <c r="F2657" t="s">
        <v>46</v>
      </c>
      <c r="G2657" s="58">
        <v>126066</v>
      </c>
      <c r="H2657" s="1" t="s">
        <v>54</v>
      </c>
      <c r="I2657" s="1" t="s">
        <v>119</v>
      </c>
      <c r="J2657" s="58">
        <v>882462</v>
      </c>
      <c r="K2657" s="1" t="s">
        <v>112</v>
      </c>
      <c r="N2657" s="1">
        <v>1</v>
      </c>
      <c r="O2657" s="58"/>
      <c r="P2657" s="58">
        <v>44123.1</v>
      </c>
      <c r="Q2657" t="s">
        <v>107</v>
      </c>
      <c r="R2657" s="1" t="s">
        <v>158</v>
      </c>
    </row>
    <row r="2658" spans="3:18" x14ac:dyDescent="0.35">
      <c r="C2658" t="s">
        <v>51</v>
      </c>
      <c r="D2658" t="s">
        <v>23</v>
      </c>
      <c r="E2658" t="s">
        <v>55</v>
      </c>
      <c r="F2658" t="s">
        <v>46</v>
      </c>
      <c r="G2658" s="58">
        <v>287177</v>
      </c>
      <c r="H2658" s="1" t="s">
        <v>59</v>
      </c>
      <c r="I2658" s="1" t="s">
        <v>108</v>
      </c>
      <c r="J2658" s="58">
        <v>8615310</v>
      </c>
      <c r="K2658" s="1" t="s">
        <v>106</v>
      </c>
      <c r="L2658" s="1" t="s">
        <v>114</v>
      </c>
      <c r="N2658" s="1">
        <v>1</v>
      </c>
      <c r="O2658" s="58"/>
      <c r="P2658" s="58">
        <v>399176.03</v>
      </c>
      <c r="Q2658" t="s">
        <v>110</v>
      </c>
      <c r="R2658" s="1" t="s">
        <v>158</v>
      </c>
    </row>
    <row r="2659" spans="3:18" x14ac:dyDescent="0.35">
      <c r="C2659" t="s">
        <v>51</v>
      </c>
      <c r="D2659" t="s">
        <v>19</v>
      </c>
      <c r="E2659" t="s">
        <v>45</v>
      </c>
      <c r="F2659" t="s">
        <v>46</v>
      </c>
      <c r="G2659" s="58">
        <v>2372867</v>
      </c>
      <c r="H2659" s="1" t="s">
        <v>48</v>
      </c>
      <c r="I2659" s="1" t="s">
        <v>111</v>
      </c>
      <c r="J2659" s="58">
        <v>42711606</v>
      </c>
      <c r="K2659" s="1" t="s">
        <v>106</v>
      </c>
      <c r="L2659" s="1" t="s">
        <v>120</v>
      </c>
      <c r="M2659" s="1" t="s">
        <v>122</v>
      </c>
      <c r="N2659" s="1">
        <v>1</v>
      </c>
      <c r="O2659" s="58"/>
      <c r="P2659" s="58">
        <v>1566092.22</v>
      </c>
      <c r="Q2659" t="s">
        <v>118</v>
      </c>
      <c r="R2659" s="1" t="s">
        <v>158</v>
      </c>
    </row>
    <row r="2660" spans="3:18" x14ac:dyDescent="0.35">
      <c r="C2660" t="s">
        <v>51</v>
      </c>
      <c r="D2660" t="s">
        <v>24</v>
      </c>
      <c r="E2660" t="s">
        <v>55</v>
      </c>
      <c r="F2660" t="s">
        <v>46</v>
      </c>
      <c r="G2660" s="58">
        <v>186560</v>
      </c>
      <c r="H2660" s="1" t="s">
        <v>54</v>
      </c>
      <c r="I2660" s="1" t="s">
        <v>108</v>
      </c>
      <c r="J2660" s="58">
        <v>4850560</v>
      </c>
      <c r="K2660" s="1" t="s">
        <v>106</v>
      </c>
      <c r="L2660" s="1" t="s">
        <v>120</v>
      </c>
      <c r="N2660" s="1">
        <v>1</v>
      </c>
      <c r="O2660" s="58"/>
      <c r="P2660" s="58">
        <v>52236.800000000003</v>
      </c>
      <c r="Q2660" t="s">
        <v>107</v>
      </c>
      <c r="R2660" s="1" t="s">
        <v>158</v>
      </c>
    </row>
    <row r="2661" spans="3:18" x14ac:dyDescent="0.35">
      <c r="C2661" t="s">
        <v>51</v>
      </c>
      <c r="D2661" t="s">
        <v>92</v>
      </c>
      <c r="E2661" t="s">
        <v>55</v>
      </c>
      <c r="F2661" t="s">
        <v>46</v>
      </c>
      <c r="G2661" s="58">
        <v>1107873</v>
      </c>
      <c r="H2661" s="1" t="s">
        <v>48</v>
      </c>
      <c r="I2661" s="1" t="s">
        <v>108</v>
      </c>
      <c r="J2661" s="58">
        <v>28804698</v>
      </c>
      <c r="K2661" s="1" t="s">
        <v>106</v>
      </c>
      <c r="L2661" s="1" t="s">
        <v>114</v>
      </c>
      <c r="M2661" s="1" t="s">
        <v>123</v>
      </c>
      <c r="N2661" s="1">
        <v>1</v>
      </c>
      <c r="O2661" s="58"/>
      <c r="P2661" s="58">
        <v>310204.44</v>
      </c>
      <c r="Q2661" t="s">
        <v>107</v>
      </c>
      <c r="R2661" s="1" t="s">
        <v>158</v>
      </c>
    </row>
    <row r="2662" spans="3:18" x14ac:dyDescent="0.35">
      <c r="C2662" t="s">
        <v>51</v>
      </c>
      <c r="D2662" t="s">
        <v>21</v>
      </c>
      <c r="E2662" t="s">
        <v>49</v>
      </c>
      <c r="F2662" t="s">
        <v>46</v>
      </c>
      <c r="G2662" s="58">
        <v>838968</v>
      </c>
      <c r="H2662" s="1" t="s">
        <v>54</v>
      </c>
      <c r="I2662" s="1" t="s">
        <v>108</v>
      </c>
      <c r="J2662" s="58">
        <v>24330072</v>
      </c>
      <c r="K2662" s="1" t="s">
        <v>106</v>
      </c>
      <c r="L2662" s="1" t="s">
        <v>120</v>
      </c>
      <c r="N2662" s="1">
        <v>1</v>
      </c>
      <c r="O2662" s="58"/>
      <c r="P2662" s="58">
        <v>427873.68</v>
      </c>
      <c r="Q2662" t="s">
        <v>113</v>
      </c>
      <c r="R2662" s="1" t="s">
        <v>158</v>
      </c>
    </row>
    <row r="2663" spans="3:18" x14ac:dyDescent="0.35">
      <c r="C2663" t="s">
        <v>53</v>
      </c>
      <c r="D2663" t="s">
        <v>22</v>
      </c>
      <c r="E2663" t="s">
        <v>45</v>
      </c>
      <c r="F2663" t="s">
        <v>46</v>
      </c>
      <c r="G2663" s="58">
        <v>362330</v>
      </c>
      <c r="H2663" s="1" t="s">
        <v>54</v>
      </c>
      <c r="I2663" s="1" t="s">
        <v>105</v>
      </c>
      <c r="J2663" s="58">
        <v>0</v>
      </c>
      <c r="K2663" s="1" t="s">
        <v>112</v>
      </c>
      <c r="N2663" s="1">
        <v>1</v>
      </c>
      <c r="O2663" s="58"/>
      <c r="P2663" s="58">
        <v>119568.9</v>
      </c>
      <c r="Q2663" t="s">
        <v>107</v>
      </c>
      <c r="R2663" s="1" t="s">
        <v>158</v>
      </c>
    </row>
    <row r="2664" spans="3:18" x14ac:dyDescent="0.35">
      <c r="C2664" t="s">
        <v>51</v>
      </c>
      <c r="D2664" t="s">
        <v>23</v>
      </c>
      <c r="E2664" t="s">
        <v>62</v>
      </c>
      <c r="F2664" t="s">
        <v>46</v>
      </c>
      <c r="G2664" s="58">
        <v>39329</v>
      </c>
      <c r="H2664" s="1" t="s">
        <v>48</v>
      </c>
      <c r="I2664" s="1" t="s">
        <v>119</v>
      </c>
      <c r="J2664" s="58">
        <v>393290</v>
      </c>
      <c r="K2664" s="1" t="s">
        <v>106</v>
      </c>
      <c r="L2664" s="1" t="s">
        <v>131</v>
      </c>
      <c r="M2664" s="1" t="s">
        <v>125</v>
      </c>
      <c r="N2664" s="1">
        <v>1</v>
      </c>
      <c r="O2664" s="58"/>
      <c r="P2664" s="58">
        <v>26743.72</v>
      </c>
      <c r="Q2664" t="s">
        <v>118</v>
      </c>
      <c r="R2664" s="1" t="s">
        <v>48</v>
      </c>
    </row>
    <row r="2665" spans="3:18" x14ac:dyDescent="0.35">
      <c r="C2665" t="s">
        <v>51</v>
      </c>
      <c r="D2665" t="s">
        <v>25</v>
      </c>
      <c r="E2665" t="s">
        <v>55</v>
      </c>
      <c r="F2665" t="s">
        <v>46</v>
      </c>
      <c r="G2665" s="58">
        <v>131959</v>
      </c>
      <c r="H2665" s="1" t="s">
        <v>54</v>
      </c>
      <c r="I2665" s="1" t="s">
        <v>111</v>
      </c>
      <c r="J2665" s="58">
        <v>1979385</v>
      </c>
      <c r="K2665" s="1" t="s">
        <v>106</v>
      </c>
      <c r="L2665" s="1" t="s">
        <v>120</v>
      </c>
      <c r="N2665" s="1">
        <v>1</v>
      </c>
      <c r="O2665" s="58"/>
      <c r="P2665" s="58">
        <v>89732.12</v>
      </c>
      <c r="Q2665" t="s">
        <v>118</v>
      </c>
      <c r="R2665" s="1" t="s">
        <v>158</v>
      </c>
    </row>
    <row r="2666" spans="3:18" x14ac:dyDescent="0.35">
      <c r="C2666" t="s">
        <v>51</v>
      </c>
      <c r="D2666" t="s">
        <v>23</v>
      </c>
      <c r="E2666" t="s">
        <v>49</v>
      </c>
      <c r="F2666" t="s">
        <v>46</v>
      </c>
      <c r="G2666" s="58">
        <v>164288</v>
      </c>
      <c r="H2666" s="1" t="s">
        <v>48</v>
      </c>
      <c r="I2666" s="1" t="s">
        <v>111</v>
      </c>
      <c r="J2666" s="58">
        <v>3285760</v>
      </c>
      <c r="K2666" s="1" t="s">
        <v>106</v>
      </c>
      <c r="L2666" s="1" t="s">
        <v>124</v>
      </c>
      <c r="M2666" s="1" t="s">
        <v>125</v>
      </c>
      <c r="N2666" s="1">
        <v>1</v>
      </c>
      <c r="O2666" s="58"/>
      <c r="P2666" s="58">
        <v>138001.92000000001</v>
      </c>
      <c r="Q2666" t="s">
        <v>127</v>
      </c>
      <c r="R2666" s="1" t="s">
        <v>158</v>
      </c>
    </row>
    <row r="2667" spans="3:18" x14ac:dyDescent="0.35">
      <c r="C2667" t="s">
        <v>53</v>
      </c>
      <c r="D2667" t="s">
        <v>22</v>
      </c>
      <c r="E2667" t="s">
        <v>45</v>
      </c>
      <c r="F2667" t="s">
        <v>46</v>
      </c>
      <c r="G2667" s="58">
        <v>1880902</v>
      </c>
      <c r="H2667" s="1" t="s">
        <v>47</v>
      </c>
      <c r="I2667" s="1" t="s">
        <v>105</v>
      </c>
      <c r="J2667" s="58">
        <v>7523608</v>
      </c>
      <c r="K2667" s="1" t="s">
        <v>106</v>
      </c>
      <c r="L2667" s="1" t="s">
        <v>124</v>
      </c>
      <c r="N2667" s="1">
        <v>1</v>
      </c>
      <c r="O2667" s="58"/>
      <c r="P2667" s="58">
        <v>507843.54</v>
      </c>
      <c r="Q2667" t="s">
        <v>107</v>
      </c>
      <c r="R2667" s="1" t="s">
        <v>158</v>
      </c>
    </row>
    <row r="2668" spans="3:18" x14ac:dyDescent="0.35">
      <c r="C2668" t="s">
        <v>51</v>
      </c>
      <c r="D2668" t="s">
        <v>23</v>
      </c>
      <c r="E2668" t="s">
        <v>55</v>
      </c>
      <c r="F2668" t="s">
        <v>46</v>
      </c>
      <c r="G2668" s="58">
        <v>664261</v>
      </c>
      <c r="H2668" s="1" t="s">
        <v>59</v>
      </c>
      <c r="I2668" s="1" t="s">
        <v>119</v>
      </c>
      <c r="J2668" s="58">
        <v>5314088</v>
      </c>
      <c r="K2668" s="1" t="s">
        <v>106</v>
      </c>
      <c r="L2668" s="1" t="s">
        <v>114</v>
      </c>
      <c r="N2668" s="1">
        <v>1</v>
      </c>
      <c r="O2668" s="58"/>
      <c r="P2668" s="58">
        <v>325487.89</v>
      </c>
      <c r="Q2668" t="s">
        <v>113</v>
      </c>
      <c r="R2668" s="1" t="s">
        <v>158</v>
      </c>
    </row>
    <row r="2669" spans="3:18" x14ac:dyDescent="0.35">
      <c r="C2669" t="s">
        <v>53</v>
      </c>
      <c r="D2669" t="s">
        <v>24</v>
      </c>
      <c r="E2669" t="s">
        <v>50</v>
      </c>
      <c r="F2669" t="s">
        <v>46</v>
      </c>
      <c r="G2669" s="58">
        <v>83387</v>
      </c>
      <c r="H2669" s="1" t="s">
        <v>47</v>
      </c>
      <c r="I2669" s="1" t="s">
        <v>111</v>
      </c>
      <c r="J2669" s="58">
        <v>1334192</v>
      </c>
      <c r="K2669" s="1" t="s">
        <v>106</v>
      </c>
      <c r="L2669" s="1" t="s">
        <v>114</v>
      </c>
      <c r="N2669" s="1">
        <v>1</v>
      </c>
      <c r="O2669" s="58"/>
      <c r="P2669" s="58">
        <v>37524.15</v>
      </c>
      <c r="Q2669" t="s">
        <v>113</v>
      </c>
      <c r="R2669" s="1" t="s">
        <v>158</v>
      </c>
    </row>
    <row r="2670" spans="3:18" x14ac:dyDescent="0.35">
      <c r="C2670" t="s">
        <v>53</v>
      </c>
      <c r="D2670" t="s">
        <v>24</v>
      </c>
      <c r="E2670" t="s">
        <v>55</v>
      </c>
      <c r="F2670" t="s">
        <v>46</v>
      </c>
      <c r="G2670" s="58">
        <v>6998324</v>
      </c>
      <c r="H2670" s="1" t="s">
        <v>47</v>
      </c>
      <c r="I2670" s="1" t="s">
        <v>119</v>
      </c>
      <c r="J2670" s="58">
        <v>48988268</v>
      </c>
      <c r="K2670" s="1" t="s">
        <v>106</v>
      </c>
      <c r="L2670" s="1" t="s">
        <v>114</v>
      </c>
      <c r="N2670" s="1">
        <v>1</v>
      </c>
      <c r="O2670" s="58"/>
      <c r="P2670" s="58">
        <v>4688877.08</v>
      </c>
      <c r="Q2670" t="s">
        <v>118</v>
      </c>
      <c r="R2670" s="1" t="s">
        <v>158</v>
      </c>
    </row>
    <row r="2671" spans="3:18" x14ac:dyDescent="0.35">
      <c r="C2671" t="s">
        <v>51</v>
      </c>
      <c r="D2671" t="s">
        <v>23</v>
      </c>
      <c r="E2671" t="s">
        <v>45</v>
      </c>
      <c r="F2671" t="s">
        <v>46</v>
      </c>
      <c r="G2671" s="58">
        <v>756155</v>
      </c>
      <c r="H2671" s="1" t="s">
        <v>48</v>
      </c>
      <c r="I2671" s="1" t="s">
        <v>108</v>
      </c>
      <c r="J2671" s="58">
        <v>26465425</v>
      </c>
      <c r="K2671" s="1" t="s">
        <v>106</v>
      </c>
      <c r="L2671" s="1" t="s">
        <v>124</v>
      </c>
      <c r="M2671" s="1" t="s">
        <v>125</v>
      </c>
      <c r="N2671" s="1">
        <v>1</v>
      </c>
      <c r="O2671" s="58"/>
      <c r="P2671" s="58">
        <v>620047.1</v>
      </c>
      <c r="Q2671" t="s">
        <v>127</v>
      </c>
      <c r="R2671" s="1" t="s">
        <v>48</v>
      </c>
    </row>
    <row r="2672" spans="3:18" x14ac:dyDescent="0.35">
      <c r="C2672" t="s">
        <v>53</v>
      </c>
      <c r="D2672" t="s">
        <v>21</v>
      </c>
      <c r="E2672" t="s">
        <v>45</v>
      </c>
      <c r="F2672" t="s">
        <v>46</v>
      </c>
      <c r="G2672" s="58">
        <v>1154632</v>
      </c>
      <c r="H2672" s="1" t="s">
        <v>59</v>
      </c>
      <c r="I2672" s="1" t="s">
        <v>111</v>
      </c>
      <c r="J2672" s="58">
        <v>15010216</v>
      </c>
      <c r="K2672" s="1" t="s">
        <v>112</v>
      </c>
      <c r="N2672" s="1">
        <v>1</v>
      </c>
      <c r="O2672" s="58"/>
      <c r="P2672" s="58">
        <v>842881.36</v>
      </c>
      <c r="Q2672" t="s">
        <v>118</v>
      </c>
      <c r="R2672" s="1" t="s">
        <v>158</v>
      </c>
    </row>
    <row r="2673" spans="3:18" x14ac:dyDescent="0.35">
      <c r="C2673" t="s">
        <v>53</v>
      </c>
      <c r="D2673" t="s">
        <v>23</v>
      </c>
      <c r="E2673" t="s">
        <v>45</v>
      </c>
      <c r="F2673" t="s">
        <v>46</v>
      </c>
      <c r="G2673" s="58">
        <v>15160401</v>
      </c>
      <c r="H2673" s="1" t="s">
        <v>54</v>
      </c>
      <c r="I2673" s="1" t="s">
        <v>119</v>
      </c>
      <c r="J2673" s="58">
        <v>106122807</v>
      </c>
      <c r="K2673" s="1" t="s">
        <v>106</v>
      </c>
      <c r="L2673" s="1" t="s">
        <v>120</v>
      </c>
      <c r="N2673" s="1">
        <v>1</v>
      </c>
      <c r="O2673" s="58"/>
      <c r="P2673" s="58">
        <v>3790100.25</v>
      </c>
      <c r="Q2673" t="s">
        <v>107</v>
      </c>
      <c r="R2673" s="1" t="s">
        <v>158</v>
      </c>
    </row>
    <row r="2674" spans="3:18" x14ac:dyDescent="0.35">
      <c r="C2674" t="s">
        <v>51</v>
      </c>
      <c r="D2674" t="s">
        <v>24</v>
      </c>
      <c r="E2674" t="s">
        <v>50</v>
      </c>
      <c r="F2674" t="s">
        <v>46</v>
      </c>
      <c r="G2674" s="58">
        <v>349552</v>
      </c>
      <c r="H2674" s="1" t="s">
        <v>47</v>
      </c>
      <c r="I2674" s="1" t="s">
        <v>111</v>
      </c>
      <c r="J2674" s="58">
        <v>4893728</v>
      </c>
      <c r="K2674" s="1" t="s">
        <v>106</v>
      </c>
      <c r="L2674" s="1" t="s">
        <v>114</v>
      </c>
      <c r="N2674" s="1">
        <v>1</v>
      </c>
      <c r="O2674" s="58"/>
      <c r="P2674" s="58">
        <v>164289.44</v>
      </c>
      <c r="Q2674" t="s">
        <v>113</v>
      </c>
      <c r="R2674" s="1" t="s">
        <v>158</v>
      </c>
    </row>
    <row r="2675" spans="3:18" x14ac:dyDescent="0.35">
      <c r="C2675" t="s">
        <v>53</v>
      </c>
      <c r="D2675" t="s">
        <v>21</v>
      </c>
      <c r="E2675" t="s">
        <v>45</v>
      </c>
      <c r="F2675" t="s">
        <v>46</v>
      </c>
      <c r="G2675" s="58">
        <v>13410692</v>
      </c>
      <c r="H2675" s="1" t="s">
        <v>59</v>
      </c>
      <c r="I2675" s="1" t="s">
        <v>119</v>
      </c>
      <c r="J2675" s="58">
        <v>93874844</v>
      </c>
      <c r="K2675" s="1" t="s">
        <v>106</v>
      </c>
      <c r="L2675" s="1" t="s">
        <v>120</v>
      </c>
      <c r="N2675" s="1">
        <v>1</v>
      </c>
      <c r="O2675" s="58"/>
      <c r="P2675" s="58">
        <v>6437132.1600000001</v>
      </c>
      <c r="Q2675" t="s">
        <v>113</v>
      </c>
      <c r="R2675" s="1" t="s">
        <v>158</v>
      </c>
    </row>
    <row r="2676" spans="3:18" x14ac:dyDescent="0.35">
      <c r="C2676" t="s">
        <v>51</v>
      </c>
      <c r="D2676" t="s">
        <v>21</v>
      </c>
      <c r="E2676" t="s">
        <v>49</v>
      </c>
      <c r="F2676" t="s">
        <v>46</v>
      </c>
      <c r="G2676" s="58">
        <v>640629</v>
      </c>
      <c r="H2676" s="1" t="s">
        <v>48</v>
      </c>
      <c r="I2676" s="1" t="s">
        <v>119</v>
      </c>
      <c r="J2676" s="58">
        <v>5765661</v>
      </c>
      <c r="K2676" s="1" t="s">
        <v>106</v>
      </c>
      <c r="L2676" s="1" t="s">
        <v>124</v>
      </c>
      <c r="M2676" s="1" t="s">
        <v>126</v>
      </c>
      <c r="N2676" s="1">
        <v>1</v>
      </c>
      <c r="O2676" s="58"/>
      <c r="P2676" s="58">
        <v>301095.63</v>
      </c>
      <c r="Q2676" t="s">
        <v>113</v>
      </c>
      <c r="R2676" s="1" t="s">
        <v>48</v>
      </c>
    </row>
    <row r="2677" spans="3:18" x14ac:dyDescent="0.35">
      <c r="C2677" t="s">
        <v>51</v>
      </c>
      <c r="D2677" t="s">
        <v>21</v>
      </c>
      <c r="E2677" t="s">
        <v>45</v>
      </c>
      <c r="F2677" t="s">
        <v>46</v>
      </c>
      <c r="G2677" s="58">
        <v>22349</v>
      </c>
      <c r="H2677" s="1" t="s">
        <v>59</v>
      </c>
      <c r="I2677" s="1" t="s">
        <v>105</v>
      </c>
      <c r="J2677" s="58">
        <v>89396</v>
      </c>
      <c r="K2677" s="1" t="s">
        <v>106</v>
      </c>
      <c r="L2677" s="1" t="s">
        <v>120</v>
      </c>
      <c r="N2677" s="1">
        <v>1</v>
      </c>
      <c r="O2677" s="58"/>
      <c r="P2677" s="58">
        <v>12515.44</v>
      </c>
      <c r="Q2677" t="s">
        <v>113</v>
      </c>
      <c r="R2677" s="1" t="s">
        <v>158</v>
      </c>
    </row>
    <row r="2678" spans="3:18" x14ac:dyDescent="0.35">
      <c r="C2678" t="s">
        <v>51</v>
      </c>
      <c r="D2678" t="s">
        <v>20</v>
      </c>
      <c r="E2678" t="s">
        <v>49</v>
      </c>
      <c r="F2678" t="s">
        <v>46</v>
      </c>
      <c r="G2678" s="58">
        <v>133607220</v>
      </c>
      <c r="H2678" s="1" t="s">
        <v>48</v>
      </c>
      <c r="I2678" s="1" t="s">
        <v>108</v>
      </c>
      <c r="J2678" s="58">
        <v>4542645480</v>
      </c>
      <c r="K2678" s="1" t="s">
        <v>106</v>
      </c>
      <c r="L2678" s="1" t="s">
        <v>124</v>
      </c>
      <c r="M2678" s="1" t="s">
        <v>123</v>
      </c>
      <c r="N2678" s="1">
        <v>1</v>
      </c>
      <c r="O2678" s="58"/>
      <c r="P2678" s="58">
        <v>110893992.59999999</v>
      </c>
      <c r="Q2678" t="s">
        <v>127</v>
      </c>
      <c r="R2678" s="1" t="s">
        <v>158</v>
      </c>
    </row>
    <row r="2679" spans="3:18" x14ac:dyDescent="0.35">
      <c r="C2679" t="s">
        <v>51</v>
      </c>
      <c r="D2679" t="s">
        <v>19</v>
      </c>
      <c r="E2679" t="s">
        <v>45</v>
      </c>
      <c r="F2679" t="s">
        <v>46</v>
      </c>
      <c r="G2679" s="58">
        <v>396011</v>
      </c>
      <c r="H2679" s="1" t="s">
        <v>48</v>
      </c>
      <c r="I2679" s="1" t="s">
        <v>108</v>
      </c>
      <c r="J2679" s="58">
        <v>10296286</v>
      </c>
      <c r="K2679" s="1" t="s">
        <v>106</v>
      </c>
      <c r="L2679" s="1" t="s">
        <v>120</v>
      </c>
      <c r="M2679" s="1" t="s">
        <v>122</v>
      </c>
      <c r="N2679" s="1">
        <v>1</v>
      </c>
      <c r="O2679" s="58"/>
      <c r="P2679" s="58">
        <v>122763.41</v>
      </c>
      <c r="Q2679" t="s">
        <v>107</v>
      </c>
      <c r="R2679" s="1" t="s">
        <v>48</v>
      </c>
    </row>
    <row r="2680" spans="3:18" x14ac:dyDescent="0.35">
      <c r="C2680" t="s">
        <v>51</v>
      </c>
      <c r="D2680" t="s">
        <v>21</v>
      </c>
      <c r="E2680" t="s">
        <v>45</v>
      </c>
      <c r="F2680" t="s">
        <v>46</v>
      </c>
      <c r="G2680" s="58">
        <v>643414</v>
      </c>
      <c r="H2680" s="1" t="s">
        <v>48</v>
      </c>
      <c r="I2680" s="1" t="s">
        <v>108</v>
      </c>
      <c r="J2680" s="58">
        <v>22519490</v>
      </c>
      <c r="K2680" s="1" t="s">
        <v>106</v>
      </c>
      <c r="L2680" s="1" t="s">
        <v>114</v>
      </c>
      <c r="M2680" s="1" t="s">
        <v>126</v>
      </c>
      <c r="N2680" s="1">
        <v>1</v>
      </c>
      <c r="O2680" s="58"/>
      <c r="P2680" s="58">
        <v>521165.34</v>
      </c>
      <c r="Q2680" t="s">
        <v>127</v>
      </c>
      <c r="R2680" s="1" t="s">
        <v>48</v>
      </c>
    </row>
    <row r="2681" spans="3:18" x14ac:dyDescent="0.35">
      <c r="C2681" t="s">
        <v>51</v>
      </c>
      <c r="D2681" t="s">
        <v>22</v>
      </c>
      <c r="E2681" t="s">
        <v>49</v>
      </c>
      <c r="F2681" t="s">
        <v>46</v>
      </c>
      <c r="G2681" s="58">
        <v>1349296</v>
      </c>
      <c r="H2681" s="1" t="s">
        <v>48</v>
      </c>
      <c r="I2681" s="1" t="s">
        <v>108</v>
      </c>
      <c r="J2681" s="58">
        <v>39129584</v>
      </c>
      <c r="K2681" s="1" t="s">
        <v>112</v>
      </c>
      <c r="N2681" s="1">
        <v>1</v>
      </c>
      <c r="O2681" s="58"/>
      <c r="P2681" s="58">
        <v>458760.64</v>
      </c>
      <c r="Q2681" t="s">
        <v>107</v>
      </c>
      <c r="R2681" s="1" t="s">
        <v>48</v>
      </c>
    </row>
    <row r="2682" spans="3:18" x14ac:dyDescent="0.35">
      <c r="C2682" t="s">
        <v>53</v>
      </c>
      <c r="D2682" t="s">
        <v>21</v>
      </c>
      <c r="E2682" t="s">
        <v>45</v>
      </c>
      <c r="F2682" t="s">
        <v>46</v>
      </c>
      <c r="G2682" s="58">
        <v>2099289</v>
      </c>
      <c r="H2682" s="1" t="s">
        <v>47</v>
      </c>
      <c r="I2682" s="1" t="s">
        <v>128</v>
      </c>
      <c r="J2682" s="58"/>
      <c r="K2682" s="1" t="s">
        <v>106</v>
      </c>
      <c r="L2682" s="1" t="s">
        <v>120</v>
      </c>
      <c r="N2682" s="1">
        <v>0</v>
      </c>
      <c r="O2682" s="58"/>
      <c r="P2682" s="58">
        <v>1511488.08</v>
      </c>
      <c r="Q2682" t="s">
        <v>118</v>
      </c>
      <c r="R2682" s="1" t="s">
        <v>158</v>
      </c>
    </row>
    <row r="2683" spans="3:18" x14ac:dyDescent="0.35">
      <c r="C2683" t="s">
        <v>53</v>
      </c>
      <c r="D2683" t="s">
        <v>22</v>
      </c>
      <c r="E2683" t="s">
        <v>45</v>
      </c>
      <c r="F2683" t="s">
        <v>46</v>
      </c>
      <c r="G2683" s="58">
        <v>1204190</v>
      </c>
      <c r="H2683" s="1" t="s">
        <v>48</v>
      </c>
      <c r="I2683" s="1" t="s">
        <v>105</v>
      </c>
      <c r="J2683" s="58">
        <v>3612570</v>
      </c>
      <c r="K2683" s="1" t="s">
        <v>106</v>
      </c>
      <c r="L2683" s="1" t="s">
        <v>120</v>
      </c>
      <c r="M2683" s="1" t="s">
        <v>115</v>
      </c>
      <c r="N2683" s="1">
        <v>1</v>
      </c>
      <c r="O2683" s="58"/>
      <c r="P2683" s="58">
        <v>313089.40000000002</v>
      </c>
      <c r="Q2683" t="s">
        <v>107</v>
      </c>
      <c r="R2683" s="1" t="s">
        <v>158</v>
      </c>
    </row>
    <row r="2684" spans="3:18" x14ac:dyDescent="0.35">
      <c r="C2684" t="s">
        <v>51</v>
      </c>
      <c r="D2684" t="s">
        <v>23</v>
      </c>
      <c r="E2684" t="s">
        <v>52</v>
      </c>
      <c r="F2684" t="s">
        <v>46</v>
      </c>
      <c r="G2684" s="58">
        <v>247190</v>
      </c>
      <c r="H2684" s="1" t="s">
        <v>48</v>
      </c>
      <c r="I2684" s="1" t="s">
        <v>119</v>
      </c>
      <c r="J2684" s="58">
        <v>2224710</v>
      </c>
      <c r="K2684" s="1" t="s">
        <v>106</v>
      </c>
      <c r="L2684" s="1" t="s">
        <v>130</v>
      </c>
      <c r="M2684" s="1" t="s">
        <v>125</v>
      </c>
      <c r="N2684" s="1">
        <v>1</v>
      </c>
      <c r="O2684" s="58"/>
      <c r="P2684" s="58">
        <v>118651.2</v>
      </c>
      <c r="Q2684" t="s">
        <v>113</v>
      </c>
      <c r="R2684" s="1" t="s">
        <v>48</v>
      </c>
    </row>
    <row r="2685" spans="3:18" x14ac:dyDescent="0.35">
      <c r="C2685" t="s">
        <v>51</v>
      </c>
      <c r="D2685" t="s">
        <v>21</v>
      </c>
      <c r="E2685" t="s">
        <v>49</v>
      </c>
      <c r="F2685" t="s">
        <v>46</v>
      </c>
      <c r="G2685" s="58">
        <v>168802</v>
      </c>
      <c r="H2685" s="1" t="s">
        <v>47</v>
      </c>
      <c r="I2685" s="1" t="s">
        <v>105</v>
      </c>
      <c r="J2685" s="58">
        <v>506406</v>
      </c>
      <c r="K2685" s="1" t="s">
        <v>106</v>
      </c>
      <c r="L2685" s="1" t="s">
        <v>124</v>
      </c>
      <c r="N2685" s="1">
        <v>1</v>
      </c>
      <c r="O2685" s="58"/>
      <c r="P2685" s="58">
        <v>248138.94</v>
      </c>
      <c r="Q2685" t="s">
        <v>110</v>
      </c>
      <c r="R2685" s="1" t="s">
        <v>158</v>
      </c>
    </row>
    <row r="2686" spans="3:18" x14ac:dyDescent="0.35">
      <c r="C2686" t="s">
        <v>51</v>
      </c>
      <c r="D2686" t="s">
        <v>19</v>
      </c>
      <c r="E2686" t="s">
        <v>49</v>
      </c>
      <c r="F2686" t="s">
        <v>46</v>
      </c>
      <c r="G2686" s="58">
        <v>1450722</v>
      </c>
      <c r="H2686" s="1" t="s">
        <v>48</v>
      </c>
      <c r="I2686" s="1" t="s">
        <v>111</v>
      </c>
      <c r="J2686" s="58">
        <v>26112996</v>
      </c>
      <c r="K2686" s="1" t="s">
        <v>112</v>
      </c>
      <c r="N2686" s="1">
        <v>1</v>
      </c>
      <c r="O2686" s="58"/>
      <c r="P2686" s="58">
        <v>1189592.04</v>
      </c>
      <c r="Q2686" t="s">
        <v>127</v>
      </c>
      <c r="R2686" s="1" t="s">
        <v>48</v>
      </c>
    </row>
    <row r="2687" spans="3:18" x14ac:dyDescent="0.35">
      <c r="C2687" t="s">
        <v>51</v>
      </c>
      <c r="D2687" t="s">
        <v>24</v>
      </c>
      <c r="E2687" t="s">
        <v>49</v>
      </c>
      <c r="F2687" t="s">
        <v>46</v>
      </c>
      <c r="G2687" s="58">
        <v>461302</v>
      </c>
      <c r="H2687" s="1" t="s">
        <v>48</v>
      </c>
      <c r="I2687" s="1" t="s">
        <v>108</v>
      </c>
      <c r="J2687" s="58">
        <v>16606872</v>
      </c>
      <c r="K2687" s="1" t="s">
        <v>106</v>
      </c>
      <c r="L2687" s="1" t="s">
        <v>120</v>
      </c>
      <c r="M2687" s="1" t="s">
        <v>121</v>
      </c>
      <c r="N2687" s="1">
        <v>1</v>
      </c>
      <c r="O2687" s="58"/>
      <c r="P2687" s="58">
        <v>378267.64</v>
      </c>
      <c r="Q2687" t="s">
        <v>127</v>
      </c>
      <c r="R2687" s="1" t="s">
        <v>158</v>
      </c>
    </row>
    <row r="2688" spans="3:18" x14ac:dyDescent="0.35">
      <c r="C2688" t="s">
        <v>53</v>
      </c>
      <c r="D2688" t="s">
        <v>21</v>
      </c>
      <c r="E2688" t="s">
        <v>49</v>
      </c>
      <c r="F2688" t="s">
        <v>46</v>
      </c>
      <c r="G2688" s="58">
        <v>871136</v>
      </c>
      <c r="H2688" s="1" t="s">
        <v>48</v>
      </c>
      <c r="I2688" s="1" t="s">
        <v>111</v>
      </c>
      <c r="J2688" s="58">
        <v>11324768</v>
      </c>
      <c r="K2688" s="1" t="s">
        <v>112</v>
      </c>
      <c r="N2688" s="1">
        <v>1</v>
      </c>
      <c r="O2688" s="58"/>
      <c r="P2688" s="58">
        <v>688197.44</v>
      </c>
      <c r="Q2688" t="s">
        <v>118</v>
      </c>
      <c r="R2688" s="1" t="s">
        <v>48</v>
      </c>
    </row>
    <row r="2689" spans="3:18" x14ac:dyDescent="0.35">
      <c r="C2689" t="s">
        <v>53</v>
      </c>
      <c r="D2689" t="s">
        <v>24</v>
      </c>
      <c r="E2689" t="s">
        <v>55</v>
      </c>
      <c r="F2689" t="s">
        <v>46</v>
      </c>
      <c r="G2689" s="58">
        <v>264296</v>
      </c>
      <c r="H2689" s="1" t="s">
        <v>48</v>
      </c>
      <c r="I2689" s="1" t="s">
        <v>111</v>
      </c>
      <c r="J2689" s="58">
        <v>3435848</v>
      </c>
      <c r="K2689" s="1" t="s">
        <v>106</v>
      </c>
      <c r="L2689" s="1" t="s">
        <v>114</v>
      </c>
      <c r="M2689" s="1" t="s">
        <v>121</v>
      </c>
      <c r="N2689" s="1">
        <v>1</v>
      </c>
      <c r="O2689" s="58"/>
      <c r="P2689" s="58">
        <v>66074</v>
      </c>
      <c r="Q2689" t="s">
        <v>107</v>
      </c>
      <c r="R2689" s="1" t="s">
        <v>158</v>
      </c>
    </row>
    <row r="2690" spans="3:18" x14ac:dyDescent="0.35">
      <c r="C2690" t="s">
        <v>51</v>
      </c>
      <c r="D2690" t="s">
        <v>23</v>
      </c>
      <c r="E2690" t="s">
        <v>55</v>
      </c>
      <c r="F2690" t="s">
        <v>46</v>
      </c>
      <c r="G2690" s="58">
        <v>200087</v>
      </c>
      <c r="H2690" s="1" t="s">
        <v>54</v>
      </c>
      <c r="I2690" s="1" t="s">
        <v>128</v>
      </c>
      <c r="J2690" s="58"/>
      <c r="K2690" s="1" t="s">
        <v>106</v>
      </c>
      <c r="L2690" s="1" t="s">
        <v>114</v>
      </c>
      <c r="N2690" s="1">
        <v>0</v>
      </c>
      <c r="O2690" s="58"/>
      <c r="P2690" s="58">
        <v>58025.23</v>
      </c>
      <c r="Q2690" t="s">
        <v>107</v>
      </c>
      <c r="R2690" s="1" t="s">
        <v>158</v>
      </c>
    </row>
    <row r="2691" spans="3:18" x14ac:dyDescent="0.35">
      <c r="C2691" t="s">
        <v>53</v>
      </c>
      <c r="D2691" t="s">
        <v>21</v>
      </c>
      <c r="E2691" t="s">
        <v>45</v>
      </c>
      <c r="F2691" t="s">
        <v>46</v>
      </c>
      <c r="G2691" s="58">
        <v>2039741</v>
      </c>
      <c r="H2691" s="1" t="s">
        <v>47</v>
      </c>
      <c r="I2691" s="1" t="s">
        <v>111</v>
      </c>
      <c r="J2691" s="58">
        <v>28556374</v>
      </c>
      <c r="K2691" s="1" t="s">
        <v>112</v>
      </c>
      <c r="N2691" s="1">
        <v>1</v>
      </c>
      <c r="O2691" s="58"/>
      <c r="P2691" s="58">
        <v>1060665.32</v>
      </c>
      <c r="Q2691" t="s">
        <v>113</v>
      </c>
      <c r="R2691" s="1" t="s">
        <v>158</v>
      </c>
    </row>
    <row r="2692" spans="3:18" x14ac:dyDescent="0.35">
      <c r="C2692" t="s">
        <v>44</v>
      </c>
      <c r="D2692" t="s">
        <v>19</v>
      </c>
      <c r="E2692" t="s">
        <v>49</v>
      </c>
      <c r="F2692" t="s">
        <v>46</v>
      </c>
      <c r="G2692" s="58">
        <v>279173</v>
      </c>
      <c r="H2692" s="1" t="s">
        <v>54</v>
      </c>
      <c r="I2692" s="1" t="s">
        <v>108</v>
      </c>
      <c r="J2692" s="58"/>
      <c r="N2692" s="1">
        <v>0</v>
      </c>
      <c r="O2692" s="58"/>
      <c r="P2692" s="58"/>
      <c r="R2692" s="1" t="s">
        <v>158</v>
      </c>
    </row>
    <row r="2693" spans="3:18" x14ac:dyDescent="0.35">
      <c r="C2693" t="s">
        <v>53</v>
      </c>
      <c r="D2693" t="s">
        <v>20</v>
      </c>
      <c r="E2693" t="s">
        <v>45</v>
      </c>
      <c r="F2693" t="s">
        <v>46</v>
      </c>
      <c r="G2693" s="58">
        <v>1226153</v>
      </c>
      <c r="H2693" s="1" t="s">
        <v>59</v>
      </c>
      <c r="I2693" s="1" t="s">
        <v>111</v>
      </c>
      <c r="J2693" s="58">
        <v>14713836</v>
      </c>
      <c r="K2693" s="1" t="s">
        <v>106</v>
      </c>
      <c r="L2693" s="1" t="s">
        <v>120</v>
      </c>
      <c r="N2693" s="1">
        <v>1</v>
      </c>
      <c r="O2693" s="58"/>
      <c r="P2693" s="58">
        <v>367845.9</v>
      </c>
      <c r="Q2693" t="s">
        <v>107</v>
      </c>
      <c r="R2693" s="1" t="s">
        <v>158</v>
      </c>
    </row>
    <row r="2694" spans="3:18" x14ac:dyDescent="0.35">
      <c r="C2694" t="s">
        <v>51</v>
      </c>
      <c r="D2694" t="s">
        <v>23</v>
      </c>
      <c r="E2694" t="s">
        <v>52</v>
      </c>
      <c r="F2694" t="s">
        <v>64</v>
      </c>
      <c r="G2694" s="58">
        <v>46605</v>
      </c>
      <c r="H2694" s="1" t="s">
        <v>48</v>
      </c>
      <c r="I2694" s="1" t="s">
        <v>108</v>
      </c>
      <c r="J2694" s="58">
        <v>1631175</v>
      </c>
      <c r="K2694" s="1" t="s">
        <v>112</v>
      </c>
      <c r="N2694" s="1">
        <v>1</v>
      </c>
      <c r="O2694" s="58"/>
      <c r="P2694" s="58">
        <v>13981.5</v>
      </c>
      <c r="Q2694" t="s">
        <v>107</v>
      </c>
      <c r="R2694" s="1" t="s">
        <v>48</v>
      </c>
    </row>
    <row r="2695" spans="3:18" x14ac:dyDescent="0.35">
      <c r="C2695" t="s">
        <v>51</v>
      </c>
      <c r="D2695" t="s">
        <v>20</v>
      </c>
      <c r="E2695" t="s">
        <v>49</v>
      </c>
      <c r="F2695" t="s">
        <v>46</v>
      </c>
      <c r="G2695" s="58">
        <v>26236454</v>
      </c>
      <c r="H2695" s="1" t="s">
        <v>59</v>
      </c>
      <c r="I2695" s="1" t="s">
        <v>108</v>
      </c>
      <c r="J2695" s="58">
        <v>708384258</v>
      </c>
      <c r="K2695" s="1" t="s">
        <v>106</v>
      </c>
      <c r="L2695" s="1" t="s">
        <v>124</v>
      </c>
      <c r="N2695" s="1">
        <v>1</v>
      </c>
      <c r="O2695" s="58"/>
      <c r="P2695" s="58">
        <v>7608571.6600000001</v>
      </c>
      <c r="Q2695" t="s">
        <v>107</v>
      </c>
      <c r="R2695" s="1" t="s">
        <v>158</v>
      </c>
    </row>
    <row r="2696" spans="3:18" x14ac:dyDescent="0.35">
      <c r="C2696" t="s">
        <v>53</v>
      </c>
      <c r="D2696" t="s">
        <v>21</v>
      </c>
      <c r="E2696" t="s">
        <v>45</v>
      </c>
      <c r="F2696" t="s">
        <v>46</v>
      </c>
      <c r="G2696" s="58">
        <v>11519134</v>
      </c>
      <c r="H2696" s="1" t="s">
        <v>59</v>
      </c>
      <c r="I2696" s="1" t="s">
        <v>105</v>
      </c>
      <c r="J2696" s="58">
        <v>34557402</v>
      </c>
      <c r="K2696" s="1" t="s">
        <v>106</v>
      </c>
      <c r="L2696" s="1" t="s">
        <v>120</v>
      </c>
      <c r="N2696" s="1">
        <v>1</v>
      </c>
      <c r="O2696" s="58"/>
      <c r="P2696" s="58">
        <v>2534209.48</v>
      </c>
      <c r="Q2696" t="s">
        <v>107</v>
      </c>
      <c r="R2696" s="1" t="s">
        <v>158</v>
      </c>
    </row>
    <row r="2697" spans="3:18" x14ac:dyDescent="0.35">
      <c r="C2697" t="s">
        <v>53</v>
      </c>
      <c r="D2697" t="s">
        <v>20</v>
      </c>
      <c r="E2697" t="s">
        <v>55</v>
      </c>
      <c r="F2697" t="s">
        <v>46</v>
      </c>
      <c r="G2697" s="58">
        <v>861010</v>
      </c>
      <c r="H2697" s="1" t="s">
        <v>48</v>
      </c>
      <c r="I2697" s="1" t="s">
        <v>111</v>
      </c>
      <c r="J2697" s="58">
        <v>12054140</v>
      </c>
      <c r="K2697" s="1" t="s">
        <v>106</v>
      </c>
      <c r="L2697" s="1" t="s">
        <v>114</v>
      </c>
      <c r="M2697" s="1" t="s">
        <v>123</v>
      </c>
      <c r="N2697" s="1">
        <v>1</v>
      </c>
      <c r="O2697" s="58"/>
      <c r="P2697" s="58">
        <v>439115.1</v>
      </c>
      <c r="Q2697" t="s">
        <v>113</v>
      </c>
      <c r="R2697" s="1" t="s">
        <v>158</v>
      </c>
    </row>
    <row r="2698" spans="3:18" x14ac:dyDescent="0.35">
      <c r="C2698" t="s">
        <v>51</v>
      </c>
      <c r="D2698" t="s">
        <v>19</v>
      </c>
      <c r="E2698" t="s">
        <v>49</v>
      </c>
      <c r="F2698" t="s">
        <v>46</v>
      </c>
      <c r="G2698" s="58">
        <v>4760906</v>
      </c>
      <c r="H2698" s="1" t="s">
        <v>59</v>
      </c>
      <c r="I2698" s="1" t="s">
        <v>111</v>
      </c>
      <c r="J2698" s="58">
        <v>85696308</v>
      </c>
      <c r="K2698" s="1" t="s">
        <v>106</v>
      </c>
      <c r="L2698" s="1" t="s">
        <v>124</v>
      </c>
      <c r="N2698" s="1">
        <v>1</v>
      </c>
      <c r="O2698" s="58"/>
      <c r="P2698" s="58">
        <v>3237416.08</v>
      </c>
      <c r="Q2698" t="s">
        <v>118</v>
      </c>
      <c r="R2698" s="1" t="s">
        <v>158</v>
      </c>
    </row>
    <row r="2699" spans="3:18" x14ac:dyDescent="0.35">
      <c r="C2699" t="s">
        <v>51</v>
      </c>
      <c r="D2699" t="s">
        <v>24</v>
      </c>
      <c r="E2699" t="s">
        <v>45</v>
      </c>
      <c r="F2699" t="s">
        <v>46</v>
      </c>
      <c r="G2699" s="58">
        <v>447209</v>
      </c>
      <c r="H2699" s="1" t="s">
        <v>48</v>
      </c>
      <c r="I2699" s="1" t="s">
        <v>119</v>
      </c>
      <c r="J2699" s="58">
        <v>4024881</v>
      </c>
      <c r="K2699" s="1" t="s">
        <v>106</v>
      </c>
      <c r="L2699" s="1" t="s">
        <v>120</v>
      </c>
      <c r="M2699" s="1" t="s">
        <v>121</v>
      </c>
      <c r="N2699" s="1">
        <v>1</v>
      </c>
      <c r="O2699" s="58"/>
      <c r="P2699" s="58">
        <v>245964.95</v>
      </c>
      <c r="Q2699" t="s">
        <v>113</v>
      </c>
      <c r="R2699" s="1" t="s">
        <v>48</v>
      </c>
    </row>
    <row r="2700" spans="3:18" x14ac:dyDescent="0.35">
      <c r="C2700" t="s">
        <v>51</v>
      </c>
      <c r="D2700" t="s">
        <v>23</v>
      </c>
      <c r="E2700" t="s">
        <v>55</v>
      </c>
      <c r="F2700" t="s">
        <v>46</v>
      </c>
      <c r="G2700" s="58">
        <v>296292</v>
      </c>
      <c r="H2700" s="1" t="s">
        <v>48</v>
      </c>
      <c r="I2700" s="1" t="s">
        <v>119</v>
      </c>
      <c r="J2700" s="58">
        <v>2666628</v>
      </c>
      <c r="K2700" s="1" t="s">
        <v>112</v>
      </c>
      <c r="N2700" s="1">
        <v>1</v>
      </c>
      <c r="O2700" s="58"/>
      <c r="P2700" s="58">
        <v>68147.16</v>
      </c>
      <c r="Q2700" t="s">
        <v>107</v>
      </c>
      <c r="R2700" s="1" t="s">
        <v>48</v>
      </c>
    </row>
    <row r="2701" spans="3:18" x14ac:dyDescent="0.35">
      <c r="C2701" t="s">
        <v>53</v>
      </c>
      <c r="D2701" t="s">
        <v>24</v>
      </c>
      <c r="E2701" t="s">
        <v>49</v>
      </c>
      <c r="F2701" t="s">
        <v>46</v>
      </c>
      <c r="G2701" s="58">
        <v>981534</v>
      </c>
      <c r="H2701" s="1" t="s">
        <v>48</v>
      </c>
      <c r="I2701" s="1" t="s">
        <v>119</v>
      </c>
      <c r="J2701" s="58">
        <v>6870738</v>
      </c>
      <c r="K2701" s="1" t="s">
        <v>106</v>
      </c>
      <c r="L2701" s="1" t="s">
        <v>124</v>
      </c>
      <c r="M2701" s="1" t="s">
        <v>121</v>
      </c>
      <c r="N2701" s="1">
        <v>1</v>
      </c>
      <c r="O2701" s="58"/>
      <c r="P2701" s="58">
        <v>186491.46</v>
      </c>
      <c r="Q2701" t="s">
        <v>107</v>
      </c>
      <c r="R2701" s="1" t="s">
        <v>48</v>
      </c>
    </row>
    <row r="2702" spans="3:18" x14ac:dyDescent="0.35">
      <c r="C2702" t="s">
        <v>53</v>
      </c>
      <c r="D2702" t="s">
        <v>92</v>
      </c>
      <c r="E2702" t="s">
        <v>45</v>
      </c>
      <c r="F2702" t="s">
        <v>46</v>
      </c>
      <c r="G2702" s="58">
        <v>632604</v>
      </c>
      <c r="H2702" s="1" t="s">
        <v>47</v>
      </c>
      <c r="I2702" s="1" t="s">
        <v>105</v>
      </c>
      <c r="J2702" s="58">
        <v>3163020</v>
      </c>
      <c r="K2702" s="1" t="s">
        <v>106</v>
      </c>
      <c r="L2702" s="1" t="s">
        <v>120</v>
      </c>
      <c r="N2702" s="1">
        <v>1</v>
      </c>
      <c r="O2702" s="58"/>
      <c r="P2702" s="58">
        <v>284671.8</v>
      </c>
      <c r="Q2702" t="s">
        <v>113</v>
      </c>
      <c r="R2702" s="1" t="s">
        <v>158</v>
      </c>
    </row>
    <row r="2703" spans="3:18" x14ac:dyDescent="0.35">
      <c r="C2703" t="s">
        <v>51</v>
      </c>
      <c r="D2703" t="s">
        <v>24</v>
      </c>
      <c r="E2703" t="s">
        <v>45</v>
      </c>
      <c r="F2703" t="s">
        <v>46</v>
      </c>
      <c r="G2703" s="58">
        <v>5451723</v>
      </c>
      <c r="H2703" s="1" t="s">
        <v>59</v>
      </c>
      <c r="I2703" s="1" t="s">
        <v>111</v>
      </c>
      <c r="J2703" s="58">
        <v>76324122</v>
      </c>
      <c r="K2703" s="1" t="s">
        <v>106</v>
      </c>
      <c r="L2703" s="1" t="s">
        <v>120</v>
      </c>
      <c r="N2703" s="1">
        <v>1</v>
      </c>
      <c r="O2703" s="58"/>
      <c r="P2703" s="58">
        <v>1417447.98</v>
      </c>
      <c r="Q2703" t="s">
        <v>107</v>
      </c>
      <c r="R2703" s="1" t="s">
        <v>158</v>
      </c>
    </row>
    <row r="2704" spans="3:18" x14ac:dyDescent="0.35">
      <c r="C2704" t="s">
        <v>51</v>
      </c>
      <c r="D2704" t="s">
        <v>92</v>
      </c>
      <c r="E2704" t="s">
        <v>49</v>
      </c>
      <c r="F2704" t="s">
        <v>46</v>
      </c>
      <c r="G2704" s="58">
        <v>92530455</v>
      </c>
      <c r="H2704" s="1" t="s">
        <v>56</v>
      </c>
      <c r="I2704" s="1" t="s">
        <v>108</v>
      </c>
      <c r="J2704" s="58">
        <v>2683383195</v>
      </c>
      <c r="K2704" s="1" t="s">
        <v>106</v>
      </c>
      <c r="L2704" s="1" t="s">
        <v>124</v>
      </c>
      <c r="N2704" s="1">
        <v>1</v>
      </c>
      <c r="O2704" s="58"/>
      <c r="P2704" s="58">
        <v>63846013.950000003</v>
      </c>
      <c r="Q2704" t="s">
        <v>118</v>
      </c>
      <c r="R2704" s="1" t="s">
        <v>158</v>
      </c>
    </row>
    <row r="2705" spans="3:18" x14ac:dyDescent="0.35">
      <c r="C2705" t="s">
        <v>51</v>
      </c>
      <c r="D2705" t="s">
        <v>24</v>
      </c>
      <c r="E2705" t="s">
        <v>62</v>
      </c>
      <c r="F2705" t="s">
        <v>46</v>
      </c>
      <c r="G2705" s="58">
        <v>1189194</v>
      </c>
      <c r="H2705" s="1" t="s">
        <v>48</v>
      </c>
      <c r="I2705" s="1" t="s">
        <v>111</v>
      </c>
      <c r="J2705" s="58">
        <v>21405492</v>
      </c>
      <c r="K2705" s="1" t="s">
        <v>112</v>
      </c>
      <c r="N2705" s="1">
        <v>1</v>
      </c>
      <c r="O2705" s="58"/>
      <c r="P2705" s="58">
        <v>820543.86</v>
      </c>
      <c r="Q2705" t="s">
        <v>118</v>
      </c>
      <c r="R2705" s="1" t="s">
        <v>48</v>
      </c>
    </row>
    <row r="2706" spans="3:18" x14ac:dyDescent="0.35">
      <c r="C2706" t="s">
        <v>53</v>
      </c>
      <c r="D2706" t="s">
        <v>22</v>
      </c>
      <c r="E2706" t="s">
        <v>45</v>
      </c>
      <c r="F2706" t="s">
        <v>46</v>
      </c>
      <c r="G2706" s="58">
        <v>772523</v>
      </c>
      <c r="H2706" s="1" t="s">
        <v>48</v>
      </c>
      <c r="I2706" s="1" t="s">
        <v>119</v>
      </c>
      <c r="J2706" s="58">
        <v>6180184</v>
      </c>
      <c r="K2706" s="1" t="s">
        <v>106</v>
      </c>
      <c r="L2706" s="1" t="s">
        <v>120</v>
      </c>
      <c r="M2706" s="1" t="s">
        <v>115</v>
      </c>
      <c r="N2706" s="1">
        <v>1</v>
      </c>
      <c r="O2706" s="58"/>
      <c r="P2706" s="58">
        <v>262657.82</v>
      </c>
      <c r="Q2706" t="s">
        <v>107</v>
      </c>
      <c r="R2706" s="1" t="s">
        <v>158</v>
      </c>
    </row>
    <row r="2707" spans="3:18" x14ac:dyDescent="0.35">
      <c r="C2707" t="s">
        <v>51</v>
      </c>
      <c r="D2707" t="s">
        <v>23</v>
      </c>
      <c r="E2707" t="s">
        <v>45</v>
      </c>
      <c r="F2707" t="s">
        <v>46</v>
      </c>
      <c r="G2707" s="58">
        <v>227890</v>
      </c>
      <c r="H2707" s="1" t="s">
        <v>56</v>
      </c>
      <c r="I2707" s="1" t="s">
        <v>119</v>
      </c>
      <c r="J2707" s="58">
        <v>1823120</v>
      </c>
      <c r="K2707" s="1" t="s">
        <v>106</v>
      </c>
      <c r="L2707" s="1" t="s">
        <v>124</v>
      </c>
      <c r="N2707" s="1">
        <v>1</v>
      </c>
      <c r="O2707" s="58"/>
      <c r="P2707" s="58">
        <v>34183.5</v>
      </c>
      <c r="Q2707" t="s">
        <v>107</v>
      </c>
      <c r="R2707" s="1" t="s">
        <v>158</v>
      </c>
    </row>
    <row r="2708" spans="3:18" x14ac:dyDescent="0.35">
      <c r="C2708" t="s">
        <v>53</v>
      </c>
      <c r="D2708" t="s">
        <v>21</v>
      </c>
      <c r="E2708" t="s">
        <v>45</v>
      </c>
      <c r="F2708" t="s">
        <v>46</v>
      </c>
      <c r="G2708" s="58">
        <v>29926858</v>
      </c>
      <c r="H2708" s="1" t="s">
        <v>58</v>
      </c>
      <c r="I2708" s="1" t="s">
        <v>119</v>
      </c>
      <c r="J2708" s="58">
        <v>179561148</v>
      </c>
      <c r="K2708" s="1" t="s">
        <v>106</v>
      </c>
      <c r="L2708" s="1" t="s">
        <v>120</v>
      </c>
      <c r="N2708" s="1">
        <v>1</v>
      </c>
      <c r="O2708" s="58"/>
      <c r="P2708" s="58">
        <v>5087565.8600000003</v>
      </c>
      <c r="Q2708" t="s">
        <v>107</v>
      </c>
      <c r="R2708" s="1" t="s">
        <v>158</v>
      </c>
    </row>
    <row r="2709" spans="3:18" x14ac:dyDescent="0.35">
      <c r="C2709" t="s">
        <v>53</v>
      </c>
      <c r="D2709" t="s">
        <v>24</v>
      </c>
      <c r="E2709" t="s">
        <v>55</v>
      </c>
      <c r="F2709" t="s">
        <v>46</v>
      </c>
      <c r="G2709" s="58">
        <v>2330358</v>
      </c>
      <c r="H2709" s="1" t="s">
        <v>54</v>
      </c>
      <c r="I2709" s="1" t="s">
        <v>119</v>
      </c>
      <c r="J2709" s="58">
        <v>16312506</v>
      </c>
      <c r="K2709" s="1" t="s">
        <v>106</v>
      </c>
      <c r="L2709" s="1" t="s">
        <v>114</v>
      </c>
      <c r="N2709" s="1">
        <v>1</v>
      </c>
      <c r="O2709" s="58"/>
      <c r="P2709" s="58">
        <v>629196.66</v>
      </c>
      <c r="Q2709" t="s">
        <v>107</v>
      </c>
      <c r="R2709" s="1" t="s">
        <v>158</v>
      </c>
    </row>
    <row r="2710" spans="3:18" x14ac:dyDescent="0.35">
      <c r="C2710" t="s">
        <v>51</v>
      </c>
      <c r="D2710" t="s">
        <v>92</v>
      </c>
      <c r="E2710" t="s">
        <v>49</v>
      </c>
      <c r="F2710" t="s">
        <v>46</v>
      </c>
      <c r="G2710" s="58">
        <v>45882997</v>
      </c>
      <c r="H2710" s="1" t="s">
        <v>48</v>
      </c>
      <c r="I2710" s="1" t="s">
        <v>108</v>
      </c>
      <c r="J2710" s="58">
        <v>1697670889</v>
      </c>
      <c r="K2710" s="1" t="s">
        <v>112</v>
      </c>
      <c r="N2710" s="1">
        <v>1</v>
      </c>
      <c r="O2710" s="58"/>
      <c r="P2710" s="58">
        <v>40835867.329999998</v>
      </c>
      <c r="Q2710" t="s">
        <v>127</v>
      </c>
      <c r="R2710" s="1" t="s">
        <v>48</v>
      </c>
    </row>
    <row r="2711" spans="3:18" x14ac:dyDescent="0.35">
      <c r="C2711" t="s">
        <v>53</v>
      </c>
      <c r="D2711" t="s">
        <v>21</v>
      </c>
      <c r="E2711" t="s">
        <v>49</v>
      </c>
      <c r="F2711" t="s">
        <v>46</v>
      </c>
      <c r="G2711" s="58">
        <v>940490</v>
      </c>
      <c r="H2711" s="1" t="s">
        <v>59</v>
      </c>
      <c r="I2711" s="1" t="s">
        <v>111</v>
      </c>
      <c r="J2711" s="58">
        <v>13166860</v>
      </c>
      <c r="K2711" s="1" t="s">
        <v>106</v>
      </c>
      <c r="L2711" s="1" t="s">
        <v>124</v>
      </c>
      <c r="N2711" s="1">
        <v>1</v>
      </c>
      <c r="O2711" s="58"/>
      <c r="P2711" s="58">
        <v>827631.2</v>
      </c>
      <c r="Q2711" t="s">
        <v>127</v>
      </c>
      <c r="R2711" s="1" t="s">
        <v>158</v>
      </c>
    </row>
    <row r="2712" spans="3:18" x14ac:dyDescent="0.35">
      <c r="C2712" t="s">
        <v>51</v>
      </c>
      <c r="D2712" t="s">
        <v>23</v>
      </c>
      <c r="E2712" t="s">
        <v>55</v>
      </c>
      <c r="F2712" t="s">
        <v>46</v>
      </c>
      <c r="G2712" s="58">
        <v>2637</v>
      </c>
      <c r="H2712" s="1" t="s">
        <v>56</v>
      </c>
      <c r="I2712" s="1" t="s">
        <v>105</v>
      </c>
      <c r="J2712" s="58">
        <v>10548</v>
      </c>
      <c r="K2712" s="1" t="s">
        <v>106</v>
      </c>
      <c r="L2712" s="1" t="s">
        <v>114</v>
      </c>
      <c r="N2712" s="1">
        <v>1</v>
      </c>
      <c r="O2712" s="58"/>
      <c r="P2712" s="58">
        <v>1081.17</v>
      </c>
      <c r="Q2712" t="s">
        <v>113</v>
      </c>
      <c r="R2712" s="1" t="s">
        <v>158</v>
      </c>
    </row>
    <row r="2713" spans="3:18" x14ac:dyDescent="0.35">
      <c r="C2713" t="s">
        <v>51</v>
      </c>
      <c r="D2713" t="s">
        <v>92</v>
      </c>
      <c r="E2713" t="s">
        <v>49</v>
      </c>
      <c r="F2713" t="s">
        <v>46</v>
      </c>
      <c r="G2713" s="58">
        <v>10102425</v>
      </c>
      <c r="H2713" s="1" t="s">
        <v>47</v>
      </c>
      <c r="I2713" s="1" t="s">
        <v>111</v>
      </c>
      <c r="J2713" s="58">
        <v>161638800</v>
      </c>
      <c r="K2713" s="1" t="s">
        <v>106</v>
      </c>
      <c r="L2713" s="1" t="s">
        <v>124</v>
      </c>
      <c r="N2713" s="1">
        <v>1</v>
      </c>
      <c r="O2713" s="58"/>
      <c r="P2713" s="58">
        <v>6768624.75</v>
      </c>
      <c r="Q2713" t="s">
        <v>118</v>
      </c>
      <c r="R2713" s="1" t="s">
        <v>158</v>
      </c>
    </row>
    <row r="2714" spans="3:18" x14ac:dyDescent="0.35">
      <c r="C2714" t="s">
        <v>51</v>
      </c>
      <c r="D2714" t="s">
        <v>22</v>
      </c>
      <c r="E2714" t="s">
        <v>45</v>
      </c>
      <c r="F2714" t="s">
        <v>64</v>
      </c>
      <c r="G2714" s="58">
        <v>270137</v>
      </c>
      <c r="H2714" s="1" t="s">
        <v>48</v>
      </c>
      <c r="I2714" s="1" t="s">
        <v>111</v>
      </c>
      <c r="J2714" s="58">
        <v>4052055</v>
      </c>
      <c r="K2714" s="1" t="s">
        <v>112</v>
      </c>
      <c r="N2714" s="1">
        <v>1</v>
      </c>
      <c r="O2714" s="58"/>
      <c r="P2714" s="58">
        <v>153978.09</v>
      </c>
      <c r="Q2714" t="s">
        <v>113</v>
      </c>
      <c r="R2714" s="1" t="s">
        <v>48</v>
      </c>
    </row>
    <row r="2715" spans="3:18" x14ac:dyDescent="0.35">
      <c r="C2715" t="s">
        <v>51</v>
      </c>
      <c r="D2715" t="s">
        <v>92</v>
      </c>
      <c r="E2715" t="s">
        <v>49</v>
      </c>
      <c r="F2715" t="s">
        <v>46</v>
      </c>
      <c r="G2715" s="58">
        <v>431988</v>
      </c>
      <c r="H2715" s="1" t="s">
        <v>59</v>
      </c>
      <c r="I2715" s="1" t="s">
        <v>108</v>
      </c>
      <c r="J2715" s="58">
        <v>11663676</v>
      </c>
      <c r="K2715" s="1" t="s">
        <v>106</v>
      </c>
      <c r="L2715" s="1" t="s">
        <v>120</v>
      </c>
      <c r="N2715" s="1">
        <v>1</v>
      </c>
      <c r="O2715" s="58"/>
      <c r="P2715" s="58">
        <v>237593.4</v>
      </c>
      <c r="Q2715" t="s">
        <v>113</v>
      </c>
      <c r="R2715" s="1" t="s">
        <v>158</v>
      </c>
    </row>
    <row r="2716" spans="3:18" x14ac:dyDescent="0.35">
      <c r="C2716" t="s">
        <v>51</v>
      </c>
      <c r="D2716" t="s">
        <v>22</v>
      </c>
      <c r="E2716" t="s">
        <v>49</v>
      </c>
      <c r="F2716" t="s">
        <v>46</v>
      </c>
      <c r="G2716" s="58">
        <v>524217</v>
      </c>
      <c r="H2716" s="1" t="s">
        <v>48</v>
      </c>
      <c r="I2716" s="1" t="s">
        <v>111</v>
      </c>
      <c r="J2716" s="58">
        <v>9960123</v>
      </c>
      <c r="K2716" s="1" t="s">
        <v>106</v>
      </c>
      <c r="L2716" s="1" t="s">
        <v>124</v>
      </c>
      <c r="M2716" s="1" t="s">
        <v>126</v>
      </c>
      <c r="N2716" s="1">
        <v>1</v>
      </c>
      <c r="O2716" s="58"/>
      <c r="P2716" s="58">
        <v>372194.07</v>
      </c>
      <c r="Q2716" t="s">
        <v>118</v>
      </c>
      <c r="R2716" s="1" t="s">
        <v>48</v>
      </c>
    </row>
    <row r="2717" spans="3:18" x14ac:dyDescent="0.35">
      <c r="C2717" t="s">
        <v>51</v>
      </c>
      <c r="D2717" t="s">
        <v>22</v>
      </c>
      <c r="E2717" t="s">
        <v>50</v>
      </c>
      <c r="F2717" t="s">
        <v>46</v>
      </c>
      <c r="G2717" s="58">
        <v>1165747</v>
      </c>
      <c r="H2717" s="1" t="s">
        <v>48</v>
      </c>
      <c r="I2717" s="1" t="s">
        <v>111</v>
      </c>
      <c r="J2717" s="58">
        <v>18651952</v>
      </c>
      <c r="K2717" s="1" t="s">
        <v>106</v>
      </c>
      <c r="L2717" s="1" t="s">
        <v>109</v>
      </c>
      <c r="M2717" s="1" t="s">
        <v>115</v>
      </c>
      <c r="N2717" s="1">
        <v>1</v>
      </c>
      <c r="O2717" s="58"/>
      <c r="P2717" s="58">
        <v>279779.28000000003</v>
      </c>
      <c r="Q2717" t="s">
        <v>107</v>
      </c>
      <c r="R2717" s="1" t="s">
        <v>48</v>
      </c>
    </row>
    <row r="2718" spans="3:18" x14ac:dyDescent="0.35">
      <c r="C2718" t="s">
        <v>51</v>
      </c>
      <c r="D2718" t="s">
        <v>19</v>
      </c>
      <c r="E2718" t="s">
        <v>52</v>
      </c>
      <c r="F2718" t="s">
        <v>46</v>
      </c>
      <c r="G2718" s="58">
        <v>285432</v>
      </c>
      <c r="H2718" s="1" t="s">
        <v>48</v>
      </c>
      <c r="I2718" s="1" t="s">
        <v>108</v>
      </c>
      <c r="J2718" s="58">
        <v>9704688</v>
      </c>
      <c r="K2718" s="1" t="s">
        <v>106</v>
      </c>
      <c r="L2718" s="1" t="s">
        <v>130</v>
      </c>
      <c r="M2718" s="1" t="s">
        <v>122</v>
      </c>
      <c r="N2718" s="1">
        <v>1</v>
      </c>
      <c r="O2718" s="58"/>
      <c r="P2718" s="58">
        <v>194093.76</v>
      </c>
      <c r="Q2718" t="s">
        <v>118</v>
      </c>
      <c r="R2718" s="1" t="s">
        <v>48</v>
      </c>
    </row>
    <row r="2719" spans="3:18" x14ac:dyDescent="0.35">
      <c r="C2719" t="s">
        <v>53</v>
      </c>
      <c r="D2719" t="s">
        <v>21</v>
      </c>
      <c r="E2719" t="s">
        <v>49</v>
      </c>
      <c r="F2719" t="s">
        <v>46</v>
      </c>
      <c r="G2719" s="58">
        <v>1350428</v>
      </c>
      <c r="H2719" s="1" t="s">
        <v>54</v>
      </c>
      <c r="I2719" s="1" t="s">
        <v>111</v>
      </c>
      <c r="J2719" s="58">
        <v>21606848</v>
      </c>
      <c r="K2719" s="1" t="s">
        <v>106</v>
      </c>
      <c r="L2719" s="1" t="s">
        <v>124</v>
      </c>
      <c r="N2719" s="1">
        <v>1</v>
      </c>
      <c r="O2719" s="58"/>
      <c r="P2719" s="58">
        <v>1944616.32</v>
      </c>
      <c r="Q2719" t="s">
        <v>110</v>
      </c>
      <c r="R2719" s="1" t="s">
        <v>158</v>
      </c>
    </row>
    <row r="2720" spans="3:18" x14ac:dyDescent="0.35">
      <c r="C2720" t="s">
        <v>51</v>
      </c>
      <c r="D2720" t="s">
        <v>21</v>
      </c>
      <c r="E2720" t="s">
        <v>45</v>
      </c>
      <c r="F2720" t="s">
        <v>46</v>
      </c>
      <c r="G2720" s="58">
        <v>1127120</v>
      </c>
      <c r="H2720" s="1" t="s">
        <v>54</v>
      </c>
      <c r="I2720" s="1" t="s">
        <v>108</v>
      </c>
      <c r="J2720" s="58">
        <v>34940720</v>
      </c>
      <c r="K2720" s="1" t="s">
        <v>112</v>
      </c>
      <c r="N2720" s="1">
        <v>1</v>
      </c>
      <c r="O2720" s="58"/>
      <c r="P2720" s="58">
        <v>788984</v>
      </c>
      <c r="Q2720" t="s">
        <v>118</v>
      </c>
      <c r="R2720" s="1" t="s">
        <v>158</v>
      </c>
    </row>
    <row r="2721" spans="3:18" x14ac:dyDescent="0.35">
      <c r="C2721" t="s">
        <v>51</v>
      </c>
      <c r="D2721" t="s">
        <v>23</v>
      </c>
      <c r="E2721" t="s">
        <v>45</v>
      </c>
      <c r="F2721" t="s">
        <v>46</v>
      </c>
      <c r="G2721" s="58">
        <v>203033934</v>
      </c>
      <c r="H2721" s="1" t="s">
        <v>47</v>
      </c>
      <c r="I2721" s="1" t="s">
        <v>108</v>
      </c>
      <c r="J2721" s="58">
        <v>5278882284</v>
      </c>
      <c r="K2721" s="1" t="s">
        <v>106</v>
      </c>
      <c r="L2721" s="1" t="s">
        <v>120</v>
      </c>
      <c r="N2721" s="1">
        <v>1</v>
      </c>
      <c r="O2721" s="58"/>
      <c r="P2721" s="58">
        <v>103547306.34</v>
      </c>
      <c r="Q2721" t="s">
        <v>113</v>
      </c>
      <c r="R2721" s="1" t="s">
        <v>158</v>
      </c>
    </row>
    <row r="2722" spans="3:18" x14ac:dyDescent="0.35">
      <c r="C2722" t="s">
        <v>51</v>
      </c>
      <c r="D2722" t="s">
        <v>23</v>
      </c>
      <c r="E2722" t="s">
        <v>55</v>
      </c>
      <c r="F2722" t="s">
        <v>46</v>
      </c>
      <c r="G2722" s="58">
        <v>1402998</v>
      </c>
      <c r="H2722" s="1" t="s">
        <v>48</v>
      </c>
      <c r="I2722" s="1" t="s">
        <v>119</v>
      </c>
      <c r="J2722" s="58">
        <v>9820986</v>
      </c>
      <c r="K2722" s="1" t="s">
        <v>106</v>
      </c>
      <c r="L2722" s="1" t="s">
        <v>114</v>
      </c>
      <c r="M2722" s="1" t="s">
        <v>125</v>
      </c>
      <c r="N2722" s="1">
        <v>1</v>
      </c>
      <c r="O2722" s="58"/>
      <c r="P2722" s="58">
        <v>308659.56</v>
      </c>
      <c r="Q2722" t="s">
        <v>107</v>
      </c>
      <c r="R2722" s="1" t="s">
        <v>48</v>
      </c>
    </row>
    <row r="2723" spans="3:18" x14ac:dyDescent="0.35">
      <c r="C2723" t="s">
        <v>51</v>
      </c>
      <c r="D2723" t="s">
        <v>60</v>
      </c>
      <c r="E2723" t="s">
        <v>60</v>
      </c>
      <c r="F2723" t="s">
        <v>46</v>
      </c>
      <c r="G2723" s="58">
        <v>29497</v>
      </c>
      <c r="H2723" s="1" t="s">
        <v>90</v>
      </c>
      <c r="I2723" s="1" t="s">
        <v>119</v>
      </c>
      <c r="J2723" s="58">
        <v>206479</v>
      </c>
      <c r="K2723" s="1" t="s">
        <v>106</v>
      </c>
      <c r="N2723" s="1">
        <v>1</v>
      </c>
      <c r="O2723" s="58"/>
      <c r="P2723" s="58">
        <v>23007.66</v>
      </c>
      <c r="Q2723" t="s">
        <v>118</v>
      </c>
      <c r="R2723" s="1" t="s">
        <v>90</v>
      </c>
    </row>
    <row r="2724" spans="3:18" x14ac:dyDescent="0.35">
      <c r="C2724" t="s">
        <v>51</v>
      </c>
      <c r="D2724" t="s">
        <v>25</v>
      </c>
      <c r="E2724" t="s">
        <v>50</v>
      </c>
      <c r="F2724" t="s">
        <v>46</v>
      </c>
      <c r="G2724" s="58">
        <v>62841</v>
      </c>
      <c r="H2724" s="1" t="s">
        <v>47</v>
      </c>
      <c r="I2724" s="1" t="s">
        <v>105</v>
      </c>
      <c r="J2724" s="58">
        <v>314205</v>
      </c>
      <c r="K2724" s="1" t="s">
        <v>106</v>
      </c>
      <c r="L2724" s="1" t="s">
        <v>109</v>
      </c>
      <c r="N2724" s="1">
        <v>1</v>
      </c>
      <c r="O2724" s="58"/>
      <c r="P2724" s="58">
        <v>18852.3</v>
      </c>
      <c r="Q2724" t="s">
        <v>107</v>
      </c>
      <c r="R2724" s="1" t="s">
        <v>158</v>
      </c>
    </row>
    <row r="2725" spans="3:18" x14ac:dyDescent="0.35">
      <c r="C2725" t="s">
        <v>51</v>
      </c>
      <c r="D2725" t="s">
        <v>21</v>
      </c>
      <c r="E2725" t="s">
        <v>45</v>
      </c>
      <c r="F2725" t="s">
        <v>46</v>
      </c>
      <c r="G2725" s="58">
        <v>907580</v>
      </c>
      <c r="H2725" s="1" t="s">
        <v>48</v>
      </c>
      <c r="I2725" s="1" t="s">
        <v>111</v>
      </c>
      <c r="J2725" s="58">
        <v>13613700</v>
      </c>
      <c r="K2725" s="1" t="s">
        <v>106</v>
      </c>
      <c r="L2725" s="1" t="s">
        <v>124</v>
      </c>
      <c r="M2725" s="1" t="s">
        <v>126</v>
      </c>
      <c r="N2725" s="1">
        <v>1</v>
      </c>
      <c r="O2725" s="58"/>
      <c r="P2725" s="58">
        <v>435638.4</v>
      </c>
      <c r="Q2725" t="s">
        <v>113</v>
      </c>
      <c r="R2725" s="1" t="s">
        <v>48</v>
      </c>
    </row>
    <row r="2726" spans="3:18" x14ac:dyDescent="0.35">
      <c r="C2726" t="s">
        <v>51</v>
      </c>
      <c r="D2726" t="s">
        <v>22</v>
      </c>
      <c r="E2726" t="s">
        <v>45</v>
      </c>
      <c r="F2726" t="s">
        <v>46</v>
      </c>
      <c r="G2726" s="58">
        <v>41038442</v>
      </c>
      <c r="H2726" s="1" t="s">
        <v>56</v>
      </c>
      <c r="I2726" s="1" t="s">
        <v>111</v>
      </c>
      <c r="J2726" s="58">
        <v>697653514</v>
      </c>
      <c r="K2726" s="1" t="s">
        <v>106</v>
      </c>
      <c r="L2726" s="1" t="s">
        <v>120</v>
      </c>
      <c r="N2726" s="1">
        <v>1</v>
      </c>
      <c r="O2726" s="58"/>
      <c r="P2726" s="58">
        <v>27495756.140000001</v>
      </c>
      <c r="Q2726" t="s">
        <v>118</v>
      </c>
      <c r="R2726" s="1" t="s">
        <v>158</v>
      </c>
    </row>
    <row r="2727" spans="3:18" x14ac:dyDescent="0.35">
      <c r="C2727" t="s">
        <v>51</v>
      </c>
      <c r="D2727" t="s">
        <v>21</v>
      </c>
      <c r="E2727" t="s">
        <v>49</v>
      </c>
      <c r="F2727" t="s">
        <v>46</v>
      </c>
      <c r="G2727" s="58">
        <v>146981</v>
      </c>
      <c r="H2727" s="1" t="s">
        <v>48</v>
      </c>
      <c r="I2727" s="1" t="s">
        <v>119</v>
      </c>
      <c r="J2727" s="58">
        <v>1175848</v>
      </c>
      <c r="K2727" s="1" t="s">
        <v>106</v>
      </c>
      <c r="L2727" s="1" t="s">
        <v>120</v>
      </c>
      <c r="M2727" s="1" t="s">
        <v>115</v>
      </c>
      <c r="N2727" s="1">
        <v>1</v>
      </c>
      <c r="O2727" s="58"/>
      <c r="P2727" s="58">
        <v>29396.2</v>
      </c>
      <c r="Q2727" t="s">
        <v>107</v>
      </c>
      <c r="R2727" s="1" t="s">
        <v>158</v>
      </c>
    </row>
    <row r="2728" spans="3:18" x14ac:dyDescent="0.35">
      <c r="C2728" t="s">
        <v>53</v>
      </c>
      <c r="D2728" t="s">
        <v>21</v>
      </c>
      <c r="E2728" t="s">
        <v>49</v>
      </c>
      <c r="F2728" t="s">
        <v>46</v>
      </c>
      <c r="G2728" s="58">
        <v>174437</v>
      </c>
      <c r="H2728" s="1" t="s">
        <v>59</v>
      </c>
      <c r="I2728" s="1" t="s">
        <v>119</v>
      </c>
      <c r="J2728" s="58">
        <v>1395496</v>
      </c>
      <c r="K2728" s="1" t="s">
        <v>106</v>
      </c>
      <c r="L2728" s="1" t="s">
        <v>124</v>
      </c>
      <c r="N2728" s="1">
        <v>1</v>
      </c>
      <c r="O2728" s="58"/>
      <c r="P2728" s="58">
        <v>118617.16</v>
      </c>
      <c r="Q2728" t="s">
        <v>118</v>
      </c>
      <c r="R2728" s="1" t="s">
        <v>158</v>
      </c>
    </row>
    <row r="2729" spans="3:18" x14ac:dyDescent="0.35">
      <c r="C2729" t="s">
        <v>53</v>
      </c>
      <c r="D2729" t="s">
        <v>92</v>
      </c>
      <c r="E2729" t="s">
        <v>45</v>
      </c>
      <c r="F2729" t="s">
        <v>46</v>
      </c>
      <c r="G2729" s="58">
        <v>3885360</v>
      </c>
      <c r="H2729" s="1" t="s">
        <v>54</v>
      </c>
      <c r="I2729" s="1" t="s">
        <v>111</v>
      </c>
      <c r="J2729" s="58">
        <v>46624320</v>
      </c>
      <c r="K2729" s="1" t="s">
        <v>106</v>
      </c>
      <c r="L2729" s="1" t="s">
        <v>120</v>
      </c>
      <c r="N2729" s="1">
        <v>1</v>
      </c>
      <c r="O2729" s="58"/>
      <c r="P2729" s="58">
        <v>2020387.2</v>
      </c>
      <c r="Q2729" t="s">
        <v>113</v>
      </c>
      <c r="R2729" s="1" t="s">
        <v>158</v>
      </c>
    </row>
    <row r="2730" spans="3:18" x14ac:dyDescent="0.35">
      <c r="C2730" t="s">
        <v>51</v>
      </c>
      <c r="D2730" t="s">
        <v>20</v>
      </c>
      <c r="E2730" t="s">
        <v>45</v>
      </c>
      <c r="F2730" t="s">
        <v>46</v>
      </c>
      <c r="G2730" s="58">
        <v>2558463</v>
      </c>
      <c r="H2730" s="1" t="s">
        <v>48</v>
      </c>
      <c r="I2730" s="1" t="s">
        <v>111</v>
      </c>
      <c r="J2730" s="58">
        <v>35818482</v>
      </c>
      <c r="K2730" s="1" t="s">
        <v>106</v>
      </c>
      <c r="L2730" s="1" t="s">
        <v>120</v>
      </c>
      <c r="M2730" s="1" t="s">
        <v>123</v>
      </c>
      <c r="N2730" s="1">
        <v>1</v>
      </c>
      <c r="O2730" s="58"/>
      <c r="P2730" s="58">
        <v>844292.79</v>
      </c>
      <c r="Q2730" t="s">
        <v>107</v>
      </c>
      <c r="R2730" s="1" t="s">
        <v>48</v>
      </c>
    </row>
    <row r="2731" spans="3:18" x14ac:dyDescent="0.35">
      <c r="C2731" t="s">
        <v>53</v>
      </c>
      <c r="D2731" t="s">
        <v>21</v>
      </c>
      <c r="E2731" t="s">
        <v>45</v>
      </c>
      <c r="F2731" t="s">
        <v>46</v>
      </c>
      <c r="G2731" s="58">
        <v>77280</v>
      </c>
      <c r="H2731" s="1" t="s">
        <v>56</v>
      </c>
      <c r="I2731" s="1" t="s">
        <v>119</v>
      </c>
      <c r="J2731" s="58">
        <v>695520</v>
      </c>
      <c r="K2731" s="1" t="s">
        <v>112</v>
      </c>
      <c r="N2731" s="1">
        <v>1</v>
      </c>
      <c r="O2731" s="58"/>
      <c r="P2731" s="58">
        <v>44822.400000000001</v>
      </c>
      <c r="Q2731" t="s">
        <v>113</v>
      </c>
      <c r="R2731" s="1" t="s">
        <v>158</v>
      </c>
    </row>
    <row r="2732" spans="3:18" x14ac:dyDescent="0.35">
      <c r="C2732" t="s">
        <v>51</v>
      </c>
      <c r="D2732" t="s">
        <v>21</v>
      </c>
      <c r="E2732" t="s">
        <v>45</v>
      </c>
      <c r="F2732" t="s">
        <v>46</v>
      </c>
      <c r="G2732" s="58">
        <v>98524</v>
      </c>
      <c r="H2732" s="1" t="s">
        <v>48</v>
      </c>
      <c r="I2732" s="1" t="s">
        <v>111</v>
      </c>
      <c r="J2732" s="58">
        <v>1871956</v>
      </c>
      <c r="K2732" s="1" t="s">
        <v>106</v>
      </c>
      <c r="L2732" s="1" t="s">
        <v>114</v>
      </c>
      <c r="M2732" s="1" t="s">
        <v>126</v>
      </c>
      <c r="N2732" s="1">
        <v>1</v>
      </c>
      <c r="O2732" s="58"/>
      <c r="P2732" s="58">
        <v>46306.28</v>
      </c>
      <c r="Q2732" t="s">
        <v>113</v>
      </c>
      <c r="R2732" s="1" t="s">
        <v>158</v>
      </c>
    </row>
    <row r="2733" spans="3:18" x14ac:dyDescent="0.35">
      <c r="C2733" t="s">
        <v>51</v>
      </c>
      <c r="D2733" t="s">
        <v>21</v>
      </c>
      <c r="E2733" t="s">
        <v>45</v>
      </c>
      <c r="F2733" t="s">
        <v>46</v>
      </c>
      <c r="G2733" s="58">
        <v>39362</v>
      </c>
      <c r="H2733" s="1" t="s">
        <v>54</v>
      </c>
      <c r="I2733" s="1" t="s">
        <v>111</v>
      </c>
      <c r="J2733" s="58">
        <v>472344</v>
      </c>
      <c r="K2733" s="1" t="s">
        <v>106</v>
      </c>
      <c r="L2733" s="1" t="s">
        <v>120</v>
      </c>
      <c r="N2733" s="1">
        <v>1</v>
      </c>
      <c r="O2733" s="58"/>
      <c r="P2733" s="58">
        <v>59043</v>
      </c>
      <c r="Q2733" t="s">
        <v>110</v>
      </c>
      <c r="R2733" s="1" t="s">
        <v>158</v>
      </c>
    </row>
    <row r="2734" spans="3:18" x14ac:dyDescent="0.35">
      <c r="C2734" t="s">
        <v>53</v>
      </c>
      <c r="D2734" t="s">
        <v>22</v>
      </c>
      <c r="E2734" t="s">
        <v>45</v>
      </c>
      <c r="F2734" t="s">
        <v>46</v>
      </c>
      <c r="G2734" s="58">
        <v>945474</v>
      </c>
      <c r="H2734" s="1" t="s">
        <v>59</v>
      </c>
      <c r="I2734" s="1" t="s">
        <v>108</v>
      </c>
      <c r="J2734" s="58">
        <v>24582324</v>
      </c>
      <c r="K2734" s="1" t="s">
        <v>106</v>
      </c>
      <c r="L2734" s="1" t="s">
        <v>120</v>
      </c>
      <c r="N2734" s="1">
        <v>1</v>
      </c>
      <c r="O2734" s="58"/>
      <c r="P2734" s="58">
        <v>491646.48</v>
      </c>
      <c r="Q2734" t="s">
        <v>113</v>
      </c>
      <c r="R2734" s="1" t="s">
        <v>158</v>
      </c>
    </row>
    <row r="2735" spans="3:18" x14ac:dyDescent="0.35">
      <c r="C2735" t="s">
        <v>51</v>
      </c>
      <c r="D2735" t="s">
        <v>19</v>
      </c>
      <c r="E2735" t="s">
        <v>49</v>
      </c>
      <c r="F2735" t="s">
        <v>64</v>
      </c>
      <c r="G2735" s="58">
        <v>2420444</v>
      </c>
      <c r="H2735" s="1" t="s">
        <v>48</v>
      </c>
      <c r="I2735" s="1" t="s">
        <v>108</v>
      </c>
      <c r="J2735" s="58">
        <v>87135984</v>
      </c>
      <c r="K2735" s="1" t="s">
        <v>106</v>
      </c>
      <c r="L2735" s="1" t="s">
        <v>124</v>
      </c>
      <c r="M2735" s="1" t="s">
        <v>122</v>
      </c>
      <c r="N2735" s="1">
        <v>1</v>
      </c>
      <c r="O2735" s="58"/>
      <c r="P2735" s="58">
        <v>1791128.56</v>
      </c>
      <c r="Q2735" t="s">
        <v>118</v>
      </c>
      <c r="R2735" s="1" t="s">
        <v>48</v>
      </c>
    </row>
    <row r="2736" spans="3:18" x14ac:dyDescent="0.35">
      <c r="C2736" t="s">
        <v>51</v>
      </c>
      <c r="D2736" t="s">
        <v>23</v>
      </c>
      <c r="E2736" t="s">
        <v>55</v>
      </c>
      <c r="F2736" t="s">
        <v>64</v>
      </c>
      <c r="G2736" s="58">
        <v>597705</v>
      </c>
      <c r="H2736" s="1" t="s">
        <v>47</v>
      </c>
      <c r="I2736" s="1" t="s">
        <v>108</v>
      </c>
      <c r="J2736" s="58">
        <v>12551805</v>
      </c>
      <c r="K2736" s="1" t="s">
        <v>112</v>
      </c>
      <c r="N2736" s="1">
        <v>1</v>
      </c>
      <c r="O2736" s="58"/>
      <c r="P2736" s="58">
        <v>239082</v>
      </c>
      <c r="Q2736" t="s">
        <v>107</v>
      </c>
      <c r="R2736" s="1" t="s">
        <v>158</v>
      </c>
    </row>
    <row r="2737" spans="3:18" x14ac:dyDescent="0.35">
      <c r="C2737" t="s">
        <v>51</v>
      </c>
      <c r="D2737" t="s">
        <v>22</v>
      </c>
      <c r="E2737" t="s">
        <v>49</v>
      </c>
      <c r="F2737" t="s">
        <v>46</v>
      </c>
      <c r="G2737" s="58">
        <v>6883197</v>
      </c>
      <c r="H2737" s="1" t="s">
        <v>59</v>
      </c>
      <c r="I2737" s="1" t="s">
        <v>111</v>
      </c>
      <c r="J2737" s="58">
        <v>110131152</v>
      </c>
      <c r="K2737" s="1" t="s">
        <v>106</v>
      </c>
      <c r="L2737" s="1" t="s">
        <v>124</v>
      </c>
      <c r="N2737" s="1">
        <v>1</v>
      </c>
      <c r="O2737" s="58"/>
      <c r="P2737" s="58">
        <v>3372766.53</v>
      </c>
      <c r="Q2737" t="s">
        <v>113</v>
      </c>
      <c r="R2737" s="1" t="s">
        <v>158</v>
      </c>
    </row>
    <row r="2738" spans="3:18" x14ac:dyDescent="0.35">
      <c r="C2738" t="s">
        <v>51</v>
      </c>
      <c r="D2738" t="s">
        <v>21</v>
      </c>
      <c r="E2738" t="s">
        <v>45</v>
      </c>
      <c r="F2738" t="s">
        <v>46</v>
      </c>
      <c r="G2738" s="58">
        <v>578685</v>
      </c>
      <c r="H2738" s="1" t="s">
        <v>56</v>
      </c>
      <c r="I2738" s="1" t="s">
        <v>108</v>
      </c>
      <c r="J2738" s="58">
        <v>15624495</v>
      </c>
      <c r="K2738" s="1" t="s">
        <v>112</v>
      </c>
      <c r="N2738" s="1">
        <v>1</v>
      </c>
      <c r="O2738" s="58"/>
      <c r="P2738" s="58">
        <v>185179.2</v>
      </c>
      <c r="Q2738" t="s">
        <v>107</v>
      </c>
      <c r="R2738" s="1" t="s">
        <v>158</v>
      </c>
    </row>
    <row r="2739" spans="3:18" x14ac:dyDescent="0.35">
      <c r="C2739" t="s">
        <v>51</v>
      </c>
      <c r="D2739" t="s">
        <v>24</v>
      </c>
      <c r="E2739" t="s">
        <v>55</v>
      </c>
      <c r="F2739" t="s">
        <v>64</v>
      </c>
      <c r="G2739" s="58">
        <v>150393</v>
      </c>
      <c r="H2739" s="1" t="s">
        <v>47</v>
      </c>
      <c r="I2739" s="1" t="s">
        <v>119</v>
      </c>
      <c r="J2739" s="58">
        <v>902358</v>
      </c>
      <c r="K2739" s="1" t="s">
        <v>106</v>
      </c>
      <c r="L2739" s="1" t="s">
        <v>114</v>
      </c>
      <c r="N2739" s="1">
        <v>1</v>
      </c>
      <c r="O2739" s="58"/>
      <c r="P2739" s="58">
        <v>24062.880000000001</v>
      </c>
      <c r="Q2739" t="s">
        <v>107</v>
      </c>
      <c r="R2739" s="1" t="s">
        <v>158</v>
      </c>
    </row>
    <row r="2740" spans="3:18" x14ac:dyDescent="0.35">
      <c r="C2740" t="s">
        <v>51</v>
      </c>
      <c r="D2740" t="s">
        <v>20</v>
      </c>
      <c r="E2740" t="s">
        <v>49</v>
      </c>
      <c r="F2740" t="s">
        <v>46</v>
      </c>
      <c r="G2740" s="58">
        <v>318053</v>
      </c>
      <c r="H2740" s="1" t="s">
        <v>48</v>
      </c>
      <c r="I2740" s="1" t="s">
        <v>111</v>
      </c>
      <c r="J2740" s="58">
        <v>4452742</v>
      </c>
      <c r="K2740" s="1" t="s">
        <v>106</v>
      </c>
      <c r="L2740" s="1" t="s">
        <v>120</v>
      </c>
      <c r="M2740" s="1" t="s">
        <v>123</v>
      </c>
      <c r="N2740" s="1">
        <v>1</v>
      </c>
      <c r="O2740" s="58"/>
      <c r="P2740" s="58">
        <v>197192.86</v>
      </c>
      <c r="Q2740" t="s">
        <v>118</v>
      </c>
      <c r="R2740" s="1" t="s">
        <v>158</v>
      </c>
    </row>
    <row r="2741" spans="3:18" x14ac:dyDescent="0.35">
      <c r="C2741" t="s">
        <v>51</v>
      </c>
      <c r="D2741" t="s">
        <v>21</v>
      </c>
      <c r="E2741" t="s">
        <v>45</v>
      </c>
      <c r="F2741" t="s">
        <v>46</v>
      </c>
      <c r="G2741" s="58">
        <v>1618975</v>
      </c>
      <c r="H2741" s="1" t="s">
        <v>48</v>
      </c>
      <c r="I2741" s="1" t="s">
        <v>111</v>
      </c>
      <c r="J2741" s="58">
        <v>24284625</v>
      </c>
      <c r="K2741" s="1" t="s">
        <v>106</v>
      </c>
      <c r="L2741" s="1" t="s">
        <v>124</v>
      </c>
      <c r="M2741" s="1" t="s">
        <v>126</v>
      </c>
      <c r="N2741" s="1">
        <v>1</v>
      </c>
      <c r="O2741" s="58"/>
      <c r="P2741" s="58">
        <v>388554</v>
      </c>
      <c r="Q2741" t="s">
        <v>107</v>
      </c>
      <c r="R2741" s="1" t="s">
        <v>48</v>
      </c>
    </row>
    <row r="2742" spans="3:18" x14ac:dyDescent="0.35">
      <c r="C2742" t="s">
        <v>51</v>
      </c>
      <c r="D2742" t="s">
        <v>24</v>
      </c>
      <c r="E2742" t="s">
        <v>50</v>
      </c>
      <c r="F2742" t="s">
        <v>46</v>
      </c>
      <c r="G2742" s="58">
        <v>1390</v>
      </c>
      <c r="H2742" s="1" t="s">
        <v>47</v>
      </c>
      <c r="I2742" s="1" t="s">
        <v>105</v>
      </c>
      <c r="J2742" s="58">
        <v>1390</v>
      </c>
      <c r="K2742" s="1" t="s">
        <v>106</v>
      </c>
      <c r="L2742" s="1" t="s">
        <v>120</v>
      </c>
      <c r="N2742" s="1">
        <v>1</v>
      </c>
      <c r="O2742" s="58"/>
      <c r="P2742" s="58">
        <v>27.8</v>
      </c>
      <c r="Q2742" t="s">
        <v>107</v>
      </c>
      <c r="R2742" s="1" t="s">
        <v>158</v>
      </c>
    </row>
    <row r="2743" spans="3:18" x14ac:dyDescent="0.35">
      <c r="C2743" t="s">
        <v>51</v>
      </c>
      <c r="D2743" t="s">
        <v>24</v>
      </c>
      <c r="E2743" t="s">
        <v>55</v>
      </c>
      <c r="F2743" t="s">
        <v>46</v>
      </c>
      <c r="G2743" s="58">
        <v>387877</v>
      </c>
      <c r="H2743" s="1" t="s">
        <v>47</v>
      </c>
      <c r="I2743" s="1" t="s">
        <v>119</v>
      </c>
      <c r="J2743" s="58">
        <v>3103016</v>
      </c>
      <c r="K2743" s="1" t="s">
        <v>106</v>
      </c>
      <c r="L2743" s="1" t="s">
        <v>124</v>
      </c>
      <c r="N2743" s="1">
        <v>1</v>
      </c>
      <c r="O2743" s="58"/>
      <c r="P2743" s="58">
        <v>81454.17</v>
      </c>
      <c r="Q2743" t="s">
        <v>107</v>
      </c>
      <c r="R2743" s="1" t="s">
        <v>158</v>
      </c>
    </row>
    <row r="2744" spans="3:18" x14ac:dyDescent="0.35">
      <c r="C2744" t="s">
        <v>51</v>
      </c>
      <c r="D2744" t="s">
        <v>22</v>
      </c>
      <c r="E2744" t="s">
        <v>49</v>
      </c>
      <c r="F2744" t="s">
        <v>46</v>
      </c>
      <c r="G2744" s="58">
        <v>59407686</v>
      </c>
      <c r="H2744" s="1" t="s">
        <v>54</v>
      </c>
      <c r="I2744" s="1" t="s">
        <v>111</v>
      </c>
      <c r="J2744" s="58">
        <v>950522976</v>
      </c>
      <c r="K2744" s="1" t="s">
        <v>106</v>
      </c>
      <c r="L2744" s="1" t="s">
        <v>124</v>
      </c>
      <c r="N2744" s="1">
        <v>1</v>
      </c>
      <c r="O2744" s="58"/>
      <c r="P2744" s="58">
        <v>28515689.280000001</v>
      </c>
      <c r="Q2744" t="s">
        <v>113</v>
      </c>
      <c r="R2744" s="1" t="s">
        <v>158</v>
      </c>
    </row>
    <row r="2745" spans="3:18" x14ac:dyDescent="0.35">
      <c r="C2745" t="s">
        <v>51</v>
      </c>
      <c r="D2745" t="s">
        <v>92</v>
      </c>
      <c r="E2745" t="s">
        <v>49</v>
      </c>
      <c r="F2745" t="s">
        <v>46</v>
      </c>
      <c r="G2745" s="58">
        <v>445710</v>
      </c>
      <c r="H2745" s="1" t="s">
        <v>56</v>
      </c>
      <c r="I2745" s="1" t="s">
        <v>119</v>
      </c>
      <c r="J2745" s="58">
        <v>4457100</v>
      </c>
      <c r="K2745" s="1" t="s">
        <v>112</v>
      </c>
      <c r="N2745" s="1">
        <v>1</v>
      </c>
      <c r="O2745" s="58"/>
      <c r="P2745" s="58">
        <v>249597.6</v>
      </c>
      <c r="Q2745" t="s">
        <v>113</v>
      </c>
      <c r="R2745" s="1" t="s">
        <v>158</v>
      </c>
    </row>
    <row r="2746" spans="3:18" x14ac:dyDescent="0.35">
      <c r="C2746" t="s">
        <v>51</v>
      </c>
      <c r="D2746" t="s">
        <v>21</v>
      </c>
      <c r="E2746" t="s">
        <v>45</v>
      </c>
      <c r="F2746" t="s">
        <v>46</v>
      </c>
      <c r="G2746" s="58">
        <v>139509</v>
      </c>
      <c r="H2746" s="1" t="s">
        <v>47</v>
      </c>
      <c r="I2746" s="1" t="s">
        <v>111</v>
      </c>
      <c r="J2746" s="58">
        <v>2650671</v>
      </c>
      <c r="K2746" s="1" t="s">
        <v>106</v>
      </c>
      <c r="L2746" s="1" t="s">
        <v>114</v>
      </c>
      <c r="N2746" s="1">
        <v>1</v>
      </c>
      <c r="O2746" s="58"/>
      <c r="P2746" s="58">
        <v>82310.31</v>
      </c>
      <c r="Q2746" t="s">
        <v>113</v>
      </c>
      <c r="R2746" s="1" t="s">
        <v>158</v>
      </c>
    </row>
    <row r="2747" spans="3:18" x14ac:dyDescent="0.35">
      <c r="C2747" t="s">
        <v>51</v>
      </c>
      <c r="D2747" t="s">
        <v>22</v>
      </c>
      <c r="E2747" t="s">
        <v>52</v>
      </c>
      <c r="F2747" t="s">
        <v>64</v>
      </c>
      <c r="G2747" s="58">
        <v>164923</v>
      </c>
      <c r="H2747" s="1" t="s">
        <v>48</v>
      </c>
      <c r="I2747" s="1" t="s">
        <v>108</v>
      </c>
      <c r="J2747" s="58">
        <v>4123075</v>
      </c>
      <c r="K2747" s="1" t="s">
        <v>106</v>
      </c>
      <c r="L2747" s="1" t="s">
        <v>130</v>
      </c>
      <c r="M2747" s="1" t="s">
        <v>115</v>
      </c>
      <c r="N2747" s="1">
        <v>1</v>
      </c>
      <c r="O2747" s="58"/>
      <c r="P2747" s="58">
        <v>122043.02</v>
      </c>
      <c r="Q2747" t="s">
        <v>118</v>
      </c>
      <c r="R2747" s="1" t="s">
        <v>48</v>
      </c>
    </row>
    <row r="2748" spans="3:18" x14ac:dyDescent="0.35">
      <c r="C2748" t="s">
        <v>53</v>
      </c>
      <c r="D2748" t="s">
        <v>22</v>
      </c>
      <c r="E2748" t="s">
        <v>55</v>
      </c>
      <c r="F2748" t="s">
        <v>46</v>
      </c>
      <c r="G2748" s="58">
        <v>308501</v>
      </c>
      <c r="H2748" s="1" t="s">
        <v>48</v>
      </c>
      <c r="I2748" s="1" t="s">
        <v>111</v>
      </c>
      <c r="J2748" s="58">
        <v>3393511</v>
      </c>
      <c r="K2748" s="1" t="s">
        <v>106</v>
      </c>
      <c r="L2748" s="1" t="s">
        <v>114</v>
      </c>
      <c r="M2748" s="1" t="s">
        <v>115</v>
      </c>
      <c r="N2748" s="1">
        <v>1</v>
      </c>
      <c r="O2748" s="58"/>
      <c r="P2748" s="58">
        <v>135740.44</v>
      </c>
      <c r="Q2748" t="s">
        <v>113</v>
      </c>
      <c r="R2748" s="1" t="s">
        <v>158</v>
      </c>
    </row>
    <row r="2749" spans="3:18" x14ac:dyDescent="0.35">
      <c r="C2749" t="s">
        <v>51</v>
      </c>
      <c r="D2749" t="s">
        <v>22</v>
      </c>
      <c r="E2749" t="s">
        <v>45</v>
      </c>
      <c r="F2749" t="s">
        <v>46</v>
      </c>
      <c r="G2749" s="58">
        <v>1277400</v>
      </c>
      <c r="H2749" s="1" t="s">
        <v>47</v>
      </c>
      <c r="I2749" s="1" t="s">
        <v>105</v>
      </c>
      <c r="J2749" s="58">
        <v>6387000</v>
      </c>
      <c r="K2749" s="1" t="s">
        <v>112</v>
      </c>
      <c r="N2749" s="1">
        <v>1</v>
      </c>
      <c r="O2749" s="58"/>
      <c r="P2749" s="58">
        <v>1328496</v>
      </c>
      <c r="Q2749" t="s">
        <v>110</v>
      </c>
      <c r="R2749" s="1" t="s">
        <v>158</v>
      </c>
    </row>
    <row r="2750" spans="3:18" x14ac:dyDescent="0.35">
      <c r="C2750" t="s">
        <v>53</v>
      </c>
      <c r="D2750" t="s">
        <v>24</v>
      </c>
      <c r="E2750" t="s">
        <v>45</v>
      </c>
      <c r="F2750" t="s">
        <v>46</v>
      </c>
      <c r="G2750" s="58">
        <v>714446</v>
      </c>
      <c r="H2750" s="1" t="s">
        <v>47</v>
      </c>
      <c r="I2750" s="1" t="s">
        <v>111</v>
      </c>
      <c r="J2750" s="58">
        <v>10716690</v>
      </c>
      <c r="K2750" s="1" t="s">
        <v>112</v>
      </c>
      <c r="N2750" s="1">
        <v>1</v>
      </c>
      <c r="O2750" s="58"/>
      <c r="P2750" s="58">
        <v>592990.18000000005</v>
      </c>
      <c r="Q2750" t="s">
        <v>127</v>
      </c>
      <c r="R2750" s="1" t="s">
        <v>158</v>
      </c>
    </row>
    <row r="2751" spans="3:18" x14ac:dyDescent="0.35">
      <c r="C2751" t="s">
        <v>51</v>
      </c>
      <c r="D2751" t="s">
        <v>22</v>
      </c>
      <c r="E2751" t="s">
        <v>45</v>
      </c>
      <c r="F2751" t="s">
        <v>46</v>
      </c>
      <c r="G2751" s="58">
        <v>150660321</v>
      </c>
      <c r="H2751" s="1" t="s">
        <v>48</v>
      </c>
      <c r="I2751" s="1" t="s">
        <v>108</v>
      </c>
      <c r="J2751" s="58">
        <v>4670469951</v>
      </c>
      <c r="K2751" s="1" t="s">
        <v>106</v>
      </c>
      <c r="L2751" s="1" t="s">
        <v>120</v>
      </c>
      <c r="M2751" s="1" t="s">
        <v>115</v>
      </c>
      <c r="N2751" s="1">
        <v>1</v>
      </c>
      <c r="O2751" s="58"/>
      <c r="P2751" s="58">
        <v>106968827.91</v>
      </c>
      <c r="Q2751" t="s">
        <v>118</v>
      </c>
      <c r="R2751" s="1" t="s">
        <v>48</v>
      </c>
    </row>
    <row r="2752" spans="3:18" x14ac:dyDescent="0.35">
      <c r="C2752" t="s">
        <v>51</v>
      </c>
      <c r="D2752" t="s">
        <v>21</v>
      </c>
      <c r="E2752" t="s">
        <v>49</v>
      </c>
      <c r="F2752" t="s">
        <v>46</v>
      </c>
      <c r="G2752" s="58">
        <v>35005574</v>
      </c>
      <c r="H2752" s="1" t="s">
        <v>54</v>
      </c>
      <c r="I2752" s="1" t="s">
        <v>105</v>
      </c>
      <c r="J2752" s="58">
        <v>105016722</v>
      </c>
      <c r="K2752" s="1" t="s">
        <v>106</v>
      </c>
      <c r="L2752" s="1" t="s">
        <v>124</v>
      </c>
      <c r="N2752" s="1">
        <v>1</v>
      </c>
      <c r="O2752" s="58"/>
      <c r="P2752" s="58">
        <v>4200668.88</v>
      </c>
      <c r="Q2752" t="s">
        <v>107</v>
      </c>
      <c r="R2752" s="1" t="s">
        <v>158</v>
      </c>
    </row>
    <row r="2753" spans="3:18" x14ac:dyDescent="0.35">
      <c r="C2753" t="s">
        <v>51</v>
      </c>
      <c r="D2753" t="s">
        <v>22</v>
      </c>
      <c r="E2753" t="s">
        <v>55</v>
      </c>
      <c r="F2753" t="s">
        <v>46</v>
      </c>
      <c r="G2753" s="58">
        <v>2824377</v>
      </c>
      <c r="H2753" s="1" t="s">
        <v>48</v>
      </c>
      <c r="I2753" s="1" t="s">
        <v>111</v>
      </c>
      <c r="J2753" s="58">
        <v>48014409</v>
      </c>
      <c r="K2753" s="1" t="s">
        <v>106</v>
      </c>
      <c r="L2753" s="1" t="s">
        <v>114</v>
      </c>
      <c r="M2753" s="1" t="s">
        <v>115</v>
      </c>
      <c r="N2753" s="1">
        <v>1</v>
      </c>
      <c r="O2753" s="58"/>
      <c r="P2753" s="58">
        <v>2344232.91</v>
      </c>
      <c r="Q2753" t="s">
        <v>127</v>
      </c>
      <c r="R2753" s="1" t="s">
        <v>48</v>
      </c>
    </row>
    <row r="2754" spans="3:18" x14ac:dyDescent="0.35">
      <c r="C2754" t="s">
        <v>51</v>
      </c>
      <c r="D2754" t="s">
        <v>22</v>
      </c>
      <c r="E2754" t="s">
        <v>49</v>
      </c>
      <c r="F2754" t="s">
        <v>46</v>
      </c>
      <c r="G2754" s="58">
        <v>475040</v>
      </c>
      <c r="H2754" s="1" t="s">
        <v>48</v>
      </c>
      <c r="I2754" s="1" t="s">
        <v>108</v>
      </c>
      <c r="J2754" s="58">
        <v>15676320</v>
      </c>
      <c r="K2754" s="1" t="s">
        <v>106</v>
      </c>
      <c r="L2754" s="1" t="s">
        <v>120</v>
      </c>
      <c r="M2754" s="1" t="s">
        <v>125</v>
      </c>
      <c r="N2754" s="1">
        <v>1</v>
      </c>
      <c r="O2754" s="58"/>
      <c r="P2754" s="58">
        <v>270772.8</v>
      </c>
      <c r="Q2754" t="s">
        <v>113</v>
      </c>
      <c r="R2754" s="1" t="s">
        <v>48</v>
      </c>
    </row>
    <row r="2755" spans="3:18" x14ac:dyDescent="0.35">
      <c r="C2755" t="s">
        <v>51</v>
      </c>
      <c r="D2755" t="s">
        <v>20</v>
      </c>
      <c r="E2755" t="s">
        <v>55</v>
      </c>
      <c r="F2755" t="s">
        <v>46</v>
      </c>
      <c r="G2755" s="58">
        <v>4815480</v>
      </c>
      <c r="H2755" s="1" t="s">
        <v>48</v>
      </c>
      <c r="I2755" s="1" t="s">
        <v>108</v>
      </c>
      <c r="J2755" s="58">
        <v>134833440</v>
      </c>
      <c r="K2755" s="1" t="s">
        <v>106</v>
      </c>
      <c r="L2755" s="1" t="s">
        <v>114</v>
      </c>
      <c r="M2755" s="1" t="s">
        <v>123</v>
      </c>
      <c r="N2755" s="1">
        <v>1</v>
      </c>
      <c r="O2755" s="58"/>
      <c r="P2755" s="58">
        <v>2504049.6</v>
      </c>
      <c r="Q2755" t="s">
        <v>113</v>
      </c>
      <c r="R2755" s="1" t="s">
        <v>158</v>
      </c>
    </row>
    <row r="2756" spans="3:18" x14ac:dyDescent="0.35">
      <c r="C2756" t="s">
        <v>51</v>
      </c>
      <c r="D2756" t="s">
        <v>19</v>
      </c>
      <c r="E2756" t="s">
        <v>49</v>
      </c>
      <c r="F2756" t="s">
        <v>46</v>
      </c>
      <c r="G2756" s="58">
        <v>1290737</v>
      </c>
      <c r="H2756" s="1" t="s">
        <v>47</v>
      </c>
      <c r="I2756" s="1" t="s">
        <v>119</v>
      </c>
      <c r="J2756" s="58">
        <v>10325896</v>
      </c>
      <c r="K2756" s="1" t="s">
        <v>112</v>
      </c>
      <c r="N2756" s="1">
        <v>1</v>
      </c>
      <c r="O2756" s="58"/>
      <c r="P2756" s="58">
        <v>580831.65</v>
      </c>
      <c r="Q2756" t="s">
        <v>113</v>
      </c>
      <c r="R2756" s="1" t="s">
        <v>158</v>
      </c>
    </row>
    <row r="2757" spans="3:18" x14ac:dyDescent="0.35">
      <c r="C2757" t="s">
        <v>51</v>
      </c>
      <c r="D2757" t="s">
        <v>23</v>
      </c>
      <c r="E2757" t="s">
        <v>45</v>
      </c>
      <c r="F2757" t="s">
        <v>46</v>
      </c>
      <c r="G2757" s="58">
        <v>484317</v>
      </c>
      <c r="H2757" s="1" t="s">
        <v>48</v>
      </c>
      <c r="I2757" s="1" t="s">
        <v>108</v>
      </c>
      <c r="J2757" s="58">
        <v>13560876</v>
      </c>
      <c r="K2757" s="1" t="s">
        <v>106</v>
      </c>
      <c r="L2757" s="1" t="s">
        <v>124</v>
      </c>
      <c r="M2757" s="1" t="s">
        <v>125</v>
      </c>
      <c r="N2757" s="1">
        <v>1</v>
      </c>
      <c r="O2757" s="58"/>
      <c r="P2757" s="58">
        <v>358394.58</v>
      </c>
      <c r="Q2757" t="s">
        <v>118</v>
      </c>
      <c r="R2757" s="1" t="s">
        <v>48</v>
      </c>
    </row>
    <row r="2758" spans="3:18" x14ac:dyDescent="0.35">
      <c r="C2758" t="s">
        <v>51</v>
      </c>
      <c r="D2758" t="s">
        <v>23</v>
      </c>
      <c r="E2758" t="s">
        <v>62</v>
      </c>
      <c r="F2758" t="s">
        <v>46</v>
      </c>
      <c r="G2758" s="58">
        <v>932000</v>
      </c>
      <c r="H2758" s="1" t="s">
        <v>48</v>
      </c>
      <c r="I2758" s="1" t="s">
        <v>108</v>
      </c>
      <c r="J2758" s="58">
        <v>34484000</v>
      </c>
      <c r="K2758" s="1" t="s">
        <v>112</v>
      </c>
      <c r="N2758" s="1">
        <v>1</v>
      </c>
      <c r="O2758" s="58"/>
      <c r="P2758" s="58">
        <v>932000</v>
      </c>
      <c r="Q2758" t="s">
        <v>110</v>
      </c>
      <c r="R2758" s="1" t="s">
        <v>48</v>
      </c>
    </row>
    <row r="2759" spans="3:18" x14ac:dyDescent="0.35">
      <c r="C2759" t="s">
        <v>51</v>
      </c>
      <c r="D2759" t="s">
        <v>24</v>
      </c>
      <c r="E2759" t="s">
        <v>50</v>
      </c>
      <c r="F2759" t="s">
        <v>46</v>
      </c>
      <c r="G2759" s="58">
        <v>75761</v>
      </c>
      <c r="H2759" s="1" t="s">
        <v>54</v>
      </c>
      <c r="I2759" s="1" t="s">
        <v>111</v>
      </c>
      <c r="J2759" s="58">
        <v>1060654</v>
      </c>
      <c r="K2759" s="1" t="s">
        <v>112</v>
      </c>
      <c r="N2759" s="1">
        <v>1</v>
      </c>
      <c r="O2759" s="58"/>
      <c r="P2759" s="58">
        <v>25001.13</v>
      </c>
      <c r="Q2759" t="s">
        <v>107</v>
      </c>
      <c r="R2759" s="1" t="s">
        <v>158</v>
      </c>
    </row>
    <row r="2760" spans="3:18" x14ac:dyDescent="0.35">
      <c r="C2760" t="s">
        <v>51</v>
      </c>
      <c r="D2760" t="s">
        <v>24</v>
      </c>
      <c r="E2760" t="s">
        <v>50</v>
      </c>
      <c r="F2760" t="s">
        <v>46</v>
      </c>
      <c r="G2760" s="58">
        <v>48121</v>
      </c>
      <c r="H2760" s="1" t="s">
        <v>48</v>
      </c>
      <c r="I2760" s="1" t="s">
        <v>119</v>
      </c>
      <c r="J2760" s="58">
        <v>481210</v>
      </c>
      <c r="K2760" s="1" t="s">
        <v>112</v>
      </c>
      <c r="N2760" s="1">
        <v>1</v>
      </c>
      <c r="O2760" s="58"/>
      <c r="P2760" s="58">
        <v>7699.36</v>
      </c>
      <c r="Q2760" t="s">
        <v>107</v>
      </c>
      <c r="R2760" s="1" t="s">
        <v>158</v>
      </c>
    </row>
    <row r="2761" spans="3:18" x14ac:dyDescent="0.35">
      <c r="C2761" t="s">
        <v>51</v>
      </c>
      <c r="D2761" t="s">
        <v>24</v>
      </c>
      <c r="E2761" t="s">
        <v>55</v>
      </c>
      <c r="F2761" t="s">
        <v>46</v>
      </c>
      <c r="G2761" s="58">
        <v>41575958</v>
      </c>
      <c r="H2761" s="1" t="s">
        <v>48</v>
      </c>
      <c r="I2761" s="1" t="s">
        <v>108</v>
      </c>
      <c r="J2761" s="58">
        <v>1205702782</v>
      </c>
      <c r="K2761" s="1" t="s">
        <v>106</v>
      </c>
      <c r="L2761" s="1" t="s">
        <v>114</v>
      </c>
      <c r="M2761" s="1" t="s">
        <v>121</v>
      </c>
      <c r="N2761" s="1">
        <v>1</v>
      </c>
      <c r="O2761" s="58"/>
      <c r="P2761" s="58">
        <v>12057027.82</v>
      </c>
      <c r="Q2761" t="s">
        <v>107</v>
      </c>
      <c r="R2761" s="1" t="s">
        <v>158</v>
      </c>
    </row>
    <row r="2762" spans="3:18" x14ac:dyDescent="0.35">
      <c r="C2762" t="s">
        <v>53</v>
      </c>
      <c r="D2762" t="s">
        <v>23</v>
      </c>
      <c r="E2762" t="s">
        <v>45</v>
      </c>
      <c r="F2762" t="s">
        <v>46</v>
      </c>
      <c r="G2762" s="58">
        <v>39581</v>
      </c>
      <c r="H2762" s="1" t="s">
        <v>47</v>
      </c>
      <c r="I2762" s="1" t="s">
        <v>105</v>
      </c>
      <c r="J2762" s="58"/>
      <c r="K2762" s="1" t="s">
        <v>106</v>
      </c>
      <c r="L2762" s="1" t="s">
        <v>120</v>
      </c>
      <c r="N2762" s="1">
        <v>0</v>
      </c>
      <c r="O2762" s="58"/>
      <c r="P2762" s="58">
        <v>0</v>
      </c>
      <c r="Q2762" t="s">
        <v>107</v>
      </c>
      <c r="R2762" s="1" t="s">
        <v>158</v>
      </c>
    </row>
    <row r="2763" spans="3:18" x14ac:dyDescent="0.35">
      <c r="C2763" t="s">
        <v>51</v>
      </c>
      <c r="D2763" t="s">
        <v>22</v>
      </c>
      <c r="E2763" t="s">
        <v>52</v>
      </c>
      <c r="F2763" t="s">
        <v>64</v>
      </c>
      <c r="G2763" s="58">
        <v>781249</v>
      </c>
      <c r="H2763" s="1" t="s">
        <v>48</v>
      </c>
      <c r="I2763" s="1" t="s">
        <v>108</v>
      </c>
      <c r="J2763" s="58">
        <v>27343715</v>
      </c>
      <c r="K2763" s="1" t="s">
        <v>112</v>
      </c>
      <c r="N2763" s="1">
        <v>1</v>
      </c>
      <c r="O2763" s="58"/>
      <c r="P2763" s="58">
        <v>414061.97</v>
      </c>
      <c r="Q2763" t="s">
        <v>113</v>
      </c>
      <c r="R2763" s="1" t="s">
        <v>48</v>
      </c>
    </row>
    <row r="2764" spans="3:18" x14ac:dyDescent="0.35">
      <c r="C2764" t="s">
        <v>53</v>
      </c>
      <c r="D2764" t="s">
        <v>92</v>
      </c>
      <c r="E2764" t="s">
        <v>49</v>
      </c>
      <c r="F2764" t="s">
        <v>46</v>
      </c>
      <c r="G2764" s="58">
        <v>974279</v>
      </c>
      <c r="H2764" s="1" t="s">
        <v>56</v>
      </c>
      <c r="I2764" s="1" t="s">
        <v>119</v>
      </c>
      <c r="J2764" s="58">
        <v>7794232</v>
      </c>
      <c r="K2764" s="1" t="s">
        <v>106</v>
      </c>
      <c r="L2764" s="1" t="s">
        <v>124</v>
      </c>
      <c r="N2764" s="1">
        <v>1</v>
      </c>
      <c r="O2764" s="58"/>
      <c r="P2764" s="58">
        <v>594310.18999999994</v>
      </c>
      <c r="Q2764" t="s">
        <v>118</v>
      </c>
      <c r="R2764" s="1" t="s">
        <v>158</v>
      </c>
    </row>
    <row r="2765" spans="3:18" x14ac:dyDescent="0.35">
      <c r="C2765" t="s">
        <v>53</v>
      </c>
      <c r="D2765" t="s">
        <v>21</v>
      </c>
      <c r="E2765" t="s">
        <v>55</v>
      </c>
      <c r="F2765" t="s">
        <v>46</v>
      </c>
      <c r="G2765" s="58">
        <v>361791</v>
      </c>
      <c r="H2765" s="1" t="s">
        <v>48</v>
      </c>
      <c r="I2765" s="1" t="s">
        <v>108</v>
      </c>
      <c r="J2765" s="58">
        <v>7597611</v>
      </c>
      <c r="K2765" s="1" t="s">
        <v>106</v>
      </c>
      <c r="L2765" s="1" t="s">
        <v>114</v>
      </c>
      <c r="M2765" s="1" t="s">
        <v>126</v>
      </c>
      <c r="N2765" s="1">
        <v>1</v>
      </c>
      <c r="O2765" s="58"/>
      <c r="P2765" s="58">
        <v>318376.08</v>
      </c>
      <c r="Q2765" t="s">
        <v>127</v>
      </c>
      <c r="R2765" s="1" t="s">
        <v>158</v>
      </c>
    </row>
    <row r="2766" spans="3:18" x14ac:dyDescent="0.35">
      <c r="C2766" t="s">
        <v>51</v>
      </c>
      <c r="D2766" t="s">
        <v>22</v>
      </c>
      <c r="E2766" t="s">
        <v>45</v>
      </c>
      <c r="F2766" t="s">
        <v>46</v>
      </c>
      <c r="G2766" s="58">
        <v>1394579</v>
      </c>
      <c r="H2766" s="1" t="s">
        <v>54</v>
      </c>
      <c r="I2766" s="1" t="s">
        <v>108</v>
      </c>
      <c r="J2766" s="58">
        <v>39048212</v>
      </c>
      <c r="K2766" s="1" t="s">
        <v>112</v>
      </c>
      <c r="N2766" s="1">
        <v>1</v>
      </c>
      <c r="O2766" s="58"/>
      <c r="P2766" s="58">
        <v>711235.29</v>
      </c>
      <c r="Q2766" t="s">
        <v>113</v>
      </c>
      <c r="R2766" s="1" t="s">
        <v>158</v>
      </c>
    </row>
    <row r="2767" spans="3:18" x14ac:dyDescent="0.35">
      <c r="C2767" t="s">
        <v>51</v>
      </c>
      <c r="D2767" t="s">
        <v>19</v>
      </c>
      <c r="E2767" t="s">
        <v>49</v>
      </c>
      <c r="F2767" t="s">
        <v>46</v>
      </c>
      <c r="G2767" s="58">
        <v>1446312</v>
      </c>
      <c r="H2767" s="1" t="s">
        <v>59</v>
      </c>
      <c r="I2767" s="1" t="s">
        <v>105</v>
      </c>
      <c r="J2767" s="58">
        <v>4338936</v>
      </c>
      <c r="K2767" s="1" t="s">
        <v>106</v>
      </c>
      <c r="L2767" s="1" t="s">
        <v>124</v>
      </c>
      <c r="N2767" s="1">
        <v>1</v>
      </c>
      <c r="O2767" s="58"/>
      <c r="P2767" s="58">
        <v>159094.32</v>
      </c>
      <c r="Q2767" t="s">
        <v>107</v>
      </c>
      <c r="R2767" s="1" t="s">
        <v>158</v>
      </c>
    </row>
    <row r="2768" spans="3:18" x14ac:dyDescent="0.35">
      <c r="C2768" t="s">
        <v>51</v>
      </c>
      <c r="D2768" t="s">
        <v>25</v>
      </c>
      <c r="E2768" t="s">
        <v>50</v>
      </c>
      <c r="F2768" t="s">
        <v>46</v>
      </c>
      <c r="G2768" s="58">
        <v>192249</v>
      </c>
      <c r="H2768" s="1" t="s">
        <v>54</v>
      </c>
      <c r="I2768" s="1" t="s">
        <v>108</v>
      </c>
      <c r="J2768" s="58">
        <v>5767470</v>
      </c>
      <c r="K2768" s="1" t="s">
        <v>106</v>
      </c>
      <c r="L2768" s="1" t="s">
        <v>109</v>
      </c>
      <c r="N2768" s="1">
        <v>1</v>
      </c>
      <c r="O2768" s="58"/>
      <c r="P2768" s="58">
        <v>42294.78</v>
      </c>
      <c r="Q2768" t="s">
        <v>107</v>
      </c>
      <c r="R2768" s="1" t="s">
        <v>158</v>
      </c>
    </row>
    <row r="2769" spans="3:18" x14ac:dyDescent="0.35">
      <c r="C2769" t="s">
        <v>51</v>
      </c>
      <c r="D2769" t="s">
        <v>21</v>
      </c>
      <c r="E2769" t="s">
        <v>49</v>
      </c>
      <c r="F2769" t="s">
        <v>46</v>
      </c>
      <c r="G2769" s="58">
        <v>42810212</v>
      </c>
      <c r="H2769" s="1" t="s">
        <v>48</v>
      </c>
      <c r="I2769" s="1" t="s">
        <v>119</v>
      </c>
      <c r="J2769" s="58">
        <v>342481696</v>
      </c>
      <c r="K2769" s="1" t="s">
        <v>106</v>
      </c>
      <c r="L2769" s="1" t="s">
        <v>124</v>
      </c>
      <c r="M2769" s="1" t="s">
        <v>126</v>
      </c>
      <c r="N2769" s="1">
        <v>1</v>
      </c>
      <c r="O2769" s="58"/>
      <c r="P2769" s="58">
        <v>9846348.7599999998</v>
      </c>
      <c r="Q2769" t="s">
        <v>107</v>
      </c>
      <c r="R2769" s="1" t="s">
        <v>158</v>
      </c>
    </row>
    <row r="2770" spans="3:18" x14ac:dyDescent="0.35">
      <c r="C2770" t="s">
        <v>51</v>
      </c>
      <c r="D2770" t="s">
        <v>91</v>
      </c>
      <c r="E2770" t="s">
        <v>49</v>
      </c>
      <c r="F2770" t="s">
        <v>46</v>
      </c>
      <c r="G2770" s="58">
        <v>57810</v>
      </c>
      <c r="H2770" s="1" t="s">
        <v>48</v>
      </c>
      <c r="I2770" s="1" t="s">
        <v>119</v>
      </c>
      <c r="J2770" s="58">
        <v>346860</v>
      </c>
      <c r="K2770" s="1" t="s">
        <v>112</v>
      </c>
      <c r="N2770" s="1">
        <v>1</v>
      </c>
      <c r="O2770" s="58"/>
      <c r="P2770" s="58">
        <v>12140.1</v>
      </c>
      <c r="Q2770" t="s">
        <v>107</v>
      </c>
      <c r="R2770" s="1" t="s">
        <v>158</v>
      </c>
    </row>
    <row r="2771" spans="3:18" x14ac:dyDescent="0.35">
      <c r="C2771" t="s">
        <v>51</v>
      </c>
      <c r="D2771" t="s">
        <v>19</v>
      </c>
      <c r="E2771" t="s">
        <v>49</v>
      </c>
      <c r="F2771" t="s">
        <v>46</v>
      </c>
      <c r="G2771" s="58">
        <v>1362302</v>
      </c>
      <c r="H2771" s="1" t="s">
        <v>48</v>
      </c>
      <c r="I2771" s="1" t="s">
        <v>108</v>
      </c>
      <c r="J2771" s="58">
        <v>44955966</v>
      </c>
      <c r="K2771" s="1" t="s">
        <v>106</v>
      </c>
      <c r="L2771" s="1" t="s">
        <v>120</v>
      </c>
      <c r="M2771" s="1" t="s">
        <v>115</v>
      </c>
      <c r="N2771" s="1">
        <v>1</v>
      </c>
      <c r="O2771" s="58"/>
      <c r="P2771" s="58">
        <v>1239694.82</v>
      </c>
      <c r="Q2771" t="s">
        <v>127</v>
      </c>
      <c r="R2771" s="1" t="s">
        <v>158</v>
      </c>
    </row>
    <row r="2772" spans="3:18" x14ac:dyDescent="0.35">
      <c r="C2772" t="s">
        <v>51</v>
      </c>
      <c r="D2772" t="s">
        <v>20</v>
      </c>
      <c r="E2772" t="s">
        <v>49</v>
      </c>
      <c r="F2772" t="s">
        <v>46</v>
      </c>
      <c r="G2772" s="58">
        <v>4499220</v>
      </c>
      <c r="H2772" s="1" t="s">
        <v>59</v>
      </c>
      <c r="I2772" s="1" t="s">
        <v>108</v>
      </c>
      <c r="J2772" s="58">
        <v>143975040</v>
      </c>
      <c r="K2772" s="1" t="s">
        <v>112</v>
      </c>
      <c r="N2772" s="1">
        <v>1</v>
      </c>
      <c r="O2772" s="58"/>
      <c r="P2772" s="58">
        <v>2204617.7999999998</v>
      </c>
      <c r="Q2772" t="s">
        <v>113</v>
      </c>
      <c r="R2772" s="1" t="s">
        <v>158</v>
      </c>
    </row>
    <row r="2773" spans="3:18" x14ac:dyDescent="0.35">
      <c r="C2773" t="s">
        <v>51</v>
      </c>
      <c r="D2773" t="s">
        <v>25</v>
      </c>
      <c r="E2773" t="s">
        <v>50</v>
      </c>
      <c r="F2773" t="s">
        <v>46</v>
      </c>
      <c r="G2773" s="58">
        <v>26396</v>
      </c>
      <c r="H2773" s="1" t="s">
        <v>54</v>
      </c>
      <c r="I2773" s="1" t="s">
        <v>119</v>
      </c>
      <c r="J2773" s="58">
        <v>184772</v>
      </c>
      <c r="K2773" s="1" t="s">
        <v>106</v>
      </c>
      <c r="L2773" s="1" t="s">
        <v>109</v>
      </c>
      <c r="N2773" s="1">
        <v>1</v>
      </c>
      <c r="O2773" s="58"/>
      <c r="P2773" s="58">
        <v>11086.32</v>
      </c>
      <c r="Q2773" t="s">
        <v>113</v>
      </c>
      <c r="R2773" s="1" t="s">
        <v>158</v>
      </c>
    </row>
    <row r="2774" spans="3:18" x14ac:dyDescent="0.35">
      <c r="C2774" t="s">
        <v>51</v>
      </c>
      <c r="D2774" t="s">
        <v>92</v>
      </c>
      <c r="E2774" t="s">
        <v>45</v>
      </c>
      <c r="F2774" t="s">
        <v>46</v>
      </c>
      <c r="G2774" s="58">
        <v>25922</v>
      </c>
      <c r="H2774" s="1" t="s">
        <v>59</v>
      </c>
      <c r="I2774" s="1" t="s">
        <v>111</v>
      </c>
      <c r="J2774" s="58">
        <v>336986</v>
      </c>
      <c r="K2774" s="1" t="s">
        <v>106</v>
      </c>
      <c r="L2774" s="1" t="s">
        <v>120</v>
      </c>
      <c r="N2774" s="1">
        <v>1</v>
      </c>
      <c r="O2774" s="58"/>
      <c r="P2774" s="58">
        <v>10628.02</v>
      </c>
      <c r="Q2774" t="s">
        <v>113</v>
      </c>
      <c r="R2774" s="1" t="s">
        <v>158</v>
      </c>
    </row>
    <row r="2775" spans="3:18" x14ac:dyDescent="0.35">
      <c r="C2775" t="s">
        <v>51</v>
      </c>
      <c r="D2775" t="s">
        <v>20</v>
      </c>
      <c r="E2775" t="s">
        <v>55</v>
      </c>
      <c r="F2775" t="s">
        <v>46</v>
      </c>
      <c r="G2775" s="58">
        <v>1349701</v>
      </c>
      <c r="H2775" s="1" t="s">
        <v>48</v>
      </c>
      <c r="I2775" s="1" t="s">
        <v>108</v>
      </c>
      <c r="J2775" s="58">
        <v>45889834</v>
      </c>
      <c r="K2775" s="1" t="s">
        <v>106</v>
      </c>
      <c r="L2775" s="1" t="s">
        <v>114</v>
      </c>
      <c r="M2775" s="1" t="s">
        <v>123</v>
      </c>
      <c r="N2775" s="1">
        <v>1</v>
      </c>
      <c r="O2775" s="58"/>
      <c r="P2775" s="58">
        <v>1106754.82</v>
      </c>
      <c r="Q2775" t="s">
        <v>127</v>
      </c>
      <c r="R2775" s="1" t="s">
        <v>158</v>
      </c>
    </row>
    <row r="2776" spans="3:18" x14ac:dyDescent="0.35">
      <c r="C2776" t="s">
        <v>51</v>
      </c>
      <c r="D2776" t="s">
        <v>23</v>
      </c>
      <c r="E2776" t="s">
        <v>49</v>
      </c>
      <c r="F2776" t="s">
        <v>46</v>
      </c>
      <c r="G2776" s="58">
        <v>1199539</v>
      </c>
      <c r="H2776" s="1" t="s">
        <v>54</v>
      </c>
      <c r="I2776" s="1" t="s">
        <v>119</v>
      </c>
      <c r="J2776" s="58">
        <v>8396773</v>
      </c>
      <c r="K2776" s="1" t="s">
        <v>106</v>
      </c>
      <c r="L2776" s="1" t="s">
        <v>124</v>
      </c>
      <c r="N2776" s="1">
        <v>1</v>
      </c>
      <c r="O2776" s="58"/>
      <c r="P2776" s="58">
        <v>239907.8</v>
      </c>
      <c r="Q2776" t="s">
        <v>107</v>
      </c>
      <c r="R2776" s="1" t="s">
        <v>158</v>
      </c>
    </row>
    <row r="2777" spans="3:18" x14ac:dyDescent="0.35">
      <c r="C2777" t="s">
        <v>53</v>
      </c>
      <c r="D2777" t="s">
        <v>22</v>
      </c>
      <c r="E2777" t="s">
        <v>55</v>
      </c>
      <c r="F2777" t="s">
        <v>46</v>
      </c>
      <c r="G2777" s="58">
        <v>0</v>
      </c>
      <c r="H2777" s="1" t="s">
        <v>54</v>
      </c>
      <c r="I2777" s="1" t="s">
        <v>128</v>
      </c>
      <c r="J2777" s="58"/>
      <c r="K2777" s="1" t="s">
        <v>106</v>
      </c>
      <c r="L2777" s="1" t="s">
        <v>114</v>
      </c>
      <c r="N2777" s="1">
        <v>0</v>
      </c>
      <c r="O2777" s="58"/>
      <c r="P2777" s="58">
        <v>0</v>
      </c>
      <c r="Q2777" t="s">
        <v>107</v>
      </c>
      <c r="R2777" s="1" t="s">
        <v>158</v>
      </c>
    </row>
    <row r="2778" spans="3:18" x14ac:dyDescent="0.35">
      <c r="C2778" t="s">
        <v>53</v>
      </c>
      <c r="D2778" t="s">
        <v>20</v>
      </c>
      <c r="E2778" t="s">
        <v>45</v>
      </c>
      <c r="F2778" t="s">
        <v>46</v>
      </c>
      <c r="G2778" s="58">
        <v>854309</v>
      </c>
      <c r="H2778" s="1" t="s">
        <v>54</v>
      </c>
      <c r="I2778" s="1" t="s">
        <v>111</v>
      </c>
      <c r="J2778" s="58">
        <v>12814635</v>
      </c>
      <c r="K2778" s="1" t="s">
        <v>112</v>
      </c>
      <c r="N2778" s="1">
        <v>1</v>
      </c>
      <c r="O2778" s="58"/>
      <c r="P2778" s="58">
        <v>751791.92</v>
      </c>
      <c r="Q2778" t="s">
        <v>127</v>
      </c>
      <c r="R2778" s="1" t="s">
        <v>158</v>
      </c>
    </row>
    <row r="2779" spans="3:18" x14ac:dyDescent="0.35">
      <c r="C2779" t="s">
        <v>51</v>
      </c>
      <c r="D2779" t="s">
        <v>22</v>
      </c>
      <c r="E2779" t="s">
        <v>45</v>
      </c>
      <c r="F2779" t="s">
        <v>46</v>
      </c>
      <c r="G2779" s="58">
        <v>282900</v>
      </c>
      <c r="H2779" s="1" t="s">
        <v>47</v>
      </c>
      <c r="I2779" s="1" t="s">
        <v>119</v>
      </c>
      <c r="J2779" s="58">
        <v>2546100</v>
      </c>
      <c r="K2779" s="1" t="s">
        <v>112</v>
      </c>
      <c r="N2779" s="1">
        <v>1</v>
      </c>
      <c r="O2779" s="58"/>
      <c r="P2779" s="58">
        <v>127305</v>
      </c>
      <c r="Q2779" t="s">
        <v>113</v>
      </c>
      <c r="R2779" s="1" t="s">
        <v>158</v>
      </c>
    </row>
    <row r="2780" spans="3:18" x14ac:dyDescent="0.35">
      <c r="C2780" t="s">
        <v>51</v>
      </c>
      <c r="D2780" t="s">
        <v>22</v>
      </c>
      <c r="E2780" t="s">
        <v>45</v>
      </c>
      <c r="F2780" t="s">
        <v>46</v>
      </c>
      <c r="G2780" s="58">
        <v>217413</v>
      </c>
      <c r="H2780" s="1" t="s">
        <v>56</v>
      </c>
      <c r="I2780" s="1" t="s">
        <v>111</v>
      </c>
      <c r="J2780" s="58">
        <v>3696021</v>
      </c>
      <c r="K2780" s="1" t="s">
        <v>106</v>
      </c>
      <c r="L2780" s="1" t="s">
        <v>120</v>
      </c>
      <c r="N2780" s="1">
        <v>1</v>
      </c>
      <c r="O2780" s="58"/>
      <c r="P2780" s="58">
        <v>263069.73</v>
      </c>
      <c r="Q2780" t="s">
        <v>110</v>
      </c>
      <c r="R2780" s="1" t="s">
        <v>158</v>
      </c>
    </row>
    <row r="2781" spans="3:18" x14ac:dyDescent="0.35">
      <c r="C2781" t="s">
        <v>51</v>
      </c>
      <c r="D2781" t="s">
        <v>21</v>
      </c>
      <c r="E2781" t="s">
        <v>45</v>
      </c>
      <c r="F2781" t="s">
        <v>46</v>
      </c>
      <c r="G2781" s="58">
        <v>18214119</v>
      </c>
      <c r="H2781" s="1" t="s">
        <v>48</v>
      </c>
      <c r="I2781" s="1" t="s">
        <v>111</v>
      </c>
      <c r="J2781" s="58">
        <v>291425904</v>
      </c>
      <c r="K2781" s="1" t="s">
        <v>106</v>
      </c>
      <c r="L2781" s="1" t="s">
        <v>120</v>
      </c>
      <c r="M2781" s="1" t="s">
        <v>126</v>
      </c>
      <c r="N2781" s="1">
        <v>1</v>
      </c>
      <c r="O2781" s="58"/>
      <c r="P2781" s="58">
        <v>9289200.6899999995</v>
      </c>
      <c r="Q2781" t="s">
        <v>113</v>
      </c>
      <c r="R2781" s="1" t="s">
        <v>158</v>
      </c>
    </row>
    <row r="2782" spans="3:18" x14ac:dyDescent="0.35">
      <c r="C2782" t="s">
        <v>51</v>
      </c>
      <c r="D2782" t="s">
        <v>21</v>
      </c>
      <c r="E2782" t="s">
        <v>45</v>
      </c>
      <c r="F2782" t="s">
        <v>46</v>
      </c>
      <c r="G2782" s="58">
        <v>1375780</v>
      </c>
      <c r="H2782" s="1" t="s">
        <v>54</v>
      </c>
      <c r="I2782" s="1" t="s">
        <v>111</v>
      </c>
      <c r="J2782" s="58">
        <v>22012480</v>
      </c>
      <c r="K2782" s="1" t="s">
        <v>106</v>
      </c>
      <c r="L2782" s="1" t="s">
        <v>120</v>
      </c>
      <c r="N2782" s="1">
        <v>1</v>
      </c>
      <c r="O2782" s="58"/>
      <c r="P2782" s="58">
        <v>921772.6</v>
      </c>
      <c r="Q2782" t="s">
        <v>118</v>
      </c>
      <c r="R2782" s="1" t="s">
        <v>158</v>
      </c>
    </row>
    <row r="2783" spans="3:18" x14ac:dyDescent="0.35">
      <c r="C2783" t="s">
        <v>51</v>
      </c>
      <c r="D2783" t="s">
        <v>24</v>
      </c>
      <c r="E2783" t="s">
        <v>62</v>
      </c>
      <c r="F2783" t="s">
        <v>46</v>
      </c>
      <c r="G2783" s="58">
        <v>31082525</v>
      </c>
      <c r="H2783" s="1" t="s">
        <v>48</v>
      </c>
      <c r="I2783" s="1" t="s">
        <v>108</v>
      </c>
      <c r="J2783" s="58">
        <v>1056805850</v>
      </c>
      <c r="K2783" s="1" t="s">
        <v>112</v>
      </c>
      <c r="N2783" s="1">
        <v>1</v>
      </c>
      <c r="O2783" s="58"/>
      <c r="P2783" s="58">
        <v>22379418</v>
      </c>
      <c r="Q2783" t="s">
        <v>118</v>
      </c>
      <c r="R2783" s="1" t="s">
        <v>48</v>
      </c>
    </row>
    <row r="2784" spans="3:18" x14ac:dyDescent="0.35">
      <c r="C2784" t="s">
        <v>51</v>
      </c>
      <c r="D2784" t="s">
        <v>22</v>
      </c>
      <c r="E2784" t="s">
        <v>62</v>
      </c>
      <c r="F2784" t="s">
        <v>46</v>
      </c>
      <c r="G2784" s="58">
        <v>91718</v>
      </c>
      <c r="H2784" s="1" t="s">
        <v>48</v>
      </c>
      <c r="I2784" s="1" t="s">
        <v>111</v>
      </c>
      <c r="J2784" s="58">
        <v>1284052</v>
      </c>
      <c r="K2784" s="1" t="s">
        <v>106</v>
      </c>
      <c r="L2784" s="1" t="s">
        <v>120</v>
      </c>
      <c r="M2784" s="1" t="s">
        <v>125</v>
      </c>
      <c r="N2784" s="1">
        <v>1</v>
      </c>
      <c r="O2784" s="58"/>
      <c r="P2784" s="58">
        <v>46776.18</v>
      </c>
      <c r="Q2784" t="s">
        <v>113</v>
      </c>
      <c r="R2784" s="1" t="s">
        <v>48</v>
      </c>
    </row>
    <row r="2785" spans="3:18" x14ac:dyDescent="0.35">
      <c r="C2785" t="s">
        <v>51</v>
      </c>
      <c r="D2785" t="s">
        <v>22</v>
      </c>
      <c r="E2785" t="s">
        <v>55</v>
      </c>
      <c r="F2785" t="s">
        <v>46</v>
      </c>
      <c r="G2785" s="58">
        <v>89969</v>
      </c>
      <c r="H2785" s="1" t="s">
        <v>48</v>
      </c>
      <c r="I2785" s="1" t="s">
        <v>119</v>
      </c>
      <c r="J2785" s="58">
        <v>629783</v>
      </c>
      <c r="K2785" s="1" t="s">
        <v>106</v>
      </c>
      <c r="L2785" s="1" t="s">
        <v>120</v>
      </c>
      <c r="M2785" s="1" t="s">
        <v>115</v>
      </c>
      <c r="N2785" s="1">
        <v>1</v>
      </c>
      <c r="O2785" s="58"/>
      <c r="P2785" s="58">
        <v>19793.18</v>
      </c>
      <c r="Q2785" t="s">
        <v>107</v>
      </c>
      <c r="R2785" s="1" t="s">
        <v>48</v>
      </c>
    </row>
    <row r="2786" spans="3:18" x14ac:dyDescent="0.35">
      <c r="C2786" t="s">
        <v>51</v>
      </c>
      <c r="D2786" t="s">
        <v>23</v>
      </c>
      <c r="E2786" t="s">
        <v>45</v>
      </c>
      <c r="F2786" t="s">
        <v>46</v>
      </c>
      <c r="G2786" s="58">
        <v>8441745</v>
      </c>
      <c r="H2786" s="1" t="s">
        <v>56</v>
      </c>
      <c r="I2786" s="1" t="s">
        <v>105</v>
      </c>
      <c r="J2786" s="58">
        <v>25325235</v>
      </c>
      <c r="K2786" s="1" t="s">
        <v>106</v>
      </c>
      <c r="L2786" s="1" t="s">
        <v>120</v>
      </c>
      <c r="N2786" s="1">
        <v>1</v>
      </c>
      <c r="O2786" s="58"/>
      <c r="P2786" s="58">
        <v>1181844.3</v>
      </c>
      <c r="Q2786" t="s">
        <v>107</v>
      </c>
      <c r="R2786" s="1" t="s">
        <v>158</v>
      </c>
    </row>
    <row r="2787" spans="3:18" x14ac:dyDescent="0.35">
      <c r="C2787" t="s">
        <v>51</v>
      </c>
      <c r="D2787" t="s">
        <v>22</v>
      </c>
      <c r="E2787" t="s">
        <v>49</v>
      </c>
      <c r="F2787" t="s">
        <v>46</v>
      </c>
      <c r="G2787" s="58">
        <v>100091940</v>
      </c>
      <c r="H2787" s="1" t="s">
        <v>48</v>
      </c>
      <c r="I2787" s="1" t="s">
        <v>108</v>
      </c>
      <c r="J2787" s="58">
        <v>3503217900</v>
      </c>
      <c r="K2787" s="1" t="s">
        <v>106</v>
      </c>
      <c r="L2787" s="1" t="s">
        <v>124</v>
      </c>
      <c r="M2787" s="1" t="s">
        <v>115</v>
      </c>
      <c r="N2787" s="1">
        <v>1</v>
      </c>
      <c r="O2787" s="58"/>
      <c r="P2787" s="58">
        <v>82075390.799999997</v>
      </c>
      <c r="Q2787" t="s">
        <v>127</v>
      </c>
      <c r="R2787" s="1" t="s">
        <v>158</v>
      </c>
    </row>
    <row r="2788" spans="3:18" x14ac:dyDescent="0.35">
      <c r="C2788" t="s">
        <v>53</v>
      </c>
      <c r="D2788" t="s">
        <v>22</v>
      </c>
      <c r="E2788" t="s">
        <v>49</v>
      </c>
      <c r="F2788" t="s">
        <v>46</v>
      </c>
      <c r="G2788" s="58">
        <v>4941339</v>
      </c>
      <c r="H2788" s="1" t="s">
        <v>54</v>
      </c>
      <c r="I2788" s="1" t="s">
        <v>111</v>
      </c>
      <c r="J2788" s="58">
        <v>74120085</v>
      </c>
      <c r="K2788" s="1" t="s">
        <v>112</v>
      </c>
      <c r="N2788" s="1">
        <v>1</v>
      </c>
      <c r="O2788" s="58"/>
      <c r="P2788" s="58">
        <v>1185921.3600000001</v>
      </c>
      <c r="Q2788" t="s">
        <v>107</v>
      </c>
      <c r="R2788" s="1" t="s">
        <v>158</v>
      </c>
    </row>
    <row r="2789" spans="3:18" x14ac:dyDescent="0.35">
      <c r="C2789" t="s">
        <v>53</v>
      </c>
      <c r="D2789" t="s">
        <v>19</v>
      </c>
      <c r="E2789" t="s">
        <v>49</v>
      </c>
      <c r="F2789" t="s">
        <v>46</v>
      </c>
      <c r="G2789" s="58">
        <v>313563</v>
      </c>
      <c r="H2789" s="1" t="s">
        <v>54</v>
      </c>
      <c r="I2789" s="1" t="s">
        <v>119</v>
      </c>
      <c r="J2789" s="58">
        <v>2822067</v>
      </c>
      <c r="K2789" s="1" t="s">
        <v>106</v>
      </c>
      <c r="L2789" s="1" t="s">
        <v>120</v>
      </c>
      <c r="N2789" s="1">
        <v>1</v>
      </c>
      <c r="O2789" s="58"/>
      <c r="P2789" s="58">
        <v>163052.76</v>
      </c>
      <c r="Q2789" t="s">
        <v>113</v>
      </c>
      <c r="R2789" s="1" t="s">
        <v>158</v>
      </c>
    </row>
    <row r="2790" spans="3:18" x14ac:dyDescent="0.35">
      <c r="C2790" t="s">
        <v>51</v>
      </c>
      <c r="D2790" t="s">
        <v>25</v>
      </c>
      <c r="E2790" t="s">
        <v>55</v>
      </c>
      <c r="F2790" t="s">
        <v>46</v>
      </c>
      <c r="G2790" s="58">
        <v>701613</v>
      </c>
      <c r="H2790" s="1" t="s">
        <v>59</v>
      </c>
      <c r="I2790" s="1" t="s">
        <v>111</v>
      </c>
      <c r="J2790" s="58">
        <v>9822582</v>
      </c>
      <c r="K2790" s="1" t="s">
        <v>106</v>
      </c>
      <c r="L2790" s="1" t="s">
        <v>114</v>
      </c>
      <c r="N2790" s="1">
        <v>1</v>
      </c>
      <c r="O2790" s="58"/>
      <c r="P2790" s="58">
        <v>196451.64</v>
      </c>
      <c r="Q2790" t="s">
        <v>107</v>
      </c>
      <c r="R2790" s="1" t="s">
        <v>158</v>
      </c>
    </row>
    <row r="2791" spans="3:18" x14ac:dyDescent="0.35">
      <c r="C2791" t="s">
        <v>51</v>
      </c>
      <c r="D2791" t="s">
        <v>21</v>
      </c>
      <c r="E2791" t="s">
        <v>49</v>
      </c>
      <c r="F2791" t="s">
        <v>46</v>
      </c>
      <c r="G2791" s="58">
        <v>27753</v>
      </c>
      <c r="H2791" s="1" t="s">
        <v>48</v>
      </c>
      <c r="I2791" s="1" t="s">
        <v>105</v>
      </c>
      <c r="J2791" s="58">
        <v>83259</v>
      </c>
      <c r="K2791" s="1" t="s">
        <v>106</v>
      </c>
      <c r="L2791" s="1" t="s">
        <v>120</v>
      </c>
      <c r="M2791" s="1" t="s">
        <v>115</v>
      </c>
      <c r="N2791" s="1">
        <v>1</v>
      </c>
      <c r="O2791" s="58"/>
      <c r="P2791" s="58">
        <v>1110.1199999999999</v>
      </c>
      <c r="Q2791" t="s">
        <v>107</v>
      </c>
      <c r="R2791" s="1" t="s">
        <v>158</v>
      </c>
    </row>
    <row r="2792" spans="3:18" x14ac:dyDescent="0.35">
      <c r="C2792" t="s">
        <v>51</v>
      </c>
      <c r="D2792" t="s">
        <v>24</v>
      </c>
      <c r="E2792" t="s">
        <v>45</v>
      </c>
      <c r="F2792" t="s">
        <v>46</v>
      </c>
      <c r="G2792" s="58">
        <v>10319301</v>
      </c>
      <c r="H2792" s="1" t="s">
        <v>59</v>
      </c>
      <c r="I2792" s="1" t="s">
        <v>108</v>
      </c>
      <c r="J2792" s="58">
        <v>278621127</v>
      </c>
      <c r="K2792" s="1" t="s">
        <v>106</v>
      </c>
      <c r="L2792" s="1" t="s">
        <v>120</v>
      </c>
      <c r="N2792" s="1">
        <v>1</v>
      </c>
      <c r="O2792" s="58"/>
      <c r="P2792" s="58">
        <v>7017124.6799999997</v>
      </c>
      <c r="Q2792" t="s">
        <v>118</v>
      </c>
      <c r="R2792" s="1" t="s">
        <v>158</v>
      </c>
    </row>
    <row r="2793" spans="3:18" x14ac:dyDescent="0.35">
      <c r="C2793" t="s">
        <v>51</v>
      </c>
      <c r="D2793" t="s">
        <v>92</v>
      </c>
      <c r="E2793" t="s">
        <v>49</v>
      </c>
      <c r="F2793" t="s">
        <v>46</v>
      </c>
      <c r="G2793" s="58">
        <v>18418868</v>
      </c>
      <c r="H2793" s="1" t="s">
        <v>56</v>
      </c>
      <c r="I2793" s="1" t="s">
        <v>111</v>
      </c>
      <c r="J2793" s="58">
        <v>276283020</v>
      </c>
      <c r="K2793" s="1" t="s">
        <v>106</v>
      </c>
      <c r="L2793" s="1" t="s">
        <v>124</v>
      </c>
      <c r="N2793" s="1">
        <v>1</v>
      </c>
      <c r="O2793" s="58"/>
      <c r="P2793" s="58">
        <v>5157283.04</v>
      </c>
      <c r="Q2793" t="s">
        <v>107</v>
      </c>
      <c r="R2793" s="1" t="s">
        <v>158</v>
      </c>
    </row>
    <row r="2794" spans="3:18" x14ac:dyDescent="0.35">
      <c r="C2794" t="s">
        <v>53</v>
      </c>
      <c r="D2794" t="s">
        <v>22</v>
      </c>
      <c r="E2794" t="s">
        <v>49</v>
      </c>
      <c r="F2794" t="s">
        <v>46</v>
      </c>
      <c r="G2794" s="58">
        <v>91868</v>
      </c>
      <c r="H2794" s="1" t="s">
        <v>54</v>
      </c>
      <c r="I2794" s="1" t="s">
        <v>105</v>
      </c>
      <c r="J2794" s="58"/>
      <c r="K2794" s="1" t="s">
        <v>106</v>
      </c>
      <c r="L2794" s="1" t="s">
        <v>124</v>
      </c>
      <c r="N2794" s="1">
        <v>0</v>
      </c>
      <c r="O2794" s="58"/>
      <c r="P2794" s="58">
        <v>1837.36</v>
      </c>
      <c r="Q2794" t="s">
        <v>107</v>
      </c>
      <c r="R2794" s="1" t="s">
        <v>158</v>
      </c>
    </row>
    <row r="2795" spans="3:18" x14ac:dyDescent="0.35">
      <c r="C2795" t="s">
        <v>51</v>
      </c>
      <c r="D2795" t="s">
        <v>24</v>
      </c>
      <c r="E2795" t="s">
        <v>55</v>
      </c>
      <c r="F2795" t="s">
        <v>46</v>
      </c>
      <c r="G2795" s="58">
        <v>3079438</v>
      </c>
      <c r="H2795" s="1" t="s">
        <v>56</v>
      </c>
      <c r="I2795" s="1" t="s">
        <v>119</v>
      </c>
      <c r="J2795" s="58">
        <v>21556066</v>
      </c>
      <c r="K2795" s="1" t="s">
        <v>106</v>
      </c>
      <c r="L2795" s="1" t="s">
        <v>114</v>
      </c>
      <c r="N2795" s="1">
        <v>1</v>
      </c>
      <c r="O2795" s="58"/>
      <c r="P2795" s="58">
        <v>708270.74</v>
      </c>
      <c r="Q2795" t="s">
        <v>107</v>
      </c>
      <c r="R2795" s="1" t="s">
        <v>158</v>
      </c>
    </row>
    <row r="2796" spans="3:18" x14ac:dyDescent="0.35">
      <c r="C2796" t="s">
        <v>51</v>
      </c>
      <c r="D2796" t="s">
        <v>22</v>
      </c>
      <c r="E2796" t="s">
        <v>45</v>
      </c>
      <c r="F2796" t="s">
        <v>46</v>
      </c>
      <c r="G2796" s="58">
        <v>459871</v>
      </c>
      <c r="H2796" s="1" t="s">
        <v>59</v>
      </c>
      <c r="I2796" s="1" t="s">
        <v>111</v>
      </c>
      <c r="J2796" s="58">
        <v>6438194</v>
      </c>
      <c r="K2796" s="1" t="s">
        <v>106</v>
      </c>
      <c r="L2796" s="1" t="s">
        <v>124</v>
      </c>
      <c r="N2796" s="1">
        <v>1</v>
      </c>
      <c r="O2796" s="58"/>
      <c r="P2796" s="58">
        <v>220738.08</v>
      </c>
      <c r="Q2796" t="s">
        <v>113</v>
      </c>
      <c r="R2796" s="1" t="s">
        <v>158</v>
      </c>
    </row>
    <row r="2797" spans="3:18" x14ac:dyDescent="0.35">
      <c r="C2797" t="s">
        <v>51</v>
      </c>
      <c r="D2797" t="s">
        <v>21</v>
      </c>
      <c r="E2797" t="s">
        <v>55</v>
      </c>
      <c r="F2797" t="s">
        <v>46</v>
      </c>
      <c r="G2797" s="58">
        <v>1830004</v>
      </c>
      <c r="H2797" s="1" t="s">
        <v>48</v>
      </c>
      <c r="I2797" s="1" t="s">
        <v>108</v>
      </c>
      <c r="J2797" s="58">
        <v>54900120</v>
      </c>
      <c r="K2797" s="1" t="s">
        <v>112</v>
      </c>
      <c r="N2797" s="1">
        <v>1</v>
      </c>
      <c r="O2797" s="58"/>
      <c r="P2797" s="58">
        <v>549001.19999999995</v>
      </c>
      <c r="Q2797" t="s">
        <v>107</v>
      </c>
      <c r="R2797" s="1" t="s">
        <v>48</v>
      </c>
    </row>
    <row r="2798" spans="3:18" x14ac:dyDescent="0.35">
      <c r="C2798" t="s">
        <v>51</v>
      </c>
      <c r="D2798" t="s">
        <v>21</v>
      </c>
      <c r="E2798" t="s">
        <v>49</v>
      </c>
      <c r="F2798" t="s">
        <v>46</v>
      </c>
      <c r="G2798" s="58">
        <v>34400379</v>
      </c>
      <c r="H2798" s="1" t="s">
        <v>48</v>
      </c>
      <c r="I2798" s="1" t="s">
        <v>108</v>
      </c>
      <c r="J2798" s="58">
        <v>1135212507</v>
      </c>
      <c r="K2798" s="1" t="s">
        <v>112</v>
      </c>
      <c r="N2798" s="1">
        <v>1</v>
      </c>
      <c r="O2798" s="58"/>
      <c r="P2798" s="58">
        <v>24424269.09</v>
      </c>
      <c r="Q2798" t="s">
        <v>118</v>
      </c>
      <c r="R2798" s="1" t="s">
        <v>158</v>
      </c>
    </row>
    <row r="2799" spans="3:18" x14ac:dyDescent="0.35">
      <c r="C2799" t="s">
        <v>51</v>
      </c>
      <c r="D2799" t="s">
        <v>21</v>
      </c>
      <c r="E2799" t="s">
        <v>45</v>
      </c>
      <c r="F2799" t="s">
        <v>46</v>
      </c>
      <c r="G2799" s="58">
        <v>3746662</v>
      </c>
      <c r="H2799" s="1" t="s">
        <v>59</v>
      </c>
      <c r="I2799" s="1" t="s">
        <v>111</v>
      </c>
      <c r="J2799" s="58">
        <v>59946592</v>
      </c>
      <c r="K2799" s="1" t="s">
        <v>106</v>
      </c>
      <c r="L2799" s="1" t="s">
        <v>120</v>
      </c>
      <c r="N2799" s="1">
        <v>1</v>
      </c>
      <c r="O2799" s="58"/>
      <c r="P2799" s="58">
        <v>1835864.38</v>
      </c>
      <c r="Q2799" t="s">
        <v>113</v>
      </c>
      <c r="R2799" s="1" t="s">
        <v>158</v>
      </c>
    </row>
    <row r="2800" spans="3:18" x14ac:dyDescent="0.35">
      <c r="C2800" t="s">
        <v>53</v>
      </c>
      <c r="D2800" t="s">
        <v>22</v>
      </c>
      <c r="E2800" t="s">
        <v>45</v>
      </c>
      <c r="F2800" t="s">
        <v>46</v>
      </c>
      <c r="G2800" s="58">
        <v>3365063</v>
      </c>
      <c r="H2800" s="1" t="s">
        <v>59</v>
      </c>
      <c r="I2800" s="1" t="s">
        <v>119</v>
      </c>
      <c r="J2800" s="58">
        <v>30285567</v>
      </c>
      <c r="K2800" s="1" t="s">
        <v>106</v>
      </c>
      <c r="L2800" s="1" t="s">
        <v>120</v>
      </c>
      <c r="N2800" s="1">
        <v>1</v>
      </c>
      <c r="O2800" s="58"/>
      <c r="P2800" s="58">
        <v>2220941.58</v>
      </c>
      <c r="Q2800" t="s">
        <v>118</v>
      </c>
      <c r="R2800" s="1" t="s">
        <v>158</v>
      </c>
    </row>
    <row r="2801" spans="3:18" x14ac:dyDescent="0.35">
      <c r="C2801" t="s">
        <v>51</v>
      </c>
      <c r="D2801" t="s">
        <v>91</v>
      </c>
      <c r="E2801" t="s">
        <v>49</v>
      </c>
      <c r="F2801" t="s">
        <v>46</v>
      </c>
      <c r="G2801" s="58">
        <v>793594</v>
      </c>
      <c r="H2801" s="1" t="s">
        <v>48</v>
      </c>
      <c r="I2801" s="1" t="s">
        <v>105</v>
      </c>
      <c r="J2801" s="58">
        <v>0</v>
      </c>
      <c r="K2801" s="1" t="s">
        <v>106</v>
      </c>
      <c r="L2801" s="1" t="s">
        <v>124</v>
      </c>
      <c r="M2801" s="1" t="s">
        <v>122</v>
      </c>
      <c r="N2801" s="1">
        <v>1</v>
      </c>
      <c r="O2801" s="58"/>
      <c r="P2801" s="58">
        <v>436476.7</v>
      </c>
      <c r="Q2801" t="s">
        <v>113</v>
      </c>
      <c r="R2801" s="1" t="s">
        <v>48</v>
      </c>
    </row>
    <row r="2802" spans="3:18" x14ac:dyDescent="0.35">
      <c r="C2802" t="s">
        <v>44</v>
      </c>
      <c r="D2802" t="s">
        <v>23</v>
      </c>
      <c r="E2802" t="s">
        <v>55</v>
      </c>
      <c r="F2802" t="s">
        <v>46</v>
      </c>
      <c r="G2802" s="58">
        <v>110758</v>
      </c>
      <c r="H2802" s="1" t="s">
        <v>48</v>
      </c>
      <c r="I2802" s="1" t="s">
        <v>108</v>
      </c>
      <c r="J2802" s="58"/>
      <c r="N2802" s="1">
        <v>0</v>
      </c>
      <c r="O2802" s="58"/>
      <c r="P2802" s="58"/>
      <c r="R2802" s="1" t="s">
        <v>158</v>
      </c>
    </row>
    <row r="2803" spans="3:18" x14ac:dyDescent="0.35">
      <c r="C2803" t="s">
        <v>53</v>
      </c>
      <c r="D2803" t="s">
        <v>25</v>
      </c>
      <c r="E2803" t="s">
        <v>55</v>
      </c>
      <c r="F2803" t="s">
        <v>46</v>
      </c>
      <c r="G2803" s="58">
        <v>3717364</v>
      </c>
      <c r="H2803" s="1" t="s">
        <v>54</v>
      </c>
      <c r="I2803" s="1" t="s">
        <v>119</v>
      </c>
      <c r="J2803" s="58">
        <v>22304184</v>
      </c>
      <c r="K2803" s="1" t="s">
        <v>106</v>
      </c>
      <c r="L2803" s="1" t="s">
        <v>114</v>
      </c>
      <c r="N2803" s="1">
        <v>1</v>
      </c>
      <c r="O2803" s="58"/>
      <c r="P2803" s="58">
        <v>483257.32</v>
      </c>
      <c r="Q2803" t="s">
        <v>107</v>
      </c>
      <c r="R2803" s="1" t="s">
        <v>158</v>
      </c>
    </row>
    <row r="2804" spans="3:18" x14ac:dyDescent="0.35">
      <c r="C2804" t="s">
        <v>51</v>
      </c>
      <c r="D2804" t="s">
        <v>21</v>
      </c>
      <c r="E2804" t="s">
        <v>55</v>
      </c>
      <c r="F2804" t="s">
        <v>46</v>
      </c>
      <c r="G2804" s="58">
        <v>271251</v>
      </c>
      <c r="H2804" s="1" t="s">
        <v>48</v>
      </c>
      <c r="I2804" s="1" t="s">
        <v>108</v>
      </c>
      <c r="J2804" s="58">
        <v>9765036</v>
      </c>
      <c r="K2804" s="1" t="s">
        <v>106</v>
      </c>
      <c r="L2804" s="1" t="s">
        <v>120</v>
      </c>
      <c r="M2804" s="1" t="s">
        <v>126</v>
      </c>
      <c r="N2804" s="1">
        <v>1</v>
      </c>
      <c r="O2804" s="58"/>
      <c r="P2804" s="58">
        <v>130200.48</v>
      </c>
      <c r="Q2804" t="s">
        <v>113</v>
      </c>
      <c r="R2804" s="1" t="s">
        <v>158</v>
      </c>
    </row>
    <row r="2805" spans="3:18" x14ac:dyDescent="0.35">
      <c r="C2805" t="s">
        <v>51</v>
      </c>
      <c r="D2805" t="s">
        <v>19</v>
      </c>
      <c r="E2805" t="s">
        <v>60</v>
      </c>
      <c r="F2805" t="s">
        <v>46</v>
      </c>
      <c r="G2805" s="58">
        <v>447368</v>
      </c>
      <c r="H2805" s="1" t="s">
        <v>48</v>
      </c>
      <c r="I2805" s="1" t="s">
        <v>108</v>
      </c>
      <c r="J2805" s="58">
        <v>11631568</v>
      </c>
      <c r="K2805" s="1" t="s">
        <v>106</v>
      </c>
      <c r="M2805" s="1" t="s">
        <v>122</v>
      </c>
      <c r="N2805" s="1">
        <v>1</v>
      </c>
      <c r="O2805" s="58"/>
      <c r="P2805" s="58">
        <v>192368.24</v>
      </c>
      <c r="Q2805" t="s">
        <v>113</v>
      </c>
    </row>
    <row r="2806" spans="3:18" x14ac:dyDescent="0.35">
      <c r="C2806" t="s">
        <v>51</v>
      </c>
      <c r="D2806" t="s">
        <v>92</v>
      </c>
      <c r="E2806" t="s">
        <v>45</v>
      </c>
      <c r="F2806" t="s">
        <v>46</v>
      </c>
      <c r="G2806" s="58">
        <v>514069</v>
      </c>
      <c r="H2806" s="1" t="s">
        <v>47</v>
      </c>
      <c r="I2806" s="1" t="s">
        <v>119</v>
      </c>
      <c r="J2806" s="58">
        <v>2570345</v>
      </c>
      <c r="K2806" s="1" t="s">
        <v>106</v>
      </c>
      <c r="L2806" s="1" t="s">
        <v>120</v>
      </c>
      <c r="N2806" s="1">
        <v>1</v>
      </c>
      <c r="O2806" s="58"/>
      <c r="P2806" s="58">
        <v>241612.43</v>
      </c>
      <c r="Q2806" t="s">
        <v>113</v>
      </c>
      <c r="R2806" s="1" t="s">
        <v>158</v>
      </c>
    </row>
    <row r="2807" spans="3:18" x14ac:dyDescent="0.35">
      <c r="C2807" t="s">
        <v>51</v>
      </c>
      <c r="D2807" t="s">
        <v>91</v>
      </c>
      <c r="E2807" t="s">
        <v>49</v>
      </c>
      <c r="F2807" t="s">
        <v>46</v>
      </c>
      <c r="G2807" s="58">
        <v>2018785</v>
      </c>
      <c r="H2807" s="1" t="s">
        <v>47</v>
      </c>
      <c r="I2807" s="1" t="s">
        <v>108</v>
      </c>
      <c r="J2807" s="58">
        <v>54507195</v>
      </c>
      <c r="K2807" s="1" t="s">
        <v>106</v>
      </c>
      <c r="L2807" s="1" t="s">
        <v>120</v>
      </c>
      <c r="N2807" s="1">
        <v>1</v>
      </c>
      <c r="O2807" s="58"/>
      <c r="P2807" s="58">
        <v>1110331.75</v>
      </c>
      <c r="Q2807" t="s">
        <v>113</v>
      </c>
      <c r="R2807" s="1" t="s">
        <v>158</v>
      </c>
    </row>
    <row r="2808" spans="3:18" x14ac:dyDescent="0.35">
      <c r="C2808" t="s">
        <v>51</v>
      </c>
      <c r="D2808" t="s">
        <v>60</v>
      </c>
      <c r="E2808" t="s">
        <v>60</v>
      </c>
      <c r="F2808" t="s">
        <v>46</v>
      </c>
      <c r="G2808" s="58">
        <v>84484</v>
      </c>
      <c r="H2808" s="1" t="s">
        <v>61</v>
      </c>
      <c r="I2808" s="1" t="s">
        <v>119</v>
      </c>
      <c r="J2808" s="58">
        <v>591388</v>
      </c>
      <c r="K2808" s="1" t="s">
        <v>106</v>
      </c>
      <c r="N2808" s="1">
        <v>1</v>
      </c>
      <c r="O2808" s="58"/>
      <c r="P2808" s="58">
        <v>8448.4</v>
      </c>
      <c r="Q2808" t="s">
        <v>107</v>
      </c>
    </row>
    <row r="2809" spans="3:18" x14ac:dyDescent="0.35">
      <c r="C2809" t="s">
        <v>51</v>
      </c>
      <c r="D2809" t="s">
        <v>23</v>
      </c>
      <c r="E2809" t="s">
        <v>55</v>
      </c>
      <c r="F2809" t="s">
        <v>64</v>
      </c>
      <c r="G2809" s="58">
        <v>351942</v>
      </c>
      <c r="H2809" s="1" t="s">
        <v>48</v>
      </c>
      <c r="I2809" s="1" t="s">
        <v>108</v>
      </c>
      <c r="J2809" s="58">
        <v>14077680</v>
      </c>
      <c r="K2809" s="1" t="s">
        <v>106</v>
      </c>
      <c r="L2809" s="1" t="s">
        <v>114</v>
      </c>
      <c r="M2809" s="1" t="s">
        <v>125</v>
      </c>
      <c r="N2809" s="1">
        <v>1</v>
      </c>
      <c r="O2809" s="58"/>
      <c r="P2809" s="58">
        <v>274514.76</v>
      </c>
      <c r="Q2809" t="s">
        <v>118</v>
      </c>
      <c r="R2809" s="1" t="s">
        <v>48</v>
      </c>
    </row>
    <row r="2810" spans="3:18" x14ac:dyDescent="0.35">
      <c r="C2810" t="s">
        <v>53</v>
      </c>
      <c r="D2810" t="s">
        <v>20</v>
      </c>
      <c r="E2810" t="s">
        <v>45</v>
      </c>
      <c r="F2810" t="s">
        <v>46</v>
      </c>
      <c r="G2810" s="58">
        <v>42746</v>
      </c>
      <c r="H2810" s="1" t="s">
        <v>54</v>
      </c>
      <c r="I2810" s="1" t="s">
        <v>108</v>
      </c>
      <c r="J2810" s="58">
        <v>983158</v>
      </c>
      <c r="K2810" s="1" t="s">
        <v>106</v>
      </c>
      <c r="L2810" s="1" t="s">
        <v>120</v>
      </c>
      <c r="N2810" s="1">
        <v>1</v>
      </c>
      <c r="O2810" s="58"/>
      <c r="P2810" s="58">
        <v>8549.2000000000007</v>
      </c>
      <c r="Q2810" t="s">
        <v>107</v>
      </c>
      <c r="R2810" s="1" t="s">
        <v>158</v>
      </c>
    </row>
    <row r="2811" spans="3:18" x14ac:dyDescent="0.35">
      <c r="C2811" t="s">
        <v>51</v>
      </c>
      <c r="D2811" t="s">
        <v>25</v>
      </c>
      <c r="E2811" t="s">
        <v>55</v>
      </c>
      <c r="F2811" t="s">
        <v>46</v>
      </c>
      <c r="G2811" s="58">
        <v>3149878</v>
      </c>
      <c r="H2811" s="1" t="s">
        <v>54</v>
      </c>
      <c r="I2811" s="1" t="s">
        <v>119</v>
      </c>
      <c r="J2811" s="58">
        <v>22049146</v>
      </c>
      <c r="K2811" s="1" t="s">
        <v>106</v>
      </c>
      <c r="L2811" s="1" t="s">
        <v>114</v>
      </c>
      <c r="N2811" s="1">
        <v>1</v>
      </c>
      <c r="O2811" s="58"/>
      <c r="P2811" s="58">
        <v>755970.72</v>
      </c>
      <c r="Q2811" t="s">
        <v>107</v>
      </c>
      <c r="R2811" s="1" t="s">
        <v>158</v>
      </c>
    </row>
    <row r="2812" spans="3:18" x14ac:dyDescent="0.35">
      <c r="C2812" t="s">
        <v>51</v>
      </c>
      <c r="D2812" t="s">
        <v>21</v>
      </c>
      <c r="E2812" t="s">
        <v>55</v>
      </c>
      <c r="F2812" t="s">
        <v>46</v>
      </c>
      <c r="G2812" s="58">
        <v>2306307</v>
      </c>
      <c r="H2812" s="1" t="s">
        <v>48</v>
      </c>
      <c r="I2812" s="1" t="s">
        <v>111</v>
      </c>
      <c r="J2812" s="58">
        <v>36900912</v>
      </c>
      <c r="K2812" s="1" t="s">
        <v>106</v>
      </c>
      <c r="L2812" s="1" t="s">
        <v>114</v>
      </c>
      <c r="M2812" s="1" t="s">
        <v>126</v>
      </c>
      <c r="N2812" s="1">
        <v>1</v>
      </c>
      <c r="O2812" s="58"/>
      <c r="P2812" s="58">
        <v>1199279.6399999999</v>
      </c>
      <c r="Q2812" t="s">
        <v>113</v>
      </c>
      <c r="R2812" s="1" t="s">
        <v>48</v>
      </c>
    </row>
    <row r="2813" spans="3:18" x14ac:dyDescent="0.35">
      <c r="C2813" t="s">
        <v>44</v>
      </c>
      <c r="D2813" t="s">
        <v>22</v>
      </c>
      <c r="E2813" t="s">
        <v>49</v>
      </c>
      <c r="F2813" t="s">
        <v>46</v>
      </c>
      <c r="G2813" s="58">
        <v>810771</v>
      </c>
      <c r="H2813" s="1" t="s">
        <v>54</v>
      </c>
      <c r="I2813" s="1" t="s">
        <v>108</v>
      </c>
      <c r="J2813" s="58"/>
      <c r="N2813" s="1">
        <v>0</v>
      </c>
      <c r="O2813" s="58"/>
      <c r="P2813" s="58"/>
      <c r="R2813" s="1" t="s">
        <v>158</v>
      </c>
    </row>
    <row r="2814" spans="3:18" x14ac:dyDescent="0.35">
      <c r="C2814" t="s">
        <v>51</v>
      </c>
      <c r="D2814" t="s">
        <v>22</v>
      </c>
      <c r="E2814" t="s">
        <v>49</v>
      </c>
      <c r="F2814" t="s">
        <v>46</v>
      </c>
      <c r="G2814" s="58">
        <v>65422</v>
      </c>
      <c r="H2814" s="1" t="s">
        <v>56</v>
      </c>
      <c r="I2814" s="1" t="s">
        <v>119</v>
      </c>
      <c r="J2814" s="58">
        <v>392532</v>
      </c>
      <c r="K2814" s="1" t="s">
        <v>106</v>
      </c>
      <c r="L2814" s="1" t="s">
        <v>116</v>
      </c>
      <c r="N2814" s="1">
        <v>1</v>
      </c>
      <c r="O2814" s="58"/>
      <c r="P2814" s="58">
        <v>15047.06</v>
      </c>
      <c r="Q2814" t="s">
        <v>107</v>
      </c>
      <c r="R2814" s="1" t="s">
        <v>158</v>
      </c>
    </row>
    <row r="2815" spans="3:18" x14ac:dyDescent="0.35">
      <c r="C2815" t="s">
        <v>51</v>
      </c>
      <c r="D2815" t="s">
        <v>24</v>
      </c>
      <c r="E2815" t="s">
        <v>50</v>
      </c>
      <c r="F2815" t="s">
        <v>46</v>
      </c>
      <c r="G2815" s="58">
        <v>2049877</v>
      </c>
      <c r="H2815" s="1" t="s">
        <v>47</v>
      </c>
      <c r="I2815" s="1" t="s">
        <v>108</v>
      </c>
      <c r="J2815" s="58">
        <v>59446433</v>
      </c>
      <c r="K2815" s="1" t="s">
        <v>106</v>
      </c>
      <c r="L2815" s="1" t="s">
        <v>114</v>
      </c>
      <c r="N2815" s="1">
        <v>1</v>
      </c>
      <c r="O2815" s="58"/>
      <c r="P2815" s="58">
        <v>1065936.04</v>
      </c>
      <c r="Q2815" t="s">
        <v>113</v>
      </c>
      <c r="R2815" s="1" t="s">
        <v>158</v>
      </c>
    </row>
    <row r="2816" spans="3:18" x14ac:dyDescent="0.35">
      <c r="C2816" t="s">
        <v>51</v>
      </c>
      <c r="D2816" t="s">
        <v>23</v>
      </c>
      <c r="E2816" t="s">
        <v>45</v>
      </c>
      <c r="F2816" t="s">
        <v>46</v>
      </c>
      <c r="G2816" s="58">
        <v>320000</v>
      </c>
      <c r="H2816" s="1" t="s">
        <v>47</v>
      </c>
      <c r="I2816" s="1" t="s">
        <v>105</v>
      </c>
      <c r="J2816" s="58">
        <v>1600000</v>
      </c>
      <c r="K2816" s="1" t="s">
        <v>106</v>
      </c>
      <c r="L2816" s="1" t="s">
        <v>124</v>
      </c>
      <c r="N2816" s="1">
        <v>1</v>
      </c>
      <c r="O2816" s="58"/>
      <c r="P2816" s="58">
        <v>464000</v>
      </c>
      <c r="Q2816" t="s">
        <v>110</v>
      </c>
      <c r="R2816" s="1" t="s">
        <v>158</v>
      </c>
    </row>
    <row r="2817" spans="3:18" x14ac:dyDescent="0.35">
      <c r="C2817" t="s">
        <v>51</v>
      </c>
      <c r="D2817" t="s">
        <v>22</v>
      </c>
      <c r="E2817" t="s">
        <v>50</v>
      </c>
      <c r="F2817" t="s">
        <v>46</v>
      </c>
      <c r="G2817" s="58">
        <v>243641</v>
      </c>
      <c r="H2817" s="1" t="s">
        <v>48</v>
      </c>
      <c r="I2817" s="1" t="s">
        <v>108</v>
      </c>
      <c r="J2817" s="58">
        <v>8283794</v>
      </c>
      <c r="K2817" s="1" t="s">
        <v>106</v>
      </c>
      <c r="L2817" s="1" t="s">
        <v>120</v>
      </c>
      <c r="M2817" s="1" t="s">
        <v>115</v>
      </c>
      <c r="N2817" s="1">
        <v>1</v>
      </c>
      <c r="O2817" s="58"/>
      <c r="P2817" s="58">
        <v>246077.41</v>
      </c>
      <c r="Q2817" t="s">
        <v>110</v>
      </c>
      <c r="R2817" s="1" t="s">
        <v>48</v>
      </c>
    </row>
    <row r="2818" spans="3:18" x14ac:dyDescent="0.35">
      <c r="C2818" t="s">
        <v>51</v>
      </c>
      <c r="D2818" t="s">
        <v>23</v>
      </c>
      <c r="E2818" t="s">
        <v>45</v>
      </c>
      <c r="F2818" t="s">
        <v>46</v>
      </c>
      <c r="G2818" s="58">
        <v>2258704</v>
      </c>
      <c r="H2818" s="1" t="s">
        <v>47</v>
      </c>
      <c r="I2818" s="1" t="s">
        <v>111</v>
      </c>
      <c r="J2818" s="58">
        <v>38397968</v>
      </c>
      <c r="K2818" s="1" t="s">
        <v>106</v>
      </c>
      <c r="L2818" s="1" t="s">
        <v>120</v>
      </c>
      <c r="N2818" s="1">
        <v>1</v>
      </c>
      <c r="O2818" s="58"/>
      <c r="P2818" s="58">
        <v>1897311.36</v>
      </c>
      <c r="Q2818" t="s">
        <v>127</v>
      </c>
      <c r="R2818" s="1" t="s">
        <v>158</v>
      </c>
    </row>
    <row r="2819" spans="3:18" x14ac:dyDescent="0.35">
      <c r="C2819" t="s">
        <v>51</v>
      </c>
      <c r="D2819" t="s">
        <v>23</v>
      </c>
      <c r="E2819" t="s">
        <v>55</v>
      </c>
      <c r="F2819" t="s">
        <v>46</v>
      </c>
      <c r="G2819" s="58">
        <v>521020</v>
      </c>
      <c r="H2819" s="1" t="s">
        <v>56</v>
      </c>
      <c r="I2819" s="1" t="s">
        <v>108</v>
      </c>
      <c r="J2819" s="58">
        <v>17193660</v>
      </c>
      <c r="K2819" s="1" t="s">
        <v>112</v>
      </c>
      <c r="N2819" s="1">
        <v>1</v>
      </c>
      <c r="O2819" s="58"/>
      <c r="P2819" s="58">
        <v>151095.79999999999</v>
      </c>
      <c r="Q2819" t="s">
        <v>107</v>
      </c>
      <c r="R2819" s="1" t="s">
        <v>158</v>
      </c>
    </row>
    <row r="2820" spans="3:18" x14ac:dyDescent="0.35">
      <c r="C2820" t="s">
        <v>53</v>
      </c>
      <c r="D2820" t="s">
        <v>21</v>
      </c>
      <c r="E2820" t="s">
        <v>45</v>
      </c>
      <c r="F2820" t="s">
        <v>46</v>
      </c>
      <c r="G2820" s="58">
        <v>5204146</v>
      </c>
      <c r="H2820" s="1" t="s">
        <v>48</v>
      </c>
      <c r="I2820" s="1" t="s">
        <v>111</v>
      </c>
      <c r="J2820" s="58">
        <v>62449752</v>
      </c>
      <c r="K2820" s="1" t="s">
        <v>106</v>
      </c>
      <c r="L2820" s="1" t="s">
        <v>120</v>
      </c>
      <c r="M2820" s="1" t="s">
        <v>126</v>
      </c>
      <c r="N2820" s="1">
        <v>1</v>
      </c>
      <c r="O2820" s="58"/>
      <c r="P2820" s="58">
        <v>2602073</v>
      </c>
      <c r="Q2820" t="s">
        <v>113</v>
      </c>
      <c r="R2820" s="1" t="s">
        <v>158</v>
      </c>
    </row>
    <row r="2821" spans="3:18" x14ac:dyDescent="0.35">
      <c r="C2821" t="s">
        <v>53</v>
      </c>
      <c r="D2821" t="s">
        <v>24</v>
      </c>
      <c r="E2821" t="s">
        <v>45</v>
      </c>
      <c r="F2821" t="s">
        <v>46</v>
      </c>
      <c r="G2821" s="58">
        <v>873204</v>
      </c>
      <c r="H2821" s="1" t="s">
        <v>54</v>
      </c>
      <c r="I2821" s="1" t="s">
        <v>111</v>
      </c>
      <c r="J2821" s="58">
        <v>12224856</v>
      </c>
      <c r="K2821" s="1" t="s">
        <v>106</v>
      </c>
      <c r="L2821" s="1" t="s">
        <v>120</v>
      </c>
      <c r="N2821" s="1">
        <v>1</v>
      </c>
      <c r="O2821" s="58"/>
      <c r="P2821" s="58">
        <v>681099.12</v>
      </c>
      <c r="Q2821" t="s">
        <v>118</v>
      </c>
      <c r="R2821" s="1" t="s">
        <v>158</v>
      </c>
    </row>
    <row r="2822" spans="3:18" x14ac:dyDescent="0.35">
      <c r="C2822" t="s">
        <v>51</v>
      </c>
      <c r="D2822" t="s">
        <v>23</v>
      </c>
      <c r="E2822" t="s">
        <v>45</v>
      </c>
      <c r="F2822" t="s">
        <v>46</v>
      </c>
      <c r="G2822" s="58">
        <v>1425923</v>
      </c>
      <c r="H2822" s="1" t="s">
        <v>56</v>
      </c>
      <c r="I2822" s="1" t="s">
        <v>108</v>
      </c>
      <c r="J2822" s="58">
        <v>39925844</v>
      </c>
      <c r="K2822" s="1" t="s">
        <v>106</v>
      </c>
      <c r="L2822" s="1" t="s">
        <v>120</v>
      </c>
      <c r="N2822" s="1">
        <v>1</v>
      </c>
      <c r="O2822" s="58"/>
      <c r="P2822" s="58">
        <v>1825181.44</v>
      </c>
      <c r="Q2822" t="s">
        <v>110</v>
      </c>
      <c r="R2822" s="1" t="s">
        <v>158</v>
      </c>
    </row>
    <row r="2823" spans="3:18" x14ac:dyDescent="0.35">
      <c r="C2823" t="s">
        <v>51</v>
      </c>
      <c r="D2823" t="s">
        <v>22</v>
      </c>
      <c r="E2823" t="s">
        <v>50</v>
      </c>
      <c r="F2823" t="s">
        <v>64</v>
      </c>
      <c r="G2823" s="58">
        <v>446296</v>
      </c>
      <c r="H2823" s="1" t="s">
        <v>48</v>
      </c>
      <c r="I2823" s="1" t="s">
        <v>111</v>
      </c>
      <c r="J2823" s="58">
        <v>7587032</v>
      </c>
      <c r="K2823" s="1" t="s">
        <v>112</v>
      </c>
      <c r="N2823" s="1">
        <v>1</v>
      </c>
      <c r="O2823" s="58"/>
      <c r="P2823" s="58">
        <v>374888.64</v>
      </c>
      <c r="Q2823" t="s">
        <v>127</v>
      </c>
      <c r="R2823" s="1" t="s">
        <v>48</v>
      </c>
    </row>
    <row r="2824" spans="3:18" x14ac:dyDescent="0.35">
      <c r="C2824" t="s">
        <v>53</v>
      </c>
      <c r="D2824" t="s">
        <v>21</v>
      </c>
      <c r="E2824" t="s">
        <v>45</v>
      </c>
      <c r="F2824" t="s">
        <v>46</v>
      </c>
      <c r="G2824" s="58">
        <v>42657621</v>
      </c>
      <c r="H2824" s="1" t="s">
        <v>47</v>
      </c>
      <c r="I2824" s="1" t="s">
        <v>111</v>
      </c>
      <c r="J2824" s="58">
        <v>511891452</v>
      </c>
      <c r="K2824" s="1" t="s">
        <v>106</v>
      </c>
      <c r="L2824" s="1" t="s">
        <v>120</v>
      </c>
      <c r="N2824" s="1">
        <v>1</v>
      </c>
      <c r="O2824" s="58"/>
      <c r="P2824" s="58">
        <v>11944133.880000001</v>
      </c>
      <c r="Q2824" t="s">
        <v>107</v>
      </c>
      <c r="R2824" s="1" t="s">
        <v>158</v>
      </c>
    </row>
    <row r="2825" spans="3:18" x14ac:dyDescent="0.35">
      <c r="C2825" t="s">
        <v>51</v>
      </c>
      <c r="D2825" t="s">
        <v>20</v>
      </c>
      <c r="E2825" t="s">
        <v>49</v>
      </c>
      <c r="F2825" t="s">
        <v>46</v>
      </c>
      <c r="G2825" s="58">
        <v>152915</v>
      </c>
      <c r="H2825" s="1" t="s">
        <v>48</v>
      </c>
      <c r="I2825" s="1" t="s">
        <v>108</v>
      </c>
      <c r="J2825" s="58">
        <v>5352025</v>
      </c>
      <c r="K2825" s="1" t="s">
        <v>106</v>
      </c>
      <c r="L2825" s="1" t="s">
        <v>124</v>
      </c>
      <c r="M2825" s="1" t="s">
        <v>126</v>
      </c>
      <c r="N2825" s="1">
        <v>1</v>
      </c>
      <c r="O2825" s="58"/>
      <c r="P2825" s="58">
        <v>149856.70000000001</v>
      </c>
      <c r="Q2825" t="s">
        <v>127</v>
      </c>
      <c r="R2825" s="1" t="s">
        <v>48</v>
      </c>
    </row>
    <row r="2826" spans="3:18" x14ac:dyDescent="0.35">
      <c r="C2826" t="s">
        <v>51</v>
      </c>
      <c r="D2826" t="s">
        <v>23</v>
      </c>
      <c r="E2826" t="s">
        <v>45</v>
      </c>
      <c r="F2826" t="s">
        <v>46</v>
      </c>
      <c r="G2826" s="58">
        <v>412967</v>
      </c>
      <c r="H2826" s="1" t="s">
        <v>48</v>
      </c>
      <c r="I2826" s="1" t="s">
        <v>108</v>
      </c>
      <c r="J2826" s="58">
        <v>14866812</v>
      </c>
      <c r="K2826" s="1" t="s">
        <v>106</v>
      </c>
      <c r="L2826" s="1" t="s">
        <v>114</v>
      </c>
      <c r="M2826" s="1" t="s">
        <v>125</v>
      </c>
      <c r="N2826" s="1">
        <v>1</v>
      </c>
      <c r="O2826" s="58"/>
      <c r="P2826" s="58">
        <v>334503.27</v>
      </c>
      <c r="Q2826" t="s">
        <v>127</v>
      </c>
      <c r="R2826" s="1" t="s">
        <v>158</v>
      </c>
    </row>
    <row r="2827" spans="3:18" x14ac:dyDescent="0.35">
      <c r="C2827" t="s">
        <v>51</v>
      </c>
      <c r="D2827" t="s">
        <v>91</v>
      </c>
      <c r="E2827" t="s">
        <v>45</v>
      </c>
      <c r="F2827" t="s">
        <v>46</v>
      </c>
      <c r="G2827" s="58">
        <v>70147</v>
      </c>
      <c r="H2827" s="1" t="s">
        <v>48</v>
      </c>
      <c r="I2827" s="1" t="s">
        <v>108</v>
      </c>
      <c r="J2827" s="58">
        <v>1823822</v>
      </c>
      <c r="K2827" s="1" t="s">
        <v>112</v>
      </c>
      <c r="N2827" s="1">
        <v>1</v>
      </c>
      <c r="O2827" s="58"/>
      <c r="P2827" s="58">
        <v>18939.689999999999</v>
      </c>
      <c r="Q2827" t="s">
        <v>107</v>
      </c>
      <c r="R2827" s="1" t="s">
        <v>158</v>
      </c>
    </row>
    <row r="2828" spans="3:18" x14ac:dyDescent="0.35">
      <c r="C2828" t="s">
        <v>51</v>
      </c>
      <c r="D2828" t="s">
        <v>22</v>
      </c>
      <c r="E2828" t="s">
        <v>45</v>
      </c>
      <c r="F2828" t="s">
        <v>46</v>
      </c>
      <c r="G2828" s="58">
        <v>722433</v>
      </c>
      <c r="H2828" s="1" t="s">
        <v>59</v>
      </c>
      <c r="I2828" s="1" t="s">
        <v>108</v>
      </c>
      <c r="J2828" s="58">
        <v>20950557</v>
      </c>
      <c r="K2828" s="1" t="s">
        <v>106</v>
      </c>
      <c r="L2828" s="1" t="s">
        <v>114</v>
      </c>
      <c r="N2828" s="1">
        <v>1</v>
      </c>
      <c r="O2828" s="58"/>
      <c r="P2828" s="58">
        <v>368440.83</v>
      </c>
      <c r="Q2828" t="s">
        <v>113</v>
      </c>
      <c r="R2828" s="1" t="s">
        <v>158</v>
      </c>
    </row>
    <row r="2829" spans="3:18" x14ac:dyDescent="0.35">
      <c r="C2829" t="s">
        <v>51</v>
      </c>
      <c r="D2829" t="s">
        <v>21</v>
      </c>
      <c r="E2829" t="s">
        <v>50</v>
      </c>
      <c r="F2829" t="s">
        <v>46</v>
      </c>
      <c r="G2829" s="58">
        <v>133849</v>
      </c>
      <c r="H2829" s="1" t="s">
        <v>48</v>
      </c>
      <c r="I2829" s="1" t="s">
        <v>108</v>
      </c>
      <c r="J2829" s="58">
        <v>5220111</v>
      </c>
      <c r="K2829" s="1" t="s">
        <v>106</v>
      </c>
      <c r="L2829" s="1" t="s">
        <v>124</v>
      </c>
      <c r="M2829" s="1" t="s">
        <v>126</v>
      </c>
      <c r="N2829" s="1">
        <v>1</v>
      </c>
      <c r="O2829" s="58"/>
      <c r="P2829" s="58">
        <v>45508.66</v>
      </c>
      <c r="Q2829" t="s">
        <v>107</v>
      </c>
      <c r="R2829" s="1" t="s">
        <v>48</v>
      </c>
    </row>
    <row r="2830" spans="3:18" x14ac:dyDescent="0.35">
      <c r="C2830" t="s">
        <v>51</v>
      </c>
      <c r="D2830" t="s">
        <v>22</v>
      </c>
      <c r="E2830" t="s">
        <v>45</v>
      </c>
      <c r="F2830" t="s">
        <v>46</v>
      </c>
      <c r="G2830" s="58">
        <v>159298</v>
      </c>
      <c r="H2830" s="1" t="s">
        <v>54</v>
      </c>
      <c r="I2830" s="1" t="s">
        <v>111</v>
      </c>
      <c r="J2830" s="58">
        <v>2708066</v>
      </c>
      <c r="K2830" s="1" t="s">
        <v>112</v>
      </c>
      <c r="N2830" s="1">
        <v>1</v>
      </c>
      <c r="O2830" s="58"/>
      <c r="P2830" s="58">
        <v>132217.34</v>
      </c>
      <c r="Q2830" t="s">
        <v>127</v>
      </c>
      <c r="R2830" s="1" t="s">
        <v>158</v>
      </c>
    </row>
    <row r="2831" spans="3:18" x14ac:dyDescent="0.35">
      <c r="C2831" t="s">
        <v>51</v>
      </c>
      <c r="D2831" t="s">
        <v>25</v>
      </c>
      <c r="E2831" t="s">
        <v>45</v>
      </c>
      <c r="F2831" t="s">
        <v>46</v>
      </c>
      <c r="G2831" s="58">
        <v>597373</v>
      </c>
      <c r="H2831" s="1" t="s">
        <v>47</v>
      </c>
      <c r="I2831" s="1" t="s">
        <v>111</v>
      </c>
      <c r="J2831" s="58">
        <v>10155341</v>
      </c>
      <c r="K2831" s="1" t="s">
        <v>106</v>
      </c>
      <c r="L2831" s="1" t="s">
        <v>124</v>
      </c>
      <c r="N2831" s="1">
        <v>1</v>
      </c>
      <c r="O2831" s="58"/>
      <c r="P2831" s="58">
        <v>304660.23</v>
      </c>
      <c r="Q2831" t="s">
        <v>113</v>
      </c>
      <c r="R2831" s="1" t="s">
        <v>158</v>
      </c>
    </row>
    <row r="2832" spans="3:18" x14ac:dyDescent="0.35">
      <c r="C2832" t="s">
        <v>51</v>
      </c>
      <c r="D2832" t="s">
        <v>19</v>
      </c>
      <c r="E2832" t="s">
        <v>49</v>
      </c>
      <c r="F2832" t="s">
        <v>64</v>
      </c>
      <c r="G2832" s="58">
        <v>243812</v>
      </c>
      <c r="H2832" s="1" t="s">
        <v>47</v>
      </c>
      <c r="I2832" s="1" t="s">
        <v>108</v>
      </c>
      <c r="J2832" s="58">
        <v>7801984</v>
      </c>
      <c r="K2832" s="1" t="s">
        <v>112</v>
      </c>
      <c r="N2832" s="1">
        <v>1</v>
      </c>
      <c r="O2832" s="58"/>
      <c r="P2832" s="58">
        <v>34133.68</v>
      </c>
      <c r="Q2832" t="s">
        <v>107</v>
      </c>
      <c r="R2832" s="1" t="s">
        <v>158</v>
      </c>
    </row>
    <row r="2833" spans="3:18" x14ac:dyDescent="0.35">
      <c r="C2833" t="s">
        <v>53</v>
      </c>
      <c r="D2833" t="s">
        <v>92</v>
      </c>
      <c r="E2833" t="s">
        <v>49</v>
      </c>
      <c r="F2833" t="s">
        <v>46</v>
      </c>
      <c r="G2833" s="58">
        <v>8245</v>
      </c>
      <c r="H2833" s="1" t="s">
        <v>56</v>
      </c>
      <c r="I2833" s="1" t="s">
        <v>119</v>
      </c>
      <c r="J2833" s="58">
        <v>49470</v>
      </c>
      <c r="K2833" s="1" t="s">
        <v>106</v>
      </c>
      <c r="L2833" s="1" t="s">
        <v>124</v>
      </c>
      <c r="N2833" s="1">
        <v>1</v>
      </c>
      <c r="O2833" s="58"/>
      <c r="P2833" s="58">
        <v>82.45</v>
      </c>
      <c r="Q2833" t="s">
        <v>107</v>
      </c>
      <c r="R2833" s="1" t="s">
        <v>158</v>
      </c>
    </row>
    <row r="2834" spans="3:18" x14ac:dyDescent="0.35">
      <c r="C2834" t="s">
        <v>53</v>
      </c>
      <c r="D2834" t="s">
        <v>23</v>
      </c>
      <c r="E2834" t="s">
        <v>45</v>
      </c>
      <c r="F2834" t="s">
        <v>46</v>
      </c>
      <c r="G2834" s="58">
        <v>14091174</v>
      </c>
      <c r="H2834" s="1" t="s">
        <v>47</v>
      </c>
      <c r="I2834" s="1" t="s">
        <v>111</v>
      </c>
      <c r="J2834" s="58">
        <v>155002914</v>
      </c>
      <c r="K2834" s="1" t="s">
        <v>106</v>
      </c>
      <c r="L2834" s="1" t="s">
        <v>120</v>
      </c>
      <c r="N2834" s="1">
        <v>1</v>
      </c>
      <c r="O2834" s="58"/>
      <c r="P2834" s="58">
        <v>5636469.5999999996</v>
      </c>
      <c r="Q2834" t="s">
        <v>113</v>
      </c>
      <c r="R2834" s="1" t="s">
        <v>158</v>
      </c>
    </row>
    <row r="2835" spans="3:18" x14ac:dyDescent="0.35">
      <c r="C2835" t="s">
        <v>51</v>
      </c>
      <c r="D2835" t="s">
        <v>92</v>
      </c>
      <c r="E2835" t="s">
        <v>55</v>
      </c>
      <c r="F2835" t="s">
        <v>46</v>
      </c>
      <c r="G2835" s="58">
        <v>184336</v>
      </c>
      <c r="H2835" s="1" t="s">
        <v>48</v>
      </c>
      <c r="I2835" s="1" t="s">
        <v>111</v>
      </c>
      <c r="J2835" s="58">
        <v>2949376</v>
      </c>
      <c r="K2835" s="1" t="s">
        <v>106</v>
      </c>
      <c r="L2835" s="1" t="s">
        <v>114</v>
      </c>
      <c r="M2835" s="1" t="s">
        <v>123</v>
      </c>
      <c r="N2835" s="1">
        <v>1</v>
      </c>
      <c r="O2835" s="58"/>
      <c r="P2835" s="58">
        <v>112444.96</v>
      </c>
      <c r="Q2835" t="s">
        <v>118</v>
      </c>
      <c r="R2835" s="1" t="s">
        <v>158</v>
      </c>
    </row>
    <row r="2836" spans="3:18" x14ac:dyDescent="0.35">
      <c r="C2836" t="s">
        <v>51</v>
      </c>
      <c r="D2836" t="s">
        <v>22</v>
      </c>
      <c r="E2836" t="s">
        <v>55</v>
      </c>
      <c r="F2836" t="s">
        <v>46</v>
      </c>
      <c r="G2836" s="58">
        <v>65694</v>
      </c>
      <c r="H2836" s="1" t="s">
        <v>48</v>
      </c>
      <c r="I2836" s="1" t="s">
        <v>105</v>
      </c>
      <c r="J2836" s="58">
        <v>328470</v>
      </c>
      <c r="K2836" s="1" t="s">
        <v>106</v>
      </c>
      <c r="L2836" s="1" t="s">
        <v>114</v>
      </c>
      <c r="M2836" s="1" t="s">
        <v>115</v>
      </c>
      <c r="N2836" s="1">
        <v>1</v>
      </c>
      <c r="O2836" s="58"/>
      <c r="P2836" s="58">
        <v>22335.96</v>
      </c>
      <c r="Q2836" t="s">
        <v>107</v>
      </c>
      <c r="R2836" s="1" t="s">
        <v>158</v>
      </c>
    </row>
    <row r="2837" spans="3:18" x14ac:dyDescent="0.35">
      <c r="C2837" t="s">
        <v>51</v>
      </c>
      <c r="D2837" t="s">
        <v>22</v>
      </c>
      <c r="E2837" t="s">
        <v>49</v>
      </c>
      <c r="F2837" t="s">
        <v>46</v>
      </c>
      <c r="G2837" s="58">
        <v>20555215</v>
      </c>
      <c r="H2837" s="1" t="s">
        <v>47</v>
      </c>
      <c r="I2837" s="1" t="s">
        <v>119</v>
      </c>
      <c r="J2837" s="58">
        <v>143886505</v>
      </c>
      <c r="K2837" s="1" t="s">
        <v>106</v>
      </c>
      <c r="L2837" s="1" t="s">
        <v>124</v>
      </c>
      <c r="N2837" s="1">
        <v>1</v>
      </c>
      <c r="O2837" s="58"/>
      <c r="P2837" s="58">
        <v>4111043</v>
      </c>
      <c r="Q2837" t="s">
        <v>107</v>
      </c>
      <c r="R2837" s="1" t="s">
        <v>158</v>
      </c>
    </row>
    <row r="2838" spans="3:18" x14ac:dyDescent="0.35">
      <c r="C2838" t="s">
        <v>51</v>
      </c>
      <c r="D2838" t="s">
        <v>24</v>
      </c>
      <c r="E2838" t="s">
        <v>50</v>
      </c>
      <c r="F2838" t="s">
        <v>46</v>
      </c>
      <c r="G2838" s="58">
        <v>92380</v>
      </c>
      <c r="H2838" s="1" t="s">
        <v>59</v>
      </c>
      <c r="I2838" s="1" t="s">
        <v>108</v>
      </c>
      <c r="J2838" s="58">
        <v>2586640</v>
      </c>
      <c r="K2838" s="1" t="s">
        <v>106</v>
      </c>
      <c r="L2838" s="1" t="s">
        <v>109</v>
      </c>
      <c r="N2838" s="1">
        <v>1</v>
      </c>
      <c r="O2838" s="58"/>
      <c r="P2838" s="58">
        <v>123789.2</v>
      </c>
      <c r="Q2838" t="s">
        <v>110</v>
      </c>
      <c r="R2838" s="1" t="s">
        <v>158</v>
      </c>
    </row>
    <row r="2839" spans="3:18" x14ac:dyDescent="0.35">
      <c r="C2839" t="s">
        <v>51</v>
      </c>
      <c r="D2839" t="s">
        <v>21</v>
      </c>
      <c r="E2839" t="s">
        <v>45</v>
      </c>
      <c r="F2839" t="s">
        <v>46</v>
      </c>
      <c r="G2839" s="58">
        <v>58899</v>
      </c>
      <c r="H2839" s="1" t="s">
        <v>48</v>
      </c>
      <c r="I2839" s="1" t="s">
        <v>105</v>
      </c>
      <c r="J2839" s="58">
        <v>176697</v>
      </c>
      <c r="K2839" s="1" t="s">
        <v>106</v>
      </c>
      <c r="L2839" s="1" t="s">
        <v>120</v>
      </c>
      <c r="M2839" s="1" t="s">
        <v>126</v>
      </c>
      <c r="N2839" s="1">
        <v>1</v>
      </c>
      <c r="O2839" s="58"/>
      <c r="P2839" s="58">
        <v>26504.55</v>
      </c>
      <c r="Q2839" t="s">
        <v>113</v>
      </c>
      <c r="R2839" s="1" t="s">
        <v>48</v>
      </c>
    </row>
    <row r="2840" spans="3:18" x14ac:dyDescent="0.35">
      <c r="C2840" t="s">
        <v>53</v>
      </c>
      <c r="D2840" t="s">
        <v>24</v>
      </c>
      <c r="E2840" t="s">
        <v>62</v>
      </c>
      <c r="F2840" t="s">
        <v>46</v>
      </c>
      <c r="G2840" s="58">
        <v>1155809</v>
      </c>
      <c r="H2840" s="1" t="s">
        <v>48</v>
      </c>
      <c r="I2840" s="1" t="s">
        <v>105</v>
      </c>
      <c r="J2840" s="58">
        <v>4623236</v>
      </c>
      <c r="K2840" s="1" t="s">
        <v>106</v>
      </c>
      <c r="L2840" s="1" t="s">
        <v>131</v>
      </c>
      <c r="M2840" s="1" t="s">
        <v>121</v>
      </c>
      <c r="N2840" s="1">
        <v>1</v>
      </c>
      <c r="O2840" s="58"/>
      <c r="P2840" s="58">
        <v>231161.8</v>
      </c>
      <c r="Q2840" t="s">
        <v>107</v>
      </c>
      <c r="R2840" s="1" t="s">
        <v>48</v>
      </c>
    </row>
    <row r="2841" spans="3:18" x14ac:dyDescent="0.35">
      <c r="C2841" t="s">
        <v>51</v>
      </c>
      <c r="D2841" t="s">
        <v>25</v>
      </c>
      <c r="E2841" t="s">
        <v>50</v>
      </c>
      <c r="F2841" t="s">
        <v>46</v>
      </c>
      <c r="G2841" s="58">
        <v>407483</v>
      </c>
      <c r="H2841" s="1" t="s">
        <v>54</v>
      </c>
      <c r="I2841" s="1" t="s">
        <v>108</v>
      </c>
      <c r="J2841" s="58">
        <v>11002041</v>
      </c>
      <c r="K2841" s="1" t="s">
        <v>106</v>
      </c>
      <c r="L2841" s="1" t="s">
        <v>109</v>
      </c>
      <c r="N2841" s="1">
        <v>1</v>
      </c>
      <c r="O2841" s="58"/>
      <c r="P2841" s="58">
        <v>285238.09999999998</v>
      </c>
      <c r="Q2841" t="s">
        <v>118</v>
      </c>
      <c r="R2841" s="1" t="s">
        <v>158</v>
      </c>
    </row>
    <row r="2842" spans="3:18" x14ac:dyDescent="0.35">
      <c r="C2842" t="s">
        <v>51</v>
      </c>
      <c r="D2842" t="s">
        <v>23</v>
      </c>
      <c r="E2842" t="s">
        <v>45</v>
      </c>
      <c r="F2842" t="s">
        <v>46</v>
      </c>
      <c r="G2842" s="58">
        <v>2288073</v>
      </c>
      <c r="H2842" s="1" t="s">
        <v>59</v>
      </c>
      <c r="I2842" s="1" t="s">
        <v>108</v>
      </c>
      <c r="J2842" s="58">
        <v>70930263</v>
      </c>
      <c r="K2842" s="1" t="s">
        <v>112</v>
      </c>
      <c r="N2842" s="1">
        <v>1</v>
      </c>
      <c r="O2842" s="58"/>
      <c r="P2842" s="58">
        <v>1121155.77</v>
      </c>
      <c r="Q2842" t="s">
        <v>113</v>
      </c>
      <c r="R2842" s="1" t="s">
        <v>158</v>
      </c>
    </row>
    <row r="2843" spans="3:18" x14ac:dyDescent="0.35">
      <c r="C2843" t="s">
        <v>51</v>
      </c>
      <c r="D2843" t="s">
        <v>20</v>
      </c>
      <c r="E2843" t="s">
        <v>49</v>
      </c>
      <c r="F2843" t="s">
        <v>46</v>
      </c>
      <c r="G2843" s="58">
        <v>5608248</v>
      </c>
      <c r="H2843" s="1" t="s">
        <v>48</v>
      </c>
      <c r="I2843" s="1" t="s">
        <v>108</v>
      </c>
      <c r="J2843" s="58">
        <v>201896928</v>
      </c>
      <c r="K2843" s="1" t="s">
        <v>112</v>
      </c>
      <c r="N2843" s="1">
        <v>1</v>
      </c>
      <c r="O2843" s="58"/>
      <c r="P2843" s="58">
        <v>4767010.8</v>
      </c>
      <c r="Q2843" t="s">
        <v>127</v>
      </c>
      <c r="R2843" s="1" t="s">
        <v>158</v>
      </c>
    </row>
    <row r="2844" spans="3:18" x14ac:dyDescent="0.35">
      <c r="C2844" t="s">
        <v>51</v>
      </c>
      <c r="D2844" t="s">
        <v>24</v>
      </c>
      <c r="E2844" t="s">
        <v>52</v>
      </c>
      <c r="F2844" t="s">
        <v>46</v>
      </c>
      <c r="G2844" s="58">
        <v>21041</v>
      </c>
      <c r="H2844" s="1" t="s">
        <v>54</v>
      </c>
      <c r="I2844" s="1" t="s">
        <v>111</v>
      </c>
      <c r="J2844" s="58">
        <v>210410</v>
      </c>
      <c r="K2844" s="1" t="s">
        <v>106</v>
      </c>
      <c r="L2844" s="1" t="s">
        <v>130</v>
      </c>
      <c r="N2844" s="1">
        <v>1</v>
      </c>
      <c r="O2844" s="58"/>
      <c r="P2844" s="58">
        <v>8626.81</v>
      </c>
      <c r="Q2844" t="s">
        <v>113</v>
      </c>
      <c r="R2844" s="1" t="s">
        <v>158</v>
      </c>
    </row>
    <row r="2845" spans="3:18" x14ac:dyDescent="0.35">
      <c r="C2845" t="s">
        <v>51</v>
      </c>
      <c r="D2845" t="s">
        <v>25</v>
      </c>
      <c r="E2845" t="s">
        <v>45</v>
      </c>
      <c r="F2845" t="s">
        <v>46</v>
      </c>
      <c r="G2845" s="58">
        <v>125432</v>
      </c>
      <c r="H2845" s="1" t="s">
        <v>54</v>
      </c>
      <c r="I2845" s="1" t="s">
        <v>108</v>
      </c>
      <c r="J2845" s="58">
        <v>4515552</v>
      </c>
      <c r="K2845" s="1" t="s">
        <v>106</v>
      </c>
      <c r="L2845" s="1" t="s">
        <v>120</v>
      </c>
      <c r="N2845" s="1">
        <v>1</v>
      </c>
      <c r="O2845" s="58"/>
      <c r="P2845" s="58">
        <v>81530.8</v>
      </c>
      <c r="Q2845" t="s">
        <v>118</v>
      </c>
      <c r="R2845" s="1" t="s">
        <v>158</v>
      </c>
    </row>
    <row r="2846" spans="3:18" x14ac:dyDescent="0.35">
      <c r="C2846" t="s">
        <v>51</v>
      </c>
      <c r="D2846" t="s">
        <v>23</v>
      </c>
      <c r="E2846" t="s">
        <v>52</v>
      </c>
      <c r="F2846" t="s">
        <v>46</v>
      </c>
      <c r="G2846" s="58">
        <v>613320</v>
      </c>
      <c r="H2846" s="1" t="s">
        <v>48</v>
      </c>
      <c r="I2846" s="1" t="s">
        <v>111</v>
      </c>
      <c r="J2846" s="58">
        <v>9813120</v>
      </c>
      <c r="K2846" s="1" t="s">
        <v>112</v>
      </c>
      <c r="N2846" s="1">
        <v>1</v>
      </c>
      <c r="O2846" s="58"/>
      <c r="P2846" s="58">
        <v>331192.8</v>
      </c>
      <c r="Q2846" t="s">
        <v>113</v>
      </c>
      <c r="R2846" s="1" t="s">
        <v>48</v>
      </c>
    </row>
    <row r="2847" spans="3:18" x14ac:dyDescent="0.35">
      <c r="C2847" t="s">
        <v>51</v>
      </c>
      <c r="D2847" t="s">
        <v>23</v>
      </c>
      <c r="E2847" t="s">
        <v>45</v>
      </c>
      <c r="F2847" t="s">
        <v>46</v>
      </c>
      <c r="G2847" s="58">
        <v>12788</v>
      </c>
      <c r="H2847" s="1" t="s">
        <v>56</v>
      </c>
      <c r="I2847" s="1" t="s">
        <v>105</v>
      </c>
      <c r="J2847" s="58">
        <v>38364</v>
      </c>
      <c r="K2847" s="1" t="s">
        <v>106</v>
      </c>
      <c r="L2847" s="1" t="s">
        <v>120</v>
      </c>
      <c r="N2847" s="1">
        <v>1</v>
      </c>
      <c r="O2847" s="58"/>
      <c r="P2847" s="58">
        <v>9846.76</v>
      </c>
      <c r="Q2847" t="s">
        <v>118</v>
      </c>
      <c r="R2847" s="1" t="s">
        <v>158</v>
      </c>
    </row>
    <row r="2848" spans="3:18" x14ac:dyDescent="0.35">
      <c r="C2848" t="s">
        <v>53</v>
      </c>
      <c r="D2848" t="s">
        <v>92</v>
      </c>
      <c r="E2848" t="s">
        <v>45</v>
      </c>
      <c r="F2848" t="s">
        <v>46</v>
      </c>
      <c r="G2848" s="58">
        <v>6968250</v>
      </c>
      <c r="H2848" s="1" t="s">
        <v>59</v>
      </c>
      <c r="I2848" s="1" t="s">
        <v>119</v>
      </c>
      <c r="J2848" s="58">
        <v>55746000</v>
      </c>
      <c r="K2848" s="1" t="s">
        <v>106</v>
      </c>
      <c r="L2848" s="1" t="s">
        <v>120</v>
      </c>
      <c r="N2848" s="1">
        <v>1</v>
      </c>
      <c r="O2848" s="58"/>
      <c r="P2848" s="58">
        <v>4668727.5</v>
      </c>
      <c r="Q2848" t="s">
        <v>118</v>
      </c>
      <c r="R2848" s="1" t="s">
        <v>158</v>
      </c>
    </row>
    <row r="2849" spans="3:18" x14ac:dyDescent="0.35">
      <c r="C2849" t="s">
        <v>51</v>
      </c>
      <c r="D2849" t="s">
        <v>23</v>
      </c>
      <c r="E2849" t="s">
        <v>55</v>
      </c>
      <c r="F2849" t="s">
        <v>46</v>
      </c>
      <c r="G2849" s="58">
        <v>15200567</v>
      </c>
      <c r="H2849" s="1" t="s">
        <v>47</v>
      </c>
      <c r="I2849" s="1" t="s">
        <v>111</v>
      </c>
      <c r="J2849" s="58">
        <v>258409639</v>
      </c>
      <c r="K2849" s="1" t="s">
        <v>106</v>
      </c>
      <c r="L2849" s="1" t="s">
        <v>114</v>
      </c>
      <c r="N2849" s="1">
        <v>1</v>
      </c>
      <c r="O2849" s="58"/>
      <c r="P2849" s="58">
        <v>10184379.890000001</v>
      </c>
      <c r="Q2849" t="s">
        <v>118</v>
      </c>
      <c r="R2849" s="1" t="s">
        <v>158</v>
      </c>
    </row>
    <row r="2850" spans="3:18" x14ac:dyDescent="0.35">
      <c r="C2850" t="s">
        <v>51</v>
      </c>
      <c r="D2850" t="s">
        <v>23</v>
      </c>
      <c r="E2850" t="s">
        <v>55</v>
      </c>
      <c r="F2850" t="s">
        <v>64</v>
      </c>
      <c r="G2850" s="58">
        <v>247336</v>
      </c>
      <c r="H2850" s="1" t="s">
        <v>48</v>
      </c>
      <c r="I2850" s="1" t="s">
        <v>111</v>
      </c>
      <c r="J2850" s="58">
        <v>3710040</v>
      </c>
      <c r="K2850" s="1" t="s">
        <v>112</v>
      </c>
      <c r="N2850" s="1">
        <v>1</v>
      </c>
      <c r="O2850" s="58"/>
      <c r="P2850" s="58">
        <v>155821.68</v>
      </c>
      <c r="Q2850" t="s">
        <v>118</v>
      </c>
      <c r="R2850" s="1" t="s">
        <v>48</v>
      </c>
    </row>
    <row r="2851" spans="3:18" x14ac:dyDescent="0.35">
      <c r="C2851" t="s">
        <v>51</v>
      </c>
      <c r="D2851" t="s">
        <v>19</v>
      </c>
      <c r="E2851" t="s">
        <v>49</v>
      </c>
      <c r="F2851" t="s">
        <v>46</v>
      </c>
      <c r="G2851" s="58">
        <v>8031395</v>
      </c>
      <c r="H2851" s="1" t="s">
        <v>54</v>
      </c>
      <c r="I2851" s="1" t="s">
        <v>111</v>
      </c>
      <c r="J2851" s="58">
        <v>136533715</v>
      </c>
      <c r="K2851" s="1" t="s">
        <v>106</v>
      </c>
      <c r="L2851" s="1" t="s">
        <v>124</v>
      </c>
      <c r="N2851" s="1">
        <v>1</v>
      </c>
      <c r="O2851" s="58"/>
      <c r="P2851" s="58">
        <v>4015697.5</v>
      </c>
      <c r="Q2851" t="s">
        <v>113</v>
      </c>
      <c r="R2851" s="1" t="s">
        <v>158</v>
      </c>
    </row>
    <row r="2852" spans="3:18" x14ac:dyDescent="0.35">
      <c r="C2852" t="s">
        <v>51</v>
      </c>
      <c r="D2852" t="s">
        <v>24</v>
      </c>
      <c r="E2852" t="s">
        <v>55</v>
      </c>
      <c r="F2852" t="s">
        <v>46</v>
      </c>
      <c r="G2852" s="58">
        <v>3180621</v>
      </c>
      <c r="H2852" s="1" t="s">
        <v>56</v>
      </c>
      <c r="I2852" s="1" t="s">
        <v>108</v>
      </c>
      <c r="J2852" s="58">
        <v>92238009</v>
      </c>
      <c r="K2852" s="1" t="s">
        <v>106</v>
      </c>
      <c r="L2852" s="1" t="s">
        <v>114</v>
      </c>
      <c r="N2852" s="1">
        <v>1</v>
      </c>
      <c r="O2852" s="58"/>
      <c r="P2852" s="58">
        <v>2735334.06</v>
      </c>
      <c r="Q2852" t="s">
        <v>127</v>
      </c>
      <c r="R2852" s="1" t="s">
        <v>158</v>
      </c>
    </row>
    <row r="2853" spans="3:18" x14ac:dyDescent="0.35">
      <c r="C2853" t="s">
        <v>51</v>
      </c>
      <c r="D2853" t="s">
        <v>22</v>
      </c>
      <c r="E2853" t="s">
        <v>49</v>
      </c>
      <c r="F2853" t="s">
        <v>46</v>
      </c>
      <c r="G2853" s="58">
        <v>15748</v>
      </c>
      <c r="H2853" s="1" t="s">
        <v>54</v>
      </c>
      <c r="I2853" s="1" t="s">
        <v>105</v>
      </c>
      <c r="J2853" s="58"/>
      <c r="K2853" s="1" t="s">
        <v>106</v>
      </c>
      <c r="L2853" s="1" t="s">
        <v>124</v>
      </c>
      <c r="N2853" s="1">
        <v>0</v>
      </c>
      <c r="O2853" s="58"/>
      <c r="P2853" s="58">
        <v>0</v>
      </c>
      <c r="Q2853" t="s">
        <v>107</v>
      </c>
      <c r="R2853" s="1" t="s">
        <v>158</v>
      </c>
    </row>
    <row r="2854" spans="3:18" x14ac:dyDescent="0.35">
      <c r="C2854" t="s">
        <v>51</v>
      </c>
      <c r="D2854" t="s">
        <v>22</v>
      </c>
      <c r="E2854" t="s">
        <v>45</v>
      </c>
      <c r="F2854" t="s">
        <v>46</v>
      </c>
      <c r="G2854" s="58">
        <v>121837868</v>
      </c>
      <c r="H2854" s="1" t="s">
        <v>54</v>
      </c>
      <c r="I2854" s="1" t="s">
        <v>108</v>
      </c>
      <c r="J2854" s="58">
        <v>3045946700</v>
      </c>
      <c r="K2854" s="1" t="s">
        <v>106</v>
      </c>
      <c r="L2854" s="1" t="s">
        <v>120</v>
      </c>
      <c r="N2854" s="1">
        <v>1</v>
      </c>
      <c r="O2854" s="58"/>
      <c r="P2854" s="58">
        <v>62137312.68</v>
      </c>
      <c r="Q2854" t="s">
        <v>113</v>
      </c>
      <c r="R2854" s="1" t="s">
        <v>158</v>
      </c>
    </row>
    <row r="2855" spans="3:18" x14ac:dyDescent="0.35">
      <c r="C2855" t="s">
        <v>51</v>
      </c>
      <c r="D2855" t="s">
        <v>21</v>
      </c>
      <c r="E2855" t="s">
        <v>49</v>
      </c>
      <c r="F2855" t="s">
        <v>46</v>
      </c>
      <c r="G2855" s="58">
        <v>446000</v>
      </c>
      <c r="H2855" s="1" t="s">
        <v>48</v>
      </c>
      <c r="I2855" s="1" t="s">
        <v>108</v>
      </c>
      <c r="J2855" s="58">
        <v>17840000</v>
      </c>
      <c r="K2855" s="1" t="s">
        <v>112</v>
      </c>
      <c r="N2855" s="1">
        <v>1</v>
      </c>
      <c r="O2855" s="58"/>
      <c r="P2855" s="58">
        <v>446000</v>
      </c>
      <c r="Q2855" t="s">
        <v>110</v>
      </c>
      <c r="R2855" s="1" t="s">
        <v>158</v>
      </c>
    </row>
    <row r="2856" spans="3:18" x14ac:dyDescent="0.35">
      <c r="C2856" t="s">
        <v>51</v>
      </c>
      <c r="D2856" t="s">
        <v>19</v>
      </c>
      <c r="E2856" t="s">
        <v>49</v>
      </c>
      <c r="F2856" t="s">
        <v>46</v>
      </c>
      <c r="G2856" s="58">
        <v>49446518</v>
      </c>
      <c r="H2856" s="1" t="s">
        <v>59</v>
      </c>
      <c r="I2856" s="1" t="s">
        <v>108</v>
      </c>
      <c r="J2856" s="58">
        <v>1483395540</v>
      </c>
      <c r="K2856" s="1" t="s">
        <v>106</v>
      </c>
      <c r="L2856" s="1" t="s">
        <v>124</v>
      </c>
      <c r="N2856" s="1">
        <v>1</v>
      </c>
      <c r="O2856" s="58"/>
      <c r="P2856" s="58">
        <v>34118097.420000002</v>
      </c>
      <c r="Q2856" t="s">
        <v>118</v>
      </c>
      <c r="R2856" s="1" t="s">
        <v>158</v>
      </c>
    </row>
    <row r="2857" spans="3:18" x14ac:dyDescent="0.35">
      <c r="C2857" t="s">
        <v>51</v>
      </c>
      <c r="D2857" t="s">
        <v>21</v>
      </c>
      <c r="E2857" t="s">
        <v>45</v>
      </c>
      <c r="F2857" t="s">
        <v>46</v>
      </c>
      <c r="G2857" s="58">
        <v>5958101</v>
      </c>
      <c r="H2857" s="1" t="s">
        <v>48</v>
      </c>
      <c r="I2857" s="1" t="s">
        <v>111</v>
      </c>
      <c r="J2857" s="58">
        <v>95329616</v>
      </c>
      <c r="K2857" s="1" t="s">
        <v>112</v>
      </c>
      <c r="N2857" s="1">
        <v>1</v>
      </c>
      <c r="O2857" s="58"/>
      <c r="P2857" s="58">
        <v>4408994.74</v>
      </c>
      <c r="Q2857" t="s">
        <v>118</v>
      </c>
      <c r="R2857" s="1" t="s">
        <v>48</v>
      </c>
    </row>
    <row r="2858" spans="3:18" x14ac:dyDescent="0.35">
      <c r="C2858" t="s">
        <v>53</v>
      </c>
      <c r="D2858" t="s">
        <v>92</v>
      </c>
      <c r="E2858" t="s">
        <v>55</v>
      </c>
      <c r="F2858" t="s">
        <v>46</v>
      </c>
      <c r="G2858" s="58">
        <v>73556</v>
      </c>
      <c r="H2858" s="1" t="s">
        <v>47</v>
      </c>
      <c r="I2858" s="1" t="s">
        <v>111</v>
      </c>
      <c r="J2858" s="58">
        <v>1471120</v>
      </c>
      <c r="K2858" s="1" t="s">
        <v>106</v>
      </c>
      <c r="L2858" s="1" t="s">
        <v>114</v>
      </c>
      <c r="N2858" s="1">
        <v>1</v>
      </c>
      <c r="O2858" s="58"/>
      <c r="P2858" s="58">
        <v>45604.72</v>
      </c>
      <c r="Q2858" t="s">
        <v>118</v>
      </c>
      <c r="R2858" s="1" t="s">
        <v>158</v>
      </c>
    </row>
    <row r="2859" spans="3:18" x14ac:dyDescent="0.35">
      <c r="C2859" t="s">
        <v>51</v>
      </c>
      <c r="D2859" t="s">
        <v>22</v>
      </c>
      <c r="E2859" t="s">
        <v>49</v>
      </c>
      <c r="F2859" t="s">
        <v>46</v>
      </c>
      <c r="G2859" s="58">
        <v>4061424</v>
      </c>
      <c r="H2859" s="1" t="s">
        <v>56</v>
      </c>
      <c r="I2859" s="1" t="s">
        <v>108</v>
      </c>
      <c r="J2859" s="58">
        <v>117781296</v>
      </c>
      <c r="K2859" s="1" t="s">
        <v>106</v>
      </c>
      <c r="L2859" s="1" t="s">
        <v>124</v>
      </c>
      <c r="N2859" s="1">
        <v>1</v>
      </c>
      <c r="O2859" s="58"/>
      <c r="P2859" s="58">
        <v>3411596.16</v>
      </c>
      <c r="Q2859" t="s">
        <v>127</v>
      </c>
      <c r="R2859" s="1" t="s">
        <v>158</v>
      </c>
    </row>
    <row r="2860" spans="3:18" x14ac:dyDescent="0.35">
      <c r="C2860" t="s">
        <v>53</v>
      </c>
      <c r="D2860" t="s">
        <v>92</v>
      </c>
      <c r="E2860" t="s">
        <v>55</v>
      </c>
      <c r="F2860" t="s">
        <v>46</v>
      </c>
      <c r="G2860" s="58">
        <v>45931</v>
      </c>
      <c r="H2860" s="1" t="s">
        <v>59</v>
      </c>
      <c r="I2860" s="1" t="s">
        <v>105</v>
      </c>
      <c r="J2860" s="58">
        <v>183724</v>
      </c>
      <c r="K2860" s="1" t="s">
        <v>106</v>
      </c>
      <c r="L2860" s="1" t="s">
        <v>120</v>
      </c>
      <c r="N2860" s="1">
        <v>1</v>
      </c>
      <c r="O2860" s="58"/>
      <c r="P2860" s="58">
        <v>28936.53</v>
      </c>
      <c r="Q2860" t="s">
        <v>118</v>
      </c>
      <c r="R2860" s="1" t="s">
        <v>158</v>
      </c>
    </row>
    <row r="2861" spans="3:18" x14ac:dyDescent="0.35">
      <c r="C2861" t="s">
        <v>51</v>
      </c>
      <c r="D2861" t="s">
        <v>91</v>
      </c>
      <c r="E2861" t="s">
        <v>55</v>
      </c>
      <c r="F2861" t="s">
        <v>46</v>
      </c>
      <c r="G2861" s="58">
        <v>2530735</v>
      </c>
      <c r="H2861" s="1" t="s">
        <v>48</v>
      </c>
      <c r="I2861" s="1" t="s">
        <v>108</v>
      </c>
      <c r="J2861" s="58">
        <v>75922050</v>
      </c>
      <c r="K2861" s="1" t="s">
        <v>106</v>
      </c>
      <c r="L2861" s="1" t="s">
        <v>114</v>
      </c>
      <c r="M2861" s="1" t="s">
        <v>122</v>
      </c>
      <c r="N2861" s="1">
        <v>1</v>
      </c>
      <c r="O2861" s="58"/>
      <c r="P2861" s="58">
        <v>1290674.8500000001</v>
      </c>
      <c r="Q2861" t="s">
        <v>113</v>
      </c>
      <c r="R2861" s="1" t="s">
        <v>158</v>
      </c>
    </row>
    <row r="2862" spans="3:18" x14ac:dyDescent="0.35">
      <c r="C2862" t="s">
        <v>53</v>
      </c>
      <c r="D2862" t="s">
        <v>25</v>
      </c>
      <c r="E2862" t="s">
        <v>49</v>
      </c>
      <c r="F2862" t="s">
        <v>46</v>
      </c>
      <c r="G2862" s="58">
        <v>55069</v>
      </c>
      <c r="H2862" s="1" t="s">
        <v>59</v>
      </c>
      <c r="I2862" s="1" t="s">
        <v>105</v>
      </c>
      <c r="J2862" s="58">
        <v>275345</v>
      </c>
      <c r="K2862" s="1" t="s">
        <v>106</v>
      </c>
      <c r="L2862" s="1" t="s">
        <v>124</v>
      </c>
      <c r="N2862" s="1">
        <v>1</v>
      </c>
      <c r="O2862" s="58"/>
      <c r="P2862" s="58">
        <v>12665.87</v>
      </c>
      <c r="Q2862" t="s">
        <v>107</v>
      </c>
      <c r="R2862" s="1" t="s">
        <v>158</v>
      </c>
    </row>
    <row r="2863" spans="3:18" x14ac:dyDescent="0.35">
      <c r="C2863" t="s">
        <v>51</v>
      </c>
      <c r="D2863" t="s">
        <v>92</v>
      </c>
      <c r="E2863" t="s">
        <v>49</v>
      </c>
      <c r="F2863" t="s">
        <v>46</v>
      </c>
      <c r="G2863" s="58">
        <v>7049252</v>
      </c>
      <c r="H2863" s="1" t="s">
        <v>47</v>
      </c>
      <c r="I2863" s="1" t="s">
        <v>108</v>
      </c>
      <c r="J2863" s="58">
        <v>204428308</v>
      </c>
      <c r="K2863" s="1" t="s">
        <v>112</v>
      </c>
      <c r="N2863" s="1">
        <v>1</v>
      </c>
      <c r="O2863" s="58"/>
      <c r="P2863" s="58">
        <v>3524626</v>
      </c>
      <c r="Q2863" t="s">
        <v>113</v>
      </c>
      <c r="R2863" s="1" t="s">
        <v>158</v>
      </c>
    </row>
    <row r="2864" spans="3:18" x14ac:dyDescent="0.35">
      <c r="C2864" t="s">
        <v>51</v>
      </c>
      <c r="D2864" t="s">
        <v>60</v>
      </c>
      <c r="E2864" t="s">
        <v>60</v>
      </c>
      <c r="F2864" t="s">
        <v>46</v>
      </c>
      <c r="G2864" s="58">
        <v>318501</v>
      </c>
      <c r="H2864" s="1" t="s">
        <v>61</v>
      </c>
      <c r="I2864" s="1" t="s">
        <v>108</v>
      </c>
      <c r="J2864" s="58">
        <v>8599527</v>
      </c>
      <c r="K2864" s="1" t="s">
        <v>106</v>
      </c>
      <c r="N2864" s="1">
        <v>1</v>
      </c>
      <c r="O2864" s="58"/>
      <c r="P2864" s="58">
        <v>222950.7</v>
      </c>
      <c r="Q2864" t="s">
        <v>118</v>
      </c>
    </row>
    <row r="2865" spans="3:18" x14ac:dyDescent="0.35">
      <c r="C2865" t="s">
        <v>51</v>
      </c>
      <c r="D2865" t="s">
        <v>91</v>
      </c>
      <c r="E2865" t="s">
        <v>49</v>
      </c>
      <c r="F2865" t="s">
        <v>46</v>
      </c>
      <c r="G2865" s="58">
        <v>414392</v>
      </c>
      <c r="H2865" s="1" t="s">
        <v>59</v>
      </c>
      <c r="I2865" s="1" t="s">
        <v>108</v>
      </c>
      <c r="J2865" s="58">
        <v>15332504</v>
      </c>
      <c r="K2865" s="1" t="s">
        <v>106</v>
      </c>
      <c r="L2865" s="1" t="s">
        <v>114</v>
      </c>
      <c r="N2865" s="1">
        <v>1</v>
      </c>
      <c r="O2865" s="58"/>
      <c r="P2865" s="58">
        <v>211339.92</v>
      </c>
      <c r="Q2865" t="s">
        <v>113</v>
      </c>
      <c r="R2865" s="1" t="s">
        <v>158</v>
      </c>
    </row>
    <row r="2866" spans="3:18" x14ac:dyDescent="0.35">
      <c r="C2866" t="s">
        <v>53</v>
      </c>
      <c r="D2866" t="s">
        <v>60</v>
      </c>
      <c r="E2866" t="s">
        <v>60</v>
      </c>
      <c r="F2866" t="s">
        <v>46</v>
      </c>
      <c r="G2866" s="58">
        <v>11172</v>
      </c>
      <c r="H2866" s="1" t="s">
        <v>61</v>
      </c>
      <c r="I2866" s="1" t="s">
        <v>119</v>
      </c>
      <c r="J2866" s="58">
        <v>78204</v>
      </c>
      <c r="K2866" s="1" t="s">
        <v>106</v>
      </c>
      <c r="N2866" s="1">
        <v>1</v>
      </c>
      <c r="O2866" s="58"/>
      <c r="P2866" s="58">
        <v>5250.84</v>
      </c>
      <c r="Q2866" t="s">
        <v>113</v>
      </c>
    </row>
    <row r="2867" spans="3:18" x14ac:dyDescent="0.35">
      <c r="C2867" t="s">
        <v>51</v>
      </c>
      <c r="D2867" t="s">
        <v>91</v>
      </c>
      <c r="E2867" t="s">
        <v>49</v>
      </c>
      <c r="F2867" t="s">
        <v>46</v>
      </c>
      <c r="G2867" s="58">
        <v>1499860</v>
      </c>
      <c r="H2867" s="1" t="s">
        <v>56</v>
      </c>
      <c r="I2867" s="1" t="s">
        <v>108</v>
      </c>
      <c r="J2867" s="58">
        <v>52495100</v>
      </c>
      <c r="K2867" s="1" t="s">
        <v>112</v>
      </c>
      <c r="N2867" s="1">
        <v>1</v>
      </c>
      <c r="O2867" s="58"/>
      <c r="P2867" s="58">
        <v>1034903.4</v>
      </c>
      <c r="Q2867" t="s">
        <v>118</v>
      </c>
      <c r="R2867" s="1" t="s">
        <v>158</v>
      </c>
    </row>
    <row r="2868" spans="3:18" x14ac:dyDescent="0.35">
      <c r="C2868" t="s">
        <v>53</v>
      </c>
      <c r="D2868" t="s">
        <v>92</v>
      </c>
      <c r="E2868" t="s">
        <v>45</v>
      </c>
      <c r="F2868" t="s">
        <v>46</v>
      </c>
      <c r="G2868" s="58">
        <v>909052</v>
      </c>
      <c r="H2868" s="1" t="s">
        <v>56</v>
      </c>
      <c r="I2868" s="1" t="s">
        <v>111</v>
      </c>
      <c r="J2868" s="58">
        <v>12726728</v>
      </c>
      <c r="K2868" s="1" t="s">
        <v>106</v>
      </c>
      <c r="L2868" s="1" t="s">
        <v>120</v>
      </c>
      <c r="N2868" s="1">
        <v>1</v>
      </c>
      <c r="O2868" s="58"/>
      <c r="P2868" s="58">
        <v>645426.92000000004</v>
      </c>
      <c r="Q2868" t="s">
        <v>118</v>
      </c>
      <c r="R2868" s="1" t="s">
        <v>158</v>
      </c>
    </row>
    <row r="2869" spans="3:18" x14ac:dyDescent="0.35">
      <c r="C2869" t="s">
        <v>51</v>
      </c>
      <c r="D2869" t="s">
        <v>23</v>
      </c>
      <c r="E2869" t="s">
        <v>49</v>
      </c>
      <c r="F2869" t="s">
        <v>46</v>
      </c>
      <c r="G2869" s="58">
        <v>313312</v>
      </c>
      <c r="H2869" s="1" t="s">
        <v>47</v>
      </c>
      <c r="I2869" s="1" t="s">
        <v>111</v>
      </c>
      <c r="J2869" s="58">
        <v>4699680</v>
      </c>
      <c r="K2869" s="1" t="s">
        <v>106</v>
      </c>
      <c r="L2869" s="1" t="s">
        <v>124</v>
      </c>
      <c r="N2869" s="1">
        <v>1</v>
      </c>
      <c r="O2869" s="58"/>
      <c r="P2869" s="58">
        <v>272581.44</v>
      </c>
      <c r="Q2869" t="s">
        <v>127</v>
      </c>
      <c r="R2869" s="1" t="s">
        <v>158</v>
      </c>
    </row>
    <row r="2870" spans="3:18" x14ac:dyDescent="0.35">
      <c r="C2870" t="s">
        <v>51</v>
      </c>
      <c r="D2870" t="s">
        <v>20</v>
      </c>
      <c r="E2870" t="s">
        <v>49</v>
      </c>
      <c r="F2870" t="s">
        <v>46</v>
      </c>
      <c r="G2870" s="58">
        <v>159168</v>
      </c>
      <c r="H2870" s="1" t="s">
        <v>54</v>
      </c>
      <c r="I2870" s="1" t="s">
        <v>111</v>
      </c>
      <c r="J2870" s="58">
        <v>2705856</v>
      </c>
      <c r="K2870" s="1" t="s">
        <v>112</v>
      </c>
      <c r="N2870" s="1">
        <v>1</v>
      </c>
      <c r="O2870" s="58"/>
      <c r="P2870" s="58">
        <v>97092.479999999996</v>
      </c>
      <c r="Q2870" t="s">
        <v>118</v>
      </c>
      <c r="R2870" s="1" t="s">
        <v>158</v>
      </c>
    </row>
    <row r="2871" spans="3:18" x14ac:dyDescent="0.35">
      <c r="C2871" t="s">
        <v>51</v>
      </c>
      <c r="D2871" t="s">
        <v>23</v>
      </c>
      <c r="E2871" t="s">
        <v>49</v>
      </c>
      <c r="F2871" t="s">
        <v>46</v>
      </c>
      <c r="G2871" s="58">
        <v>1917388</v>
      </c>
      <c r="H2871" s="1" t="s">
        <v>56</v>
      </c>
      <c r="I2871" s="1" t="s">
        <v>111</v>
      </c>
      <c r="J2871" s="58">
        <v>32595596</v>
      </c>
      <c r="K2871" s="1" t="s">
        <v>106</v>
      </c>
      <c r="L2871" s="1" t="s">
        <v>124</v>
      </c>
      <c r="N2871" s="1">
        <v>1</v>
      </c>
      <c r="O2871" s="58"/>
      <c r="P2871" s="58">
        <v>977867.88</v>
      </c>
      <c r="Q2871" t="s">
        <v>113</v>
      </c>
      <c r="R2871" s="1" t="s">
        <v>158</v>
      </c>
    </row>
    <row r="2872" spans="3:18" x14ac:dyDescent="0.35">
      <c r="C2872" t="s">
        <v>51</v>
      </c>
      <c r="D2872" t="s">
        <v>23</v>
      </c>
      <c r="E2872" t="s">
        <v>55</v>
      </c>
      <c r="F2872" t="s">
        <v>46</v>
      </c>
      <c r="G2872" s="58">
        <v>935241</v>
      </c>
      <c r="H2872" s="1" t="s">
        <v>54</v>
      </c>
      <c r="I2872" s="1" t="s">
        <v>108</v>
      </c>
      <c r="J2872" s="58">
        <v>23381025</v>
      </c>
      <c r="K2872" s="1" t="s">
        <v>112</v>
      </c>
      <c r="N2872" s="1">
        <v>1</v>
      </c>
      <c r="O2872" s="58"/>
      <c r="P2872" s="58">
        <v>598554.24</v>
      </c>
      <c r="Q2872" t="s">
        <v>118</v>
      </c>
      <c r="R2872" s="1" t="s">
        <v>158</v>
      </c>
    </row>
    <row r="2873" spans="3:18" x14ac:dyDescent="0.35">
      <c r="C2873" t="s">
        <v>51</v>
      </c>
      <c r="D2873" t="s">
        <v>23</v>
      </c>
      <c r="E2873" t="s">
        <v>50</v>
      </c>
      <c r="F2873" t="s">
        <v>46</v>
      </c>
      <c r="G2873" s="58">
        <v>360838</v>
      </c>
      <c r="H2873" s="1" t="s">
        <v>48</v>
      </c>
      <c r="I2873" s="1" t="s">
        <v>119</v>
      </c>
      <c r="J2873" s="58">
        <v>3608380</v>
      </c>
      <c r="K2873" s="1" t="s">
        <v>112</v>
      </c>
      <c r="N2873" s="1">
        <v>1</v>
      </c>
      <c r="O2873" s="58"/>
      <c r="P2873" s="58">
        <v>270628.5</v>
      </c>
      <c r="Q2873" t="s">
        <v>118</v>
      </c>
      <c r="R2873" s="1" t="s">
        <v>48</v>
      </c>
    </row>
    <row r="2874" spans="3:18" x14ac:dyDescent="0.35">
      <c r="C2874" t="s">
        <v>51</v>
      </c>
      <c r="D2874" t="s">
        <v>23</v>
      </c>
      <c r="E2874" t="s">
        <v>45</v>
      </c>
      <c r="F2874" t="s">
        <v>46</v>
      </c>
      <c r="G2874" s="58">
        <v>871137</v>
      </c>
      <c r="H2874" s="1" t="s">
        <v>48</v>
      </c>
      <c r="I2874" s="1" t="s">
        <v>108</v>
      </c>
      <c r="J2874" s="58">
        <v>23520699</v>
      </c>
      <c r="K2874" s="1" t="s">
        <v>106</v>
      </c>
      <c r="L2874" s="1" t="s">
        <v>124</v>
      </c>
      <c r="M2874" s="1" t="s">
        <v>125</v>
      </c>
      <c r="N2874" s="1">
        <v>1</v>
      </c>
      <c r="O2874" s="58"/>
      <c r="P2874" s="58">
        <v>618507.27</v>
      </c>
      <c r="Q2874" t="s">
        <v>118</v>
      </c>
      <c r="R2874" s="1" t="s">
        <v>158</v>
      </c>
    </row>
    <row r="2875" spans="3:18" x14ac:dyDescent="0.35">
      <c r="C2875" t="s">
        <v>51</v>
      </c>
      <c r="D2875" t="s">
        <v>19</v>
      </c>
      <c r="E2875" t="s">
        <v>49</v>
      </c>
      <c r="F2875" t="s">
        <v>46</v>
      </c>
      <c r="G2875" s="58">
        <v>249181</v>
      </c>
      <c r="H2875" s="1" t="s">
        <v>48</v>
      </c>
      <c r="I2875" s="1" t="s">
        <v>108</v>
      </c>
      <c r="J2875" s="58">
        <v>5731163</v>
      </c>
      <c r="K2875" s="1" t="s">
        <v>106</v>
      </c>
      <c r="L2875" s="1" t="s">
        <v>124</v>
      </c>
      <c r="M2875" s="1" t="s">
        <v>115</v>
      </c>
      <c r="N2875" s="1">
        <v>1</v>
      </c>
      <c r="O2875" s="58"/>
      <c r="P2875" s="58">
        <v>84721.54</v>
      </c>
      <c r="Q2875" t="s">
        <v>107</v>
      </c>
      <c r="R2875" s="1" t="s">
        <v>158</v>
      </c>
    </row>
    <row r="2876" spans="3:18" x14ac:dyDescent="0.35">
      <c r="C2876" t="s">
        <v>51</v>
      </c>
      <c r="D2876" t="s">
        <v>22</v>
      </c>
      <c r="E2876" t="s">
        <v>45</v>
      </c>
      <c r="F2876" t="s">
        <v>46</v>
      </c>
      <c r="G2876" s="58">
        <v>94737</v>
      </c>
      <c r="H2876" s="1" t="s">
        <v>47</v>
      </c>
      <c r="I2876" s="1" t="s">
        <v>105</v>
      </c>
      <c r="J2876" s="58">
        <v>378948</v>
      </c>
      <c r="K2876" s="1" t="s">
        <v>106</v>
      </c>
      <c r="L2876" s="1" t="s">
        <v>120</v>
      </c>
      <c r="N2876" s="1">
        <v>1</v>
      </c>
      <c r="O2876" s="58"/>
      <c r="P2876" s="58">
        <v>78631.710000000006</v>
      </c>
      <c r="Q2876" t="s">
        <v>127</v>
      </c>
      <c r="R2876" s="1" t="s">
        <v>158</v>
      </c>
    </row>
    <row r="2877" spans="3:18" x14ac:dyDescent="0.35">
      <c r="C2877" t="s">
        <v>51</v>
      </c>
      <c r="D2877" t="s">
        <v>22</v>
      </c>
      <c r="E2877" t="s">
        <v>45</v>
      </c>
      <c r="F2877" t="s">
        <v>46</v>
      </c>
      <c r="G2877" s="58">
        <v>175734</v>
      </c>
      <c r="H2877" s="1" t="s">
        <v>58</v>
      </c>
      <c r="I2877" s="1" t="s">
        <v>119</v>
      </c>
      <c r="J2877" s="58">
        <v>1230138</v>
      </c>
      <c r="K2877" s="1" t="s">
        <v>106</v>
      </c>
      <c r="L2877" s="1" t="s">
        <v>120</v>
      </c>
      <c r="N2877" s="1">
        <v>1</v>
      </c>
      <c r="O2877" s="58"/>
      <c r="P2877" s="58">
        <v>43933.5</v>
      </c>
      <c r="Q2877" t="s">
        <v>107</v>
      </c>
      <c r="R2877" s="1" t="s">
        <v>158</v>
      </c>
    </row>
    <row r="2878" spans="3:18" x14ac:dyDescent="0.35">
      <c r="C2878" t="s">
        <v>51</v>
      </c>
      <c r="D2878" t="s">
        <v>23</v>
      </c>
      <c r="E2878" t="s">
        <v>50</v>
      </c>
      <c r="F2878" t="s">
        <v>46</v>
      </c>
      <c r="G2878" s="58">
        <v>337926</v>
      </c>
      <c r="H2878" s="1" t="s">
        <v>48</v>
      </c>
      <c r="I2878" s="1" t="s">
        <v>108</v>
      </c>
      <c r="J2878" s="58">
        <v>12841188</v>
      </c>
      <c r="K2878" s="1" t="s">
        <v>106</v>
      </c>
      <c r="L2878" s="1" t="s">
        <v>124</v>
      </c>
      <c r="M2878" s="1" t="s">
        <v>126</v>
      </c>
      <c r="N2878" s="1">
        <v>1</v>
      </c>
      <c r="O2878" s="58"/>
      <c r="P2878" s="58">
        <v>280478.58</v>
      </c>
      <c r="Q2878" t="s">
        <v>127</v>
      </c>
      <c r="R2878" s="1" t="s">
        <v>48</v>
      </c>
    </row>
    <row r="2879" spans="3:18" x14ac:dyDescent="0.35">
      <c r="C2879" t="s">
        <v>53</v>
      </c>
      <c r="D2879" t="s">
        <v>22</v>
      </c>
      <c r="E2879" t="s">
        <v>45</v>
      </c>
      <c r="F2879" t="s">
        <v>46</v>
      </c>
      <c r="G2879" s="58">
        <v>522890</v>
      </c>
      <c r="H2879" s="1" t="s">
        <v>48</v>
      </c>
      <c r="I2879" s="1" t="s">
        <v>111</v>
      </c>
      <c r="J2879" s="58">
        <v>6274680</v>
      </c>
      <c r="K2879" s="1" t="s">
        <v>112</v>
      </c>
      <c r="N2879" s="1">
        <v>1</v>
      </c>
      <c r="O2879" s="58"/>
      <c r="P2879" s="58">
        <v>371251.9</v>
      </c>
      <c r="Q2879" t="s">
        <v>118</v>
      </c>
      <c r="R2879" s="1" t="s">
        <v>158</v>
      </c>
    </row>
    <row r="2880" spans="3:18" x14ac:dyDescent="0.35">
      <c r="C2880" t="s">
        <v>51</v>
      </c>
      <c r="D2880" t="s">
        <v>24</v>
      </c>
      <c r="E2880" t="s">
        <v>49</v>
      </c>
      <c r="F2880" t="s">
        <v>46</v>
      </c>
      <c r="G2880" s="58">
        <v>4315504</v>
      </c>
      <c r="H2880" s="1" t="s">
        <v>48</v>
      </c>
      <c r="I2880" s="1" t="s">
        <v>108</v>
      </c>
      <c r="J2880" s="58">
        <v>146727136</v>
      </c>
      <c r="K2880" s="1" t="s">
        <v>112</v>
      </c>
      <c r="N2880" s="1">
        <v>1</v>
      </c>
      <c r="O2880" s="58"/>
      <c r="P2880" s="58">
        <v>3107162.88</v>
      </c>
      <c r="Q2880" t="s">
        <v>118</v>
      </c>
      <c r="R2880" s="1" t="s">
        <v>48</v>
      </c>
    </row>
    <row r="2881" spans="3:18" x14ac:dyDescent="0.35">
      <c r="C2881" t="s">
        <v>51</v>
      </c>
      <c r="D2881" t="s">
        <v>19</v>
      </c>
      <c r="E2881" t="s">
        <v>49</v>
      </c>
      <c r="F2881" t="s">
        <v>46</v>
      </c>
      <c r="G2881" s="58">
        <v>402057</v>
      </c>
      <c r="H2881" s="1" t="s">
        <v>47</v>
      </c>
      <c r="I2881" s="1" t="s">
        <v>128</v>
      </c>
      <c r="J2881" s="58"/>
      <c r="K2881" s="1" t="s">
        <v>106</v>
      </c>
      <c r="L2881" s="1" t="s">
        <v>109</v>
      </c>
      <c r="N2881" s="1">
        <v>0</v>
      </c>
      <c r="O2881" s="58"/>
      <c r="P2881" s="58">
        <v>229172.49</v>
      </c>
      <c r="Q2881" t="s">
        <v>113</v>
      </c>
      <c r="R2881" s="1" t="s">
        <v>158</v>
      </c>
    </row>
    <row r="2882" spans="3:18" x14ac:dyDescent="0.35">
      <c r="C2882" t="s">
        <v>51</v>
      </c>
      <c r="D2882" t="s">
        <v>92</v>
      </c>
      <c r="E2882" t="s">
        <v>49</v>
      </c>
      <c r="F2882" t="s">
        <v>46</v>
      </c>
      <c r="G2882" s="58">
        <v>1200754</v>
      </c>
      <c r="H2882" s="1" t="s">
        <v>47</v>
      </c>
      <c r="I2882" s="1" t="s">
        <v>119</v>
      </c>
      <c r="J2882" s="58">
        <v>10806786</v>
      </c>
      <c r="K2882" s="1" t="s">
        <v>106</v>
      </c>
      <c r="L2882" s="1" t="s">
        <v>124</v>
      </c>
      <c r="N2882" s="1">
        <v>1</v>
      </c>
      <c r="O2882" s="58"/>
      <c r="P2882" s="58">
        <v>540339.30000000005</v>
      </c>
      <c r="Q2882" t="s">
        <v>113</v>
      </c>
      <c r="R2882" s="1" t="s">
        <v>158</v>
      </c>
    </row>
    <row r="2883" spans="3:18" x14ac:dyDescent="0.35">
      <c r="C2883" t="s">
        <v>51</v>
      </c>
      <c r="D2883" t="s">
        <v>23</v>
      </c>
      <c r="E2883" t="s">
        <v>62</v>
      </c>
      <c r="F2883" t="s">
        <v>64</v>
      </c>
      <c r="G2883" s="58">
        <v>1761748</v>
      </c>
      <c r="H2883" s="1" t="s">
        <v>48</v>
      </c>
      <c r="I2883" s="1" t="s">
        <v>108</v>
      </c>
      <c r="J2883" s="58">
        <v>54614188</v>
      </c>
      <c r="K2883" s="1" t="s">
        <v>112</v>
      </c>
      <c r="N2883" s="1">
        <v>1</v>
      </c>
      <c r="O2883" s="58"/>
      <c r="P2883" s="58">
        <v>1197988.6399999999</v>
      </c>
      <c r="Q2883" t="s">
        <v>118</v>
      </c>
      <c r="R2883" s="1" t="s">
        <v>48</v>
      </c>
    </row>
    <row r="2884" spans="3:18" x14ac:dyDescent="0.35">
      <c r="C2884" t="s">
        <v>51</v>
      </c>
      <c r="D2884" t="s">
        <v>91</v>
      </c>
      <c r="E2884" t="s">
        <v>45</v>
      </c>
      <c r="F2884" t="s">
        <v>46</v>
      </c>
      <c r="G2884" s="58">
        <v>1703635</v>
      </c>
      <c r="H2884" s="1" t="s">
        <v>48</v>
      </c>
      <c r="I2884" s="1" t="s">
        <v>111</v>
      </c>
      <c r="J2884" s="58">
        <v>27258160</v>
      </c>
      <c r="K2884" s="1" t="s">
        <v>106</v>
      </c>
      <c r="L2884" s="1" t="s">
        <v>120</v>
      </c>
      <c r="M2884" s="1" t="s">
        <v>122</v>
      </c>
      <c r="N2884" s="1">
        <v>1</v>
      </c>
      <c r="O2884" s="58"/>
      <c r="P2884" s="58">
        <v>885890.2</v>
      </c>
      <c r="Q2884" t="s">
        <v>113</v>
      </c>
      <c r="R2884" s="1" t="s">
        <v>158</v>
      </c>
    </row>
    <row r="2885" spans="3:18" x14ac:dyDescent="0.35">
      <c r="C2885" t="s">
        <v>51</v>
      </c>
      <c r="D2885" t="s">
        <v>24</v>
      </c>
      <c r="E2885" t="s">
        <v>50</v>
      </c>
      <c r="F2885" t="s">
        <v>46</v>
      </c>
      <c r="G2885" s="58">
        <v>252849</v>
      </c>
      <c r="H2885" s="1" t="s">
        <v>56</v>
      </c>
      <c r="I2885" s="1" t="s">
        <v>119</v>
      </c>
      <c r="J2885" s="58">
        <v>1769943</v>
      </c>
      <c r="K2885" s="1" t="s">
        <v>106</v>
      </c>
      <c r="L2885" s="1" t="s">
        <v>109</v>
      </c>
      <c r="N2885" s="1">
        <v>1</v>
      </c>
      <c r="O2885" s="58"/>
      <c r="P2885" s="58">
        <v>68269.23</v>
      </c>
      <c r="Q2885" t="s">
        <v>107</v>
      </c>
      <c r="R2885" s="1" t="s">
        <v>158</v>
      </c>
    </row>
    <row r="2886" spans="3:18" x14ac:dyDescent="0.35">
      <c r="C2886" t="s">
        <v>53</v>
      </c>
      <c r="D2886" t="s">
        <v>22</v>
      </c>
      <c r="E2886" t="s">
        <v>62</v>
      </c>
      <c r="F2886" t="s">
        <v>46</v>
      </c>
      <c r="G2886" s="58">
        <v>1411820</v>
      </c>
      <c r="H2886" s="1" t="s">
        <v>48</v>
      </c>
      <c r="I2886" s="1" t="s">
        <v>111</v>
      </c>
      <c r="J2886" s="58">
        <v>21177300</v>
      </c>
      <c r="K2886" s="1" t="s">
        <v>112</v>
      </c>
      <c r="N2886" s="1">
        <v>1</v>
      </c>
      <c r="O2886" s="58"/>
      <c r="P2886" s="58">
        <v>960037.6</v>
      </c>
      <c r="Q2886" t="s">
        <v>118</v>
      </c>
      <c r="R2886" s="1" t="s">
        <v>48</v>
      </c>
    </row>
    <row r="2887" spans="3:18" x14ac:dyDescent="0.35">
      <c r="C2887" t="s">
        <v>51</v>
      </c>
      <c r="D2887" t="s">
        <v>92</v>
      </c>
      <c r="E2887" t="s">
        <v>45</v>
      </c>
      <c r="F2887" t="s">
        <v>46</v>
      </c>
      <c r="G2887" s="58">
        <v>33318</v>
      </c>
      <c r="H2887" s="1" t="s">
        <v>47</v>
      </c>
      <c r="I2887" s="1" t="s">
        <v>108</v>
      </c>
      <c r="J2887" s="58">
        <v>666360</v>
      </c>
      <c r="K2887" s="1" t="s">
        <v>106</v>
      </c>
      <c r="L2887" s="1" t="s">
        <v>120</v>
      </c>
      <c r="N2887" s="1">
        <v>1</v>
      </c>
      <c r="O2887" s="58"/>
      <c r="P2887" s="58">
        <v>49977</v>
      </c>
      <c r="Q2887" t="s">
        <v>110</v>
      </c>
      <c r="R2887" s="1" t="s">
        <v>158</v>
      </c>
    </row>
    <row r="2888" spans="3:18" x14ac:dyDescent="0.35">
      <c r="C2888" t="s">
        <v>51</v>
      </c>
      <c r="D2888" t="s">
        <v>25</v>
      </c>
      <c r="E2888" t="s">
        <v>50</v>
      </c>
      <c r="F2888" t="s">
        <v>46</v>
      </c>
      <c r="G2888" s="58">
        <v>164029</v>
      </c>
      <c r="H2888" s="1" t="s">
        <v>54</v>
      </c>
      <c r="I2888" s="1" t="s">
        <v>105</v>
      </c>
      <c r="J2888" s="58">
        <v>492087</v>
      </c>
      <c r="K2888" s="1" t="s">
        <v>106</v>
      </c>
      <c r="L2888" s="1" t="s">
        <v>109</v>
      </c>
      <c r="N2888" s="1">
        <v>1</v>
      </c>
      <c r="O2888" s="58"/>
      <c r="P2888" s="58">
        <v>19683.48</v>
      </c>
      <c r="Q2888" t="s">
        <v>107</v>
      </c>
      <c r="R2888" s="1" t="s">
        <v>158</v>
      </c>
    </row>
    <row r="2889" spans="3:18" x14ac:dyDescent="0.35">
      <c r="C2889" t="s">
        <v>51</v>
      </c>
      <c r="D2889" t="s">
        <v>24</v>
      </c>
      <c r="E2889" t="s">
        <v>55</v>
      </c>
      <c r="F2889" t="s">
        <v>46</v>
      </c>
      <c r="G2889" s="58">
        <v>679421</v>
      </c>
      <c r="H2889" s="1" t="s">
        <v>47</v>
      </c>
      <c r="I2889" s="1" t="s">
        <v>108</v>
      </c>
      <c r="J2889" s="58">
        <v>23100314</v>
      </c>
      <c r="K2889" s="1" t="s">
        <v>106</v>
      </c>
      <c r="L2889" s="1" t="s">
        <v>124</v>
      </c>
      <c r="N2889" s="1">
        <v>1</v>
      </c>
      <c r="O2889" s="58"/>
      <c r="P2889" s="58">
        <v>604684.68999999994</v>
      </c>
      <c r="Q2889" t="s">
        <v>127</v>
      </c>
      <c r="R2889" s="1" t="s">
        <v>158</v>
      </c>
    </row>
    <row r="2890" spans="3:18" x14ac:dyDescent="0.35">
      <c r="C2890" t="s">
        <v>51</v>
      </c>
      <c r="D2890" t="s">
        <v>60</v>
      </c>
      <c r="E2890" t="s">
        <v>60</v>
      </c>
      <c r="F2890" t="s">
        <v>46</v>
      </c>
      <c r="G2890" s="58">
        <v>22932</v>
      </c>
      <c r="H2890" s="1" t="s">
        <v>90</v>
      </c>
      <c r="I2890" s="1" t="s">
        <v>108</v>
      </c>
      <c r="J2890" s="58">
        <v>573300</v>
      </c>
      <c r="K2890" s="1" t="s">
        <v>106</v>
      </c>
      <c r="N2890" s="1">
        <v>1</v>
      </c>
      <c r="O2890" s="58"/>
      <c r="P2890" s="58">
        <v>11236.68</v>
      </c>
      <c r="Q2890" t="s">
        <v>113</v>
      </c>
      <c r="R2890" s="1" t="s">
        <v>90</v>
      </c>
    </row>
    <row r="2891" spans="3:18" x14ac:dyDescent="0.35">
      <c r="C2891" t="s">
        <v>51</v>
      </c>
      <c r="D2891" t="s">
        <v>22</v>
      </c>
      <c r="E2891" t="s">
        <v>55</v>
      </c>
      <c r="F2891" t="s">
        <v>46</v>
      </c>
      <c r="G2891" s="58">
        <v>142079</v>
      </c>
      <c r="H2891" s="1" t="s">
        <v>48</v>
      </c>
      <c r="I2891" s="1" t="s">
        <v>111</v>
      </c>
      <c r="J2891" s="58">
        <v>2131185</v>
      </c>
      <c r="K2891" s="1" t="s">
        <v>112</v>
      </c>
      <c r="N2891" s="1">
        <v>1</v>
      </c>
      <c r="O2891" s="58"/>
      <c r="P2891" s="58">
        <v>126450.31</v>
      </c>
      <c r="Q2891" t="s">
        <v>127</v>
      </c>
      <c r="R2891" s="1" t="s">
        <v>158</v>
      </c>
    </row>
    <row r="2892" spans="3:18" x14ac:dyDescent="0.35">
      <c r="C2892" t="s">
        <v>51</v>
      </c>
      <c r="D2892" t="s">
        <v>22</v>
      </c>
      <c r="E2892" t="s">
        <v>45</v>
      </c>
      <c r="F2892" t="s">
        <v>46</v>
      </c>
      <c r="G2892" s="58">
        <v>2180074</v>
      </c>
      <c r="H2892" s="1" t="s">
        <v>48</v>
      </c>
      <c r="I2892" s="1" t="s">
        <v>111</v>
      </c>
      <c r="J2892" s="58">
        <v>34881184</v>
      </c>
      <c r="K2892" s="1" t="s">
        <v>112</v>
      </c>
      <c r="N2892" s="1">
        <v>1</v>
      </c>
      <c r="O2892" s="58"/>
      <c r="P2892" s="58">
        <v>588619.98</v>
      </c>
      <c r="Q2892" t="s">
        <v>107</v>
      </c>
      <c r="R2892" s="1" t="s">
        <v>158</v>
      </c>
    </row>
    <row r="2893" spans="3:18" x14ac:dyDescent="0.35">
      <c r="C2893" t="s">
        <v>51</v>
      </c>
      <c r="D2893" t="s">
        <v>20</v>
      </c>
      <c r="E2893" t="s">
        <v>49</v>
      </c>
      <c r="F2893" t="s">
        <v>46</v>
      </c>
      <c r="G2893" s="58">
        <v>1007445</v>
      </c>
      <c r="H2893" s="1" t="s">
        <v>59</v>
      </c>
      <c r="I2893" s="1" t="s">
        <v>111</v>
      </c>
      <c r="J2893" s="58">
        <v>16119120</v>
      </c>
      <c r="K2893" s="1" t="s">
        <v>106</v>
      </c>
      <c r="L2893" s="1" t="s">
        <v>120</v>
      </c>
      <c r="N2893" s="1">
        <v>1</v>
      </c>
      <c r="O2893" s="58"/>
      <c r="P2893" s="58">
        <v>685062.6</v>
      </c>
      <c r="Q2893" t="s">
        <v>118</v>
      </c>
      <c r="R2893" s="1" t="s">
        <v>158</v>
      </c>
    </row>
    <row r="2894" spans="3:18" x14ac:dyDescent="0.35">
      <c r="C2894" t="s">
        <v>53</v>
      </c>
      <c r="D2894" t="s">
        <v>92</v>
      </c>
      <c r="E2894" t="s">
        <v>49</v>
      </c>
      <c r="F2894" t="s">
        <v>46</v>
      </c>
      <c r="G2894" s="58">
        <v>118370</v>
      </c>
      <c r="H2894" s="1" t="s">
        <v>47</v>
      </c>
      <c r="I2894" s="1" t="s">
        <v>108</v>
      </c>
      <c r="J2894" s="58">
        <v>2367400</v>
      </c>
      <c r="K2894" s="1" t="s">
        <v>106</v>
      </c>
      <c r="L2894" s="1" t="s">
        <v>124</v>
      </c>
      <c r="N2894" s="1">
        <v>1</v>
      </c>
      <c r="O2894" s="58"/>
      <c r="P2894" s="58">
        <v>72205.7</v>
      </c>
      <c r="Q2894" t="s">
        <v>118</v>
      </c>
      <c r="R2894" s="1" t="s">
        <v>158</v>
      </c>
    </row>
    <row r="2895" spans="3:18" x14ac:dyDescent="0.35">
      <c r="C2895" t="s">
        <v>51</v>
      </c>
      <c r="D2895" t="s">
        <v>91</v>
      </c>
      <c r="E2895" t="s">
        <v>49</v>
      </c>
      <c r="F2895" t="s">
        <v>46</v>
      </c>
      <c r="G2895" s="58">
        <v>208822</v>
      </c>
      <c r="H2895" s="1" t="s">
        <v>47</v>
      </c>
      <c r="I2895" s="1" t="s">
        <v>111</v>
      </c>
      <c r="J2895" s="58">
        <v>3132330</v>
      </c>
      <c r="K2895" s="1" t="s">
        <v>106</v>
      </c>
      <c r="L2895" s="1" t="s">
        <v>109</v>
      </c>
      <c r="N2895" s="1">
        <v>1</v>
      </c>
      <c r="O2895" s="58"/>
      <c r="P2895" s="58">
        <v>60558.38</v>
      </c>
      <c r="Q2895" t="s">
        <v>107</v>
      </c>
      <c r="R2895" s="1" t="s">
        <v>158</v>
      </c>
    </row>
    <row r="2896" spans="3:18" x14ac:dyDescent="0.35">
      <c r="C2896" t="s">
        <v>53</v>
      </c>
      <c r="D2896" t="s">
        <v>22</v>
      </c>
      <c r="E2896" t="s">
        <v>45</v>
      </c>
      <c r="F2896" t="s">
        <v>46</v>
      </c>
      <c r="G2896" s="58">
        <v>5302000</v>
      </c>
      <c r="H2896" s="1" t="s">
        <v>47</v>
      </c>
      <c r="I2896" s="1" t="s">
        <v>105</v>
      </c>
      <c r="J2896" s="58"/>
      <c r="K2896" s="1" t="s">
        <v>106</v>
      </c>
      <c r="L2896" s="1" t="s">
        <v>120</v>
      </c>
      <c r="N2896" s="1">
        <v>0</v>
      </c>
      <c r="O2896" s="58"/>
      <c r="P2896" s="58">
        <v>2385900</v>
      </c>
      <c r="Q2896" t="s">
        <v>113</v>
      </c>
      <c r="R2896" s="1" t="s">
        <v>158</v>
      </c>
    </row>
    <row r="2897" spans="3:18" x14ac:dyDescent="0.35">
      <c r="C2897" t="s">
        <v>51</v>
      </c>
      <c r="D2897" t="s">
        <v>22</v>
      </c>
      <c r="E2897" t="s">
        <v>45</v>
      </c>
      <c r="F2897" t="s">
        <v>46</v>
      </c>
      <c r="G2897" s="58">
        <v>473164</v>
      </c>
      <c r="H2897" s="1" t="s">
        <v>48</v>
      </c>
      <c r="I2897" s="1" t="s">
        <v>111</v>
      </c>
      <c r="J2897" s="58">
        <v>5204804</v>
      </c>
      <c r="K2897" s="1" t="s">
        <v>106</v>
      </c>
      <c r="L2897" s="1" t="s">
        <v>124</v>
      </c>
      <c r="M2897" s="1" t="s">
        <v>126</v>
      </c>
      <c r="N2897" s="1">
        <v>1</v>
      </c>
      <c r="O2897" s="58"/>
      <c r="P2897" s="58">
        <v>321751.52</v>
      </c>
      <c r="Q2897" t="s">
        <v>118</v>
      </c>
      <c r="R2897" s="1" t="s">
        <v>158</v>
      </c>
    </row>
    <row r="2898" spans="3:18" x14ac:dyDescent="0.35">
      <c r="C2898" t="s">
        <v>51</v>
      </c>
      <c r="D2898" t="s">
        <v>19</v>
      </c>
      <c r="E2898" t="s">
        <v>49</v>
      </c>
      <c r="F2898" t="s">
        <v>46</v>
      </c>
      <c r="G2898" s="58">
        <v>56992339</v>
      </c>
      <c r="H2898" s="1" t="s">
        <v>48</v>
      </c>
      <c r="I2898" s="1" t="s">
        <v>111</v>
      </c>
      <c r="J2898" s="58">
        <v>911877424</v>
      </c>
      <c r="K2898" s="1" t="s">
        <v>106</v>
      </c>
      <c r="L2898" s="1" t="s">
        <v>124</v>
      </c>
      <c r="M2898" s="1" t="s">
        <v>122</v>
      </c>
      <c r="N2898" s="1">
        <v>1</v>
      </c>
      <c r="O2898" s="58"/>
      <c r="P2898" s="58">
        <v>28496169.5</v>
      </c>
      <c r="Q2898" t="s">
        <v>113</v>
      </c>
      <c r="R2898" s="1" t="s">
        <v>158</v>
      </c>
    </row>
    <row r="2899" spans="3:18" x14ac:dyDescent="0.35">
      <c r="C2899" t="s">
        <v>44</v>
      </c>
      <c r="D2899" t="s">
        <v>24</v>
      </c>
      <c r="E2899" t="s">
        <v>55</v>
      </c>
      <c r="F2899" t="s">
        <v>46</v>
      </c>
      <c r="G2899" s="58">
        <v>626266</v>
      </c>
      <c r="H2899" s="1" t="s">
        <v>59</v>
      </c>
      <c r="I2899" s="1" t="s">
        <v>108</v>
      </c>
      <c r="J2899" s="58"/>
      <c r="N2899" s="1">
        <v>0</v>
      </c>
      <c r="O2899" s="58"/>
      <c r="P2899" s="58"/>
      <c r="R2899" s="1" t="s">
        <v>158</v>
      </c>
    </row>
    <row r="2900" spans="3:18" x14ac:dyDescent="0.35">
      <c r="C2900" t="s">
        <v>51</v>
      </c>
      <c r="D2900" t="s">
        <v>22</v>
      </c>
      <c r="E2900" t="s">
        <v>45</v>
      </c>
      <c r="F2900" t="s">
        <v>46</v>
      </c>
      <c r="G2900" s="58">
        <v>272224</v>
      </c>
      <c r="H2900" s="1" t="s">
        <v>47</v>
      </c>
      <c r="I2900" s="1" t="s">
        <v>108</v>
      </c>
      <c r="J2900" s="58">
        <v>5988928</v>
      </c>
      <c r="K2900" s="1" t="s">
        <v>106</v>
      </c>
      <c r="L2900" s="1" t="s">
        <v>116</v>
      </c>
      <c r="N2900" s="1">
        <v>1</v>
      </c>
      <c r="O2900" s="58"/>
      <c r="P2900" s="58">
        <v>117056.32000000001</v>
      </c>
      <c r="Q2900" t="s">
        <v>113</v>
      </c>
      <c r="R2900" s="1" t="s">
        <v>158</v>
      </c>
    </row>
    <row r="2901" spans="3:18" x14ac:dyDescent="0.35">
      <c r="C2901" t="s">
        <v>51</v>
      </c>
      <c r="D2901" t="s">
        <v>23</v>
      </c>
      <c r="E2901" t="s">
        <v>45</v>
      </c>
      <c r="F2901" t="s">
        <v>46</v>
      </c>
      <c r="G2901" s="58">
        <v>48756236</v>
      </c>
      <c r="H2901" s="1" t="s">
        <v>48</v>
      </c>
      <c r="I2901" s="1" t="s">
        <v>111</v>
      </c>
      <c r="J2901" s="58">
        <v>731343540</v>
      </c>
      <c r="K2901" s="1" t="s">
        <v>106</v>
      </c>
      <c r="L2901" s="1" t="s">
        <v>120</v>
      </c>
      <c r="M2901" s="1" t="s">
        <v>125</v>
      </c>
      <c r="N2901" s="1">
        <v>1</v>
      </c>
      <c r="O2901" s="58"/>
      <c r="P2901" s="58">
        <v>13164183.720000001</v>
      </c>
      <c r="Q2901" t="s">
        <v>107</v>
      </c>
      <c r="R2901" s="1" t="s">
        <v>158</v>
      </c>
    </row>
    <row r="2902" spans="3:18" x14ac:dyDescent="0.35">
      <c r="C2902" t="s">
        <v>51</v>
      </c>
      <c r="D2902" t="s">
        <v>22</v>
      </c>
      <c r="E2902" t="s">
        <v>49</v>
      </c>
      <c r="F2902" t="s">
        <v>64</v>
      </c>
      <c r="G2902" s="58">
        <v>248034</v>
      </c>
      <c r="H2902" s="1" t="s">
        <v>48</v>
      </c>
      <c r="I2902" s="1" t="s">
        <v>108</v>
      </c>
      <c r="J2902" s="58">
        <v>6944952</v>
      </c>
      <c r="K2902" s="1" t="s">
        <v>106</v>
      </c>
      <c r="L2902" s="1" t="s">
        <v>124</v>
      </c>
      <c r="M2902" s="1" t="s">
        <v>115</v>
      </c>
      <c r="N2902" s="1">
        <v>1</v>
      </c>
      <c r="O2902" s="58"/>
      <c r="P2902" s="58">
        <v>158741.76000000001</v>
      </c>
      <c r="Q2902" t="s">
        <v>118</v>
      </c>
      <c r="R2902" s="1" t="s">
        <v>48</v>
      </c>
    </row>
    <row r="2903" spans="3:18" x14ac:dyDescent="0.35">
      <c r="C2903" t="s">
        <v>51</v>
      </c>
      <c r="D2903" t="s">
        <v>92</v>
      </c>
      <c r="E2903" t="s">
        <v>49</v>
      </c>
      <c r="F2903" t="s">
        <v>46</v>
      </c>
      <c r="G2903" s="58">
        <v>84718576</v>
      </c>
      <c r="H2903" s="1" t="s">
        <v>48</v>
      </c>
      <c r="I2903" s="1" t="s">
        <v>108</v>
      </c>
      <c r="J2903" s="58">
        <v>2626275856</v>
      </c>
      <c r="K2903" s="1" t="s">
        <v>106</v>
      </c>
      <c r="L2903" s="1" t="s">
        <v>124</v>
      </c>
      <c r="M2903" s="1" t="s">
        <v>123</v>
      </c>
      <c r="N2903" s="1">
        <v>1</v>
      </c>
      <c r="O2903" s="58"/>
      <c r="P2903" s="58">
        <v>60150188.960000001</v>
      </c>
      <c r="Q2903" t="s">
        <v>118</v>
      </c>
      <c r="R2903" s="1" t="s">
        <v>48</v>
      </c>
    </row>
    <row r="2904" spans="3:18" x14ac:dyDescent="0.35">
      <c r="C2904" t="s">
        <v>53</v>
      </c>
      <c r="D2904" t="s">
        <v>92</v>
      </c>
      <c r="E2904" t="s">
        <v>45</v>
      </c>
      <c r="F2904" t="s">
        <v>46</v>
      </c>
      <c r="G2904" s="58">
        <v>170346</v>
      </c>
      <c r="H2904" s="1" t="s">
        <v>47</v>
      </c>
      <c r="I2904" s="1" t="s">
        <v>119</v>
      </c>
      <c r="J2904" s="58">
        <v>1192422</v>
      </c>
      <c r="K2904" s="1" t="s">
        <v>106</v>
      </c>
      <c r="L2904" s="1" t="s">
        <v>120</v>
      </c>
      <c r="N2904" s="1">
        <v>1</v>
      </c>
      <c r="O2904" s="58"/>
      <c r="P2904" s="58">
        <v>168642.54</v>
      </c>
      <c r="Q2904" t="s">
        <v>127</v>
      </c>
      <c r="R2904" s="1" t="s">
        <v>158</v>
      </c>
    </row>
    <row r="2905" spans="3:18" x14ac:dyDescent="0.35">
      <c r="C2905" t="s">
        <v>51</v>
      </c>
      <c r="D2905" t="s">
        <v>22</v>
      </c>
      <c r="E2905" t="s">
        <v>49</v>
      </c>
      <c r="F2905" t="s">
        <v>46</v>
      </c>
      <c r="G2905" s="58">
        <v>22612301</v>
      </c>
      <c r="H2905" s="1" t="s">
        <v>48</v>
      </c>
      <c r="I2905" s="1" t="s">
        <v>108</v>
      </c>
      <c r="J2905" s="58">
        <v>700981331</v>
      </c>
      <c r="K2905" s="1" t="s">
        <v>106</v>
      </c>
      <c r="L2905" s="1" t="s">
        <v>124</v>
      </c>
      <c r="M2905" s="1" t="s">
        <v>115</v>
      </c>
      <c r="N2905" s="1">
        <v>1</v>
      </c>
      <c r="O2905" s="58"/>
      <c r="P2905" s="58">
        <v>16054733.710000001</v>
      </c>
      <c r="Q2905" t="s">
        <v>118</v>
      </c>
      <c r="R2905" s="1" t="s">
        <v>48</v>
      </c>
    </row>
    <row r="2906" spans="3:18" x14ac:dyDescent="0.35">
      <c r="C2906" t="s">
        <v>53</v>
      </c>
      <c r="D2906" t="s">
        <v>92</v>
      </c>
      <c r="E2906" t="s">
        <v>55</v>
      </c>
      <c r="F2906" t="s">
        <v>46</v>
      </c>
      <c r="G2906" s="58">
        <v>13839890</v>
      </c>
      <c r="H2906" s="1" t="s">
        <v>48</v>
      </c>
      <c r="I2906" s="1" t="s">
        <v>111</v>
      </c>
      <c r="J2906" s="58">
        <v>166078680</v>
      </c>
      <c r="K2906" s="1" t="s">
        <v>106</v>
      </c>
      <c r="L2906" s="1" t="s">
        <v>114</v>
      </c>
      <c r="M2906" s="1" t="s">
        <v>123</v>
      </c>
      <c r="N2906" s="1">
        <v>1</v>
      </c>
      <c r="O2906" s="58"/>
      <c r="P2906" s="58">
        <v>12317502.1</v>
      </c>
      <c r="Q2906" t="s">
        <v>127</v>
      </c>
      <c r="R2906" s="1" t="s">
        <v>158</v>
      </c>
    </row>
    <row r="2907" spans="3:18" x14ac:dyDescent="0.35">
      <c r="C2907" t="s">
        <v>53</v>
      </c>
      <c r="D2907" t="s">
        <v>21</v>
      </c>
      <c r="E2907" t="s">
        <v>55</v>
      </c>
      <c r="F2907" t="s">
        <v>46</v>
      </c>
      <c r="G2907" s="58">
        <v>459454</v>
      </c>
      <c r="H2907" s="1" t="s">
        <v>48</v>
      </c>
      <c r="I2907" s="1" t="s">
        <v>111</v>
      </c>
      <c r="J2907" s="58">
        <v>4594540</v>
      </c>
      <c r="K2907" s="1" t="s">
        <v>106</v>
      </c>
      <c r="L2907" s="1" t="s">
        <v>114</v>
      </c>
      <c r="M2907" s="1" t="s">
        <v>126</v>
      </c>
      <c r="N2907" s="1">
        <v>1</v>
      </c>
      <c r="O2907" s="58"/>
      <c r="P2907" s="58">
        <v>330806.88</v>
      </c>
      <c r="Q2907" t="s">
        <v>118</v>
      </c>
      <c r="R2907" s="1" t="s">
        <v>158</v>
      </c>
    </row>
    <row r="2908" spans="3:18" x14ac:dyDescent="0.35">
      <c r="C2908" t="s">
        <v>51</v>
      </c>
      <c r="D2908" t="s">
        <v>23</v>
      </c>
      <c r="E2908" t="s">
        <v>45</v>
      </c>
      <c r="F2908" t="s">
        <v>46</v>
      </c>
      <c r="G2908" s="58">
        <v>290908</v>
      </c>
      <c r="H2908" s="1" t="s">
        <v>54</v>
      </c>
      <c r="I2908" s="1" t="s">
        <v>108</v>
      </c>
      <c r="J2908" s="58">
        <v>10181780</v>
      </c>
      <c r="K2908" s="1" t="s">
        <v>112</v>
      </c>
      <c r="N2908" s="1">
        <v>1</v>
      </c>
      <c r="O2908" s="58"/>
      <c r="P2908" s="58">
        <v>244362.72</v>
      </c>
      <c r="Q2908" t="s">
        <v>127</v>
      </c>
      <c r="R2908" s="1" t="s">
        <v>158</v>
      </c>
    </row>
    <row r="2909" spans="3:18" x14ac:dyDescent="0.35">
      <c r="C2909" t="s">
        <v>51</v>
      </c>
      <c r="D2909" t="s">
        <v>23</v>
      </c>
      <c r="E2909" t="s">
        <v>49</v>
      </c>
      <c r="F2909" t="s">
        <v>46</v>
      </c>
      <c r="G2909" s="58">
        <v>12573791</v>
      </c>
      <c r="H2909" s="1" t="s">
        <v>47</v>
      </c>
      <c r="I2909" s="1" t="s">
        <v>108</v>
      </c>
      <c r="J2909" s="58">
        <v>364639939</v>
      </c>
      <c r="K2909" s="1" t="s">
        <v>106</v>
      </c>
      <c r="L2909" s="1" t="s">
        <v>124</v>
      </c>
      <c r="N2909" s="1">
        <v>1</v>
      </c>
      <c r="O2909" s="58"/>
      <c r="P2909" s="58">
        <v>8424439.9700000007</v>
      </c>
      <c r="Q2909" t="s">
        <v>118</v>
      </c>
      <c r="R2909" s="1" t="s">
        <v>158</v>
      </c>
    </row>
    <row r="2910" spans="3:18" x14ac:dyDescent="0.35">
      <c r="C2910" t="s">
        <v>51</v>
      </c>
      <c r="D2910" t="s">
        <v>23</v>
      </c>
      <c r="E2910" t="s">
        <v>55</v>
      </c>
      <c r="F2910" t="s">
        <v>46</v>
      </c>
      <c r="G2910" s="58">
        <v>465107</v>
      </c>
      <c r="H2910" s="1" t="s">
        <v>48</v>
      </c>
      <c r="I2910" s="1" t="s">
        <v>119</v>
      </c>
      <c r="J2910" s="58">
        <v>4651070</v>
      </c>
      <c r="K2910" s="1" t="s">
        <v>106</v>
      </c>
      <c r="L2910" s="1" t="s">
        <v>114</v>
      </c>
      <c r="M2910" s="1" t="s">
        <v>125</v>
      </c>
      <c r="N2910" s="1">
        <v>1</v>
      </c>
      <c r="O2910" s="58"/>
      <c r="P2910" s="58">
        <v>297668.47999999998</v>
      </c>
      <c r="Q2910" t="s">
        <v>118</v>
      </c>
      <c r="R2910" s="1" t="s">
        <v>48</v>
      </c>
    </row>
    <row r="2911" spans="3:18" x14ac:dyDescent="0.35">
      <c r="C2911" t="s">
        <v>51</v>
      </c>
      <c r="D2911" t="s">
        <v>22</v>
      </c>
      <c r="E2911" t="s">
        <v>55</v>
      </c>
      <c r="F2911" t="s">
        <v>46</v>
      </c>
      <c r="G2911" s="58">
        <v>76822</v>
      </c>
      <c r="H2911" s="1" t="s">
        <v>47</v>
      </c>
      <c r="I2911" s="1" t="s">
        <v>111</v>
      </c>
      <c r="J2911" s="58">
        <v>1459618</v>
      </c>
      <c r="K2911" s="1" t="s">
        <v>106</v>
      </c>
      <c r="L2911" s="1" t="s">
        <v>114</v>
      </c>
      <c r="N2911" s="1">
        <v>1</v>
      </c>
      <c r="O2911" s="58"/>
      <c r="P2911" s="58">
        <v>30728.799999999999</v>
      </c>
      <c r="Q2911" t="s">
        <v>113</v>
      </c>
      <c r="R2911" s="1" t="s">
        <v>158</v>
      </c>
    </row>
    <row r="2912" spans="3:18" x14ac:dyDescent="0.35">
      <c r="C2912" t="s">
        <v>51</v>
      </c>
      <c r="D2912" t="s">
        <v>20</v>
      </c>
      <c r="E2912" t="s">
        <v>49</v>
      </c>
      <c r="F2912" t="s">
        <v>46</v>
      </c>
      <c r="G2912" s="58">
        <v>8335476</v>
      </c>
      <c r="H2912" s="1" t="s">
        <v>59</v>
      </c>
      <c r="I2912" s="1" t="s">
        <v>119</v>
      </c>
      <c r="J2912" s="58">
        <v>58348332</v>
      </c>
      <c r="K2912" s="1" t="s">
        <v>106</v>
      </c>
      <c r="L2912" s="1" t="s">
        <v>124</v>
      </c>
      <c r="N2912" s="1">
        <v>1</v>
      </c>
      <c r="O2912" s="58"/>
      <c r="P2912" s="58">
        <v>1917159.48</v>
      </c>
      <c r="Q2912" t="s">
        <v>107</v>
      </c>
      <c r="R2912" s="1" t="s">
        <v>158</v>
      </c>
    </row>
    <row r="2913" spans="3:18" x14ac:dyDescent="0.35">
      <c r="C2913" t="s">
        <v>53</v>
      </c>
      <c r="D2913" t="s">
        <v>21</v>
      </c>
      <c r="E2913" t="s">
        <v>45</v>
      </c>
      <c r="F2913" t="s">
        <v>46</v>
      </c>
      <c r="G2913" s="58">
        <v>1099026</v>
      </c>
      <c r="H2913" s="1" t="s">
        <v>47</v>
      </c>
      <c r="I2913" s="1" t="s">
        <v>128</v>
      </c>
      <c r="J2913" s="58"/>
      <c r="K2913" s="1" t="s">
        <v>106</v>
      </c>
      <c r="L2913" s="1" t="s">
        <v>114</v>
      </c>
      <c r="N2913" s="1">
        <v>0</v>
      </c>
      <c r="O2913" s="58"/>
      <c r="P2913" s="58">
        <v>307727.28000000003</v>
      </c>
      <c r="Q2913" t="s">
        <v>107</v>
      </c>
      <c r="R2913" s="1" t="s">
        <v>158</v>
      </c>
    </row>
    <row r="2914" spans="3:18" x14ac:dyDescent="0.35">
      <c r="C2914" t="s">
        <v>53</v>
      </c>
      <c r="D2914" t="s">
        <v>21</v>
      </c>
      <c r="E2914" t="s">
        <v>45</v>
      </c>
      <c r="F2914" t="s">
        <v>46</v>
      </c>
      <c r="G2914" s="58">
        <v>1084395</v>
      </c>
      <c r="H2914" s="1" t="s">
        <v>59</v>
      </c>
      <c r="I2914" s="1" t="s">
        <v>105</v>
      </c>
      <c r="J2914" s="58">
        <v>4337580</v>
      </c>
      <c r="K2914" s="1" t="s">
        <v>106</v>
      </c>
      <c r="L2914" s="1" t="s">
        <v>120</v>
      </c>
      <c r="N2914" s="1">
        <v>1</v>
      </c>
      <c r="O2914" s="58"/>
      <c r="P2914" s="58">
        <v>498821.7</v>
      </c>
      <c r="Q2914" t="s">
        <v>113</v>
      </c>
      <c r="R2914" s="1" t="s">
        <v>158</v>
      </c>
    </row>
    <row r="2915" spans="3:18" x14ac:dyDescent="0.35">
      <c r="C2915" t="s">
        <v>51</v>
      </c>
      <c r="D2915" t="s">
        <v>23</v>
      </c>
      <c r="E2915" t="s">
        <v>45</v>
      </c>
      <c r="F2915" t="s">
        <v>46</v>
      </c>
      <c r="G2915" s="58">
        <v>132943</v>
      </c>
      <c r="H2915" s="1" t="s">
        <v>48</v>
      </c>
      <c r="I2915" s="1" t="s">
        <v>105</v>
      </c>
      <c r="J2915" s="58">
        <v>531772</v>
      </c>
      <c r="K2915" s="1" t="s">
        <v>106</v>
      </c>
      <c r="L2915" s="1" t="s">
        <v>120</v>
      </c>
      <c r="M2915" s="1" t="s">
        <v>125</v>
      </c>
      <c r="N2915" s="1">
        <v>1</v>
      </c>
      <c r="O2915" s="58"/>
      <c r="P2915" s="58">
        <v>69130.36</v>
      </c>
      <c r="Q2915" t="s">
        <v>113</v>
      </c>
      <c r="R2915" s="1" t="s">
        <v>158</v>
      </c>
    </row>
    <row r="2916" spans="3:18" x14ac:dyDescent="0.35">
      <c r="C2916" t="s">
        <v>51</v>
      </c>
      <c r="D2916" t="s">
        <v>24</v>
      </c>
      <c r="E2916" t="s">
        <v>45</v>
      </c>
      <c r="F2916" t="s">
        <v>46</v>
      </c>
      <c r="G2916" s="58">
        <v>375275</v>
      </c>
      <c r="H2916" s="1" t="s">
        <v>59</v>
      </c>
      <c r="I2916" s="1" t="s">
        <v>111</v>
      </c>
      <c r="J2916" s="58">
        <v>6754950</v>
      </c>
      <c r="K2916" s="1" t="s">
        <v>106</v>
      </c>
      <c r="L2916" s="1" t="s">
        <v>120</v>
      </c>
      <c r="N2916" s="1">
        <v>1</v>
      </c>
      <c r="O2916" s="58"/>
      <c r="P2916" s="58">
        <v>303972.75</v>
      </c>
      <c r="Q2916" t="s">
        <v>127</v>
      </c>
      <c r="R2916" s="1" t="s">
        <v>158</v>
      </c>
    </row>
    <row r="2917" spans="3:18" x14ac:dyDescent="0.35">
      <c r="C2917" t="s">
        <v>53</v>
      </c>
      <c r="D2917" t="s">
        <v>21</v>
      </c>
      <c r="E2917" t="s">
        <v>45</v>
      </c>
      <c r="F2917" t="s">
        <v>46</v>
      </c>
      <c r="G2917" s="58">
        <v>7349439</v>
      </c>
      <c r="H2917" s="1" t="s">
        <v>56</v>
      </c>
      <c r="I2917" s="1" t="s">
        <v>111</v>
      </c>
      <c r="J2917" s="58">
        <v>88193268</v>
      </c>
      <c r="K2917" s="1" t="s">
        <v>106</v>
      </c>
      <c r="L2917" s="1" t="s">
        <v>120</v>
      </c>
      <c r="N2917" s="1">
        <v>1</v>
      </c>
      <c r="O2917" s="58"/>
      <c r="P2917" s="58">
        <v>4924124.13</v>
      </c>
      <c r="Q2917" t="s">
        <v>118</v>
      </c>
      <c r="R2917" s="1" t="s">
        <v>158</v>
      </c>
    </row>
    <row r="2918" spans="3:18" x14ac:dyDescent="0.35">
      <c r="C2918" t="s">
        <v>51</v>
      </c>
      <c r="D2918" t="s">
        <v>22</v>
      </c>
      <c r="E2918" t="s">
        <v>52</v>
      </c>
      <c r="F2918" t="s">
        <v>46</v>
      </c>
      <c r="G2918" s="58">
        <v>5363146</v>
      </c>
      <c r="H2918" s="1" t="s">
        <v>48</v>
      </c>
      <c r="I2918" s="1" t="s">
        <v>108</v>
      </c>
      <c r="J2918" s="58">
        <v>193073256</v>
      </c>
      <c r="K2918" s="1" t="s">
        <v>106</v>
      </c>
      <c r="L2918" s="1" t="s">
        <v>130</v>
      </c>
      <c r="M2918" s="1" t="s">
        <v>115</v>
      </c>
      <c r="N2918" s="1">
        <v>1</v>
      </c>
      <c r="O2918" s="58"/>
      <c r="P2918" s="58">
        <v>4505042.6399999997</v>
      </c>
      <c r="Q2918" t="s">
        <v>127</v>
      </c>
      <c r="R2918" s="1" t="s">
        <v>48</v>
      </c>
    </row>
    <row r="2919" spans="3:18" x14ac:dyDescent="0.35">
      <c r="C2919" t="s">
        <v>51</v>
      </c>
      <c r="D2919" t="s">
        <v>19</v>
      </c>
      <c r="E2919" t="s">
        <v>45</v>
      </c>
      <c r="F2919" t="s">
        <v>46</v>
      </c>
      <c r="G2919" s="58">
        <v>463091</v>
      </c>
      <c r="H2919" s="1" t="s">
        <v>48</v>
      </c>
      <c r="I2919" s="1" t="s">
        <v>119</v>
      </c>
      <c r="J2919" s="58">
        <v>3704728</v>
      </c>
      <c r="K2919" s="1" t="s">
        <v>106</v>
      </c>
      <c r="L2919" s="1" t="s">
        <v>120</v>
      </c>
      <c r="M2919" s="1" t="s">
        <v>122</v>
      </c>
      <c r="N2919" s="1">
        <v>1</v>
      </c>
      <c r="O2919" s="58"/>
      <c r="P2919" s="58">
        <v>87987.29</v>
      </c>
      <c r="Q2919" t="s">
        <v>107</v>
      </c>
      <c r="R2919" s="1" t="s">
        <v>158</v>
      </c>
    </row>
    <row r="2920" spans="3:18" x14ac:dyDescent="0.35">
      <c r="C2920" t="s">
        <v>51</v>
      </c>
      <c r="D2920" t="s">
        <v>22</v>
      </c>
      <c r="E2920" t="s">
        <v>49</v>
      </c>
      <c r="F2920" t="s">
        <v>46</v>
      </c>
      <c r="G2920" s="58">
        <v>23118341</v>
      </c>
      <c r="H2920" s="1" t="s">
        <v>48</v>
      </c>
      <c r="I2920" s="1" t="s">
        <v>111</v>
      </c>
      <c r="J2920" s="58">
        <v>393011797</v>
      </c>
      <c r="K2920" s="1" t="s">
        <v>106</v>
      </c>
      <c r="L2920" s="1" t="s">
        <v>124</v>
      </c>
      <c r="M2920" s="1" t="s">
        <v>115</v>
      </c>
      <c r="N2920" s="1">
        <v>1</v>
      </c>
      <c r="O2920" s="58"/>
      <c r="P2920" s="58">
        <v>15489288.470000001</v>
      </c>
      <c r="Q2920" t="s">
        <v>118</v>
      </c>
      <c r="R2920" s="1" t="s">
        <v>158</v>
      </c>
    </row>
    <row r="2921" spans="3:18" x14ac:dyDescent="0.35">
      <c r="C2921" t="s">
        <v>51</v>
      </c>
      <c r="D2921" t="s">
        <v>91</v>
      </c>
      <c r="E2921" t="s">
        <v>49</v>
      </c>
      <c r="F2921" t="s">
        <v>46</v>
      </c>
      <c r="G2921" s="58">
        <v>140179</v>
      </c>
      <c r="H2921" s="1" t="s">
        <v>48</v>
      </c>
      <c r="I2921" s="1" t="s">
        <v>108</v>
      </c>
      <c r="J2921" s="58">
        <v>4766086</v>
      </c>
      <c r="K2921" s="1" t="s">
        <v>106</v>
      </c>
      <c r="L2921" s="1" t="s">
        <v>120</v>
      </c>
      <c r="M2921" s="1" t="s">
        <v>126</v>
      </c>
      <c r="N2921" s="1">
        <v>1</v>
      </c>
      <c r="O2921" s="58"/>
      <c r="P2921" s="58">
        <v>40651.910000000003</v>
      </c>
      <c r="Q2921" t="s">
        <v>107</v>
      </c>
      <c r="R2921" s="1" t="s">
        <v>158</v>
      </c>
    </row>
    <row r="2922" spans="3:18" x14ac:dyDescent="0.35">
      <c r="C2922" t="s">
        <v>51</v>
      </c>
      <c r="D2922" t="s">
        <v>91</v>
      </c>
      <c r="E2922" t="s">
        <v>49</v>
      </c>
      <c r="F2922" t="s">
        <v>46</v>
      </c>
      <c r="G2922" s="58">
        <v>20709251</v>
      </c>
      <c r="H2922" s="1" t="s">
        <v>59</v>
      </c>
      <c r="I2922" s="1" t="s">
        <v>108</v>
      </c>
      <c r="J2922" s="58">
        <v>600568279</v>
      </c>
      <c r="K2922" s="1" t="s">
        <v>106</v>
      </c>
      <c r="L2922" s="1" t="s">
        <v>124</v>
      </c>
      <c r="N2922" s="1">
        <v>1</v>
      </c>
      <c r="O2922" s="58"/>
      <c r="P2922" s="58">
        <v>10561718.01</v>
      </c>
      <c r="Q2922" t="s">
        <v>113</v>
      </c>
      <c r="R2922" s="1" t="s">
        <v>158</v>
      </c>
    </row>
    <row r="2923" spans="3:18" x14ac:dyDescent="0.35">
      <c r="C2923" t="s">
        <v>51</v>
      </c>
      <c r="D2923" t="s">
        <v>21</v>
      </c>
      <c r="E2923" t="s">
        <v>49</v>
      </c>
      <c r="F2923" t="s">
        <v>46</v>
      </c>
      <c r="G2923" s="58">
        <v>205545</v>
      </c>
      <c r="H2923" s="1" t="s">
        <v>47</v>
      </c>
      <c r="I2923" s="1" t="s">
        <v>105</v>
      </c>
      <c r="J2923" s="58"/>
      <c r="K2923" s="1" t="s">
        <v>106</v>
      </c>
      <c r="L2923" s="1" t="s">
        <v>124</v>
      </c>
      <c r="N2923" s="1">
        <v>0</v>
      </c>
      <c r="O2923" s="58"/>
      <c r="P2923" s="58">
        <v>6166.35</v>
      </c>
      <c r="Q2923" t="s">
        <v>107</v>
      </c>
      <c r="R2923" s="1" t="s">
        <v>158</v>
      </c>
    </row>
    <row r="2924" spans="3:18" x14ac:dyDescent="0.35">
      <c r="C2924" t="s">
        <v>51</v>
      </c>
      <c r="D2924" t="s">
        <v>22</v>
      </c>
      <c r="E2924" t="s">
        <v>49</v>
      </c>
      <c r="F2924" t="s">
        <v>46</v>
      </c>
      <c r="G2924" s="58">
        <v>729482</v>
      </c>
      <c r="H2924" s="1" t="s">
        <v>48</v>
      </c>
      <c r="I2924" s="1" t="s">
        <v>111</v>
      </c>
      <c r="J2924" s="58">
        <v>12401194</v>
      </c>
      <c r="K2924" s="1" t="s">
        <v>106</v>
      </c>
      <c r="L2924" s="1" t="s">
        <v>124</v>
      </c>
      <c r="M2924" s="1" t="s">
        <v>115</v>
      </c>
      <c r="N2924" s="1">
        <v>1</v>
      </c>
      <c r="O2924" s="58"/>
      <c r="P2924" s="58">
        <v>590880.42000000004</v>
      </c>
      <c r="Q2924" t="s">
        <v>127</v>
      </c>
      <c r="R2924" s="1" t="s">
        <v>158</v>
      </c>
    </row>
    <row r="2925" spans="3:18" x14ac:dyDescent="0.35">
      <c r="C2925" t="s">
        <v>51</v>
      </c>
      <c r="D2925" t="s">
        <v>23</v>
      </c>
      <c r="E2925" t="s">
        <v>50</v>
      </c>
      <c r="F2925" t="s">
        <v>64</v>
      </c>
      <c r="G2925" s="58">
        <v>1821382</v>
      </c>
      <c r="H2925" s="1" t="s">
        <v>48</v>
      </c>
      <c r="I2925" s="1" t="s">
        <v>108</v>
      </c>
      <c r="J2925" s="58">
        <v>56462842</v>
      </c>
      <c r="K2925" s="1" t="s">
        <v>112</v>
      </c>
      <c r="N2925" s="1">
        <v>1</v>
      </c>
      <c r="O2925" s="58"/>
      <c r="P2925" s="58">
        <v>1274967.3999999999</v>
      </c>
      <c r="Q2925" t="s">
        <v>118</v>
      </c>
      <c r="R2925" s="1" t="s">
        <v>48</v>
      </c>
    </row>
    <row r="2926" spans="3:18" x14ac:dyDescent="0.35">
      <c r="C2926" t="s">
        <v>53</v>
      </c>
      <c r="D2926" t="s">
        <v>21</v>
      </c>
      <c r="E2926" t="s">
        <v>45</v>
      </c>
      <c r="F2926" t="s">
        <v>46</v>
      </c>
      <c r="G2926" s="58">
        <v>15951918</v>
      </c>
      <c r="H2926" s="1" t="s">
        <v>47</v>
      </c>
      <c r="I2926" s="1" t="s">
        <v>105</v>
      </c>
      <c r="J2926" s="58">
        <v>47855754</v>
      </c>
      <c r="K2926" s="1" t="s">
        <v>106</v>
      </c>
      <c r="L2926" s="1" t="s">
        <v>120</v>
      </c>
      <c r="N2926" s="1">
        <v>1</v>
      </c>
      <c r="O2926" s="58"/>
      <c r="P2926" s="58">
        <v>21056531.760000002</v>
      </c>
      <c r="Q2926" t="s">
        <v>110</v>
      </c>
      <c r="R2926" s="1" t="s">
        <v>158</v>
      </c>
    </row>
    <row r="2927" spans="3:18" x14ac:dyDescent="0.35">
      <c r="C2927" t="s">
        <v>51</v>
      </c>
      <c r="D2927" t="s">
        <v>19</v>
      </c>
      <c r="E2927" t="s">
        <v>49</v>
      </c>
      <c r="F2927" t="s">
        <v>46</v>
      </c>
      <c r="G2927" s="58">
        <v>789027</v>
      </c>
      <c r="H2927" s="1" t="s">
        <v>47</v>
      </c>
      <c r="I2927" s="1" t="s">
        <v>108</v>
      </c>
      <c r="J2927" s="58">
        <v>26826918</v>
      </c>
      <c r="K2927" s="1" t="s">
        <v>106</v>
      </c>
      <c r="L2927" s="1" t="s">
        <v>109</v>
      </c>
      <c r="N2927" s="1">
        <v>1</v>
      </c>
      <c r="O2927" s="58"/>
      <c r="P2927" s="58">
        <v>220927.56</v>
      </c>
      <c r="Q2927" t="s">
        <v>107</v>
      </c>
      <c r="R2927" s="1" t="s">
        <v>158</v>
      </c>
    </row>
    <row r="2928" spans="3:18" x14ac:dyDescent="0.35">
      <c r="C2928" t="s">
        <v>51</v>
      </c>
      <c r="D2928" t="s">
        <v>25</v>
      </c>
      <c r="E2928" t="s">
        <v>49</v>
      </c>
      <c r="F2928" t="s">
        <v>46</v>
      </c>
      <c r="G2928" s="58">
        <v>454357</v>
      </c>
      <c r="H2928" s="1" t="s">
        <v>48</v>
      </c>
      <c r="I2928" s="1" t="s">
        <v>108</v>
      </c>
      <c r="J2928" s="58">
        <v>9995854</v>
      </c>
      <c r="K2928" s="1" t="s">
        <v>106</v>
      </c>
      <c r="L2928" s="1" t="s">
        <v>124</v>
      </c>
      <c r="M2928" s="1" t="s">
        <v>117</v>
      </c>
      <c r="N2928" s="1">
        <v>1</v>
      </c>
      <c r="O2928" s="58"/>
      <c r="P2928" s="58">
        <v>159024.95000000001</v>
      </c>
      <c r="Q2928" t="s">
        <v>107</v>
      </c>
      <c r="R2928" s="1" t="s">
        <v>158</v>
      </c>
    </row>
    <row r="2929" spans="3:18" x14ac:dyDescent="0.35">
      <c r="C2929" t="s">
        <v>51</v>
      </c>
      <c r="D2929" t="s">
        <v>23</v>
      </c>
      <c r="E2929" t="s">
        <v>52</v>
      </c>
      <c r="F2929" t="s">
        <v>46</v>
      </c>
      <c r="G2929" s="58">
        <v>1829259</v>
      </c>
      <c r="H2929" s="1" t="s">
        <v>48</v>
      </c>
      <c r="I2929" s="1" t="s">
        <v>108</v>
      </c>
      <c r="J2929" s="58">
        <v>60365547</v>
      </c>
      <c r="K2929" s="1" t="s">
        <v>112</v>
      </c>
      <c r="N2929" s="1">
        <v>1</v>
      </c>
      <c r="O2929" s="58"/>
      <c r="P2929" s="58">
        <v>530485.11</v>
      </c>
      <c r="Q2929" t="s">
        <v>107</v>
      </c>
      <c r="R2929" s="1" t="s">
        <v>48</v>
      </c>
    </row>
    <row r="2930" spans="3:18" x14ac:dyDescent="0.35">
      <c r="C2930" t="s">
        <v>51</v>
      </c>
      <c r="D2930" t="s">
        <v>23</v>
      </c>
      <c r="E2930" t="s">
        <v>50</v>
      </c>
      <c r="F2930" t="s">
        <v>46</v>
      </c>
      <c r="G2930" s="58">
        <v>109861</v>
      </c>
      <c r="H2930" s="1" t="s">
        <v>48</v>
      </c>
      <c r="I2930" s="1" t="s">
        <v>108</v>
      </c>
      <c r="J2930" s="58">
        <v>4284579</v>
      </c>
      <c r="K2930" s="1" t="s">
        <v>106</v>
      </c>
      <c r="L2930" s="1" t="s">
        <v>109</v>
      </c>
      <c r="M2930" s="1" t="s">
        <v>125</v>
      </c>
      <c r="N2930" s="1">
        <v>1</v>
      </c>
      <c r="O2930" s="58"/>
      <c r="P2930" s="58">
        <v>113156.83</v>
      </c>
      <c r="Q2930" t="s">
        <v>110</v>
      </c>
      <c r="R2930" s="1" t="s">
        <v>48</v>
      </c>
    </row>
    <row r="2931" spans="3:18" x14ac:dyDescent="0.35">
      <c r="C2931" t="s">
        <v>51</v>
      </c>
      <c r="D2931" t="s">
        <v>24</v>
      </c>
      <c r="E2931" t="s">
        <v>62</v>
      </c>
      <c r="F2931" t="s">
        <v>46</v>
      </c>
      <c r="G2931" s="58">
        <v>11468261</v>
      </c>
      <c r="H2931" s="1" t="s">
        <v>48</v>
      </c>
      <c r="I2931" s="1" t="s">
        <v>108</v>
      </c>
      <c r="J2931" s="58">
        <v>389920874</v>
      </c>
      <c r="K2931" s="1" t="s">
        <v>106</v>
      </c>
      <c r="L2931" s="1" t="s">
        <v>131</v>
      </c>
      <c r="M2931" s="1" t="s">
        <v>121</v>
      </c>
      <c r="N2931" s="1">
        <v>1</v>
      </c>
      <c r="O2931" s="58"/>
      <c r="P2931" s="58">
        <v>9518656.6300000008</v>
      </c>
      <c r="Q2931" t="s">
        <v>127</v>
      </c>
      <c r="R2931" s="1" t="s">
        <v>48</v>
      </c>
    </row>
    <row r="2932" spans="3:18" x14ac:dyDescent="0.35">
      <c r="C2932" t="s">
        <v>51</v>
      </c>
      <c r="D2932" t="s">
        <v>19</v>
      </c>
      <c r="E2932" t="s">
        <v>49</v>
      </c>
      <c r="F2932" t="s">
        <v>46</v>
      </c>
      <c r="G2932" s="58">
        <v>145428</v>
      </c>
      <c r="H2932" s="1" t="s">
        <v>47</v>
      </c>
      <c r="I2932" s="1" t="s">
        <v>105</v>
      </c>
      <c r="J2932" s="58">
        <v>290856</v>
      </c>
      <c r="K2932" s="1" t="s">
        <v>106</v>
      </c>
      <c r="L2932" s="1" t="s">
        <v>120</v>
      </c>
      <c r="N2932" s="1">
        <v>1</v>
      </c>
      <c r="O2932" s="58"/>
      <c r="P2932" s="58">
        <v>10179.959999999999</v>
      </c>
      <c r="Q2932" t="s">
        <v>107</v>
      </c>
      <c r="R2932" s="1" t="s">
        <v>158</v>
      </c>
    </row>
    <row r="2933" spans="3:18" x14ac:dyDescent="0.35">
      <c r="C2933" t="s">
        <v>51</v>
      </c>
      <c r="D2933" t="s">
        <v>23</v>
      </c>
      <c r="E2933" t="s">
        <v>52</v>
      </c>
      <c r="F2933" t="s">
        <v>46</v>
      </c>
      <c r="G2933" s="58">
        <v>6483805</v>
      </c>
      <c r="H2933" s="1" t="s">
        <v>48</v>
      </c>
      <c r="I2933" s="1" t="s">
        <v>108</v>
      </c>
      <c r="J2933" s="58">
        <v>207481760</v>
      </c>
      <c r="K2933" s="1" t="s">
        <v>112</v>
      </c>
      <c r="N2933" s="1">
        <v>1</v>
      </c>
      <c r="O2933" s="58"/>
      <c r="P2933" s="58">
        <v>3047388.35</v>
      </c>
      <c r="Q2933" t="s">
        <v>113</v>
      </c>
      <c r="R2933" s="1" t="s">
        <v>48</v>
      </c>
    </row>
    <row r="2934" spans="3:18" x14ac:dyDescent="0.35">
      <c r="C2934" t="s">
        <v>53</v>
      </c>
      <c r="D2934" t="s">
        <v>92</v>
      </c>
      <c r="E2934" t="s">
        <v>55</v>
      </c>
      <c r="F2934" t="s">
        <v>46</v>
      </c>
      <c r="G2934" s="58">
        <v>429383</v>
      </c>
      <c r="H2934" s="1" t="s">
        <v>48</v>
      </c>
      <c r="I2934" s="1" t="s">
        <v>111</v>
      </c>
      <c r="J2934" s="58">
        <v>5152596</v>
      </c>
      <c r="K2934" s="1" t="s">
        <v>106</v>
      </c>
      <c r="L2934" s="1" t="s">
        <v>114</v>
      </c>
      <c r="M2934" s="1" t="s">
        <v>123</v>
      </c>
      <c r="N2934" s="1">
        <v>1</v>
      </c>
      <c r="O2934" s="58"/>
      <c r="P2934" s="58">
        <v>274805.12</v>
      </c>
      <c r="Q2934" t="s">
        <v>118</v>
      </c>
      <c r="R2934" s="1" t="s">
        <v>158</v>
      </c>
    </row>
    <row r="2935" spans="3:18" x14ac:dyDescent="0.35">
      <c r="C2935" t="s">
        <v>53</v>
      </c>
      <c r="D2935" t="s">
        <v>22</v>
      </c>
      <c r="E2935" t="s">
        <v>49</v>
      </c>
      <c r="F2935" t="s">
        <v>46</v>
      </c>
      <c r="G2935" s="58">
        <v>646860</v>
      </c>
      <c r="H2935" s="1" t="s">
        <v>56</v>
      </c>
      <c r="I2935" s="1" t="s">
        <v>105</v>
      </c>
      <c r="J2935" s="58">
        <v>1940580</v>
      </c>
      <c r="K2935" s="1" t="s">
        <v>106</v>
      </c>
      <c r="L2935" s="1" t="s">
        <v>124</v>
      </c>
      <c r="N2935" s="1">
        <v>1</v>
      </c>
      <c r="O2935" s="58"/>
      <c r="P2935" s="58">
        <v>633922.80000000005</v>
      </c>
      <c r="Q2935" t="s">
        <v>127</v>
      </c>
      <c r="R2935" s="1" t="s">
        <v>158</v>
      </c>
    </row>
    <row r="2936" spans="3:18" x14ac:dyDescent="0.35">
      <c r="C2936" t="s">
        <v>51</v>
      </c>
      <c r="D2936" t="s">
        <v>22</v>
      </c>
      <c r="E2936" t="s">
        <v>45</v>
      </c>
      <c r="F2936" t="s">
        <v>46</v>
      </c>
      <c r="G2936" s="58">
        <v>79937</v>
      </c>
      <c r="H2936" s="1" t="s">
        <v>48</v>
      </c>
      <c r="I2936" s="1" t="s">
        <v>105</v>
      </c>
      <c r="J2936" s="58">
        <v>239811</v>
      </c>
      <c r="K2936" s="1" t="s">
        <v>106</v>
      </c>
      <c r="L2936" s="1" t="s">
        <v>124</v>
      </c>
      <c r="M2936" s="1" t="s">
        <v>115</v>
      </c>
      <c r="N2936" s="1">
        <v>1</v>
      </c>
      <c r="O2936" s="58"/>
      <c r="P2936" s="58">
        <v>3197.48</v>
      </c>
      <c r="Q2936" t="s">
        <v>107</v>
      </c>
      <c r="R2936" s="1" t="s">
        <v>48</v>
      </c>
    </row>
    <row r="2937" spans="3:18" x14ac:dyDescent="0.35">
      <c r="C2937" t="s">
        <v>51</v>
      </c>
      <c r="D2937" t="s">
        <v>24</v>
      </c>
      <c r="E2937" t="s">
        <v>55</v>
      </c>
      <c r="F2937" t="s">
        <v>46</v>
      </c>
      <c r="G2937" s="58">
        <v>185216</v>
      </c>
      <c r="H2937" s="1" t="s">
        <v>54</v>
      </c>
      <c r="I2937" s="1" t="s">
        <v>119</v>
      </c>
      <c r="J2937" s="58">
        <v>1296512</v>
      </c>
      <c r="K2937" s="1" t="s">
        <v>106</v>
      </c>
      <c r="L2937" s="1" t="s">
        <v>114</v>
      </c>
      <c r="N2937" s="1">
        <v>1</v>
      </c>
      <c r="O2937" s="58"/>
      <c r="P2937" s="58">
        <v>116686.08</v>
      </c>
      <c r="Q2937" t="s">
        <v>118</v>
      </c>
      <c r="R2937" s="1" t="s">
        <v>158</v>
      </c>
    </row>
    <row r="2938" spans="3:18" x14ac:dyDescent="0.35">
      <c r="C2938" t="s">
        <v>51</v>
      </c>
      <c r="D2938" t="s">
        <v>23</v>
      </c>
      <c r="E2938" t="s">
        <v>49</v>
      </c>
      <c r="F2938" t="s">
        <v>46</v>
      </c>
      <c r="G2938" s="58">
        <v>736549</v>
      </c>
      <c r="H2938" s="1" t="s">
        <v>56</v>
      </c>
      <c r="I2938" s="1" t="s">
        <v>119</v>
      </c>
      <c r="J2938" s="58">
        <v>5892392</v>
      </c>
      <c r="K2938" s="1" t="s">
        <v>106</v>
      </c>
      <c r="L2938" s="1" t="s">
        <v>124</v>
      </c>
      <c r="N2938" s="1">
        <v>1</v>
      </c>
      <c r="O2938" s="58"/>
      <c r="P2938" s="58">
        <v>184137.25</v>
      </c>
      <c r="Q2938" t="s">
        <v>107</v>
      </c>
      <c r="R2938" s="1" t="s">
        <v>158</v>
      </c>
    </row>
    <row r="2939" spans="3:18" x14ac:dyDescent="0.35">
      <c r="C2939" t="s">
        <v>51</v>
      </c>
      <c r="D2939" t="s">
        <v>25</v>
      </c>
      <c r="E2939" t="s">
        <v>55</v>
      </c>
      <c r="F2939" t="s">
        <v>46</v>
      </c>
      <c r="G2939" s="58">
        <v>244124</v>
      </c>
      <c r="H2939" s="1" t="s">
        <v>47</v>
      </c>
      <c r="I2939" s="1" t="s">
        <v>111</v>
      </c>
      <c r="J2939" s="58">
        <v>2685364</v>
      </c>
      <c r="K2939" s="1" t="s">
        <v>106</v>
      </c>
      <c r="L2939" s="1" t="s">
        <v>120</v>
      </c>
      <c r="N2939" s="1">
        <v>1</v>
      </c>
      <c r="O2939" s="58"/>
      <c r="P2939" s="58">
        <v>95208.36</v>
      </c>
      <c r="Q2939" t="s">
        <v>107</v>
      </c>
      <c r="R2939" s="1" t="s">
        <v>158</v>
      </c>
    </row>
    <row r="2940" spans="3:18" x14ac:dyDescent="0.35">
      <c r="C2940" t="s">
        <v>51</v>
      </c>
      <c r="D2940" t="s">
        <v>24</v>
      </c>
      <c r="E2940" t="s">
        <v>55</v>
      </c>
      <c r="F2940" t="s">
        <v>46</v>
      </c>
      <c r="G2940" s="58">
        <v>10802860</v>
      </c>
      <c r="H2940" s="1" t="s">
        <v>59</v>
      </c>
      <c r="I2940" s="1" t="s">
        <v>111</v>
      </c>
      <c r="J2940" s="58">
        <v>162042900</v>
      </c>
      <c r="K2940" s="1" t="s">
        <v>106</v>
      </c>
      <c r="L2940" s="1" t="s">
        <v>114</v>
      </c>
      <c r="N2940" s="1">
        <v>1</v>
      </c>
      <c r="O2940" s="58"/>
      <c r="P2940" s="58">
        <v>3132829.4</v>
      </c>
      <c r="Q2940" t="s">
        <v>107</v>
      </c>
      <c r="R2940" s="1" t="s">
        <v>158</v>
      </c>
    </row>
    <row r="2941" spans="3:18" x14ac:dyDescent="0.35">
      <c r="C2941" t="s">
        <v>51</v>
      </c>
      <c r="D2941" t="s">
        <v>22</v>
      </c>
      <c r="E2941" t="s">
        <v>45</v>
      </c>
      <c r="F2941" t="s">
        <v>46</v>
      </c>
      <c r="G2941" s="58">
        <v>1308584</v>
      </c>
      <c r="H2941" s="1" t="s">
        <v>56</v>
      </c>
      <c r="I2941" s="1" t="s">
        <v>111</v>
      </c>
      <c r="J2941" s="58">
        <v>22245928</v>
      </c>
      <c r="K2941" s="1" t="s">
        <v>112</v>
      </c>
      <c r="N2941" s="1">
        <v>1</v>
      </c>
      <c r="O2941" s="58"/>
      <c r="P2941" s="58">
        <v>902922.96</v>
      </c>
      <c r="Q2941" t="s">
        <v>118</v>
      </c>
      <c r="R2941" s="1" t="s">
        <v>158</v>
      </c>
    </row>
    <row r="2942" spans="3:18" x14ac:dyDescent="0.35">
      <c r="C2942" t="s">
        <v>51</v>
      </c>
      <c r="D2942" t="s">
        <v>21</v>
      </c>
      <c r="E2942" t="s">
        <v>49</v>
      </c>
      <c r="F2942" t="s">
        <v>46</v>
      </c>
      <c r="G2942" s="58">
        <v>366025</v>
      </c>
      <c r="H2942" s="1" t="s">
        <v>48</v>
      </c>
      <c r="I2942" s="1" t="s">
        <v>108</v>
      </c>
      <c r="J2942" s="58">
        <v>10980750</v>
      </c>
      <c r="K2942" s="1" t="s">
        <v>106</v>
      </c>
      <c r="L2942" s="1" t="s">
        <v>120</v>
      </c>
      <c r="M2942" s="1" t="s">
        <v>126</v>
      </c>
      <c r="N2942" s="1">
        <v>1</v>
      </c>
      <c r="O2942" s="58"/>
      <c r="P2942" s="58">
        <v>109807.5</v>
      </c>
      <c r="Q2942" t="s">
        <v>107</v>
      </c>
      <c r="R2942" s="1" t="s">
        <v>158</v>
      </c>
    </row>
    <row r="2943" spans="3:18" x14ac:dyDescent="0.35">
      <c r="C2943" t="s">
        <v>51</v>
      </c>
      <c r="D2943" t="s">
        <v>24</v>
      </c>
      <c r="E2943" t="s">
        <v>55</v>
      </c>
      <c r="F2943" t="s">
        <v>46</v>
      </c>
      <c r="G2943" s="58">
        <v>53689</v>
      </c>
      <c r="H2943" s="1" t="s">
        <v>48</v>
      </c>
      <c r="I2943" s="1" t="s">
        <v>119</v>
      </c>
      <c r="J2943" s="58">
        <v>375823</v>
      </c>
      <c r="K2943" s="1" t="s">
        <v>112</v>
      </c>
      <c r="N2943" s="1">
        <v>1</v>
      </c>
      <c r="O2943" s="58"/>
      <c r="P2943" s="58">
        <v>35971.629999999997</v>
      </c>
      <c r="Q2943" t="s">
        <v>118</v>
      </c>
      <c r="R2943" s="1" t="s">
        <v>158</v>
      </c>
    </row>
    <row r="2944" spans="3:18" x14ac:dyDescent="0.35">
      <c r="C2944" t="s">
        <v>51</v>
      </c>
      <c r="D2944" t="s">
        <v>21</v>
      </c>
      <c r="E2944" t="s">
        <v>45</v>
      </c>
      <c r="F2944" t="s">
        <v>46</v>
      </c>
      <c r="G2944" s="58">
        <v>528483</v>
      </c>
      <c r="H2944" s="1" t="s">
        <v>54</v>
      </c>
      <c r="I2944" s="1" t="s">
        <v>111</v>
      </c>
      <c r="J2944" s="58">
        <v>9512694</v>
      </c>
      <c r="K2944" s="1" t="s">
        <v>106</v>
      </c>
      <c r="L2944" s="1" t="s">
        <v>124</v>
      </c>
      <c r="N2944" s="1">
        <v>1</v>
      </c>
      <c r="O2944" s="58"/>
      <c r="P2944" s="58">
        <v>269526.33</v>
      </c>
      <c r="Q2944" t="s">
        <v>113</v>
      </c>
      <c r="R2944" s="1" t="s">
        <v>158</v>
      </c>
    </row>
    <row r="2945" spans="3:18" x14ac:dyDescent="0.35">
      <c r="C2945" t="s">
        <v>51</v>
      </c>
      <c r="D2945" t="s">
        <v>22</v>
      </c>
      <c r="E2945" t="s">
        <v>49</v>
      </c>
      <c r="F2945" t="s">
        <v>46</v>
      </c>
      <c r="G2945" s="58">
        <v>9025416</v>
      </c>
      <c r="H2945" s="1" t="s">
        <v>48</v>
      </c>
      <c r="I2945" s="1" t="s">
        <v>119</v>
      </c>
      <c r="J2945" s="58">
        <v>63177912</v>
      </c>
      <c r="K2945" s="1" t="s">
        <v>106</v>
      </c>
      <c r="L2945" s="1" t="s">
        <v>124</v>
      </c>
      <c r="M2945" s="1" t="s">
        <v>115</v>
      </c>
      <c r="N2945" s="1">
        <v>1</v>
      </c>
      <c r="O2945" s="58"/>
      <c r="P2945" s="58">
        <v>1895337.36</v>
      </c>
      <c r="Q2945" t="s">
        <v>107</v>
      </c>
      <c r="R2945" s="1" t="s">
        <v>158</v>
      </c>
    </row>
    <row r="2946" spans="3:18" x14ac:dyDescent="0.35">
      <c r="C2946" t="s">
        <v>51</v>
      </c>
      <c r="D2946" t="s">
        <v>22</v>
      </c>
      <c r="E2946" t="s">
        <v>45</v>
      </c>
      <c r="F2946" t="s">
        <v>46</v>
      </c>
      <c r="G2946" s="58">
        <v>6992022</v>
      </c>
      <c r="H2946" s="1" t="s">
        <v>47</v>
      </c>
      <c r="I2946" s="1" t="s">
        <v>111</v>
      </c>
      <c r="J2946" s="58">
        <v>111872352</v>
      </c>
      <c r="K2946" s="1" t="s">
        <v>106</v>
      </c>
      <c r="L2946" s="1" t="s">
        <v>120</v>
      </c>
      <c r="N2946" s="1">
        <v>1</v>
      </c>
      <c r="O2946" s="58"/>
      <c r="P2946" s="58">
        <v>6013138.9199999999</v>
      </c>
      <c r="Q2946" t="s">
        <v>127</v>
      </c>
      <c r="R2946" s="1" t="s">
        <v>158</v>
      </c>
    </row>
    <row r="2947" spans="3:18" x14ac:dyDescent="0.35">
      <c r="C2947" t="s">
        <v>53</v>
      </c>
      <c r="D2947" t="s">
        <v>19</v>
      </c>
      <c r="E2947" t="s">
        <v>49</v>
      </c>
      <c r="F2947" t="s">
        <v>46</v>
      </c>
      <c r="G2947" s="58">
        <v>543330</v>
      </c>
      <c r="H2947" s="1" t="s">
        <v>47</v>
      </c>
      <c r="I2947" s="1" t="s">
        <v>119</v>
      </c>
      <c r="J2947" s="58">
        <v>4346640</v>
      </c>
      <c r="K2947" s="1" t="s">
        <v>106</v>
      </c>
      <c r="L2947" s="1" t="s">
        <v>120</v>
      </c>
      <c r="N2947" s="1">
        <v>1</v>
      </c>
      <c r="O2947" s="58"/>
      <c r="P2947" s="58">
        <v>260798.4</v>
      </c>
      <c r="Q2947" t="s">
        <v>113</v>
      </c>
      <c r="R2947" s="1" t="s">
        <v>158</v>
      </c>
    </row>
    <row r="2948" spans="3:18" x14ac:dyDescent="0.35">
      <c r="C2948" t="s">
        <v>53</v>
      </c>
      <c r="D2948" t="s">
        <v>23</v>
      </c>
      <c r="E2948" t="s">
        <v>45</v>
      </c>
      <c r="F2948" t="s">
        <v>46</v>
      </c>
      <c r="G2948" s="58">
        <v>1628225</v>
      </c>
      <c r="H2948" s="1" t="s">
        <v>47</v>
      </c>
      <c r="I2948" s="1" t="s">
        <v>105</v>
      </c>
      <c r="J2948" s="58">
        <v>4884675</v>
      </c>
      <c r="K2948" s="1" t="s">
        <v>112</v>
      </c>
      <c r="N2948" s="1">
        <v>1</v>
      </c>
      <c r="O2948" s="58"/>
      <c r="P2948" s="58">
        <v>1172322</v>
      </c>
      <c r="Q2948" t="s">
        <v>118</v>
      </c>
      <c r="R2948" s="1" t="s">
        <v>158</v>
      </c>
    </row>
    <row r="2949" spans="3:18" x14ac:dyDescent="0.35">
      <c r="C2949" t="s">
        <v>51</v>
      </c>
      <c r="D2949" t="s">
        <v>22</v>
      </c>
      <c r="E2949" t="s">
        <v>45</v>
      </c>
      <c r="F2949" t="s">
        <v>46</v>
      </c>
      <c r="G2949" s="58">
        <v>13118638</v>
      </c>
      <c r="H2949" s="1" t="s">
        <v>56</v>
      </c>
      <c r="I2949" s="1" t="s">
        <v>108</v>
      </c>
      <c r="J2949" s="58">
        <v>380440502</v>
      </c>
      <c r="K2949" s="1" t="s">
        <v>112</v>
      </c>
      <c r="N2949" s="1">
        <v>1</v>
      </c>
      <c r="O2949" s="58"/>
      <c r="P2949" s="58">
        <v>6690505.3799999999</v>
      </c>
      <c r="Q2949" t="s">
        <v>113</v>
      </c>
      <c r="R2949" s="1" t="s">
        <v>158</v>
      </c>
    </row>
    <row r="2950" spans="3:18" x14ac:dyDescent="0.35">
      <c r="C2950" t="s">
        <v>51</v>
      </c>
      <c r="D2950" t="s">
        <v>91</v>
      </c>
      <c r="E2950" t="s">
        <v>49</v>
      </c>
      <c r="F2950" t="s">
        <v>46</v>
      </c>
      <c r="G2950" s="58">
        <v>50362573</v>
      </c>
      <c r="H2950" s="1" t="s">
        <v>48</v>
      </c>
      <c r="I2950" s="1" t="s">
        <v>108</v>
      </c>
      <c r="J2950" s="58">
        <v>1561239763</v>
      </c>
      <c r="K2950" s="1" t="s">
        <v>106</v>
      </c>
      <c r="L2950" s="1" t="s">
        <v>124</v>
      </c>
      <c r="M2950" s="1" t="s">
        <v>122</v>
      </c>
      <c r="N2950" s="1">
        <v>1</v>
      </c>
      <c r="O2950" s="58"/>
      <c r="P2950" s="58">
        <v>34750175.369999997</v>
      </c>
      <c r="Q2950" t="s">
        <v>118</v>
      </c>
      <c r="R2950" s="1" t="s">
        <v>48</v>
      </c>
    </row>
    <row r="2951" spans="3:18" x14ac:dyDescent="0.35">
      <c r="C2951" t="s">
        <v>51</v>
      </c>
      <c r="D2951" t="s">
        <v>24</v>
      </c>
      <c r="E2951" t="s">
        <v>49</v>
      </c>
      <c r="F2951" t="s">
        <v>46</v>
      </c>
      <c r="G2951" s="58">
        <v>4161317</v>
      </c>
      <c r="H2951" s="1" t="s">
        <v>48</v>
      </c>
      <c r="I2951" s="1" t="s">
        <v>108</v>
      </c>
      <c r="J2951" s="58">
        <v>137323461</v>
      </c>
      <c r="K2951" s="1" t="s">
        <v>106</v>
      </c>
      <c r="L2951" s="1" t="s">
        <v>124</v>
      </c>
      <c r="M2951" s="1" t="s">
        <v>121</v>
      </c>
      <c r="N2951" s="1">
        <v>1</v>
      </c>
      <c r="O2951" s="58"/>
      <c r="P2951" s="58">
        <v>2912921.9</v>
      </c>
      <c r="Q2951" t="s">
        <v>118</v>
      </c>
      <c r="R2951" s="1" t="s">
        <v>48</v>
      </c>
    </row>
    <row r="2952" spans="3:18" x14ac:dyDescent="0.35">
      <c r="C2952" t="s">
        <v>53</v>
      </c>
      <c r="D2952" t="s">
        <v>21</v>
      </c>
      <c r="E2952" t="s">
        <v>45</v>
      </c>
      <c r="F2952" t="s">
        <v>46</v>
      </c>
      <c r="G2952" s="58">
        <v>228624</v>
      </c>
      <c r="H2952" s="1" t="s">
        <v>47</v>
      </c>
      <c r="I2952" s="1" t="s">
        <v>119</v>
      </c>
      <c r="J2952" s="58">
        <v>1828992</v>
      </c>
      <c r="K2952" s="1" t="s">
        <v>106</v>
      </c>
      <c r="L2952" s="1" t="s">
        <v>114</v>
      </c>
      <c r="N2952" s="1">
        <v>1</v>
      </c>
      <c r="O2952" s="58"/>
      <c r="P2952" s="58">
        <v>105167.03999999999</v>
      </c>
      <c r="Q2952" t="s">
        <v>113</v>
      </c>
      <c r="R2952" s="1" t="s">
        <v>158</v>
      </c>
    </row>
    <row r="2953" spans="3:18" x14ac:dyDescent="0.35">
      <c r="C2953" t="s">
        <v>51</v>
      </c>
      <c r="D2953" t="s">
        <v>21</v>
      </c>
      <c r="E2953" t="s">
        <v>49</v>
      </c>
      <c r="F2953" t="s">
        <v>46</v>
      </c>
      <c r="G2953" s="58">
        <v>78593919</v>
      </c>
      <c r="H2953" s="1" t="s">
        <v>47</v>
      </c>
      <c r="I2953" s="1" t="s">
        <v>108</v>
      </c>
      <c r="J2953" s="58">
        <v>2279223651</v>
      </c>
      <c r="K2953" s="1" t="s">
        <v>106</v>
      </c>
      <c r="L2953" s="1" t="s">
        <v>124</v>
      </c>
      <c r="N2953" s="1">
        <v>1</v>
      </c>
      <c r="O2953" s="58"/>
      <c r="P2953" s="58">
        <v>67590770.340000004</v>
      </c>
      <c r="Q2953" t="s">
        <v>127</v>
      </c>
      <c r="R2953" s="1" t="s">
        <v>158</v>
      </c>
    </row>
    <row r="2954" spans="3:18" x14ac:dyDescent="0.35">
      <c r="C2954" t="s">
        <v>53</v>
      </c>
      <c r="D2954" t="s">
        <v>24</v>
      </c>
      <c r="E2954" t="s">
        <v>45</v>
      </c>
      <c r="F2954" t="s">
        <v>46</v>
      </c>
      <c r="G2954" s="58">
        <v>706609</v>
      </c>
      <c r="H2954" s="1" t="s">
        <v>54</v>
      </c>
      <c r="I2954" s="1" t="s">
        <v>119</v>
      </c>
      <c r="J2954" s="58">
        <v>4239654</v>
      </c>
      <c r="K2954" s="1" t="s">
        <v>106</v>
      </c>
      <c r="L2954" s="1" t="s">
        <v>120</v>
      </c>
      <c r="N2954" s="1">
        <v>1</v>
      </c>
      <c r="O2954" s="58"/>
      <c r="P2954" s="58">
        <v>162520.07</v>
      </c>
      <c r="Q2954" t="s">
        <v>107</v>
      </c>
      <c r="R2954" s="1" t="s">
        <v>158</v>
      </c>
    </row>
    <row r="2955" spans="3:18" x14ac:dyDescent="0.35">
      <c r="C2955" t="s">
        <v>53</v>
      </c>
      <c r="D2955" t="s">
        <v>20</v>
      </c>
      <c r="E2955" t="s">
        <v>45</v>
      </c>
      <c r="F2955" t="s">
        <v>46</v>
      </c>
      <c r="G2955" s="58">
        <v>301068</v>
      </c>
      <c r="H2955" s="1" t="s">
        <v>59</v>
      </c>
      <c r="I2955" s="1" t="s">
        <v>111</v>
      </c>
      <c r="J2955" s="58">
        <v>4516020</v>
      </c>
      <c r="K2955" s="1" t="s">
        <v>112</v>
      </c>
      <c r="N2955" s="1">
        <v>1</v>
      </c>
      <c r="O2955" s="58"/>
      <c r="P2955" s="58">
        <v>195694.2</v>
      </c>
      <c r="Q2955" t="s">
        <v>118</v>
      </c>
      <c r="R2955" s="1" t="s">
        <v>158</v>
      </c>
    </row>
    <row r="2956" spans="3:18" x14ac:dyDescent="0.35">
      <c r="C2956" t="s">
        <v>51</v>
      </c>
      <c r="D2956" t="s">
        <v>23</v>
      </c>
      <c r="E2956" t="s">
        <v>55</v>
      </c>
      <c r="F2956" t="s">
        <v>46</v>
      </c>
      <c r="G2956" s="58">
        <v>10565</v>
      </c>
      <c r="H2956" s="1" t="s">
        <v>47</v>
      </c>
      <c r="I2956" s="1" t="s">
        <v>105</v>
      </c>
      <c r="J2956" s="58">
        <v>42260</v>
      </c>
      <c r="K2956" s="1" t="s">
        <v>106</v>
      </c>
      <c r="L2956" s="1" t="s">
        <v>114</v>
      </c>
      <c r="N2956" s="1">
        <v>1</v>
      </c>
      <c r="O2956" s="58"/>
      <c r="P2956" s="58">
        <v>8557.65</v>
      </c>
      <c r="Q2956" t="s">
        <v>127</v>
      </c>
      <c r="R2956" s="1" t="s">
        <v>158</v>
      </c>
    </row>
    <row r="2957" spans="3:18" x14ac:dyDescent="0.35">
      <c r="C2957" t="s">
        <v>51</v>
      </c>
      <c r="D2957" t="s">
        <v>22</v>
      </c>
      <c r="E2957" t="s">
        <v>55</v>
      </c>
      <c r="F2957" t="s">
        <v>46</v>
      </c>
      <c r="G2957" s="58">
        <v>231589</v>
      </c>
      <c r="H2957" s="1" t="s">
        <v>48</v>
      </c>
      <c r="I2957" s="1" t="s">
        <v>108</v>
      </c>
      <c r="J2957" s="58">
        <v>6021314</v>
      </c>
      <c r="K2957" s="1" t="s">
        <v>106</v>
      </c>
      <c r="L2957" s="1" t="s">
        <v>124</v>
      </c>
      <c r="M2957" s="1" t="s">
        <v>123</v>
      </c>
      <c r="N2957" s="1">
        <v>1</v>
      </c>
      <c r="O2957" s="58"/>
      <c r="P2957" s="58">
        <v>94951.49</v>
      </c>
      <c r="Q2957" t="s">
        <v>113</v>
      </c>
      <c r="R2957" s="1" t="s">
        <v>48</v>
      </c>
    </row>
    <row r="2958" spans="3:18" x14ac:dyDescent="0.35">
      <c r="C2958" t="s">
        <v>51</v>
      </c>
      <c r="D2958" t="s">
        <v>24</v>
      </c>
      <c r="E2958" t="s">
        <v>55</v>
      </c>
      <c r="F2958" t="s">
        <v>46</v>
      </c>
      <c r="G2958" s="58">
        <v>222860</v>
      </c>
      <c r="H2958" s="1" t="s">
        <v>47</v>
      </c>
      <c r="I2958" s="1" t="s">
        <v>119</v>
      </c>
      <c r="J2958" s="58">
        <v>1337160</v>
      </c>
      <c r="K2958" s="1" t="s">
        <v>106</v>
      </c>
      <c r="L2958" s="1" t="s">
        <v>120</v>
      </c>
      <c r="N2958" s="1">
        <v>1</v>
      </c>
      <c r="O2958" s="58"/>
      <c r="P2958" s="58">
        <v>160459.20000000001</v>
      </c>
      <c r="Q2958" t="s">
        <v>118</v>
      </c>
      <c r="R2958" s="1" t="s">
        <v>158</v>
      </c>
    </row>
    <row r="2959" spans="3:18" x14ac:dyDescent="0.35">
      <c r="C2959" t="s">
        <v>51</v>
      </c>
      <c r="D2959" t="s">
        <v>24</v>
      </c>
      <c r="E2959" t="s">
        <v>55</v>
      </c>
      <c r="F2959" t="s">
        <v>46</v>
      </c>
      <c r="G2959" s="58">
        <v>321712</v>
      </c>
      <c r="H2959" s="1" t="s">
        <v>59</v>
      </c>
      <c r="I2959" s="1" t="s">
        <v>111</v>
      </c>
      <c r="J2959" s="58">
        <v>5469104</v>
      </c>
      <c r="K2959" s="1" t="s">
        <v>106</v>
      </c>
      <c r="L2959" s="1" t="s">
        <v>114</v>
      </c>
      <c r="N2959" s="1">
        <v>1</v>
      </c>
      <c r="O2959" s="58"/>
      <c r="P2959" s="58">
        <v>270238.08000000002</v>
      </c>
      <c r="Q2959" t="s">
        <v>127</v>
      </c>
      <c r="R2959" s="1" t="s">
        <v>158</v>
      </c>
    </row>
    <row r="2960" spans="3:18" x14ac:dyDescent="0.35">
      <c r="C2960" t="s">
        <v>51</v>
      </c>
      <c r="D2960" t="s">
        <v>19</v>
      </c>
      <c r="E2960" t="s">
        <v>49</v>
      </c>
      <c r="F2960" t="s">
        <v>46</v>
      </c>
      <c r="G2960" s="58">
        <v>401762</v>
      </c>
      <c r="H2960" s="1" t="s">
        <v>48</v>
      </c>
      <c r="I2960" s="1" t="s">
        <v>111</v>
      </c>
      <c r="J2960" s="58">
        <v>6428192</v>
      </c>
      <c r="K2960" s="1" t="s">
        <v>106</v>
      </c>
      <c r="L2960" s="1" t="s">
        <v>120</v>
      </c>
      <c r="M2960" s="1" t="s">
        <v>115</v>
      </c>
      <c r="N2960" s="1">
        <v>1</v>
      </c>
      <c r="O2960" s="58"/>
      <c r="P2960" s="58">
        <v>80352.399999999994</v>
      </c>
      <c r="Q2960" t="s">
        <v>107</v>
      </c>
      <c r="R2960" s="1" t="s">
        <v>158</v>
      </c>
    </row>
    <row r="2961" spans="3:18" x14ac:dyDescent="0.35">
      <c r="C2961" t="s">
        <v>51</v>
      </c>
      <c r="D2961" t="s">
        <v>23</v>
      </c>
      <c r="E2961" t="s">
        <v>45</v>
      </c>
      <c r="F2961" t="s">
        <v>46</v>
      </c>
      <c r="G2961" s="58">
        <v>45196470</v>
      </c>
      <c r="H2961" s="1" t="s">
        <v>48</v>
      </c>
      <c r="I2961" s="1" t="s">
        <v>111</v>
      </c>
      <c r="J2961" s="58">
        <v>768339990</v>
      </c>
      <c r="K2961" s="1" t="s">
        <v>106</v>
      </c>
      <c r="L2961" s="1" t="s">
        <v>120</v>
      </c>
      <c r="M2961" s="1" t="s">
        <v>125</v>
      </c>
      <c r="N2961" s="1">
        <v>1</v>
      </c>
      <c r="O2961" s="58"/>
      <c r="P2961" s="58">
        <v>30733599.600000001</v>
      </c>
      <c r="Q2961" t="s">
        <v>118</v>
      </c>
      <c r="R2961" s="1" t="s">
        <v>158</v>
      </c>
    </row>
    <row r="2962" spans="3:18" x14ac:dyDescent="0.35">
      <c r="C2962" t="s">
        <v>51</v>
      </c>
      <c r="D2962" t="s">
        <v>19</v>
      </c>
      <c r="E2962" t="s">
        <v>49</v>
      </c>
      <c r="F2962" t="s">
        <v>46</v>
      </c>
      <c r="G2962" s="58">
        <v>278234</v>
      </c>
      <c r="H2962" s="1" t="s">
        <v>54</v>
      </c>
      <c r="I2962" s="1" t="s">
        <v>128</v>
      </c>
      <c r="J2962" s="58"/>
      <c r="K2962" s="1" t="s">
        <v>106</v>
      </c>
      <c r="L2962" s="1" t="s">
        <v>124</v>
      </c>
      <c r="N2962" s="1">
        <v>0</v>
      </c>
      <c r="O2962" s="58"/>
      <c r="P2962" s="58">
        <v>97381.9</v>
      </c>
      <c r="Q2962" t="s">
        <v>107</v>
      </c>
      <c r="R2962" s="1" t="s">
        <v>158</v>
      </c>
    </row>
    <row r="2963" spans="3:18" x14ac:dyDescent="0.35">
      <c r="C2963" t="s">
        <v>53</v>
      </c>
      <c r="D2963" t="s">
        <v>24</v>
      </c>
      <c r="E2963" t="s">
        <v>55</v>
      </c>
      <c r="F2963" t="s">
        <v>46</v>
      </c>
      <c r="G2963" s="58">
        <v>36978</v>
      </c>
      <c r="H2963" s="1" t="s">
        <v>47</v>
      </c>
      <c r="I2963" s="1" t="s">
        <v>119</v>
      </c>
      <c r="J2963" s="58">
        <v>295824</v>
      </c>
      <c r="K2963" s="1" t="s">
        <v>106</v>
      </c>
      <c r="L2963" s="1" t="s">
        <v>120</v>
      </c>
      <c r="N2963" s="1">
        <v>1</v>
      </c>
      <c r="O2963" s="58"/>
      <c r="P2963" s="58">
        <v>22926.36</v>
      </c>
      <c r="Q2963" t="s">
        <v>118</v>
      </c>
      <c r="R2963" s="1" t="s">
        <v>158</v>
      </c>
    </row>
    <row r="2964" spans="3:18" x14ac:dyDescent="0.35">
      <c r="C2964" t="s">
        <v>53</v>
      </c>
      <c r="D2964" t="s">
        <v>92</v>
      </c>
      <c r="E2964" t="s">
        <v>45</v>
      </c>
      <c r="F2964" t="s">
        <v>46</v>
      </c>
      <c r="G2964" s="58">
        <v>6161489</v>
      </c>
      <c r="H2964" s="1" t="s">
        <v>48</v>
      </c>
      <c r="I2964" s="1" t="s">
        <v>119</v>
      </c>
      <c r="J2964" s="58">
        <v>55453401</v>
      </c>
      <c r="K2964" s="1" t="s">
        <v>106</v>
      </c>
      <c r="L2964" s="1" t="s">
        <v>120</v>
      </c>
      <c r="M2964" s="1" t="s">
        <v>126</v>
      </c>
      <c r="N2964" s="1">
        <v>1</v>
      </c>
      <c r="O2964" s="58"/>
      <c r="P2964" s="58">
        <v>3820123.18</v>
      </c>
      <c r="Q2964" t="s">
        <v>118</v>
      </c>
      <c r="R2964" s="1" t="s">
        <v>158</v>
      </c>
    </row>
    <row r="2965" spans="3:18" x14ac:dyDescent="0.35">
      <c r="C2965" t="s">
        <v>51</v>
      </c>
      <c r="D2965" t="s">
        <v>19</v>
      </c>
      <c r="E2965" t="s">
        <v>49</v>
      </c>
      <c r="F2965" t="s">
        <v>46</v>
      </c>
      <c r="G2965" s="58">
        <v>546401</v>
      </c>
      <c r="H2965" s="1" t="s">
        <v>47</v>
      </c>
      <c r="I2965" s="1" t="s">
        <v>108</v>
      </c>
      <c r="J2965" s="58">
        <v>19670436</v>
      </c>
      <c r="K2965" s="1" t="s">
        <v>106</v>
      </c>
      <c r="L2965" s="1" t="s">
        <v>114</v>
      </c>
      <c r="N2965" s="1">
        <v>1</v>
      </c>
      <c r="O2965" s="58"/>
      <c r="P2965" s="58">
        <v>655681.19999999995</v>
      </c>
      <c r="Q2965" t="s">
        <v>110</v>
      </c>
      <c r="R2965" s="1" t="s">
        <v>158</v>
      </c>
    </row>
    <row r="2966" spans="3:18" x14ac:dyDescent="0.35">
      <c r="C2966" t="s">
        <v>51</v>
      </c>
      <c r="D2966" t="s">
        <v>22</v>
      </c>
      <c r="E2966" t="s">
        <v>45</v>
      </c>
      <c r="F2966" t="s">
        <v>46</v>
      </c>
      <c r="G2966" s="58">
        <v>181141</v>
      </c>
      <c r="H2966" s="1" t="s">
        <v>48</v>
      </c>
      <c r="I2966" s="1" t="s">
        <v>108</v>
      </c>
      <c r="J2966" s="58">
        <v>6158794</v>
      </c>
      <c r="K2966" s="1" t="s">
        <v>106</v>
      </c>
      <c r="L2966" s="1" t="s">
        <v>120</v>
      </c>
      <c r="M2966" s="1" t="s">
        <v>125</v>
      </c>
      <c r="N2966" s="1">
        <v>1</v>
      </c>
      <c r="O2966" s="58"/>
      <c r="P2966" s="58">
        <v>135855.75</v>
      </c>
      <c r="Q2966" t="s">
        <v>118</v>
      </c>
      <c r="R2966" s="1" t="s">
        <v>48</v>
      </c>
    </row>
    <row r="2967" spans="3:18" x14ac:dyDescent="0.35">
      <c r="C2967" t="s">
        <v>53</v>
      </c>
      <c r="D2967" t="s">
        <v>22</v>
      </c>
      <c r="E2967" t="s">
        <v>49</v>
      </c>
      <c r="F2967" t="s">
        <v>46</v>
      </c>
      <c r="G2967" s="58">
        <v>1309690</v>
      </c>
      <c r="H2967" s="1" t="s">
        <v>56</v>
      </c>
      <c r="I2967" s="1" t="s">
        <v>105</v>
      </c>
      <c r="J2967" s="58">
        <v>2619380</v>
      </c>
      <c r="K2967" s="1" t="s">
        <v>106</v>
      </c>
      <c r="L2967" s="1" t="s">
        <v>124</v>
      </c>
      <c r="N2967" s="1">
        <v>1</v>
      </c>
      <c r="O2967" s="58"/>
      <c r="P2967" s="58">
        <v>91678.3</v>
      </c>
      <c r="Q2967" t="s">
        <v>107</v>
      </c>
      <c r="R2967" s="1" t="s">
        <v>158</v>
      </c>
    </row>
    <row r="2968" spans="3:18" x14ac:dyDescent="0.35">
      <c r="C2968" t="s">
        <v>51</v>
      </c>
      <c r="D2968" t="s">
        <v>24</v>
      </c>
      <c r="E2968" t="s">
        <v>52</v>
      </c>
      <c r="F2968" t="s">
        <v>46</v>
      </c>
      <c r="G2968" s="58">
        <v>63968</v>
      </c>
      <c r="H2968" s="1" t="s">
        <v>48</v>
      </c>
      <c r="I2968" s="1" t="s">
        <v>111</v>
      </c>
      <c r="J2968" s="58">
        <v>1087456</v>
      </c>
      <c r="K2968" s="1" t="s">
        <v>106</v>
      </c>
      <c r="L2968" s="1" t="s">
        <v>130</v>
      </c>
      <c r="M2968" s="1" t="s">
        <v>121</v>
      </c>
      <c r="N2968" s="1">
        <v>1</v>
      </c>
      <c r="O2968" s="58"/>
      <c r="P2968" s="58">
        <v>39020.480000000003</v>
      </c>
      <c r="Q2968" t="s">
        <v>118</v>
      </c>
      <c r="R2968" s="1" t="s">
        <v>158</v>
      </c>
    </row>
    <row r="2969" spans="3:18" x14ac:dyDescent="0.35">
      <c r="C2969" t="s">
        <v>51</v>
      </c>
      <c r="D2969" t="s">
        <v>24</v>
      </c>
      <c r="E2969" t="s">
        <v>45</v>
      </c>
      <c r="F2969" t="s">
        <v>46</v>
      </c>
      <c r="G2969" s="58">
        <v>970973</v>
      </c>
      <c r="H2969" s="1" t="s">
        <v>56</v>
      </c>
      <c r="I2969" s="1" t="s">
        <v>119</v>
      </c>
      <c r="J2969" s="58">
        <v>7767784</v>
      </c>
      <c r="K2969" s="1" t="s">
        <v>106</v>
      </c>
      <c r="L2969" s="1" t="s">
        <v>120</v>
      </c>
      <c r="N2969" s="1">
        <v>1</v>
      </c>
      <c r="O2969" s="58"/>
      <c r="P2969" s="58">
        <v>252452.98</v>
      </c>
      <c r="Q2969" t="s">
        <v>107</v>
      </c>
      <c r="R2969" s="1" t="s">
        <v>158</v>
      </c>
    </row>
    <row r="2970" spans="3:18" x14ac:dyDescent="0.35">
      <c r="C2970" t="s">
        <v>53</v>
      </c>
      <c r="D2970" t="s">
        <v>60</v>
      </c>
      <c r="E2970" t="s">
        <v>60</v>
      </c>
      <c r="F2970" t="s">
        <v>46</v>
      </c>
      <c r="G2970" s="58">
        <v>264698</v>
      </c>
      <c r="H2970" s="1" t="s">
        <v>90</v>
      </c>
      <c r="I2970" s="1" t="s">
        <v>111</v>
      </c>
      <c r="J2970" s="58">
        <v>3441074</v>
      </c>
      <c r="K2970" s="1" t="s">
        <v>112</v>
      </c>
      <c r="N2970" s="1">
        <v>1</v>
      </c>
      <c r="O2970" s="58"/>
      <c r="P2970" s="58">
        <v>312343.64</v>
      </c>
      <c r="Q2970" t="s">
        <v>110</v>
      </c>
      <c r="R2970" s="1" t="s">
        <v>90</v>
      </c>
    </row>
    <row r="2971" spans="3:18" x14ac:dyDescent="0.35">
      <c r="C2971" t="s">
        <v>51</v>
      </c>
      <c r="D2971" t="s">
        <v>19</v>
      </c>
      <c r="E2971" t="s">
        <v>49</v>
      </c>
      <c r="F2971" t="s">
        <v>46</v>
      </c>
      <c r="G2971" s="58">
        <v>423522</v>
      </c>
      <c r="H2971" s="1" t="s">
        <v>48</v>
      </c>
      <c r="I2971" s="1" t="s">
        <v>105</v>
      </c>
      <c r="J2971" s="58">
        <v>2117610</v>
      </c>
      <c r="K2971" s="1" t="s">
        <v>112</v>
      </c>
      <c r="N2971" s="1">
        <v>1</v>
      </c>
      <c r="O2971" s="58"/>
      <c r="P2971" s="58">
        <v>93174.84</v>
      </c>
      <c r="Q2971" t="s">
        <v>107</v>
      </c>
      <c r="R2971" s="1" t="s">
        <v>48</v>
      </c>
    </row>
    <row r="2972" spans="3:18" x14ac:dyDescent="0.35">
      <c r="C2972" t="s">
        <v>44</v>
      </c>
      <c r="D2972" t="s">
        <v>21</v>
      </c>
      <c r="E2972" t="s">
        <v>49</v>
      </c>
      <c r="F2972" t="s">
        <v>46</v>
      </c>
      <c r="G2972" s="58">
        <v>1670121</v>
      </c>
      <c r="H2972" s="1" t="s">
        <v>54</v>
      </c>
      <c r="I2972" s="1" t="s">
        <v>108</v>
      </c>
      <c r="J2972" s="58"/>
      <c r="N2972" s="1">
        <v>0</v>
      </c>
      <c r="O2972" s="58"/>
      <c r="P2972" s="58"/>
      <c r="R2972" s="1" t="s">
        <v>158</v>
      </c>
    </row>
    <row r="2973" spans="3:18" x14ac:dyDescent="0.35">
      <c r="C2973" t="s">
        <v>51</v>
      </c>
      <c r="D2973" t="s">
        <v>20</v>
      </c>
      <c r="E2973" t="s">
        <v>49</v>
      </c>
      <c r="F2973" t="s">
        <v>46</v>
      </c>
      <c r="G2973" s="58">
        <v>41211</v>
      </c>
      <c r="H2973" s="1" t="s">
        <v>59</v>
      </c>
      <c r="I2973" s="1" t="s">
        <v>119</v>
      </c>
      <c r="J2973" s="58">
        <v>329688</v>
      </c>
      <c r="K2973" s="1" t="s">
        <v>106</v>
      </c>
      <c r="L2973" s="1" t="s">
        <v>124</v>
      </c>
      <c r="N2973" s="1">
        <v>1</v>
      </c>
      <c r="O2973" s="58"/>
      <c r="P2973" s="58">
        <v>28435.59</v>
      </c>
      <c r="Q2973" t="s">
        <v>118</v>
      </c>
      <c r="R2973" s="1" t="s">
        <v>158</v>
      </c>
    </row>
    <row r="2974" spans="3:18" x14ac:dyDescent="0.35">
      <c r="C2974" t="s">
        <v>51</v>
      </c>
      <c r="D2974" t="s">
        <v>23</v>
      </c>
      <c r="E2974" t="s">
        <v>55</v>
      </c>
      <c r="F2974" t="s">
        <v>46</v>
      </c>
      <c r="G2974" s="58">
        <v>156053</v>
      </c>
      <c r="H2974" s="1" t="s">
        <v>48</v>
      </c>
      <c r="I2974" s="1" t="s">
        <v>108</v>
      </c>
      <c r="J2974" s="58">
        <v>5617908</v>
      </c>
      <c r="K2974" s="1" t="s">
        <v>106</v>
      </c>
      <c r="L2974" s="1" t="s">
        <v>124</v>
      </c>
      <c r="M2974" s="1" t="s">
        <v>123</v>
      </c>
      <c r="N2974" s="1">
        <v>1</v>
      </c>
      <c r="O2974" s="58"/>
      <c r="P2974" s="58">
        <v>56179.08</v>
      </c>
      <c r="Q2974" t="s">
        <v>107</v>
      </c>
      <c r="R2974" s="1" t="s">
        <v>158</v>
      </c>
    </row>
    <row r="2975" spans="3:18" x14ac:dyDescent="0.35">
      <c r="C2975" t="s">
        <v>51</v>
      </c>
      <c r="D2975" t="s">
        <v>23</v>
      </c>
      <c r="E2975" t="s">
        <v>50</v>
      </c>
      <c r="F2975" t="s">
        <v>46</v>
      </c>
      <c r="G2975" s="58">
        <v>1691125</v>
      </c>
      <c r="H2975" s="1" t="s">
        <v>48</v>
      </c>
      <c r="I2975" s="1" t="s">
        <v>111</v>
      </c>
      <c r="J2975" s="58">
        <v>25366875</v>
      </c>
      <c r="K2975" s="1" t="s">
        <v>106</v>
      </c>
      <c r="L2975" s="1" t="s">
        <v>109</v>
      </c>
      <c r="M2975" s="1" t="s">
        <v>125</v>
      </c>
      <c r="N2975" s="1">
        <v>1</v>
      </c>
      <c r="O2975" s="58"/>
      <c r="P2975" s="58">
        <v>439692.5</v>
      </c>
      <c r="Q2975" t="s">
        <v>107</v>
      </c>
      <c r="R2975" s="1" t="s">
        <v>48</v>
      </c>
    </row>
    <row r="2976" spans="3:18" x14ac:dyDescent="0.35">
      <c r="C2976" t="s">
        <v>51</v>
      </c>
      <c r="D2976" t="s">
        <v>20</v>
      </c>
      <c r="E2976" t="s">
        <v>49</v>
      </c>
      <c r="F2976" t="s">
        <v>46</v>
      </c>
      <c r="G2976" s="58">
        <v>635908</v>
      </c>
      <c r="H2976" s="1" t="s">
        <v>47</v>
      </c>
      <c r="I2976" s="1" t="s">
        <v>111</v>
      </c>
      <c r="J2976" s="58">
        <v>10174528</v>
      </c>
      <c r="K2976" s="1" t="s">
        <v>112</v>
      </c>
      <c r="N2976" s="1">
        <v>1</v>
      </c>
      <c r="O2976" s="58"/>
      <c r="P2976" s="58">
        <v>120822.52</v>
      </c>
      <c r="Q2976" t="s">
        <v>107</v>
      </c>
      <c r="R2976" s="1" t="s">
        <v>158</v>
      </c>
    </row>
    <row r="2977" spans="3:18" x14ac:dyDescent="0.35">
      <c r="C2977" t="s">
        <v>51</v>
      </c>
      <c r="D2977" t="s">
        <v>20</v>
      </c>
      <c r="E2977" t="s">
        <v>45</v>
      </c>
      <c r="F2977" t="s">
        <v>46</v>
      </c>
      <c r="G2977" s="58">
        <v>99771</v>
      </c>
      <c r="H2977" s="1" t="s">
        <v>48</v>
      </c>
      <c r="I2977" s="1" t="s">
        <v>108</v>
      </c>
      <c r="J2977" s="58">
        <v>3691527</v>
      </c>
      <c r="K2977" s="1" t="s">
        <v>112</v>
      </c>
      <c r="N2977" s="1">
        <v>1</v>
      </c>
      <c r="O2977" s="58"/>
      <c r="P2977" s="58">
        <v>36915.269999999997</v>
      </c>
      <c r="Q2977" t="s">
        <v>107</v>
      </c>
      <c r="R2977" s="1" t="s">
        <v>158</v>
      </c>
    </row>
    <row r="2978" spans="3:18" x14ac:dyDescent="0.35">
      <c r="C2978" t="s">
        <v>51</v>
      </c>
      <c r="D2978" t="s">
        <v>22</v>
      </c>
      <c r="E2978" t="s">
        <v>45</v>
      </c>
      <c r="F2978" t="s">
        <v>46</v>
      </c>
      <c r="G2978" s="58">
        <v>73365</v>
      </c>
      <c r="H2978" s="1" t="s">
        <v>47</v>
      </c>
      <c r="I2978" s="1" t="s">
        <v>111</v>
      </c>
      <c r="J2978" s="58">
        <v>733650</v>
      </c>
      <c r="K2978" s="1" t="s">
        <v>106</v>
      </c>
      <c r="L2978" s="1" t="s">
        <v>109</v>
      </c>
      <c r="N2978" s="1">
        <v>1</v>
      </c>
      <c r="O2978" s="58"/>
      <c r="P2978" s="58">
        <v>28612.35</v>
      </c>
      <c r="Q2978" t="s">
        <v>107</v>
      </c>
      <c r="R2978" s="1" t="s">
        <v>158</v>
      </c>
    </row>
    <row r="2979" spans="3:18" x14ac:dyDescent="0.35">
      <c r="C2979" t="s">
        <v>51</v>
      </c>
      <c r="D2979" t="s">
        <v>24</v>
      </c>
      <c r="E2979" t="s">
        <v>55</v>
      </c>
      <c r="F2979" t="s">
        <v>46</v>
      </c>
      <c r="G2979" s="58">
        <v>62400</v>
      </c>
      <c r="H2979" s="1" t="s">
        <v>54</v>
      </c>
      <c r="I2979" s="1" t="s">
        <v>105</v>
      </c>
      <c r="J2979" s="58">
        <v>187200</v>
      </c>
      <c r="K2979" s="1" t="s">
        <v>106</v>
      </c>
      <c r="L2979" s="1" t="s">
        <v>114</v>
      </c>
      <c r="N2979" s="1">
        <v>1</v>
      </c>
      <c r="O2979" s="58"/>
      <c r="P2979" s="58">
        <v>63648</v>
      </c>
      <c r="Q2979" t="s">
        <v>110</v>
      </c>
      <c r="R2979" s="1" t="s">
        <v>158</v>
      </c>
    </row>
    <row r="2980" spans="3:18" x14ac:dyDescent="0.35">
      <c r="C2980" t="s">
        <v>53</v>
      </c>
      <c r="D2980" t="s">
        <v>24</v>
      </c>
      <c r="E2980" t="s">
        <v>55</v>
      </c>
      <c r="F2980" t="s">
        <v>46</v>
      </c>
      <c r="G2980" s="58">
        <v>367775</v>
      </c>
      <c r="H2980" s="1" t="s">
        <v>47</v>
      </c>
      <c r="I2980" s="1" t="s">
        <v>111</v>
      </c>
      <c r="J2980" s="58">
        <v>4413300</v>
      </c>
      <c r="K2980" s="1" t="s">
        <v>106</v>
      </c>
      <c r="L2980" s="1" t="s">
        <v>124</v>
      </c>
      <c r="N2980" s="1">
        <v>1</v>
      </c>
      <c r="O2980" s="58"/>
      <c r="P2980" s="58">
        <v>73555</v>
      </c>
      <c r="Q2980" t="s">
        <v>107</v>
      </c>
      <c r="R2980" s="1" t="s">
        <v>158</v>
      </c>
    </row>
    <row r="2981" spans="3:18" x14ac:dyDescent="0.35">
      <c r="C2981" t="s">
        <v>51</v>
      </c>
      <c r="D2981" t="s">
        <v>24</v>
      </c>
      <c r="E2981" t="s">
        <v>50</v>
      </c>
      <c r="F2981" t="s">
        <v>46</v>
      </c>
      <c r="G2981" s="58">
        <v>252529</v>
      </c>
      <c r="H2981" s="1" t="s">
        <v>47</v>
      </c>
      <c r="I2981" s="1" t="s">
        <v>108</v>
      </c>
      <c r="J2981" s="58">
        <v>9596102</v>
      </c>
      <c r="K2981" s="1" t="s">
        <v>106</v>
      </c>
      <c r="L2981" s="1" t="s">
        <v>124</v>
      </c>
      <c r="N2981" s="1">
        <v>1</v>
      </c>
      <c r="O2981" s="58"/>
      <c r="P2981" s="58">
        <v>181820.88</v>
      </c>
      <c r="Q2981" t="s">
        <v>118</v>
      </c>
      <c r="R2981" s="1" t="s">
        <v>158</v>
      </c>
    </row>
    <row r="2982" spans="3:18" x14ac:dyDescent="0.35">
      <c r="C2982" t="s">
        <v>51</v>
      </c>
      <c r="D2982" t="s">
        <v>23</v>
      </c>
      <c r="E2982" t="s">
        <v>55</v>
      </c>
      <c r="F2982" t="s">
        <v>46</v>
      </c>
      <c r="G2982" s="58">
        <v>2987</v>
      </c>
      <c r="H2982" s="1" t="s">
        <v>59</v>
      </c>
      <c r="I2982" s="1" t="s">
        <v>105</v>
      </c>
      <c r="J2982" s="58">
        <v>0</v>
      </c>
      <c r="K2982" s="1" t="s">
        <v>106</v>
      </c>
      <c r="L2982" s="1" t="s">
        <v>120</v>
      </c>
      <c r="N2982" s="1">
        <v>1</v>
      </c>
      <c r="O2982" s="58"/>
      <c r="P2982" s="58">
        <v>238.96</v>
      </c>
      <c r="Q2982" t="s">
        <v>107</v>
      </c>
      <c r="R2982" s="1" t="s">
        <v>158</v>
      </c>
    </row>
    <row r="2983" spans="3:18" x14ac:dyDescent="0.35">
      <c r="C2983" t="s">
        <v>51</v>
      </c>
      <c r="D2983" t="s">
        <v>23</v>
      </c>
      <c r="E2983" t="s">
        <v>62</v>
      </c>
      <c r="F2983" t="s">
        <v>46</v>
      </c>
      <c r="G2983" s="58">
        <v>53427</v>
      </c>
      <c r="H2983" s="1" t="s">
        <v>48</v>
      </c>
      <c r="I2983" s="1" t="s">
        <v>108</v>
      </c>
      <c r="J2983" s="58">
        <v>1923372</v>
      </c>
      <c r="K2983" s="1" t="s">
        <v>106</v>
      </c>
      <c r="L2983" s="1" t="s">
        <v>109</v>
      </c>
      <c r="M2983" s="1" t="s">
        <v>125</v>
      </c>
      <c r="N2983" s="1">
        <v>1</v>
      </c>
      <c r="O2983" s="58"/>
      <c r="P2983" s="58">
        <v>36864.629999999997</v>
      </c>
      <c r="Q2983" t="s">
        <v>118</v>
      </c>
      <c r="R2983" s="1" t="s">
        <v>48</v>
      </c>
    </row>
    <row r="2984" spans="3:18" x14ac:dyDescent="0.35">
      <c r="C2984" t="s">
        <v>51</v>
      </c>
      <c r="D2984" t="s">
        <v>21</v>
      </c>
      <c r="E2984" t="s">
        <v>49</v>
      </c>
      <c r="F2984" t="s">
        <v>46</v>
      </c>
      <c r="G2984" s="58">
        <v>87996</v>
      </c>
      <c r="H2984" s="1" t="s">
        <v>48</v>
      </c>
      <c r="I2984" s="1" t="s">
        <v>111</v>
      </c>
      <c r="J2984" s="58">
        <v>1055952</v>
      </c>
      <c r="K2984" s="1" t="s">
        <v>106</v>
      </c>
      <c r="L2984" s="1" t="s">
        <v>124</v>
      </c>
      <c r="M2984" s="1" t="s">
        <v>126</v>
      </c>
      <c r="N2984" s="1">
        <v>1</v>
      </c>
      <c r="O2984" s="58"/>
      <c r="P2984" s="58">
        <v>71276.759999999995</v>
      </c>
      <c r="Q2984" t="s">
        <v>127</v>
      </c>
      <c r="R2984" s="1" t="s">
        <v>48</v>
      </c>
    </row>
    <row r="2985" spans="3:18" x14ac:dyDescent="0.35">
      <c r="C2985" t="s">
        <v>51</v>
      </c>
      <c r="D2985" t="s">
        <v>23</v>
      </c>
      <c r="E2985" t="s">
        <v>45</v>
      </c>
      <c r="F2985" t="s">
        <v>46</v>
      </c>
      <c r="G2985" s="58">
        <v>1682867</v>
      </c>
      <c r="H2985" s="1" t="s">
        <v>48</v>
      </c>
      <c r="I2985" s="1" t="s">
        <v>108</v>
      </c>
      <c r="J2985" s="58">
        <v>52168877</v>
      </c>
      <c r="K2985" s="1" t="s">
        <v>112</v>
      </c>
      <c r="N2985" s="1">
        <v>1</v>
      </c>
      <c r="O2985" s="58"/>
      <c r="P2985" s="58">
        <v>420716.75</v>
      </c>
      <c r="Q2985" t="s">
        <v>107</v>
      </c>
      <c r="R2985" s="1" t="s">
        <v>48</v>
      </c>
    </row>
    <row r="2986" spans="3:18" x14ac:dyDescent="0.35">
      <c r="C2986" t="s">
        <v>51</v>
      </c>
      <c r="D2986" t="s">
        <v>24</v>
      </c>
      <c r="E2986" t="s">
        <v>52</v>
      </c>
      <c r="F2986" t="s">
        <v>46</v>
      </c>
      <c r="G2986" s="58">
        <v>20958006</v>
      </c>
      <c r="H2986" s="1" t="s">
        <v>48</v>
      </c>
      <c r="I2986" s="1" t="s">
        <v>108</v>
      </c>
      <c r="J2986" s="58">
        <v>670656192</v>
      </c>
      <c r="K2986" s="1" t="s">
        <v>106</v>
      </c>
      <c r="L2986" s="1" t="s">
        <v>130</v>
      </c>
      <c r="M2986" s="1" t="s">
        <v>121</v>
      </c>
      <c r="N2986" s="1">
        <v>1</v>
      </c>
      <c r="O2986" s="58"/>
      <c r="P2986" s="58">
        <v>14670604.199999999</v>
      </c>
      <c r="Q2986" t="s">
        <v>118</v>
      </c>
      <c r="R2986" s="1" t="s">
        <v>48</v>
      </c>
    </row>
    <row r="2987" spans="3:18" x14ac:dyDescent="0.35">
      <c r="C2987" t="s">
        <v>53</v>
      </c>
      <c r="D2987" t="s">
        <v>92</v>
      </c>
      <c r="E2987" t="s">
        <v>45</v>
      </c>
      <c r="F2987" t="s">
        <v>46</v>
      </c>
      <c r="G2987" s="58">
        <v>1520528</v>
      </c>
      <c r="H2987" s="1" t="s">
        <v>56</v>
      </c>
      <c r="I2987" s="1" t="s">
        <v>105</v>
      </c>
      <c r="J2987" s="58">
        <v>4561584</v>
      </c>
      <c r="K2987" s="1" t="s">
        <v>112</v>
      </c>
      <c r="N2987" s="1">
        <v>1</v>
      </c>
      <c r="O2987" s="58"/>
      <c r="P2987" s="58">
        <v>973137.92000000004</v>
      </c>
      <c r="Q2987" t="s">
        <v>118</v>
      </c>
      <c r="R2987" s="1" t="s">
        <v>158</v>
      </c>
    </row>
    <row r="2988" spans="3:18" x14ac:dyDescent="0.35">
      <c r="C2988" t="s">
        <v>51</v>
      </c>
      <c r="D2988" t="s">
        <v>19</v>
      </c>
      <c r="E2988" t="s">
        <v>49</v>
      </c>
      <c r="F2988" t="s">
        <v>46</v>
      </c>
      <c r="G2988" s="58">
        <v>866334</v>
      </c>
      <c r="H2988" s="1" t="s">
        <v>48</v>
      </c>
      <c r="I2988" s="1" t="s">
        <v>108</v>
      </c>
      <c r="J2988" s="58">
        <v>24257352</v>
      </c>
      <c r="K2988" s="1" t="s">
        <v>106</v>
      </c>
      <c r="L2988" s="1" t="s">
        <v>114</v>
      </c>
      <c r="M2988" s="1" t="s">
        <v>121</v>
      </c>
      <c r="N2988" s="1">
        <v>1</v>
      </c>
      <c r="O2988" s="58"/>
      <c r="P2988" s="58">
        <v>424503.66</v>
      </c>
      <c r="Q2988" t="s">
        <v>113</v>
      </c>
      <c r="R2988" s="1" t="s">
        <v>158</v>
      </c>
    </row>
    <row r="2989" spans="3:18" x14ac:dyDescent="0.35">
      <c r="C2989" t="s">
        <v>51</v>
      </c>
      <c r="D2989" t="s">
        <v>22</v>
      </c>
      <c r="E2989" t="s">
        <v>45</v>
      </c>
      <c r="F2989" t="s">
        <v>46</v>
      </c>
      <c r="G2989" s="58">
        <v>402289</v>
      </c>
      <c r="H2989" s="1" t="s">
        <v>47</v>
      </c>
      <c r="I2989" s="1" t="s">
        <v>105</v>
      </c>
      <c r="J2989" s="58">
        <v>804578</v>
      </c>
      <c r="K2989" s="1" t="s">
        <v>106</v>
      </c>
      <c r="L2989" s="1" t="s">
        <v>114</v>
      </c>
      <c r="N2989" s="1">
        <v>1</v>
      </c>
      <c r="O2989" s="58"/>
      <c r="P2989" s="58">
        <v>213213.17</v>
      </c>
      <c r="Q2989" t="s">
        <v>113</v>
      </c>
      <c r="R2989" s="1" t="s">
        <v>158</v>
      </c>
    </row>
    <row r="2990" spans="3:18" x14ac:dyDescent="0.35">
      <c r="C2990" t="s">
        <v>51</v>
      </c>
      <c r="D2990" t="s">
        <v>20</v>
      </c>
      <c r="E2990" t="s">
        <v>49</v>
      </c>
      <c r="F2990" t="s">
        <v>46</v>
      </c>
      <c r="G2990" s="58">
        <v>283947</v>
      </c>
      <c r="H2990" s="1" t="s">
        <v>47</v>
      </c>
      <c r="I2990" s="1" t="s">
        <v>111</v>
      </c>
      <c r="J2990" s="58">
        <v>4259205</v>
      </c>
      <c r="K2990" s="1" t="s">
        <v>106</v>
      </c>
      <c r="L2990" s="1" t="s">
        <v>120</v>
      </c>
      <c r="N2990" s="1">
        <v>1</v>
      </c>
      <c r="O2990" s="58"/>
      <c r="P2990" s="58">
        <v>181726.07999999999</v>
      </c>
      <c r="Q2990" t="s">
        <v>118</v>
      </c>
      <c r="R2990" s="1" t="s">
        <v>158</v>
      </c>
    </row>
    <row r="2991" spans="3:18" x14ac:dyDescent="0.35">
      <c r="C2991" t="s">
        <v>51</v>
      </c>
      <c r="D2991" t="s">
        <v>23</v>
      </c>
      <c r="E2991" t="s">
        <v>49</v>
      </c>
      <c r="F2991" t="s">
        <v>46</v>
      </c>
      <c r="G2991" s="58">
        <v>235835</v>
      </c>
      <c r="H2991" s="1" t="s">
        <v>48</v>
      </c>
      <c r="I2991" s="1" t="s">
        <v>108</v>
      </c>
      <c r="J2991" s="58">
        <v>6603380</v>
      </c>
      <c r="K2991" s="1" t="s">
        <v>106</v>
      </c>
      <c r="L2991" s="1" t="s">
        <v>120</v>
      </c>
      <c r="M2991" s="1" t="s">
        <v>125</v>
      </c>
      <c r="N2991" s="1">
        <v>1</v>
      </c>
      <c r="O2991" s="58"/>
      <c r="P2991" s="58">
        <v>124992.55</v>
      </c>
      <c r="Q2991" t="s">
        <v>113</v>
      </c>
      <c r="R2991" s="1" t="s">
        <v>158</v>
      </c>
    </row>
    <row r="2992" spans="3:18" x14ac:dyDescent="0.35">
      <c r="C2992" t="s">
        <v>51</v>
      </c>
      <c r="D2992" t="s">
        <v>22</v>
      </c>
      <c r="E2992" t="s">
        <v>49</v>
      </c>
      <c r="F2992" t="s">
        <v>46</v>
      </c>
      <c r="G2992" s="58">
        <v>183273</v>
      </c>
      <c r="H2992" s="1" t="s">
        <v>54</v>
      </c>
      <c r="I2992" s="1" t="s">
        <v>105</v>
      </c>
      <c r="J2992" s="58"/>
      <c r="K2992" s="1" t="s">
        <v>106</v>
      </c>
      <c r="L2992" s="1" t="s">
        <v>124</v>
      </c>
      <c r="N2992" s="1">
        <v>0</v>
      </c>
      <c r="O2992" s="58"/>
      <c r="P2992" s="58">
        <v>164945.70000000001</v>
      </c>
      <c r="Q2992" t="s">
        <v>127</v>
      </c>
      <c r="R2992" s="1" t="s">
        <v>158</v>
      </c>
    </row>
    <row r="2993" spans="3:18" x14ac:dyDescent="0.35">
      <c r="C2993" t="s">
        <v>51</v>
      </c>
      <c r="D2993" t="s">
        <v>21</v>
      </c>
      <c r="E2993" t="s">
        <v>50</v>
      </c>
      <c r="F2993" t="s">
        <v>46</v>
      </c>
      <c r="G2993" s="58">
        <v>640730</v>
      </c>
      <c r="H2993" s="1" t="s">
        <v>48</v>
      </c>
      <c r="I2993" s="1" t="s">
        <v>111</v>
      </c>
      <c r="J2993" s="58">
        <v>10251680</v>
      </c>
      <c r="K2993" s="1" t="s">
        <v>106</v>
      </c>
      <c r="L2993" s="1" t="s">
        <v>109</v>
      </c>
      <c r="M2993" s="1" t="s">
        <v>126</v>
      </c>
      <c r="N2993" s="1">
        <v>1</v>
      </c>
      <c r="O2993" s="58"/>
      <c r="P2993" s="58">
        <v>288328.5</v>
      </c>
      <c r="Q2993" t="s">
        <v>113</v>
      </c>
      <c r="R2993" s="1" t="s">
        <v>48</v>
      </c>
    </row>
    <row r="2994" spans="3:18" x14ac:dyDescent="0.35">
      <c r="C2994" t="s">
        <v>51</v>
      </c>
      <c r="D2994" t="s">
        <v>92</v>
      </c>
      <c r="E2994" t="s">
        <v>49</v>
      </c>
      <c r="F2994" t="s">
        <v>46</v>
      </c>
      <c r="G2994" s="58">
        <v>146196</v>
      </c>
      <c r="H2994" s="1" t="s">
        <v>48</v>
      </c>
      <c r="I2994" s="1" t="s">
        <v>108</v>
      </c>
      <c r="J2994" s="58">
        <v>3508704</v>
      </c>
      <c r="K2994" s="1" t="s">
        <v>106</v>
      </c>
      <c r="L2994" s="1" t="s">
        <v>114</v>
      </c>
      <c r="M2994" s="1" t="s">
        <v>125</v>
      </c>
      <c r="N2994" s="1">
        <v>1</v>
      </c>
      <c r="O2994" s="58"/>
      <c r="P2994" s="58">
        <v>71636.039999999994</v>
      </c>
      <c r="Q2994" t="s">
        <v>113</v>
      </c>
      <c r="R2994" s="1" t="s">
        <v>158</v>
      </c>
    </row>
    <row r="2995" spans="3:18" x14ac:dyDescent="0.35">
      <c r="C2995" t="s">
        <v>53</v>
      </c>
      <c r="D2995" t="s">
        <v>21</v>
      </c>
      <c r="E2995" t="s">
        <v>45</v>
      </c>
      <c r="F2995" t="s">
        <v>46</v>
      </c>
      <c r="G2995" s="58">
        <v>3598259</v>
      </c>
      <c r="H2995" s="1" t="s">
        <v>47</v>
      </c>
      <c r="I2995" s="1" t="s">
        <v>119</v>
      </c>
      <c r="J2995" s="58">
        <v>35982590</v>
      </c>
      <c r="K2995" s="1" t="s">
        <v>112</v>
      </c>
      <c r="N2995" s="1">
        <v>1</v>
      </c>
      <c r="O2995" s="58"/>
      <c r="P2995" s="58">
        <v>2626729.0699999998</v>
      </c>
      <c r="Q2995" t="s">
        <v>118</v>
      </c>
      <c r="R2995" s="1" t="s">
        <v>158</v>
      </c>
    </row>
    <row r="2996" spans="3:18" x14ac:dyDescent="0.35">
      <c r="C2996" t="s">
        <v>51</v>
      </c>
      <c r="D2996" t="s">
        <v>23</v>
      </c>
      <c r="E2996" t="s">
        <v>45</v>
      </c>
      <c r="F2996" t="s">
        <v>46</v>
      </c>
      <c r="G2996" s="58">
        <v>11686490</v>
      </c>
      <c r="H2996" s="1" t="s">
        <v>48</v>
      </c>
      <c r="I2996" s="1" t="s">
        <v>108</v>
      </c>
      <c r="J2996" s="58">
        <v>385654170</v>
      </c>
      <c r="K2996" s="1" t="s">
        <v>112</v>
      </c>
      <c r="N2996" s="1">
        <v>1</v>
      </c>
      <c r="O2996" s="58"/>
      <c r="P2996" s="58">
        <v>8414272.8000000007</v>
      </c>
      <c r="Q2996" t="s">
        <v>118</v>
      </c>
      <c r="R2996" s="1" t="s">
        <v>158</v>
      </c>
    </row>
    <row r="2997" spans="3:18" x14ac:dyDescent="0.35">
      <c r="C2997" t="s">
        <v>53</v>
      </c>
      <c r="D2997" t="s">
        <v>22</v>
      </c>
      <c r="E2997" t="s">
        <v>45</v>
      </c>
      <c r="F2997" t="s">
        <v>46</v>
      </c>
      <c r="G2997" s="58">
        <v>50625049</v>
      </c>
      <c r="H2997" s="1" t="s">
        <v>47</v>
      </c>
      <c r="I2997" s="1" t="s">
        <v>105</v>
      </c>
      <c r="J2997" s="58">
        <v>101250098</v>
      </c>
      <c r="K2997" s="1" t="s">
        <v>106</v>
      </c>
      <c r="L2997" s="1" t="s">
        <v>120</v>
      </c>
      <c r="N2997" s="1">
        <v>1</v>
      </c>
      <c r="O2997" s="58"/>
      <c r="P2997" s="58">
        <v>34931283.810000002</v>
      </c>
      <c r="Q2997" t="s">
        <v>118</v>
      </c>
      <c r="R2997" s="1" t="s">
        <v>158</v>
      </c>
    </row>
    <row r="2998" spans="3:18" x14ac:dyDescent="0.35">
      <c r="C2998" t="s">
        <v>51</v>
      </c>
      <c r="D2998" t="s">
        <v>24</v>
      </c>
      <c r="E2998" t="s">
        <v>45</v>
      </c>
      <c r="F2998" t="s">
        <v>46</v>
      </c>
      <c r="G2998" s="58">
        <v>437150</v>
      </c>
      <c r="H2998" s="1" t="s">
        <v>48</v>
      </c>
      <c r="I2998" s="1" t="s">
        <v>111</v>
      </c>
      <c r="J2998" s="58">
        <v>8743000</v>
      </c>
      <c r="K2998" s="1" t="s">
        <v>106</v>
      </c>
      <c r="L2998" s="1" t="s">
        <v>120</v>
      </c>
      <c r="M2998" s="1" t="s">
        <v>121</v>
      </c>
      <c r="N2998" s="1">
        <v>1</v>
      </c>
      <c r="O2998" s="58"/>
      <c r="P2998" s="58">
        <v>358463</v>
      </c>
      <c r="Q2998" t="s">
        <v>127</v>
      </c>
      <c r="R2998" s="1" t="s">
        <v>158</v>
      </c>
    </row>
    <row r="2999" spans="3:18" x14ac:dyDescent="0.35">
      <c r="C2999" t="s">
        <v>51</v>
      </c>
      <c r="D2999" t="s">
        <v>21</v>
      </c>
      <c r="E2999" t="s">
        <v>49</v>
      </c>
      <c r="F2999" t="s">
        <v>46</v>
      </c>
      <c r="G2999" s="58">
        <v>56389305</v>
      </c>
      <c r="H2999" s="1" t="s">
        <v>48</v>
      </c>
      <c r="I2999" s="1" t="s">
        <v>108</v>
      </c>
      <c r="J2999" s="58">
        <v>1635289845</v>
      </c>
      <c r="K2999" s="1" t="s">
        <v>106</v>
      </c>
      <c r="L2999" s="1" t="s">
        <v>124</v>
      </c>
      <c r="M2999" s="1" t="s">
        <v>126</v>
      </c>
      <c r="N2999" s="1">
        <v>1</v>
      </c>
      <c r="O2999" s="58"/>
      <c r="P2999" s="58">
        <v>28758545.550000001</v>
      </c>
      <c r="Q2999" t="s">
        <v>113</v>
      </c>
      <c r="R2999" s="1" t="s">
        <v>48</v>
      </c>
    </row>
    <row r="3000" spans="3:18" x14ac:dyDescent="0.35">
      <c r="C3000" t="s">
        <v>51</v>
      </c>
      <c r="D3000" t="s">
        <v>22</v>
      </c>
      <c r="E3000" t="s">
        <v>49</v>
      </c>
      <c r="F3000" t="s">
        <v>46</v>
      </c>
      <c r="G3000" s="58">
        <v>1696688</v>
      </c>
      <c r="H3000" s="1" t="s">
        <v>56</v>
      </c>
      <c r="I3000" s="1" t="s">
        <v>105</v>
      </c>
      <c r="J3000" s="58">
        <v>5090064</v>
      </c>
      <c r="K3000" s="1" t="s">
        <v>106</v>
      </c>
      <c r="L3000" s="1" t="s">
        <v>124</v>
      </c>
      <c r="N3000" s="1">
        <v>1</v>
      </c>
      <c r="O3000" s="58"/>
      <c r="P3000" s="58">
        <v>237536.32</v>
      </c>
      <c r="Q3000" t="s">
        <v>107</v>
      </c>
      <c r="R3000" s="1" t="s">
        <v>158</v>
      </c>
    </row>
    <row r="3001" spans="3:18" x14ac:dyDescent="0.35">
      <c r="C3001" t="s">
        <v>51</v>
      </c>
      <c r="D3001" t="s">
        <v>92</v>
      </c>
      <c r="E3001" t="s">
        <v>49</v>
      </c>
      <c r="F3001" t="s">
        <v>46</v>
      </c>
      <c r="G3001" s="58">
        <v>75091014</v>
      </c>
      <c r="H3001" s="1" t="s">
        <v>54</v>
      </c>
      <c r="I3001" s="1" t="s">
        <v>108</v>
      </c>
      <c r="J3001" s="58">
        <v>2102548392</v>
      </c>
      <c r="K3001" s="1" t="s">
        <v>106</v>
      </c>
      <c r="L3001" s="1" t="s">
        <v>124</v>
      </c>
      <c r="N3001" s="1">
        <v>1</v>
      </c>
      <c r="O3001" s="58"/>
      <c r="P3001" s="58">
        <v>51812799.659999996</v>
      </c>
      <c r="Q3001" t="s">
        <v>118</v>
      </c>
      <c r="R3001" s="1" t="s">
        <v>158</v>
      </c>
    </row>
    <row r="3002" spans="3:18" x14ac:dyDescent="0.35">
      <c r="C3002" t="s">
        <v>51</v>
      </c>
      <c r="D3002" t="s">
        <v>21</v>
      </c>
      <c r="E3002" t="s">
        <v>49</v>
      </c>
      <c r="F3002" t="s">
        <v>46</v>
      </c>
      <c r="G3002" s="58">
        <v>693964</v>
      </c>
      <c r="H3002" s="1" t="s">
        <v>54</v>
      </c>
      <c r="I3002" s="1" t="s">
        <v>111</v>
      </c>
      <c r="J3002" s="58">
        <v>9715496</v>
      </c>
      <c r="K3002" s="1" t="s">
        <v>106</v>
      </c>
      <c r="L3002" s="1" t="s">
        <v>120</v>
      </c>
      <c r="N3002" s="1">
        <v>1</v>
      </c>
      <c r="O3002" s="58"/>
      <c r="P3002" s="58">
        <v>166551.35999999999</v>
      </c>
      <c r="Q3002" t="s">
        <v>107</v>
      </c>
      <c r="R3002" s="1" t="s">
        <v>158</v>
      </c>
    </row>
    <row r="3003" spans="3:18" x14ac:dyDescent="0.35">
      <c r="C3003" t="s">
        <v>51</v>
      </c>
      <c r="D3003" t="s">
        <v>23</v>
      </c>
      <c r="E3003" t="s">
        <v>45</v>
      </c>
      <c r="F3003" t="s">
        <v>46</v>
      </c>
      <c r="G3003" s="58">
        <v>114126803</v>
      </c>
      <c r="H3003" s="1" t="s">
        <v>48</v>
      </c>
      <c r="I3003" s="1" t="s">
        <v>108</v>
      </c>
      <c r="J3003" s="58">
        <v>3309677287</v>
      </c>
      <c r="K3003" s="1" t="s">
        <v>106</v>
      </c>
      <c r="L3003" s="1" t="s">
        <v>120</v>
      </c>
      <c r="M3003" s="1" t="s">
        <v>125</v>
      </c>
      <c r="N3003" s="1">
        <v>1</v>
      </c>
      <c r="O3003" s="58"/>
      <c r="P3003" s="58">
        <v>33096772.870000001</v>
      </c>
      <c r="Q3003" t="s">
        <v>107</v>
      </c>
      <c r="R3003" s="1" t="s">
        <v>158</v>
      </c>
    </row>
    <row r="3004" spans="3:18" x14ac:dyDescent="0.35">
      <c r="C3004" t="s">
        <v>51</v>
      </c>
      <c r="D3004" t="s">
        <v>24</v>
      </c>
      <c r="E3004" t="s">
        <v>45</v>
      </c>
      <c r="F3004" t="s">
        <v>46</v>
      </c>
      <c r="G3004" s="58">
        <v>84485</v>
      </c>
      <c r="H3004" s="1" t="s">
        <v>48</v>
      </c>
      <c r="I3004" s="1" t="s">
        <v>111</v>
      </c>
      <c r="J3004" s="58">
        <v>1182790</v>
      </c>
      <c r="K3004" s="1" t="s">
        <v>106</v>
      </c>
      <c r="L3004" s="1" t="s">
        <v>114</v>
      </c>
      <c r="M3004" s="1" t="s">
        <v>121</v>
      </c>
      <c r="N3004" s="1">
        <v>1</v>
      </c>
      <c r="O3004" s="58"/>
      <c r="P3004" s="58">
        <v>35483.699999999997</v>
      </c>
      <c r="Q3004" t="s">
        <v>113</v>
      </c>
      <c r="R3004" s="1" t="s">
        <v>158</v>
      </c>
    </row>
    <row r="3005" spans="3:18" x14ac:dyDescent="0.35">
      <c r="C3005" t="s">
        <v>51</v>
      </c>
      <c r="D3005" t="s">
        <v>22</v>
      </c>
      <c r="E3005" t="s">
        <v>50</v>
      </c>
      <c r="F3005" t="s">
        <v>46</v>
      </c>
      <c r="G3005" s="58">
        <v>304766</v>
      </c>
      <c r="H3005" s="1" t="s">
        <v>48</v>
      </c>
      <c r="I3005" s="1" t="s">
        <v>108</v>
      </c>
      <c r="J3005" s="58">
        <v>8838214</v>
      </c>
      <c r="K3005" s="1" t="s">
        <v>106</v>
      </c>
      <c r="L3005" s="1" t="s">
        <v>109</v>
      </c>
      <c r="M3005" s="1" t="s">
        <v>115</v>
      </c>
      <c r="N3005" s="1">
        <v>1</v>
      </c>
      <c r="O3005" s="58"/>
      <c r="P3005" s="58">
        <v>170668.96</v>
      </c>
      <c r="Q3005" t="s">
        <v>113</v>
      </c>
      <c r="R3005" s="1" t="s">
        <v>158</v>
      </c>
    </row>
    <row r="3006" spans="3:18" x14ac:dyDescent="0.35">
      <c r="C3006" t="s">
        <v>51</v>
      </c>
      <c r="D3006" t="s">
        <v>20</v>
      </c>
      <c r="E3006" t="s">
        <v>49</v>
      </c>
      <c r="F3006" t="s">
        <v>46</v>
      </c>
      <c r="G3006" s="58">
        <v>338278</v>
      </c>
      <c r="H3006" s="1" t="s">
        <v>59</v>
      </c>
      <c r="I3006" s="1" t="s">
        <v>108</v>
      </c>
      <c r="J3006" s="58">
        <v>9471784</v>
      </c>
      <c r="K3006" s="1" t="s">
        <v>106</v>
      </c>
      <c r="L3006" s="1" t="s">
        <v>114</v>
      </c>
      <c r="N3006" s="1">
        <v>1</v>
      </c>
      <c r="O3006" s="58"/>
      <c r="P3006" s="58">
        <v>179287.34</v>
      </c>
      <c r="Q3006" t="s">
        <v>113</v>
      </c>
      <c r="R3006" s="1" t="s">
        <v>158</v>
      </c>
    </row>
    <row r="3007" spans="3:18" x14ac:dyDescent="0.35">
      <c r="C3007" t="s">
        <v>51</v>
      </c>
      <c r="D3007" t="s">
        <v>22</v>
      </c>
      <c r="E3007" t="s">
        <v>49</v>
      </c>
      <c r="F3007" t="s">
        <v>46</v>
      </c>
      <c r="G3007" s="58">
        <v>355246</v>
      </c>
      <c r="H3007" s="1" t="s">
        <v>58</v>
      </c>
      <c r="I3007" s="1" t="s">
        <v>108</v>
      </c>
      <c r="J3007" s="58">
        <v>10657380</v>
      </c>
      <c r="K3007" s="1" t="s">
        <v>112</v>
      </c>
      <c r="N3007" s="1">
        <v>1</v>
      </c>
      <c r="O3007" s="58"/>
      <c r="P3007" s="58">
        <v>259329.58</v>
      </c>
      <c r="Q3007" t="s">
        <v>118</v>
      </c>
      <c r="R3007" s="1" t="s">
        <v>158</v>
      </c>
    </row>
    <row r="3008" spans="3:18" x14ac:dyDescent="0.35">
      <c r="C3008" t="s">
        <v>51</v>
      </c>
      <c r="D3008" t="s">
        <v>24</v>
      </c>
      <c r="E3008" t="s">
        <v>49</v>
      </c>
      <c r="F3008" t="s">
        <v>46</v>
      </c>
      <c r="G3008" s="58">
        <v>7420309</v>
      </c>
      <c r="H3008" s="1" t="s">
        <v>48</v>
      </c>
      <c r="I3008" s="1" t="s">
        <v>111</v>
      </c>
      <c r="J3008" s="58">
        <v>118724944</v>
      </c>
      <c r="K3008" s="1" t="s">
        <v>106</v>
      </c>
      <c r="L3008" s="1" t="s">
        <v>124</v>
      </c>
      <c r="M3008" s="1" t="s">
        <v>121</v>
      </c>
      <c r="N3008" s="1">
        <v>1</v>
      </c>
      <c r="O3008" s="58"/>
      <c r="P3008" s="58">
        <v>3710154.5</v>
      </c>
      <c r="Q3008" t="s">
        <v>113</v>
      </c>
      <c r="R3008" s="1" t="s">
        <v>158</v>
      </c>
    </row>
    <row r="3009" spans="3:18" x14ac:dyDescent="0.35">
      <c r="C3009" t="s">
        <v>53</v>
      </c>
      <c r="D3009" t="s">
        <v>23</v>
      </c>
      <c r="E3009" t="s">
        <v>55</v>
      </c>
      <c r="F3009" t="s">
        <v>46</v>
      </c>
      <c r="G3009" s="58">
        <v>5510459</v>
      </c>
      <c r="H3009" s="1" t="s">
        <v>48</v>
      </c>
      <c r="I3009" s="1" t="s">
        <v>111</v>
      </c>
      <c r="J3009" s="58">
        <v>71635967</v>
      </c>
      <c r="K3009" s="1" t="s">
        <v>106</v>
      </c>
      <c r="L3009" s="1" t="s">
        <v>114</v>
      </c>
      <c r="M3009" s="1" t="s">
        <v>125</v>
      </c>
      <c r="N3009" s="1">
        <v>1</v>
      </c>
      <c r="O3009" s="58"/>
      <c r="P3009" s="58">
        <v>1212300.98</v>
      </c>
      <c r="Q3009" t="s">
        <v>107</v>
      </c>
      <c r="R3009" s="1" t="s">
        <v>48</v>
      </c>
    </row>
    <row r="3010" spans="3:18" x14ac:dyDescent="0.35">
      <c r="C3010" t="s">
        <v>51</v>
      </c>
      <c r="D3010" t="s">
        <v>21</v>
      </c>
      <c r="E3010" t="s">
        <v>49</v>
      </c>
      <c r="F3010" t="s">
        <v>46</v>
      </c>
      <c r="G3010" s="58">
        <v>2304066</v>
      </c>
      <c r="H3010" s="1" t="s">
        <v>59</v>
      </c>
      <c r="I3010" s="1" t="s">
        <v>108</v>
      </c>
      <c r="J3010" s="58">
        <v>76034178</v>
      </c>
      <c r="K3010" s="1" t="s">
        <v>112</v>
      </c>
      <c r="N3010" s="1">
        <v>1</v>
      </c>
      <c r="O3010" s="58"/>
      <c r="P3010" s="58">
        <v>1935415.44</v>
      </c>
      <c r="Q3010" t="s">
        <v>127</v>
      </c>
      <c r="R3010" s="1" t="s">
        <v>158</v>
      </c>
    </row>
    <row r="3011" spans="3:18" x14ac:dyDescent="0.35">
      <c r="C3011" t="s">
        <v>51</v>
      </c>
      <c r="D3011" t="s">
        <v>24</v>
      </c>
      <c r="E3011" t="s">
        <v>45</v>
      </c>
      <c r="F3011" t="s">
        <v>46</v>
      </c>
      <c r="G3011" s="58">
        <v>216906</v>
      </c>
      <c r="H3011" s="1" t="s">
        <v>48</v>
      </c>
      <c r="I3011" s="1" t="s">
        <v>111</v>
      </c>
      <c r="J3011" s="58">
        <v>2819778</v>
      </c>
      <c r="K3011" s="1" t="s">
        <v>112</v>
      </c>
      <c r="N3011" s="1">
        <v>1</v>
      </c>
      <c r="O3011" s="58"/>
      <c r="P3011" s="58">
        <v>134481.72</v>
      </c>
      <c r="Q3011" t="s">
        <v>118</v>
      </c>
      <c r="R3011" s="1" t="s">
        <v>48</v>
      </c>
    </row>
    <row r="3012" spans="3:18" x14ac:dyDescent="0.35">
      <c r="C3012" t="s">
        <v>51</v>
      </c>
      <c r="D3012" t="s">
        <v>91</v>
      </c>
      <c r="E3012" t="s">
        <v>49</v>
      </c>
      <c r="F3012" t="s">
        <v>46</v>
      </c>
      <c r="G3012" s="58">
        <v>20543551</v>
      </c>
      <c r="H3012" s="1" t="s">
        <v>48</v>
      </c>
      <c r="I3012" s="1" t="s">
        <v>108</v>
      </c>
      <c r="J3012" s="58">
        <v>698480734</v>
      </c>
      <c r="K3012" s="1" t="s">
        <v>106</v>
      </c>
      <c r="L3012" s="1" t="s">
        <v>124</v>
      </c>
      <c r="M3012" s="1" t="s">
        <v>122</v>
      </c>
      <c r="N3012" s="1">
        <v>1</v>
      </c>
      <c r="O3012" s="58"/>
      <c r="P3012" s="58">
        <v>17256582.84</v>
      </c>
      <c r="Q3012" t="s">
        <v>127</v>
      </c>
      <c r="R3012" s="1" t="s">
        <v>48</v>
      </c>
    </row>
    <row r="3013" spans="3:18" x14ac:dyDescent="0.35">
      <c r="C3013" t="s">
        <v>51</v>
      </c>
      <c r="D3013" t="s">
        <v>22</v>
      </c>
      <c r="E3013" t="s">
        <v>55</v>
      </c>
      <c r="F3013" t="s">
        <v>46</v>
      </c>
      <c r="G3013" s="58">
        <v>177945662</v>
      </c>
      <c r="H3013" s="1" t="s">
        <v>48</v>
      </c>
      <c r="I3013" s="1" t="s">
        <v>108</v>
      </c>
      <c r="J3013" s="58">
        <v>6583989494</v>
      </c>
      <c r="K3013" s="1" t="s">
        <v>112</v>
      </c>
      <c r="N3013" s="1">
        <v>1</v>
      </c>
      <c r="O3013" s="58"/>
      <c r="P3013" s="58">
        <v>158371639.18000001</v>
      </c>
      <c r="Q3013" t="s">
        <v>127</v>
      </c>
      <c r="R3013" s="1" t="s">
        <v>48</v>
      </c>
    </row>
    <row r="3014" spans="3:18" x14ac:dyDescent="0.35">
      <c r="C3014" t="s">
        <v>53</v>
      </c>
      <c r="D3014" t="s">
        <v>22</v>
      </c>
      <c r="E3014" t="s">
        <v>50</v>
      </c>
      <c r="F3014" t="s">
        <v>46</v>
      </c>
      <c r="G3014" s="58">
        <v>302089</v>
      </c>
      <c r="H3014" s="1" t="s">
        <v>48</v>
      </c>
      <c r="I3014" s="1" t="s">
        <v>119</v>
      </c>
      <c r="J3014" s="58">
        <v>2114623</v>
      </c>
      <c r="K3014" s="1" t="s">
        <v>106</v>
      </c>
      <c r="L3014" s="1" t="s">
        <v>109</v>
      </c>
      <c r="M3014" s="1" t="s">
        <v>115</v>
      </c>
      <c r="N3014" s="1">
        <v>1</v>
      </c>
      <c r="O3014" s="58"/>
      <c r="P3014" s="58">
        <v>154065.39000000001</v>
      </c>
      <c r="Q3014" t="s">
        <v>113</v>
      </c>
      <c r="R3014" s="1" t="s">
        <v>48</v>
      </c>
    </row>
    <row r="3015" spans="3:18" x14ac:dyDescent="0.35">
      <c r="C3015" t="s">
        <v>51</v>
      </c>
      <c r="D3015" t="s">
        <v>23</v>
      </c>
      <c r="E3015" t="s">
        <v>52</v>
      </c>
      <c r="F3015" t="s">
        <v>46</v>
      </c>
      <c r="G3015" s="58">
        <v>301566</v>
      </c>
      <c r="H3015" s="1" t="s">
        <v>48</v>
      </c>
      <c r="I3015" s="1" t="s">
        <v>111</v>
      </c>
      <c r="J3015" s="58">
        <v>5428188</v>
      </c>
      <c r="K3015" s="1" t="s">
        <v>106</v>
      </c>
      <c r="L3015" s="1" t="s">
        <v>130</v>
      </c>
      <c r="M3015" s="1" t="s">
        <v>125</v>
      </c>
      <c r="N3015" s="1">
        <v>1</v>
      </c>
      <c r="O3015" s="58"/>
      <c r="P3015" s="58">
        <v>247284.12</v>
      </c>
      <c r="Q3015" t="s">
        <v>127</v>
      </c>
      <c r="R3015" s="1" t="s">
        <v>48</v>
      </c>
    </row>
    <row r="3016" spans="3:18" x14ac:dyDescent="0.35">
      <c r="C3016" t="s">
        <v>51</v>
      </c>
      <c r="D3016" t="s">
        <v>23</v>
      </c>
      <c r="E3016" t="s">
        <v>55</v>
      </c>
      <c r="F3016" t="s">
        <v>46</v>
      </c>
      <c r="G3016" s="58">
        <v>8506896</v>
      </c>
      <c r="H3016" s="1" t="s">
        <v>59</v>
      </c>
      <c r="I3016" s="1" t="s">
        <v>111</v>
      </c>
      <c r="J3016" s="58">
        <v>136110336</v>
      </c>
      <c r="K3016" s="1" t="s">
        <v>106</v>
      </c>
      <c r="L3016" s="1" t="s">
        <v>114</v>
      </c>
      <c r="N3016" s="1">
        <v>1</v>
      </c>
      <c r="O3016" s="58"/>
      <c r="P3016" s="58">
        <v>4253448</v>
      </c>
      <c r="Q3016" t="s">
        <v>113</v>
      </c>
      <c r="R3016" s="1" t="s">
        <v>158</v>
      </c>
    </row>
    <row r="3017" spans="3:18" x14ac:dyDescent="0.35">
      <c r="C3017" t="s">
        <v>53</v>
      </c>
      <c r="D3017" t="s">
        <v>22</v>
      </c>
      <c r="E3017" t="s">
        <v>45</v>
      </c>
      <c r="F3017" t="s">
        <v>46</v>
      </c>
      <c r="G3017" s="58">
        <v>559499</v>
      </c>
      <c r="H3017" s="1" t="s">
        <v>54</v>
      </c>
      <c r="I3017" s="1" t="s">
        <v>128</v>
      </c>
      <c r="J3017" s="58"/>
      <c r="K3017" s="1" t="s">
        <v>106</v>
      </c>
      <c r="L3017" s="1" t="s">
        <v>120</v>
      </c>
      <c r="N3017" s="1">
        <v>0</v>
      </c>
      <c r="O3017" s="58"/>
      <c r="P3017" s="58">
        <v>27974.95</v>
      </c>
      <c r="Q3017" t="s">
        <v>107</v>
      </c>
      <c r="R3017" s="1" t="s">
        <v>158</v>
      </c>
    </row>
    <row r="3018" spans="3:18" x14ac:dyDescent="0.35">
      <c r="C3018" t="s">
        <v>51</v>
      </c>
      <c r="D3018" t="s">
        <v>23</v>
      </c>
      <c r="E3018" t="s">
        <v>49</v>
      </c>
      <c r="F3018" t="s">
        <v>46</v>
      </c>
      <c r="G3018" s="58">
        <v>4365521</v>
      </c>
      <c r="H3018" s="1" t="s">
        <v>59</v>
      </c>
      <c r="I3018" s="1" t="s">
        <v>108</v>
      </c>
      <c r="J3018" s="58">
        <v>117869067</v>
      </c>
      <c r="K3018" s="1" t="s">
        <v>106</v>
      </c>
      <c r="L3018" s="1" t="s">
        <v>124</v>
      </c>
      <c r="N3018" s="1">
        <v>1</v>
      </c>
      <c r="O3018" s="58"/>
      <c r="P3018" s="58">
        <v>3012209.49</v>
      </c>
      <c r="Q3018" t="s">
        <v>118</v>
      </c>
      <c r="R3018" s="1" t="s">
        <v>158</v>
      </c>
    </row>
    <row r="3019" spans="3:18" x14ac:dyDescent="0.35">
      <c r="C3019" t="s">
        <v>53</v>
      </c>
      <c r="D3019" t="s">
        <v>20</v>
      </c>
      <c r="E3019" t="s">
        <v>45</v>
      </c>
      <c r="F3019" t="s">
        <v>46</v>
      </c>
      <c r="G3019" s="58">
        <v>65141</v>
      </c>
      <c r="H3019" s="1" t="s">
        <v>59</v>
      </c>
      <c r="I3019" s="1" t="s">
        <v>105</v>
      </c>
      <c r="J3019" s="58">
        <v>325705</v>
      </c>
      <c r="K3019" s="1" t="s">
        <v>106</v>
      </c>
      <c r="L3019" s="1" t="s">
        <v>120</v>
      </c>
      <c r="N3019" s="1">
        <v>1</v>
      </c>
      <c r="O3019" s="58"/>
      <c r="P3019" s="58">
        <v>26707.81</v>
      </c>
      <c r="Q3019" t="s">
        <v>113</v>
      </c>
      <c r="R3019" s="1" t="s">
        <v>158</v>
      </c>
    </row>
    <row r="3020" spans="3:18" x14ac:dyDescent="0.35">
      <c r="C3020" t="s">
        <v>51</v>
      </c>
      <c r="D3020" t="s">
        <v>92</v>
      </c>
      <c r="E3020" t="s">
        <v>49</v>
      </c>
      <c r="F3020" t="s">
        <v>46</v>
      </c>
      <c r="G3020" s="58">
        <v>340835</v>
      </c>
      <c r="H3020" s="1" t="s">
        <v>54</v>
      </c>
      <c r="I3020" s="1" t="s">
        <v>111</v>
      </c>
      <c r="J3020" s="58">
        <v>5112525</v>
      </c>
      <c r="K3020" s="1" t="s">
        <v>112</v>
      </c>
      <c r="N3020" s="1">
        <v>1</v>
      </c>
      <c r="O3020" s="58"/>
      <c r="P3020" s="58">
        <v>282893.05</v>
      </c>
      <c r="Q3020" t="s">
        <v>127</v>
      </c>
      <c r="R3020" s="1" t="s">
        <v>158</v>
      </c>
    </row>
    <row r="3021" spans="3:18" x14ac:dyDescent="0.35">
      <c r="C3021" t="s">
        <v>51</v>
      </c>
      <c r="D3021" t="s">
        <v>23</v>
      </c>
      <c r="E3021" t="s">
        <v>50</v>
      </c>
      <c r="F3021" t="s">
        <v>46</v>
      </c>
      <c r="G3021" s="58">
        <v>452096</v>
      </c>
      <c r="H3021" s="1" t="s">
        <v>48</v>
      </c>
      <c r="I3021" s="1" t="s">
        <v>108</v>
      </c>
      <c r="J3021" s="58">
        <v>12206592</v>
      </c>
      <c r="K3021" s="1" t="s">
        <v>106</v>
      </c>
      <c r="L3021" s="1" t="s">
        <v>120</v>
      </c>
      <c r="M3021" s="1" t="s">
        <v>115</v>
      </c>
      <c r="N3021" s="1">
        <v>1</v>
      </c>
      <c r="O3021" s="58"/>
      <c r="P3021" s="58">
        <v>293862.40000000002</v>
      </c>
      <c r="Q3021" t="s">
        <v>118</v>
      </c>
      <c r="R3021" s="1" t="s">
        <v>48</v>
      </c>
    </row>
    <row r="3022" spans="3:18" x14ac:dyDescent="0.35">
      <c r="C3022" t="s">
        <v>51</v>
      </c>
      <c r="D3022" t="s">
        <v>19</v>
      </c>
      <c r="E3022" t="s">
        <v>49</v>
      </c>
      <c r="F3022" t="s">
        <v>46</v>
      </c>
      <c r="G3022" s="58">
        <v>520000</v>
      </c>
      <c r="H3022" s="1" t="s">
        <v>48</v>
      </c>
      <c r="I3022" s="1" t="s">
        <v>108</v>
      </c>
      <c r="J3022" s="58">
        <v>18200000</v>
      </c>
      <c r="K3022" s="1" t="s">
        <v>112</v>
      </c>
      <c r="N3022" s="1">
        <v>1</v>
      </c>
      <c r="O3022" s="58"/>
      <c r="P3022" s="58">
        <v>520000</v>
      </c>
      <c r="Q3022" t="s">
        <v>110</v>
      </c>
      <c r="R3022" s="1" t="s">
        <v>158</v>
      </c>
    </row>
    <row r="3023" spans="3:18" x14ac:dyDescent="0.35">
      <c r="C3023" t="s">
        <v>51</v>
      </c>
      <c r="D3023" t="s">
        <v>22</v>
      </c>
      <c r="E3023" t="s">
        <v>45</v>
      </c>
      <c r="F3023" t="s">
        <v>46</v>
      </c>
      <c r="G3023" s="58">
        <v>556312</v>
      </c>
      <c r="H3023" s="1" t="s">
        <v>48</v>
      </c>
      <c r="I3023" s="1" t="s">
        <v>108</v>
      </c>
      <c r="J3023" s="58">
        <v>13351488</v>
      </c>
      <c r="K3023" s="1" t="s">
        <v>106</v>
      </c>
      <c r="L3023" s="1" t="s">
        <v>120</v>
      </c>
      <c r="M3023" s="1" t="s">
        <v>123</v>
      </c>
      <c r="N3023" s="1">
        <v>1</v>
      </c>
      <c r="O3023" s="58"/>
      <c r="P3023" s="58">
        <v>372729.04</v>
      </c>
      <c r="Q3023" t="s">
        <v>118</v>
      </c>
      <c r="R3023" s="1" t="s">
        <v>48</v>
      </c>
    </row>
    <row r="3024" spans="3:18" x14ac:dyDescent="0.35">
      <c r="C3024" t="s">
        <v>51</v>
      </c>
      <c r="D3024" t="s">
        <v>21</v>
      </c>
      <c r="E3024" t="s">
        <v>55</v>
      </c>
      <c r="F3024" t="s">
        <v>46</v>
      </c>
      <c r="G3024" s="58">
        <v>84869</v>
      </c>
      <c r="H3024" s="1" t="s">
        <v>48</v>
      </c>
      <c r="I3024" s="1" t="s">
        <v>105</v>
      </c>
      <c r="J3024" s="58">
        <v>339476</v>
      </c>
      <c r="K3024" s="1" t="s">
        <v>106</v>
      </c>
      <c r="L3024" s="1" t="s">
        <v>114</v>
      </c>
      <c r="M3024" s="1" t="s">
        <v>126</v>
      </c>
      <c r="N3024" s="1">
        <v>1</v>
      </c>
      <c r="O3024" s="58"/>
      <c r="P3024" s="58">
        <v>16125.11</v>
      </c>
      <c r="Q3024" t="s">
        <v>107</v>
      </c>
      <c r="R3024" s="1" t="s">
        <v>48</v>
      </c>
    </row>
    <row r="3025" spans="3:18" x14ac:dyDescent="0.35">
      <c r="C3025" t="s">
        <v>51</v>
      </c>
      <c r="D3025" t="s">
        <v>19</v>
      </c>
      <c r="E3025" t="s">
        <v>49</v>
      </c>
      <c r="F3025" t="s">
        <v>46</v>
      </c>
      <c r="G3025" s="58">
        <v>444346071</v>
      </c>
      <c r="H3025" s="1" t="s">
        <v>48</v>
      </c>
      <c r="I3025" s="1" t="s">
        <v>108</v>
      </c>
      <c r="J3025" s="58">
        <v>13330382130</v>
      </c>
      <c r="K3025" s="1" t="s">
        <v>106</v>
      </c>
      <c r="L3025" s="1" t="s">
        <v>124</v>
      </c>
      <c r="M3025" s="1" t="s">
        <v>122</v>
      </c>
      <c r="N3025" s="1">
        <v>1</v>
      </c>
      <c r="O3025" s="58"/>
      <c r="P3025" s="58">
        <v>226616496.21000001</v>
      </c>
      <c r="Q3025" t="s">
        <v>113</v>
      </c>
      <c r="R3025" s="1" t="s">
        <v>158</v>
      </c>
    </row>
    <row r="3026" spans="3:18" x14ac:dyDescent="0.35">
      <c r="C3026" t="s">
        <v>53</v>
      </c>
      <c r="D3026" t="s">
        <v>20</v>
      </c>
      <c r="E3026" t="s">
        <v>45</v>
      </c>
      <c r="F3026" t="s">
        <v>46</v>
      </c>
      <c r="G3026" s="58">
        <v>374712</v>
      </c>
      <c r="H3026" s="1" t="s">
        <v>59</v>
      </c>
      <c r="I3026" s="1" t="s">
        <v>119</v>
      </c>
      <c r="J3026" s="58">
        <v>3747120</v>
      </c>
      <c r="K3026" s="1" t="s">
        <v>112</v>
      </c>
      <c r="N3026" s="1">
        <v>1</v>
      </c>
      <c r="O3026" s="58"/>
      <c r="P3026" s="58">
        <v>247309.92</v>
      </c>
      <c r="Q3026" t="s">
        <v>118</v>
      </c>
      <c r="R3026" s="1" t="s">
        <v>158</v>
      </c>
    </row>
    <row r="3027" spans="3:18" x14ac:dyDescent="0.35">
      <c r="C3027" t="s">
        <v>53</v>
      </c>
      <c r="D3027" t="s">
        <v>22</v>
      </c>
      <c r="E3027" t="s">
        <v>49</v>
      </c>
      <c r="F3027" t="s">
        <v>46</v>
      </c>
      <c r="G3027" s="58">
        <v>7678309</v>
      </c>
      <c r="H3027" s="1" t="s">
        <v>54</v>
      </c>
      <c r="I3027" s="1" t="s">
        <v>111</v>
      </c>
      <c r="J3027" s="58">
        <v>84461399</v>
      </c>
      <c r="K3027" s="1" t="s">
        <v>106</v>
      </c>
      <c r="L3027" s="1" t="s">
        <v>124</v>
      </c>
      <c r="N3027" s="1">
        <v>1</v>
      </c>
      <c r="O3027" s="58"/>
      <c r="P3027" s="58">
        <v>5221250.12</v>
      </c>
      <c r="Q3027" t="s">
        <v>118</v>
      </c>
      <c r="R3027" s="1" t="s">
        <v>158</v>
      </c>
    </row>
    <row r="3028" spans="3:18" x14ac:dyDescent="0.35">
      <c r="C3028" t="s">
        <v>51</v>
      </c>
      <c r="D3028" t="s">
        <v>21</v>
      </c>
      <c r="E3028" t="s">
        <v>45</v>
      </c>
      <c r="F3028" t="s">
        <v>64</v>
      </c>
      <c r="G3028" s="58">
        <v>545080</v>
      </c>
      <c r="H3028" s="1" t="s">
        <v>48</v>
      </c>
      <c r="I3028" s="1" t="s">
        <v>108</v>
      </c>
      <c r="J3028" s="58">
        <v>15807320</v>
      </c>
      <c r="K3028" s="1" t="s">
        <v>106</v>
      </c>
      <c r="L3028" s="1" t="s">
        <v>120</v>
      </c>
      <c r="M3028" s="1" t="s">
        <v>126</v>
      </c>
      <c r="N3028" s="1">
        <v>1</v>
      </c>
      <c r="O3028" s="58"/>
      <c r="P3028" s="58">
        <v>365203.6</v>
      </c>
      <c r="Q3028" t="s">
        <v>118</v>
      </c>
      <c r="R3028" s="1" t="s">
        <v>48</v>
      </c>
    </row>
    <row r="3029" spans="3:18" x14ac:dyDescent="0.35">
      <c r="C3029" t="s">
        <v>51</v>
      </c>
      <c r="D3029" t="s">
        <v>23</v>
      </c>
      <c r="E3029" t="s">
        <v>50</v>
      </c>
      <c r="F3029" t="s">
        <v>46</v>
      </c>
      <c r="G3029" s="58">
        <v>157494</v>
      </c>
      <c r="H3029" s="1" t="s">
        <v>48</v>
      </c>
      <c r="I3029" s="1" t="s">
        <v>119</v>
      </c>
      <c r="J3029" s="58">
        <v>1259952</v>
      </c>
      <c r="K3029" s="1" t="s">
        <v>112</v>
      </c>
      <c r="N3029" s="1">
        <v>1</v>
      </c>
      <c r="O3029" s="58"/>
      <c r="P3029" s="58">
        <v>53547.96</v>
      </c>
      <c r="Q3029" t="s">
        <v>107</v>
      </c>
      <c r="R3029" s="1" t="s">
        <v>48</v>
      </c>
    </row>
    <row r="3030" spans="3:18" x14ac:dyDescent="0.35">
      <c r="C3030" t="s">
        <v>51</v>
      </c>
      <c r="D3030" t="s">
        <v>21</v>
      </c>
      <c r="E3030" t="s">
        <v>55</v>
      </c>
      <c r="F3030" t="s">
        <v>46</v>
      </c>
      <c r="G3030" s="58">
        <v>120261</v>
      </c>
      <c r="H3030" s="1" t="s">
        <v>47</v>
      </c>
      <c r="I3030" s="1" t="s">
        <v>111</v>
      </c>
      <c r="J3030" s="58">
        <v>1563393</v>
      </c>
      <c r="K3030" s="1" t="s">
        <v>106</v>
      </c>
      <c r="L3030" s="1" t="s">
        <v>114</v>
      </c>
      <c r="N3030" s="1">
        <v>1</v>
      </c>
      <c r="O3030" s="58"/>
      <c r="P3030" s="58">
        <v>33673.08</v>
      </c>
      <c r="Q3030" t="s">
        <v>107</v>
      </c>
      <c r="R3030" s="1" t="s">
        <v>158</v>
      </c>
    </row>
    <row r="3031" spans="3:18" x14ac:dyDescent="0.35">
      <c r="C3031" t="s">
        <v>51</v>
      </c>
      <c r="D3031" t="s">
        <v>22</v>
      </c>
      <c r="E3031" t="s">
        <v>45</v>
      </c>
      <c r="F3031" t="s">
        <v>46</v>
      </c>
      <c r="G3031" s="58">
        <v>366358</v>
      </c>
      <c r="H3031" s="1" t="s">
        <v>48</v>
      </c>
      <c r="I3031" s="1" t="s">
        <v>111</v>
      </c>
      <c r="J3031" s="58">
        <v>7327160</v>
      </c>
      <c r="K3031" s="1" t="s">
        <v>112</v>
      </c>
      <c r="N3031" s="1">
        <v>1</v>
      </c>
      <c r="O3031" s="58"/>
      <c r="P3031" s="58">
        <v>304077.14</v>
      </c>
      <c r="Q3031" t="s">
        <v>127</v>
      </c>
      <c r="R3031" s="1" t="s">
        <v>158</v>
      </c>
    </row>
    <row r="3032" spans="3:18" x14ac:dyDescent="0.35">
      <c r="C3032" t="s">
        <v>51</v>
      </c>
      <c r="D3032" t="s">
        <v>19</v>
      </c>
      <c r="E3032" t="s">
        <v>49</v>
      </c>
      <c r="F3032" t="s">
        <v>46</v>
      </c>
      <c r="G3032" s="58">
        <v>11058262</v>
      </c>
      <c r="H3032" s="1" t="s">
        <v>59</v>
      </c>
      <c r="I3032" s="1" t="s">
        <v>108</v>
      </c>
      <c r="J3032" s="58">
        <v>342806122</v>
      </c>
      <c r="K3032" s="1" t="s">
        <v>106</v>
      </c>
      <c r="L3032" s="1" t="s">
        <v>124</v>
      </c>
      <c r="N3032" s="1">
        <v>1</v>
      </c>
      <c r="O3032" s="58"/>
      <c r="P3032" s="58">
        <v>9288940.0800000001</v>
      </c>
      <c r="Q3032" t="s">
        <v>127</v>
      </c>
      <c r="R3032" s="1" t="s">
        <v>158</v>
      </c>
    </row>
    <row r="3033" spans="3:18" x14ac:dyDescent="0.35">
      <c r="C3033" t="s">
        <v>51</v>
      </c>
      <c r="D3033" t="s">
        <v>21</v>
      </c>
      <c r="E3033" t="s">
        <v>49</v>
      </c>
      <c r="F3033" t="s">
        <v>46</v>
      </c>
      <c r="G3033" s="58">
        <v>652067</v>
      </c>
      <c r="H3033" s="1" t="s">
        <v>48</v>
      </c>
      <c r="I3033" s="1" t="s">
        <v>111</v>
      </c>
      <c r="J3033" s="58">
        <v>11085139</v>
      </c>
      <c r="K3033" s="1" t="s">
        <v>106</v>
      </c>
      <c r="L3033" s="1" t="s">
        <v>120</v>
      </c>
      <c r="M3033" s="1" t="s">
        <v>115</v>
      </c>
      <c r="N3033" s="1">
        <v>1</v>
      </c>
      <c r="O3033" s="58"/>
      <c r="P3033" s="58">
        <v>182578.76</v>
      </c>
      <c r="Q3033" t="s">
        <v>107</v>
      </c>
      <c r="R3033" s="1" t="s">
        <v>48</v>
      </c>
    </row>
    <row r="3034" spans="3:18" x14ac:dyDescent="0.35">
      <c r="C3034" t="s">
        <v>51</v>
      </c>
      <c r="D3034" t="s">
        <v>22</v>
      </c>
      <c r="E3034" t="s">
        <v>55</v>
      </c>
      <c r="F3034" t="s">
        <v>46</v>
      </c>
      <c r="G3034" s="58">
        <v>56662</v>
      </c>
      <c r="H3034" s="1" t="s">
        <v>48</v>
      </c>
      <c r="I3034" s="1" t="s">
        <v>111</v>
      </c>
      <c r="J3034" s="58">
        <v>849930</v>
      </c>
      <c r="K3034" s="1" t="s">
        <v>106</v>
      </c>
      <c r="L3034" s="1" t="s">
        <v>120</v>
      </c>
      <c r="M3034" s="1" t="s">
        <v>115</v>
      </c>
      <c r="N3034" s="1">
        <v>1</v>
      </c>
      <c r="O3034" s="58"/>
      <c r="P3034" s="58">
        <v>35697.06</v>
      </c>
      <c r="Q3034" t="s">
        <v>118</v>
      </c>
      <c r="R3034" s="1" t="s">
        <v>158</v>
      </c>
    </row>
    <row r="3035" spans="3:18" x14ac:dyDescent="0.35">
      <c r="C3035" t="s">
        <v>53</v>
      </c>
      <c r="D3035" t="s">
        <v>92</v>
      </c>
      <c r="E3035" t="s">
        <v>45</v>
      </c>
      <c r="F3035" t="s">
        <v>46</v>
      </c>
      <c r="G3035" s="58">
        <v>1429689</v>
      </c>
      <c r="H3035" s="1" t="s">
        <v>59</v>
      </c>
      <c r="I3035" s="1" t="s">
        <v>119</v>
      </c>
      <c r="J3035" s="58">
        <v>10007823</v>
      </c>
      <c r="K3035" s="1" t="s">
        <v>106</v>
      </c>
      <c r="L3035" s="1" t="s">
        <v>120</v>
      </c>
      <c r="N3035" s="1">
        <v>1</v>
      </c>
      <c r="O3035" s="58"/>
      <c r="P3035" s="58">
        <v>1172344.98</v>
      </c>
      <c r="Q3035" t="s">
        <v>127</v>
      </c>
      <c r="R3035" s="1" t="s">
        <v>158</v>
      </c>
    </row>
    <row r="3036" spans="3:18" x14ac:dyDescent="0.35">
      <c r="C3036" t="s">
        <v>51</v>
      </c>
      <c r="D3036" t="s">
        <v>22</v>
      </c>
      <c r="E3036" t="s">
        <v>45</v>
      </c>
      <c r="F3036" t="s">
        <v>46</v>
      </c>
      <c r="G3036" s="58">
        <v>141271758</v>
      </c>
      <c r="H3036" s="1" t="s">
        <v>47</v>
      </c>
      <c r="I3036" s="1" t="s">
        <v>105</v>
      </c>
      <c r="J3036" s="58">
        <v>423815274</v>
      </c>
      <c r="K3036" s="1" t="s">
        <v>106</v>
      </c>
      <c r="L3036" s="1" t="s">
        <v>120</v>
      </c>
      <c r="N3036" s="1">
        <v>1</v>
      </c>
      <c r="O3036" s="58"/>
      <c r="P3036" s="58">
        <v>15539893.380000001</v>
      </c>
      <c r="Q3036" t="s">
        <v>107</v>
      </c>
      <c r="R3036" s="1" t="s">
        <v>158</v>
      </c>
    </row>
    <row r="3037" spans="3:18" x14ac:dyDescent="0.35">
      <c r="C3037" t="s">
        <v>51</v>
      </c>
      <c r="D3037" t="s">
        <v>19</v>
      </c>
      <c r="E3037" t="s">
        <v>55</v>
      </c>
      <c r="F3037" t="s">
        <v>46</v>
      </c>
      <c r="G3037" s="58">
        <v>207969</v>
      </c>
      <c r="H3037" s="1" t="s">
        <v>48</v>
      </c>
      <c r="I3037" s="1" t="s">
        <v>119</v>
      </c>
      <c r="J3037" s="58">
        <v>1247814</v>
      </c>
      <c r="K3037" s="1" t="s">
        <v>106</v>
      </c>
      <c r="L3037" s="1" t="s">
        <v>114</v>
      </c>
      <c r="M3037" s="1" t="s">
        <v>122</v>
      </c>
      <c r="N3037" s="1">
        <v>1</v>
      </c>
      <c r="O3037" s="58"/>
      <c r="P3037" s="58">
        <v>81107.91</v>
      </c>
      <c r="Q3037" t="s">
        <v>107</v>
      </c>
      <c r="R3037" s="1" t="s">
        <v>158</v>
      </c>
    </row>
    <row r="3038" spans="3:18" x14ac:dyDescent="0.35">
      <c r="C3038" t="s">
        <v>53</v>
      </c>
      <c r="D3038" t="s">
        <v>21</v>
      </c>
      <c r="E3038" t="s">
        <v>45</v>
      </c>
      <c r="F3038" t="s">
        <v>46</v>
      </c>
      <c r="G3038" s="58">
        <v>647465</v>
      </c>
      <c r="H3038" s="1" t="s">
        <v>54</v>
      </c>
      <c r="I3038" s="1" t="s">
        <v>119</v>
      </c>
      <c r="J3038" s="58">
        <v>6474650</v>
      </c>
      <c r="K3038" s="1" t="s">
        <v>112</v>
      </c>
      <c r="N3038" s="1">
        <v>1</v>
      </c>
      <c r="O3038" s="58"/>
      <c r="P3038" s="58">
        <v>291359.25</v>
      </c>
      <c r="Q3038" t="s">
        <v>113</v>
      </c>
      <c r="R3038" s="1" t="s">
        <v>158</v>
      </c>
    </row>
    <row r="3039" spans="3:18" x14ac:dyDescent="0.35">
      <c r="C3039" t="s">
        <v>53</v>
      </c>
      <c r="D3039" t="s">
        <v>60</v>
      </c>
      <c r="E3039" t="s">
        <v>60</v>
      </c>
      <c r="F3039" t="s">
        <v>46</v>
      </c>
      <c r="G3039" s="58">
        <v>1307698</v>
      </c>
      <c r="H3039" s="1" t="s">
        <v>90</v>
      </c>
      <c r="I3039" s="1" t="s">
        <v>111</v>
      </c>
      <c r="J3039" s="58">
        <v>13076980</v>
      </c>
      <c r="K3039" s="1" t="s">
        <v>106</v>
      </c>
      <c r="N3039" s="1">
        <v>1</v>
      </c>
      <c r="O3039" s="58"/>
      <c r="P3039" s="58">
        <v>0</v>
      </c>
      <c r="Q3039" t="s">
        <v>107</v>
      </c>
      <c r="R3039" s="1" t="s">
        <v>90</v>
      </c>
    </row>
    <row r="3040" spans="3:18" x14ac:dyDescent="0.35">
      <c r="C3040" t="s">
        <v>51</v>
      </c>
      <c r="D3040" t="s">
        <v>23</v>
      </c>
      <c r="E3040" t="s">
        <v>52</v>
      </c>
      <c r="F3040" t="s">
        <v>46</v>
      </c>
      <c r="G3040" s="58">
        <v>81760</v>
      </c>
      <c r="H3040" s="1" t="s">
        <v>48</v>
      </c>
      <c r="I3040" s="1" t="s">
        <v>111</v>
      </c>
      <c r="J3040" s="58">
        <v>1389920</v>
      </c>
      <c r="K3040" s="1" t="s">
        <v>106</v>
      </c>
      <c r="L3040" s="1" t="s">
        <v>120</v>
      </c>
      <c r="M3040" s="1" t="s">
        <v>115</v>
      </c>
      <c r="N3040" s="1">
        <v>1</v>
      </c>
      <c r="O3040" s="58"/>
      <c r="P3040" s="58">
        <v>36792</v>
      </c>
      <c r="Q3040" t="s">
        <v>113</v>
      </c>
      <c r="R3040" s="1" t="s">
        <v>48</v>
      </c>
    </row>
    <row r="3041" spans="3:18" x14ac:dyDescent="0.35">
      <c r="C3041" t="s">
        <v>51</v>
      </c>
      <c r="D3041" t="s">
        <v>23</v>
      </c>
      <c r="E3041" t="s">
        <v>45</v>
      </c>
      <c r="F3041" t="s">
        <v>46</v>
      </c>
      <c r="G3041" s="58">
        <v>350926</v>
      </c>
      <c r="H3041" s="1" t="s">
        <v>47</v>
      </c>
      <c r="I3041" s="1" t="s">
        <v>108</v>
      </c>
      <c r="J3041" s="58">
        <v>10176854</v>
      </c>
      <c r="K3041" s="1" t="s">
        <v>106</v>
      </c>
      <c r="L3041" s="1" t="s">
        <v>124</v>
      </c>
      <c r="N3041" s="1">
        <v>1</v>
      </c>
      <c r="O3041" s="58"/>
      <c r="P3041" s="58">
        <v>322851.92</v>
      </c>
      <c r="Q3041" t="s">
        <v>127</v>
      </c>
      <c r="R3041" s="1" t="s">
        <v>158</v>
      </c>
    </row>
    <row r="3042" spans="3:18" x14ac:dyDescent="0.35">
      <c r="C3042" t="s">
        <v>51</v>
      </c>
      <c r="D3042" t="s">
        <v>23</v>
      </c>
      <c r="E3042" t="s">
        <v>45</v>
      </c>
      <c r="F3042" t="s">
        <v>46</v>
      </c>
      <c r="G3042" s="58">
        <v>4522178</v>
      </c>
      <c r="H3042" s="1" t="s">
        <v>48</v>
      </c>
      <c r="I3042" s="1" t="s">
        <v>108</v>
      </c>
      <c r="J3042" s="58">
        <v>131143162</v>
      </c>
      <c r="K3042" s="1" t="s">
        <v>112</v>
      </c>
      <c r="N3042" s="1">
        <v>1</v>
      </c>
      <c r="O3042" s="58"/>
      <c r="P3042" s="58">
        <v>1175766.28</v>
      </c>
      <c r="Q3042" t="s">
        <v>107</v>
      </c>
      <c r="R3042" s="1" t="s">
        <v>158</v>
      </c>
    </row>
    <row r="3043" spans="3:18" x14ac:dyDescent="0.35">
      <c r="C3043" t="s">
        <v>51</v>
      </c>
      <c r="D3043" t="s">
        <v>19</v>
      </c>
      <c r="E3043" t="s">
        <v>49</v>
      </c>
      <c r="F3043" t="s">
        <v>46</v>
      </c>
      <c r="G3043" s="58">
        <v>788375</v>
      </c>
      <c r="H3043" s="1" t="s">
        <v>48</v>
      </c>
      <c r="I3043" s="1" t="s">
        <v>111</v>
      </c>
      <c r="J3043" s="58">
        <v>14979125</v>
      </c>
      <c r="K3043" s="1" t="s">
        <v>106</v>
      </c>
      <c r="L3043" s="1" t="s">
        <v>124</v>
      </c>
      <c r="M3043" s="1" t="s">
        <v>122</v>
      </c>
      <c r="N3043" s="1">
        <v>1</v>
      </c>
      <c r="O3043" s="58"/>
      <c r="P3043" s="58">
        <v>662235</v>
      </c>
      <c r="Q3043" t="s">
        <v>127</v>
      </c>
      <c r="R3043" s="1" t="s">
        <v>48</v>
      </c>
    </row>
    <row r="3044" spans="3:18" x14ac:dyDescent="0.35">
      <c r="C3044" t="s">
        <v>51</v>
      </c>
      <c r="D3044" t="s">
        <v>22</v>
      </c>
      <c r="E3044" t="s">
        <v>50</v>
      </c>
      <c r="F3044" t="s">
        <v>46</v>
      </c>
      <c r="G3044" s="58">
        <v>46904</v>
      </c>
      <c r="H3044" s="1" t="s">
        <v>48</v>
      </c>
      <c r="I3044" s="1" t="s">
        <v>119</v>
      </c>
      <c r="J3044" s="58">
        <v>422136</v>
      </c>
      <c r="K3044" s="1" t="s">
        <v>106</v>
      </c>
      <c r="L3044" s="1" t="s">
        <v>120</v>
      </c>
      <c r="M3044" s="1" t="s">
        <v>115</v>
      </c>
      <c r="N3044" s="1">
        <v>1</v>
      </c>
      <c r="O3044" s="58"/>
      <c r="P3044" s="58">
        <v>17354.48</v>
      </c>
      <c r="Q3044" t="s">
        <v>107</v>
      </c>
      <c r="R3044" s="1" t="s">
        <v>48</v>
      </c>
    </row>
    <row r="3045" spans="3:18" x14ac:dyDescent="0.35">
      <c r="C3045" t="s">
        <v>51</v>
      </c>
      <c r="D3045" t="s">
        <v>91</v>
      </c>
      <c r="E3045" t="s">
        <v>49</v>
      </c>
      <c r="F3045" t="s">
        <v>46</v>
      </c>
      <c r="G3045" s="58">
        <v>17082376</v>
      </c>
      <c r="H3045" s="1" t="s">
        <v>47</v>
      </c>
      <c r="I3045" s="1" t="s">
        <v>111</v>
      </c>
      <c r="J3045" s="58">
        <v>290400392</v>
      </c>
      <c r="K3045" s="1" t="s">
        <v>106</v>
      </c>
      <c r="L3045" s="1" t="s">
        <v>124</v>
      </c>
      <c r="N3045" s="1">
        <v>1</v>
      </c>
      <c r="O3045" s="58"/>
      <c r="P3045" s="58">
        <v>8370364.2400000002</v>
      </c>
      <c r="Q3045" t="s">
        <v>113</v>
      </c>
      <c r="R3045" s="1" t="s">
        <v>158</v>
      </c>
    </row>
    <row r="3046" spans="3:18" x14ac:dyDescent="0.35">
      <c r="C3046" t="s">
        <v>51</v>
      </c>
      <c r="D3046" t="s">
        <v>92</v>
      </c>
      <c r="E3046" t="s">
        <v>49</v>
      </c>
      <c r="F3046" t="s">
        <v>46</v>
      </c>
      <c r="G3046" s="58">
        <v>3015279</v>
      </c>
      <c r="H3046" s="1" t="s">
        <v>54</v>
      </c>
      <c r="I3046" s="1" t="s">
        <v>119</v>
      </c>
      <c r="J3046" s="58">
        <v>24122232</v>
      </c>
      <c r="K3046" s="1" t="s">
        <v>106</v>
      </c>
      <c r="L3046" s="1" t="s">
        <v>124</v>
      </c>
      <c r="N3046" s="1">
        <v>1</v>
      </c>
      <c r="O3046" s="58"/>
      <c r="P3046" s="58">
        <v>1447333.92</v>
      </c>
      <c r="Q3046" t="s">
        <v>113</v>
      </c>
      <c r="R3046" s="1" t="s">
        <v>158</v>
      </c>
    </row>
    <row r="3047" spans="3:18" x14ac:dyDescent="0.35">
      <c r="C3047" t="s">
        <v>51</v>
      </c>
      <c r="D3047" t="s">
        <v>23</v>
      </c>
      <c r="E3047" t="s">
        <v>45</v>
      </c>
      <c r="F3047" t="s">
        <v>46</v>
      </c>
      <c r="G3047" s="58">
        <v>1022969094</v>
      </c>
      <c r="H3047" s="1" t="s">
        <v>48</v>
      </c>
      <c r="I3047" s="1" t="s">
        <v>108</v>
      </c>
      <c r="J3047" s="58">
        <v>32735011008</v>
      </c>
      <c r="K3047" s="1" t="s">
        <v>106</v>
      </c>
      <c r="L3047" s="1" t="s">
        <v>120</v>
      </c>
      <c r="M3047" s="1" t="s">
        <v>125</v>
      </c>
      <c r="N3047" s="1">
        <v>1</v>
      </c>
      <c r="O3047" s="58"/>
      <c r="P3047" s="58">
        <v>726308056.74000001</v>
      </c>
      <c r="Q3047" t="s">
        <v>118</v>
      </c>
      <c r="R3047" s="1" t="s">
        <v>158</v>
      </c>
    </row>
    <row r="3048" spans="3:18" x14ac:dyDescent="0.35">
      <c r="C3048" t="s">
        <v>53</v>
      </c>
      <c r="D3048" t="s">
        <v>92</v>
      </c>
      <c r="E3048" t="s">
        <v>49</v>
      </c>
      <c r="F3048" t="s">
        <v>46</v>
      </c>
      <c r="G3048" s="58">
        <v>921756</v>
      </c>
      <c r="H3048" s="1" t="s">
        <v>48</v>
      </c>
      <c r="I3048" s="1" t="s">
        <v>111</v>
      </c>
      <c r="J3048" s="58">
        <v>13826340</v>
      </c>
      <c r="K3048" s="1" t="s">
        <v>112</v>
      </c>
      <c r="N3048" s="1">
        <v>1</v>
      </c>
      <c r="O3048" s="58"/>
      <c r="P3048" s="58">
        <v>608358.96</v>
      </c>
      <c r="Q3048" t="s">
        <v>118</v>
      </c>
      <c r="R3048" s="1" t="s">
        <v>158</v>
      </c>
    </row>
    <row r="3049" spans="3:18" x14ac:dyDescent="0.35">
      <c r="C3049" t="s">
        <v>51</v>
      </c>
      <c r="D3049" t="s">
        <v>92</v>
      </c>
      <c r="E3049" t="s">
        <v>49</v>
      </c>
      <c r="F3049" t="s">
        <v>46</v>
      </c>
      <c r="G3049" s="58">
        <v>23280638</v>
      </c>
      <c r="H3049" s="1" t="s">
        <v>54</v>
      </c>
      <c r="I3049" s="1" t="s">
        <v>108</v>
      </c>
      <c r="J3049" s="58">
        <v>582015950</v>
      </c>
      <c r="K3049" s="1" t="s">
        <v>106</v>
      </c>
      <c r="L3049" s="1" t="s">
        <v>124</v>
      </c>
      <c r="N3049" s="1">
        <v>1</v>
      </c>
      <c r="O3049" s="58"/>
      <c r="P3049" s="58">
        <v>6285772.2599999998</v>
      </c>
      <c r="Q3049" t="s">
        <v>107</v>
      </c>
      <c r="R3049" s="1" t="s">
        <v>158</v>
      </c>
    </row>
    <row r="3050" spans="3:18" x14ac:dyDescent="0.35">
      <c r="C3050" t="s">
        <v>51</v>
      </c>
      <c r="D3050" t="s">
        <v>22</v>
      </c>
      <c r="E3050" t="s">
        <v>45</v>
      </c>
      <c r="F3050" t="s">
        <v>64</v>
      </c>
      <c r="G3050" s="58">
        <v>40769</v>
      </c>
      <c r="H3050" s="1" t="s">
        <v>54</v>
      </c>
      <c r="I3050" s="1" t="s">
        <v>119</v>
      </c>
      <c r="J3050" s="58">
        <v>244614</v>
      </c>
      <c r="K3050" s="1" t="s">
        <v>106</v>
      </c>
      <c r="L3050" s="1" t="s">
        <v>120</v>
      </c>
      <c r="N3050" s="1">
        <v>1</v>
      </c>
      <c r="O3050" s="58"/>
      <c r="P3050" s="58">
        <v>10192.25</v>
      </c>
      <c r="Q3050" t="s">
        <v>107</v>
      </c>
      <c r="R3050" s="1" t="s">
        <v>158</v>
      </c>
    </row>
    <row r="3051" spans="3:18" x14ac:dyDescent="0.35">
      <c r="C3051" t="s">
        <v>51</v>
      </c>
      <c r="D3051" t="s">
        <v>24</v>
      </c>
      <c r="E3051" t="s">
        <v>45</v>
      </c>
      <c r="F3051" t="s">
        <v>46</v>
      </c>
      <c r="G3051" s="58">
        <v>336342</v>
      </c>
      <c r="H3051" s="1" t="s">
        <v>48</v>
      </c>
      <c r="I3051" s="1" t="s">
        <v>111</v>
      </c>
      <c r="J3051" s="58">
        <v>5717814</v>
      </c>
      <c r="K3051" s="1" t="s">
        <v>112</v>
      </c>
      <c r="N3051" s="1">
        <v>1</v>
      </c>
      <c r="O3051" s="58"/>
      <c r="P3051" s="58">
        <v>87448.92</v>
      </c>
      <c r="Q3051" t="s">
        <v>107</v>
      </c>
      <c r="R3051" s="1" t="s">
        <v>158</v>
      </c>
    </row>
    <row r="3052" spans="3:18" x14ac:dyDescent="0.35">
      <c r="C3052" t="s">
        <v>51</v>
      </c>
      <c r="D3052" t="s">
        <v>23</v>
      </c>
      <c r="E3052" t="s">
        <v>49</v>
      </c>
      <c r="F3052" t="s">
        <v>46</v>
      </c>
      <c r="G3052" s="58">
        <v>438095</v>
      </c>
      <c r="H3052" s="1" t="s">
        <v>48</v>
      </c>
      <c r="I3052" s="1" t="s">
        <v>108</v>
      </c>
      <c r="J3052" s="58">
        <v>14895230</v>
      </c>
      <c r="K3052" s="1" t="s">
        <v>106</v>
      </c>
      <c r="L3052" s="1" t="s">
        <v>120</v>
      </c>
      <c r="M3052" s="1" t="s">
        <v>125</v>
      </c>
      <c r="N3052" s="1">
        <v>1</v>
      </c>
      <c r="O3052" s="58"/>
      <c r="P3052" s="58">
        <v>363618.85</v>
      </c>
      <c r="Q3052" t="s">
        <v>127</v>
      </c>
      <c r="R3052" s="1" t="s">
        <v>48</v>
      </c>
    </row>
    <row r="3053" spans="3:18" x14ac:dyDescent="0.35">
      <c r="C3053" t="s">
        <v>51</v>
      </c>
      <c r="D3053" t="s">
        <v>19</v>
      </c>
      <c r="E3053" t="s">
        <v>49</v>
      </c>
      <c r="F3053" t="s">
        <v>46</v>
      </c>
      <c r="G3053" s="58">
        <v>20175983</v>
      </c>
      <c r="H3053" s="1" t="s">
        <v>48</v>
      </c>
      <c r="I3053" s="1" t="s">
        <v>108</v>
      </c>
      <c r="J3053" s="58">
        <v>564927524</v>
      </c>
      <c r="K3053" s="1" t="s">
        <v>106</v>
      </c>
      <c r="L3053" s="1" t="s">
        <v>124</v>
      </c>
      <c r="M3053" s="1" t="s">
        <v>122</v>
      </c>
      <c r="N3053" s="1">
        <v>1</v>
      </c>
      <c r="O3053" s="58"/>
      <c r="P3053" s="58">
        <v>5649275.2400000002</v>
      </c>
      <c r="Q3053" t="s">
        <v>107</v>
      </c>
      <c r="R3053" s="1" t="s">
        <v>48</v>
      </c>
    </row>
    <row r="3054" spans="3:18" x14ac:dyDescent="0.35">
      <c r="C3054" t="s">
        <v>51</v>
      </c>
      <c r="D3054" t="s">
        <v>23</v>
      </c>
      <c r="E3054" t="s">
        <v>49</v>
      </c>
      <c r="F3054" t="s">
        <v>46</v>
      </c>
      <c r="G3054" s="58">
        <v>1059831</v>
      </c>
      <c r="H3054" s="1" t="s">
        <v>48</v>
      </c>
      <c r="I3054" s="1" t="s">
        <v>108</v>
      </c>
      <c r="J3054" s="58">
        <v>33914592</v>
      </c>
      <c r="K3054" s="1" t="s">
        <v>106</v>
      </c>
      <c r="L3054" s="1" t="s">
        <v>124</v>
      </c>
      <c r="M3054" s="1" t="s">
        <v>125</v>
      </c>
      <c r="N3054" s="1">
        <v>1</v>
      </c>
      <c r="O3054" s="58"/>
      <c r="P3054" s="58">
        <v>1483763.4</v>
      </c>
      <c r="Q3054" t="s">
        <v>110</v>
      </c>
      <c r="R3054" s="1" t="s">
        <v>158</v>
      </c>
    </row>
    <row r="3055" spans="3:18" x14ac:dyDescent="0.35">
      <c r="C3055" t="s">
        <v>51</v>
      </c>
      <c r="D3055" t="s">
        <v>21</v>
      </c>
      <c r="E3055" t="s">
        <v>45</v>
      </c>
      <c r="F3055" t="s">
        <v>46</v>
      </c>
      <c r="G3055" s="58">
        <v>927856</v>
      </c>
      <c r="H3055" s="1" t="s">
        <v>48</v>
      </c>
      <c r="I3055" s="1" t="s">
        <v>119</v>
      </c>
      <c r="J3055" s="58">
        <v>8350704</v>
      </c>
      <c r="K3055" s="1" t="s">
        <v>106</v>
      </c>
      <c r="L3055" s="1" t="s">
        <v>120</v>
      </c>
      <c r="M3055" s="1" t="s">
        <v>126</v>
      </c>
      <c r="N3055" s="1">
        <v>1</v>
      </c>
      <c r="O3055" s="58"/>
      <c r="P3055" s="58">
        <v>445370.88</v>
      </c>
      <c r="Q3055" t="s">
        <v>113</v>
      </c>
      <c r="R3055" s="1" t="s">
        <v>48</v>
      </c>
    </row>
    <row r="3056" spans="3:18" x14ac:dyDescent="0.35">
      <c r="C3056" t="s">
        <v>51</v>
      </c>
      <c r="D3056" t="s">
        <v>23</v>
      </c>
      <c r="E3056" t="s">
        <v>45</v>
      </c>
      <c r="F3056" t="s">
        <v>46</v>
      </c>
      <c r="G3056" s="58">
        <v>31487</v>
      </c>
      <c r="H3056" s="1" t="s">
        <v>54</v>
      </c>
      <c r="I3056" s="1" t="s">
        <v>119</v>
      </c>
      <c r="J3056" s="58">
        <v>314870</v>
      </c>
      <c r="K3056" s="1" t="s">
        <v>106</v>
      </c>
      <c r="L3056" s="1" t="s">
        <v>124</v>
      </c>
      <c r="N3056" s="1">
        <v>1</v>
      </c>
      <c r="O3056" s="58"/>
      <c r="P3056" s="58">
        <v>6927.14</v>
      </c>
      <c r="Q3056" t="s">
        <v>107</v>
      </c>
      <c r="R3056" s="1" t="s">
        <v>158</v>
      </c>
    </row>
    <row r="3057" spans="3:18" x14ac:dyDescent="0.35">
      <c r="C3057" t="s">
        <v>51</v>
      </c>
      <c r="D3057" t="s">
        <v>24</v>
      </c>
      <c r="E3057" t="s">
        <v>55</v>
      </c>
      <c r="F3057" t="s">
        <v>46</v>
      </c>
      <c r="G3057" s="58">
        <v>113156563</v>
      </c>
      <c r="H3057" s="1" t="s">
        <v>47</v>
      </c>
      <c r="I3057" s="1" t="s">
        <v>111</v>
      </c>
      <c r="J3057" s="58">
        <v>1697348445</v>
      </c>
      <c r="K3057" s="1" t="s">
        <v>106</v>
      </c>
      <c r="L3057" s="1" t="s">
        <v>114</v>
      </c>
      <c r="N3057" s="1">
        <v>1</v>
      </c>
      <c r="O3057" s="58"/>
      <c r="P3057" s="58">
        <v>31683837.640000001</v>
      </c>
      <c r="Q3057" t="s">
        <v>107</v>
      </c>
      <c r="R3057" s="1" t="s">
        <v>158</v>
      </c>
    </row>
    <row r="3058" spans="3:18" x14ac:dyDescent="0.35">
      <c r="C3058" t="s">
        <v>51</v>
      </c>
      <c r="D3058" t="s">
        <v>22</v>
      </c>
      <c r="E3058" t="s">
        <v>49</v>
      </c>
      <c r="F3058" t="s">
        <v>46</v>
      </c>
      <c r="G3058" s="58">
        <v>259209</v>
      </c>
      <c r="H3058" s="1" t="s">
        <v>54</v>
      </c>
      <c r="I3058" s="1" t="s">
        <v>111</v>
      </c>
      <c r="J3058" s="58">
        <v>3369717</v>
      </c>
      <c r="K3058" s="1" t="s">
        <v>106</v>
      </c>
      <c r="L3058" s="1" t="s">
        <v>116</v>
      </c>
      <c r="N3058" s="1">
        <v>1</v>
      </c>
      <c r="O3058" s="58"/>
      <c r="P3058" s="58">
        <v>38881.35</v>
      </c>
      <c r="Q3058" t="s">
        <v>107</v>
      </c>
      <c r="R3058" s="1" t="s">
        <v>158</v>
      </c>
    </row>
    <row r="3059" spans="3:18" x14ac:dyDescent="0.35">
      <c r="C3059" t="s">
        <v>51</v>
      </c>
      <c r="D3059" t="s">
        <v>24</v>
      </c>
      <c r="E3059" t="s">
        <v>55</v>
      </c>
      <c r="F3059" t="s">
        <v>46</v>
      </c>
      <c r="G3059" s="58">
        <v>146966</v>
      </c>
      <c r="H3059" s="1" t="s">
        <v>47</v>
      </c>
      <c r="I3059" s="1" t="s">
        <v>119</v>
      </c>
      <c r="J3059" s="58">
        <v>1322694</v>
      </c>
      <c r="K3059" s="1" t="s">
        <v>106</v>
      </c>
      <c r="L3059" s="1" t="s">
        <v>116</v>
      </c>
      <c r="N3059" s="1">
        <v>1</v>
      </c>
      <c r="O3059" s="58"/>
      <c r="P3059" s="58">
        <v>79361.64</v>
      </c>
      <c r="Q3059" t="s">
        <v>113</v>
      </c>
      <c r="R3059" s="1" t="s">
        <v>158</v>
      </c>
    </row>
    <row r="3060" spans="3:18" x14ac:dyDescent="0.35">
      <c r="C3060" t="s">
        <v>51</v>
      </c>
      <c r="D3060" t="s">
        <v>20</v>
      </c>
      <c r="E3060" t="s">
        <v>49</v>
      </c>
      <c r="F3060" t="s">
        <v>46</v>
      </c>
      <c r="G3060" s="58">
        <v>200766</v>
      </c>
      <c r="H3060" s="1" t="s">
        <v>59</v>
      </c>
      <c r="I3060" s="1" t="s">
        <v>111</v>
      </c>
      <c r="J3060" s="58">
        <v>3011490</v>
      </c>
      <c r="K3060" s="1" t="s">
        <v>112</v>
      </c>
      <c r="N3060" s="1">
        <v>1</v>
      </c>
      <c r="O3060" s="58"/>
      <c r="P3060" s="58">
        <v>138528.54</v>
      </c>
      <c r="Q3060" t="s">
        <v>118</v>
      </c>
      <c r="R3060" s="1" t="s">
        <v>158</v>
      </c>
    </row>
    <row r="3061" spans="3:18" x14ac:dyDescent="0.35">
      <c r="C3061" t="s">
        <v>51</v>
      </c>
      <c r="D3061" t="s">
        <v>24</v>
      </c>
      <c r="E3061" t="s">
        <v>49</v>
      </c>
      <c r="F3061" t="s">
        <v>46</v>
      </c>
      <c r="G3061" s="58">
        <v>82986</v>
      </c>
      <c r="H3061" s="1" t="s">
        <v>48</v>
      </c>
      <c r="I3061" s="1" t="s">
        <v>108</v>
      </c>
      <c r="J3061" s="58">
        <v>2904510</v>
      </c>
      <c r="K3061" s="1" t="s">
        <v>112</v>
      </c>
      <c r="N3061" s="1">
        <v>1</v>
      </c>
      <c r="O3061" s="58"/>
      <c r="P3061" s="58">
        <v>24895.8</v>
      </c>
      <c r="Q3061" t="s">
        <v>107</v>
      </c>
      <c r="R3061" s="1" t="s">
        <v>48</v>
      </c>
    </row>
    <row r="3062" spans="3:18" x14ac:dyDescent="0.35">
      <c r="C3062" t="s">
        <v>44</v>
      </c>
      <c r="D3062" t="s">
        <v>92</v>
      </c>
      <c r="E3062" t="s">
        <v>49</v>
      </c>
      <c r="F3062" t="s">
        <v>46</v>
      </c>
      <c r="G3062" s="58">
        <v>6722831</v>
      </c>
      <c r="H3062" s="1" t="s">
        <v>54</v>
      </c>
      <c r="I3062" s="1" t="s">
        <v>108</v>
      </c>
      <c r="J3062" s="58"/>
      <c r="N3062" s="1">
        <v>0</v>
      </c>
      <c r="O3062" s="58"/>
      <c r="P3062" s="58"/>
      <c r="R3062" s="1" t="s">
        <v>158</v>
      </c>
    </row>
    <row r="3063" spans="3:18" x14ac:dyDescent="0.35">
      <c r="C3063" t="s">
        <v>51</v>
      </c>
      <c r="D3063" t="s">
        <v>19</v>
      </c>
      <c r="E3063" t="s">
        <v>49</v>
      </c>
      <c r="F3063" t="s">
        <v>46</v>
      </c>
      <c r="G3063" s="58">
        <v>673899</v>
      </c>
      <c r="H3063" s="1" t="s">
        <v>54</v>
      </c>
      <c r="I3063" s="1" t="s">
        <v>108</v>
      </c>
      <c r="J3063" s="58">
        <v>20216970</v>
      </c>
      <c r="K3063" s="1" t="s">
        <v>106</v>
      </c>
      <c r="L3063" s="1" t="s">
        <v>120</v>
      </c>
      <c r="N3063" s="1">
        <v>1</v>
      </c>
      <c r="O3063" s="58"/>
      <c r="P3063" s="58">
        <v>559336.17000000004</v>
      </c>
      <c r="Q3063" t="s">
        <v>127</v>
      </c>
      <c r="R3063" s="1" t="s">
        <v>158</v>
      </c>
    </row>
    <row r="3064" spans="3:18" x14ac:dyDescent="0.35">
      <c r="C3064" t="s">
        <v>51</v>
      </c>
      <c r="D3064" t="s">
        <v>19</v>
      </c>
      <c r="E3064" t="s">
        <v>49</v>
      </c>
      <c r="F3064" t="s">
        <v>64</v>
      </c>
      <c r="G3064" s="58">
        <v>599251</v>
      </c>
      <c r="H3064" s="1" t="s">
        <v>48</v>
      </c>
      <c r="I3064" s="1" t="s">
        <v>111</v>
      </c>
      <c r="J3064" s="58">
        <v>9588016</v>
      </c>
      <c r="K3064" s="1" t="s">
        <v>112</v>
      </c>
      <c r="N3064" s="1">
        <v>1</v>
      </c>
      <c r="O3064" s="58"/>
      <c r="P3064" s="58">
        <v>179775.3</v>
      </c>
      <c r="Q3064" t="s">
        <v>107</v>
      </c>
      <c r="R3064" s="1" t="s">
        <v>48</v>
      </c>
    </row>
    <row r="3065" spans="3:18" x14ac:dyDescent="0.35">
      <c r="C3065" t="s">
        <v>51</v>
      </c>
      <c r="D3065" t="s">
        <v>21</v>
      </c>
      <c r="E3065" t="s">
        <v>49</v>
      </c>
      <c r="F3065" t="s">
        <v>46</v>
      </c>
      <c r="G3065" s="58">
        <v>1718310</v>
      </c>
      <c r="H3065" s="1" t="s">
        <v>48</v>
      </c>
      <c r="I3065" s="1" t="s">
        <v>108</v>
      </c>
      <c r="J3065" s="58">
        <v>56704230</v>
      </c>
      <c r="K3065" s="1" t="s">
        <v>106</v>
      </c>
      <c r="L3065" s="1" t="s">
        <v>120</v>
      </c>
      <c r="M3065" s="1" t="s">
        <v>126</v>
      </c>
      <c r="N3065" s="1">
        <v>1</v>
      </c>
      <c r="O3065" s="58"/>
      <c r="P3065" s="58">
        <v>1271549.3999999999</v>
      </c>
      <c r="Q3065" t="s">
        <v>118</v>
      </c>
      <c r="R3065" s="1" t="s">
        <v>48</v>
      </c>
    </row>
    <row r="3066" spans="3:18" x14ac:dyDescent="0.35">
      <c r="C3066" t="s">
        <v>51</v>
      </c>
      <c r="D3066" t="s">
        <v>21</v>
      </c>
      <c r="E3066" t="s">
        <v>45</v>
      </c>
      <c r="F3066" t="s">
        <v>46</v>
      </c>
      <c r="G3066" s="58">
        <v>1746648</v>
      </c>
      <c r="H3066" s="1" t="s">
        <v>48</v>
      </c>
      <c r="I3066" s="1" t="s">
        <v>119</v>
      </c>
      <c r="J3066" s="58">
        <v>12226536</v>
      </c>
      <c r="K3066" s="1" t="s">
        <v>106</v>
      </c>
      <c r="L3066" s="1" t="s">
        <v>120</v>
      </c>
      <c r="M3066" s="1" t="s">
        <v>126</v>
      </c>
      <c r="N3066" s="1">
        <v>1</v>
      </c>
      <c r="O3066" s="58"/>
      <c r="P3066" s="58">
        <v>419195.52</v>
      </c>
      <c r="Q3066" t="s">
        <v>107</v>
      </c>
      <c r="R3066" s="1" t="s">
        <v>48</v>
      </c>
    </row>
    <row r="3067" spans="3:18" x14ac:dyDescent="0.35">
      <c r="C3067" t="s">
        <v>51</v>
      </c>
      <c r="D3067" t="s">
        <v>22</v>
      </c>
      <c r="E3067" t="s">
        <v>45</v>
      </c>
      <c r="F3067" t="s">
        <v>46</v>
      </c>
      <c r="G3067" s="58">
        <v>324735</v>
      </c>
      <c r="H3067" s="1" t="s">
        <v>54</v>
      </c>
      <c r="I3067" s="1" t="s">
        <v>111</v>
      </c>
      <c r="J3067" s="58">
        <v>5520495</v>
      </c>
      <c r="K3067" s="1" t="s">
        <v>112</v>
      </c>
      <c r="N3067" s="1">
        <v>1</v>
      </c>
      <c r="O3067" s="58"/>
      <c r="P3067" s="58">
        <v>230561.85</v>
      </c>
      <c r="Q3067" t="s">
        <v>118</v>
      </c>
      <c r="R3067" s="1" t="s">
        <v>158</v>
      </c>
    </row>
    <row r="3068" spans="3:18" x14ac:dyDescent="0.35">
      <c r="C3068" t="s">
        <v>51</v>
      </c>
      <c r="D3068" t="s">
        <v>23</v>
      </c>
      <c r="E3068" t="s">
        <v>62</v>
      </c>
      <c r="F3068" t="s">
        <v>64</v>
      </c>
      <c r="G3068" s="58">
        <v>216733</v>
      </c>
      <c r="H3068" s="1" t="s">
        <v>48</v>
      </c>
      <c r="I3068" s="1" t="s">
        <v>108</v>
      </c>
      <c r="J3068" s="58">
        <v>8669320</v>
      </c>
      <c r="K3068" s="1" t="s">
        <v>112</v>
      </c>
      <c r="N3068" s="1">
        <v>1</v>
      </c>
      <c r="O3068" s="58"/>
      <c r="P3068" s="58">
        <v>184223.05</v>
      </c>
      <c r="Q3068" t="s">
        <v>127</v>
      </c>
      <c r="R3068" s="1" t="s">
        <v>48</v>
      </c>
    </row>
    <row r="3069" spans="3:18" x14ac:dyDescent="0.35">
      <c r="C3069" t="s">
        <v>51</v>
      </c>
      <c r="D3069" t="s">
        <v>92</v>
      </c>
      <c r="E3069" t="s">
        <v>49</v>
      </c>
      <c r="F3069" t="s">
        <v>46</v>
      </c>
      <c r="G3069" s="58">
        <v>10112821</v>
      </c>
      <c r="H3069" s="1" t="s">
        <v>48</v>
      </c>
      <c r="I3069" s="1" t="s">
        <v>108</v>
      </c>
      <c r="J3069" s="58">
        <v>283158988</v>
      </c>
      <c r="K3069" s="1" t="s">
        <v>106</v>
      </c>
      <c r="L3069" s="1" t="s">
        <v>124</v>
      </c>
      <c r="M3069" s="1" t="s">
        <v>123</v>
      </c>
      <c r="N3069" s="1">
        <v>1</v>
      </c>
      <c r="O3069" s="58"/>
      <c r="P3069" s="58">
        <v>3033846.3</v>
      </c>
      <c r="Q3069" t="s">
        <v>107</v>
      </c>
      <c r="R3069" s="1" t="s">
        <v>48</v>
      </c>
    </row>
    <row r="3070" spans="3:18" x14ac:dyDescent="0.35">
      <c r="C3070" t="s">
        <v>53</v>
      </c>
      <c r="D3070" t="s">
        <v>23</v>
      </c>
      <c r="E3070" t="s">
        <v>55</v>
      </c>
      <c r="F3070" t="s">
        <v>46</v>
      </c>
      <c r="G3070" s="58">
        <v>718065</v>
      </c>
      <c r="H3070" s="1" t="s">
        <v>47</v>
      </c>
      <c r="I3070" s="1" t="s">
        <v>119</v>
      </c>
      <c r="J3070" s="58">
        <v>6462585</v>
      </c>
      <c r="K3070" s="1" t="s">
        <v>106</v>
      </c>
      <c r="L3070" s="1" t="s">
        <v>120</v>
      </c>
      <c r="N3070" s="1">
        <v>1</v>
      </c>
      <c r="O3070" s="58"/>
      <c r="P3070" s="58">
        <v>201058.2</v>
      </c>
      <c r="Q3070" t="s">
        <v>107</v>
      </c>
      <c r="R3070" s="1" t="s">
        <v>158</v>
      </c>
    </row>
    <row r="3071" spans="3:18" x14ac:dyDescent="0.35">
      <c r="C3071" t="s">
        <v>51</v>
      </c>
      <c r="D3071" t="s">
        <v>21</v>
      </c>
      <c r="E3071" t="s">
        <v>55</v>
      </c>
      <c r="F3071" t="s">
        <v>46</v>
      </c>
      <c r="G3071" s="58">
        <v>93849</v>
      </c>
      <c r="H3071" s="1" t="s">
        <v>48</v>
      </c>
      <c r="I3071" s="1" t="s">
        <v>119</v>
      </c>
      <c r="J3071" s="58">
        <v>750792</v>
      </c>
      <c r="K3071" s="1" t="s">
        <v>106</v>
      </c>
      <c r="L3071" s="1" t="s">
        <v>124</v>
      </c>
      <c r="M3071" s="1" t="s">
        <v>126</v>
      </c>
      <c r="N3071" s="1">
        <v>1</v>
      </c>
      <c r="O3071" s="58"/>
      <c r="P3071" s="58">
        <v>19708.29</v>
      </c>
      <c r="Q3071" t="s">
        <v>107</v>
      </c>
      <c r="R3071" s="1" t="s">
        <v>48</v>
      </c>
    </row>
    <row r="3072" spans="3:18" x14ac:dyDescent="0.35">
      <c r="C3072" t="s">
        <v>51</v>
      </c>
      <c r="D3072" t="s">
        <v>24</v>
      </c>
      <c r="E3072" t="s">
        <v>55</v>
      </c>
      <c r="F3072" t="s">
        <v>46</v>
      </c>
      <c r="G3072" s="58">
        <v>241265</v>
      </c>
      <c r="H3072" s="1" t="s">
        <v>56</v>
      </c>
      <c r="I3072" s="1" t="s">
        <v>108</v>
      </c>
      <c r="J3072" s="58">
        <v>6514155</v>
      </c>
      <c r="K3072" s="1" t="s">
        <v>112</v>
      </c>
      <c r="N3072" s="1">
        <v>1</v>
      </c>
      <c r="O3072" s="58"/>
      <c r="P3072" s="58">
        <v>65141.55</v>
      </c>
      <c r="Q3072" t="s">
        <v>107</v>
      </c>
      <c r="R3072" s="1" t="s">
        <v>158</v>
      </c>
    </row>
    <row r="3073" spans="3:18" x14ac:dyDescent="0.35">
      <c r="C3073" t="s">
        <v>51</v>
      </c>
      <c r="D3073" t="s">
        <v>91</v>
      </c>
      <c r="E3073" t="s">
        <v>49</v>
      </c>
      <c r="F3073" t="s">
        <v>46</v>
      </c>
      <c r="G3073" s="58">
        <v>370359</v>
      </c>
      <c r="H3073" s="1" t="s">
        <v>56</v>
      </c>
      <c r="I3073" s="1" t="s">
        <v>119</v>
      </c>
      <c r="J3073" s="58">
        <v>3333231</v>
      </c>
      <c r="K3073" s="1" t="s">
        <v>106</v>
      </c>
      <c r="L3073" s="1" t="s">
        <v>124</v>
      </c>
      <c r="N3073" s="1">
        <v>1</v>
      </c>
      <c r="O3073" s="58"/>
      <c r="P3073" s="58">
        <v>262954.89</v>
      </c>
      <c r="Q3073" t="s">
        <v>118</v>
      </c>
      <c r="R3073" s="1" t="s">
        <v>158</v>
      </c>
    </row>
    <row r="3074" spans="3:18" x14ac:dyDescent="0.35">
      <c r="C3074" t="s">
        <v>51</v>
      </c>
      <c r="D3074" t="s">
        <v>19</v>
      </c>
      <c r="E3074" t="s">
        <v>49</v>
      </c>
      <c r="F3074" t="s">
        <v>46</v>
      </c>
      <c r="G3074" s="58">
        <v>846084</v>
      </c>
      <c r="H3074" s="1" t="s">
        <v>54</v>
      </c>
      <c r="I3074" s="1" t="s">
        <v>108</v>
      </c>
      <c r="J3074" s="58">
        <v>26228604</v>
      </c>
      <c r="K3074" s="1" t="s">
        <v>112</v>
      </c>
      <c r="N3074" s="1">
        <v>1</v>
      </c>
      <c r="O3074" s="58"/>
      <c r="P3074" s="58">
        <v>668406.36</v>
      </c>
      <c r="Q3074" t="s">
        <v>118</v>
      </c>
      <c r="R3074" s="1" t="s">
        <v>158</v>
      </c>
    </row>
    <row r="3075" spans="3:18" x14ac:dyDescent="0.35">
      <c r="C3075" t="s">
        <v>53</v>
      </c>
      <c r="D3075" t="s">
        <v>23</v>
      </c>
      <c r="E3075" t="s">
        <v>45</v>
      </c>
      <c r="F3075" t="s">
        <v>46</v>
      </c>
      <c r="G3075" s="58">
        <v>5025879</v>
      </c>
      <c r="H3075" s="1" t="s">
        <v>47</v>
      </c>
      <c r="I3075" s="1" t="s">
        <v>105</v>
      </c>
      <c r="J3075" s="58">
        <v>15077637</v>
      </c>
      <c r="K3075" s="1" t="s">
        <v>106</v>
      </c>
      <c r="L3075" s="1" t="s">
        <v>120</v>
      </c>
      <c r="N3075" s="1">
        <v>1</v>
      </c>
      <c r="O3075" s="58"/>
      <c r="P3075" s="58">
        <v>2563198.29</v>
      </c>
      <c r="Q3075" t="s">
        <v>113</v>
      </c>
      <c r="R3075" s="1" t="s">
        <v>158</v>
      </c>
    </row>
    <row r="3076" spans="3:18" x14ac:dyDescent="0.35">
      <c r="C3076" t="s">
        <v>51</v>
      </c>
      <c r="D3076" t="s">
        <v>21</v>
      </c>
      <c r="E3076" t="s">
        <v>45</v>
      </c>
      <c r="F3076" t="s">
        <v>46</v>
      </c>
      <c r="G3076" s="58">
        <v>204525</v>
      </c>
      <c r="H3076" s="1" t="s">
        <v>48</v>
      </c>
      <c r="I3076" s="1" t="s">
        <v>108</v>
      </c>
      <c r="J3076" s="58">
        <v>4295025</v>
      </c>
      <c r="K3076" s="1" t="s">
        <v>106</v>
      </c>
      <c r="L3076" s="1" t="s">
        <v>120</v>
      </c>
      <c r="M3076" s="1" t="s">
        <v>115</v>
      </c>
      <c r="N3076" s="1">
        <v>1</v>
      </c>
      <c r="O3076" s="58"/>
      <c r="P3076" s="58">
        <v>128850.75</v>
      </c>
      <c r="Q3076" t="s">
        <v>118</v>
      </c>
      <c r="R3076" s="1" t="s">
        <v>158</v>
      </c>
    </row>
    <row r="3077" spans="3:18" x14ac:dyDescent="0.35">
      <c r="C3077" t="s">
        <v>51</v>
      </c>
      <c r="D3077" t="s">
        <v>91</v>
      </c>
      <c r="E3077" t="s">
        <v>45</v>
      </c>
      <c r="F3077" t="s">
        <v>46</v>
      </c>
      <c r="G3077" s="58">
        <v>81092</v>
      </c>
      <c r="H3077" s="1" t="s">
        <v>48</v>
      </c>
      <c r="I3077" s="1" t="s">
        <v>119</v>
      </c>
      <c r="J3077" s="58">
        <v>567644</v>
      </c>
      <c r="K3077" s="1" t="s">
        <v>106</v>
      </c>
      <c r="L3077" s="1" t="s">
        <v>120</v>
      </c>
      <c r="M3077" s="1" t="s">
        <v>122</v>
      </c>
      <c r="N3077" s="1">
        <v>1</v>
      </c>
      <c r="O3077" s="58"/>
      <c r="P3077" s="58">
        <v>18651.16</v>
      </c>
      <c r="Q3077" t="s">
        <v>107</v>
      </c>
      <c r="R3077" s="1" t="s">
        <v>48</v>
      </c>
    </row>
    <row r="3078" spans="3:18" x14ac:dyDescent="0.35">
      <c r="C3078" t="s">
        <v>51</v>
      </c>
      <c r="D3078" t="s">
        <v>23</v>
      </c>
      <c r="E3078" t="s">
        <v>45</v>
      </c>
      <c r="F3078" t="s">
        <v>46</v>
      </c>
      <c r="G3078" s="58">
        <v>131286</v>
      </c>
      <c r="H3078" s="1" t="s">
        <v>48</v>
      </c>
      <c r="I3078" s="1" t="s">
        <v>108</v>
      </c>
      <c r="J3078" s="58">
        <v>4463724</v>
      </c>
      <c r="K3078" s="1" t="s">
        <v>106</v>
      </c>
      <c r="L3078" s="1" t="s">
        <v>120</v>
      </c>
      <c r="M3078" s="1" t="s">
        <v>115</v>
      </c>
      <c r="N3078" s="1">
        <v>1</v>
      </c>
      <c r="O3078" s="58"/>
      <c r="P3078" s="58">
        <v>99777.36</v>
      </c>
      <c r="Q3078" t="s">
        <v>118</v>
      </c>
      <c r="R3078" s="1" t="s">
        <v>48</v>
      </c>
    </row>
    <row r="3079" spans="3:18" x14ac:dyDescent="0.35">
      <c r="C3079" t="s">
        <v>51</v>
      </c>
      <c r="D3079" t="s">
        <v>22</v>
      </c>
      <c r="E3079" t="s">
        <v>45</v>
      </c>
      <c r="F3079" t="s">
        <v>46</v>
      </c>
      <c r="G3079" s="58">
        <v>60092758</v>
      </c>
      <c r="H3079" s="1" t="s">
        <v>54</v>
      </c>
      <c r="I3079" s="1" t="s">
        <v>111</v>
      </c>
      <c r="J3079" s="58">
        <v>961484128</v>
      </c>
      <c r="K3079" s="1" t="s">
        <v>106</v>
      </c>
      <c r="L3079" s="1" t="s">
        <v>120</v>
      </c>
      <c r="N3079" s="1">
        <v>1</v>
      </c>
      <c r="O3079" s="58"/>
      <c r="P3079" s="58">
        <v>29445451.420000002</v>
      </c>
      <c r="Q3079" t="s">
        <v>113</v>
      </c>
      <c r="R3079" s="1" t="s">
        <v>158</v>
      </c>
    </row>
    <row r="3080" spans="3:18" x14ac:dyDescent="0.35">
      <c r="C3080" t="s">
        <v>53</v>
      </c>
      <c r="D3080" t="s">
        <v>24</v>
      </c>
      <c r="E3080" t="s">
        <v>55</v>
      </c>
      <c r="F3080" t="s">
        <v>46</v>
      </c>
      <c r="G3080" s="58">
        <v>364867</v>
      </c>
      <c r="H3080" s="1" t="s">
        <v>54</v>
      </c>
      <c r="I3080" s="1" t="s">
        <v>108</v>
      </c>
      <c r="J3080" s="58">
        <v>10946010</v>
      </c>
      <c r="K3080" s="1" t="s">
        <v>106</v>
      </c>
      <c r="L3080" s="1" t="s">
        <v>114</v>
      </c>
      <c r="N3080" s="1">
        <v>1</v>
      </c>
      <c r="O3080" s="58"/>
      <c r="P3080" s="58">
        <v>197028.18</v>
      </c>
      <c r="Q3080" t="s">
        <v>113</v>
      </c>
      <c r="R3080" s="1" t="s">
        <v>158</v>
      </c>
    </row>
    <row r="3081" spans="3:18" x14ac:dyDescent="0.35">
      <c r="C3081" t="s">
        <v>51</v>
      </c>
      <c r="D3081" t="s">
        <v>21</v>
      </c>
      <c r="E3081" t="s">
        <v>49</v>
      </c>
      <c r="F3081" t="s">
        <v>46</v>
      </c>
      <c r="G3081" s="58">
        <v>2164039</v>
      </c>
      <c r="H3081" s="1" t="s">
        <v>48</v>
      </c>
      <c r="I3081" s="1" t="s">
        <v>111</v>
      </c>
      <c r="J3081" s="58">
        <v>36788663</v>
      </c>
      <c r="K3081" s="1" t="s">
        <v>112</v>
      </c>
      <c r="N3081" s="1">
        <v>1</v>
      </c>
      <c r="O3081" s="58"/>
      <c r="P3081" s="58">
        <v>605930.92000000004</v>
      </c>
      <c r="Q3081" t="s">
        <v>107</v>
      </c>
      <c r="R3081" s="1" t="s">
        <v>48</v>
      </c>
    </row>
    <row r="3082" spans="3:18" x14ac:dyDescent="0.35">
      <c r="C3082" t="s">
        <v>51</v>
      </c>
      <c r="D3082" t="s">
        <v>21</v>
      </c>
      <c r="E3082" t="s">
        <v>49</v>
      </c>
      <c r="F3082" t="s">
        <v>46</v>
      </c>
      <c r="G3082" s="58">
        <v>3273000</v>
      </c>
      <c r="H3082" s="1" t="s">
        <v>48</v>
      </c>
      <c r="I3082" s="1" t="s">
        <v>108</v>
      </c>
      <c r="J3082" s="58">
        <v>127647000</v>
      </c>
      <c r="K3082" s="1" t="s">
        <v>112</v>
      </c>
      <c r="N3082" s="1">
        <v>1</v>
      </c>
      <c r="O3082" s="58"/>
      <c r="P3082" s="58">
        <v>3273000</v>
      </c>
      <c r="Q3082" t="s">
        <v>110</v>
      </c>
      <c r="R3082" s="1" t="s">
        <v>48</v>
      </c>
    </row>
    <row r="3083" spans="3:18" x14ac:dyDescent="0.35">
      <c r="C3083" t="s">
        <v>53</v>
      </c>
      <c r="D3083" t="s">
        <v>92</v>
      </c>
      <c r="E3083" t="s">
        <v>45</v>
      </c>
      <c r="F3083" t="s">
        <v>46</v>
      </c>
      <c r="G3083" s="58">
        <v>7196497</v>
      </c>
      <c r="H3083" s="1" t="s">
        <v>47</v>
      </c>
      <c r="I3083" s="1" t="s">
        <v>119</v>
      </c>
      <c r="J3083" s="58">
        <v>50375479</v>
      </c>
      <c r="K3083" s="1" t="s">
        <v>106</v>
      </c>
      <c r="L3083" s="1" t="s">
        <v>120</v>
      </c>
      <c r="N3083" s="1">
        <v>1</v>
      </c>
      <c r="O3083" s="58"/>
      <c r="P3083" s="58">
        <v>1583229.34</v>
      </c>
      <c r="Q3083" t="s">
        <v>107</v>
      </c>
      <c r="R3083" s="1" t="s">
        <v>158</v>
      </c>
    </row>
    <row r="3084" spans="3:18" x14ac:dyDescent="0.35">
      <c r="C3084" t="s">
        <v>51</v>
      </c>
      <c r="D3084" t="s">
        <v>92</v>
      </c>
      <c r="E3084" t="s">
        <v>49</v>
      </c>
      <c r="F3084" t="s">
        <v>46</v>
      </c>
      <c r="G3084" s="58">
        <v>68341</v>
      </c>
      <c r="H3084" s="1" t="s">
        <v>59</v>
      </c>
      <c r="I3084" s="1" t="s">
        <v>119</v>
      </c>
      <c r="J3084" s="58">
        <v>341705</v>
      </c>
      <c r="K3084" s="1" t="s">
        <v>106</v>
      </c>
      <c r="L3084" s="1" t="s">
        <v>120</v>
      </c>
      <c r="N3084" s="1">
        <v>1</v>
      </c>
      <c r="O3084" s="58"/>
      <c r="P3084" s="58">
        <v>12301.38</v>
      </c>
      <c r="Q3084" t="s">
        <v>107</v>
      </c>
      <c r="R3084" s="1" t="s">
        <v>158</v>
      </c>
    </row>
    <row r="3085" spans="3:18" x14ac:dyDescent="0.35">
      <c r="C3085" t="s">
        <v>51</v>
      </c>
      <c r="D3085" t="s">
        <v>92</v>
      </c>
      <c r="E3085" t="s">
        <v>49</v>
      </c>
      <c r="F3085" t="s">
        <v>46</v>
      </c>
      <c r="G3085" s="58">
        <v>40643</v>
      </c>
      <c r="H3085" s="1" t="s">
        <v>56</v>
      </c>
      <c r="I3085" s="1" t="s">
        <v>105</v>
      </c>
      <c r="J3085" s="58">
        <v>162572</v>
      </c>
      <c r="K3085" s="1" t="s">
        <v>106</v>
      </c>
      <c r="L3085" s="1" t="s">
        <v>124</v>
      </c>
      <c r="N3085" s="1">
        <v>1</v>
      </c>
      <c r="O3085" s="58"/>
      <c r="P3085" s="58">
        <v>31701.54</v>
      </c>
      <c r="Q3085" t="s">
        <v>118</v>
      </c>
      <c r="R3085" s="1" t="s">
        <v>158</v>
      </c>
    </row>
    <row r="3086" spans="3:18" x14ac:dyDescent="0.35">
      <c r="C3086" t="s">
        <v>53</v>
      </c>
      <c r="D3086" t="s">
        <v>92</v>
      </c>
      <c r="E3086" t="s">
        <v>45</v>
      </c>
      <c r="F3086" t="s">
        <v>46</v>
      </c>
      <c r="G3086" s="58">
        <v>15674650</v>
      </c>
      <c r="H3086" s="1" t="s">
        <v>56</v>
      </c>
      <c r="I3086" s="1" t="s">
        <v>119</v>
      </c>
      <c r="J3086" s="58">
        <v>125397200</v>
      </c>
      <c r="K3086" s="1" t="s">
        <v>106</v>
      </c>
      <c r="L3086" s="1" t="s">
        <v>120</v>
      </c>
      <c r="N3086" s="1">
        <v>1</v>
      </c>
      <c r="O3086" s="58"/>
      <c r="P3086" s="58">
        <v>7994071.5</v>
      </c>
      <c r="Q3086" t="s">
        <v>113</v>
      </c>
      <c r="R3086" s="1" t="s">
        <v>158</v>
      </c>
    </row>
    <row r="3087" spans="3:18" x14ac:dyDescent="0.35">
      <c r="C3087" t="s">
        <v>51</v>
      </c>
      <c r="D3087" t="s">
        <v>24</v>
      </c>
      <c r="E3087" t="s">
        <v>52</v>
      </c>
      <c r="F3087" t="s">
        <v>46</v>
      </c>
      <c r="G3087" s="58">
        <v>37067</v>
      </c>
      <c r="H3087" s="1" t="s">
        <v>48</v>
      </c>
      <c r="I3087" s="1" t="s">
        <v>119</v>
      </c>
      <c r="J3087" s="58">
        <v>222402</v>
      </c>
      <c r="K3087" s="1" t="s">
        <v>106</v>
      </c>
      <c r="L3087" s="1" t="s">
        <v>130</v>
      </c>
      <c r="M3087" s="1" t="s">
        <v>121</v>
      </c>
      <c r="N3087" s="1">
        <v>1</v>
      </c>
      <c r="O3087" s="58"/>
      <c r="P3087" s="58">
        <v>12232.11</v>
      </c>
      <c r="Q3087" t="s">
        <v>107</v>
      </c>
      <c r="R3087" s="1" t="s">
        <v>158</v>
      </c>
    </row>
    <row r="3088" spans="3:18" x14ac:dyDescent="0.35">
      <c r="C3088" t="s">
        <v>51</v>
      </c>
      <c r="D3088" t="s">
        <v>23</v>
      </c>
      <c r="E3088" t="s">
        <v>45</v>
      </c>
      <c r="F3088" t="s">
        <v>46</v>
      </c>
      <c r="G3088" s="58">
        <v>57735</v>
      </c>
      <c r="H3088" s="1" t="s">
        <v>54</v>
      </c>
      <c r="I3088" s="1" t="s">
        <v>108</v>
      </c>
      <c r="J3088" s="58">
        <v>1212435</v>
      </c>
      <c r="K3088" s="1" t="s">
        <v>112</v>
      </c>
      <c r="N3088" s="1">
        <v>1</v>
      </c>
      <c r="O3088" s="58"/>
      <c r="P3088" s="58">
        <v>21361.95</v>
      </c>
      <c r="Q3088" t="s">
        <v>107</v>
      </c>
      <c r="R3088" s="1" t="s">
        <v>158</v>
      </c>
    </row>
    <row r="3089" spans="3:18" x14ac:dyDescent="0.35">
      <c r="C3089" t="s">
        <v>51</v>
      </c>
      <c r="D3089" t="s">
        <v>23</v>
      </c>
      <c r="E3089" t="s">
        <v>49</v>
      </c>
      <c r="F3089" t="s">
        <v>46</v>
      </c>
      <c r="G3089" s="58">
        <v>7866841</v>
      </c>
      <c r="H3089" s="1" t="s">
        <v>48</v>
      </c>
      <c r="I3089" s="1" t="s">
        <v>111</v>
      </c>
      <c r="J3089" s="58">
        <v>125869456</v>
      </c>
      <c r="K3089" s="1" t="s">
        <v>106</v>
      </c>
      <c r="L3089" s="1" t="s">
        <v>124</v>
      </c>
      <c r="M3089" s="1" t="s">
        <v>125</v>
      </c>
      <c r="N3089" s="1">
        <v>1</v>
      </c>
      <c r="O3089" s="58"/>
      <c r="P3089" s="58">
        <v>3854752.09</v>
      </c>
      <c r="Q3089" t="s">
        <v>113</v>
      </c>
      <c r="R3089" s="1" t="s">
        <v>158</v>
      </c>
    </row>
    <row r="3090" spans="3:18" x14ac:dyDescent="0.35">
      <c r="C3090" t="s">
        <v>51</v>
      </c>
      <c r="D3090" t="s">
        <v>91</v>
      </c>
      <c r="E3090" t="s">
        <v>49</v>
      </c>
      <c r="F3090" t="s">
        <v>46</v>
      </c>
      <c r="G3090" s="58">
        <v>128387</v>
      </c>
      <c r="H3090" s="1" t="s">
        <v>59</v>
      </c>
      <c r="I3090" s="1" t="s">
        <v>111</v>
      </c>
      <c r="J3090" s="58">
        <v>1925805</v>
      </c>
      <c r="K3090" s="1" t="s">
        <v>106</v>
      </c>
      <c r="L3090" s="1" t="s">
        <v>120</v>
      </c>
      <c r="N3090" s="1">
        <v>1</v>
      </c>
      <c r="O3090" s="58"/>
      <c r="P3090" s="58">
        <v>32096.75</v>
      </c>
      <c r="Q3090" t="s">
        <v>107</v>
      </c>
      <c r="R3090" s="1" t="s">
        <v>158</v>
      </c>
    </row>
    <row r="3091" spans="3:18" x14ac:dyDescent="0.35">
      <c r="C3091" t="s">
        <v>51</v>
      </c>
      <c r="D3091" t="s">
        <v>24</v>
      </c>
      <c r="E3091" t="s">
        <v>55</v>
      </c>
      <c r="F3091" t="s">
        <v>46</v>
      </c>
      <c r="G3091" s="58">
        <v>90416</v>
      </c>
      <c r="H3091" s="1" t="s">
        <v>48</v>
      </c>
      <c r="I3091" s="1" t="s">
        <v>119</v>
      </c>
      <c r="J3091" s="58">
        <v>542496</v>
      </c>
      <c r="K3091" s="1" t="s">
        <v>112</v>
      </c>
      <c r="N3091" s="1">
        <v>1</v>
      </c>
      <c r="O3091" s="58"/>
      <c r="P3091" s="58">
        <v>22604</v>
      </c>
      <c r="Q3091" t="s">
        <v>107</v>
      </c>
      <c r="R3091" s="1" t="s">
        <v>158</v>
      </c>
    </row>
    <row r="3092" spans="3:18" x14ac:dyDescent="0.35">
      <c r="C3092" t="s">
        <v>51</v>
      </c>
      <c r="D3092" t="s">
        <v>21</v>
      </c>
      <c r="E3092" t="s">
        <v>49</v>
      </c>
      <c r="F3092" t="s">
        <v>46</v>
      </c>
      <c r="G3092" s="58">
        <v>1867949</v>
      </c>
      <c r="H3092" s="1" t="s">
        <v>47</v>
      </c>
      <c r="I3092" s="1" t="s">
        <v>111</v>
      </c>
      <c r="J3092" s="58">
        <v>29887184</v>
      </c>
      <c r="K3092" s="1" t="s">
        <v>112</v>
      </c>
      <c r="N3092" s="1">
        <v>1</v>
      </c>
      <c r="O3092" s="58"/>
      <c r="P3092" s="58">
        <v>1569077.16</v>
      </c>
      <c r="Q3092" t="s">
        <v>127</v>
      </c>
      <c r="R3092" s="1" t="s">
        <v>158</v>
      </c>
    </row>
    <row r="3093" spans="3:18" x14ac:dyDescent="0.35">
      <c r="C3093" t="s">
        <v>53</v>
      </c>
      <c r="D3093" t="s">
        <v>22</v>
      </c>
      <c r="E3093" t="s">
        <v>45</v>
      </c>
      <c r="F3093" t="s">
        <v>46</v>
      </c>
      <c r="G3093" s="58">
        <v>17724612</v>
      </c>
      <c r="H3093" s="1" t="s">
        <v>54</v>
      </c>
      <c r="I3093" s="1" t="s">
        <v>111</v>
      </c>
      <c r="J3093" s="58">
        <v>212695344</v>
      </c>
      <c r="K3093" s="1" t="s">
        <v>106</v>
      </c>
      <c r="L3093" s="1" t="s">
        <v>120</v>
      </c>
      <c r="N3093" s="1">
        <v>1</v>
      </c>
      <c r="O3093" s="58"/>
      <c r="P3093" s="58">
        <v>8685059.8800000008</v>
      </c>
      <c r="Q3093" t="s">
        <v>113</v>
      </c>
      <c r="R3093" s="1" t="s">
        <v>158</v>
      </c>
    </row>
    <row r="3094" spans="3:18" x14ac:dyDescent="0.35">
      <c r="C3094" t="s">
        <v>51</v>
      </c>
      <c r="D3094" t="s">
        <v>20</v>
      </c>
      <c r="E3094" t="s">
        <v>49</v>
      </c>
      <c r="F3094" t="s">
        <v>46</v>
      </c>
      <c r="G3094" s="58">
        <v>2344998</v>
      </c>
      <c r="H3094" s="1" t="s">
        <v>48</v>
      </c>
      <c r="I3094" s="1" t="s">
        <v>111</v>
      </c>
      <c r="J3094" s="58">
        <v>42209964</v>
      </c>
      <c r="K3094" s="1" t="s">
        <v>106</v>
      </c>
      <c r="L3094" s="1" t="s">
        <v>124</v>
      </c>
      <c r="M3094" s="1" t="s">
        <v>123</v>
      </c>
      <c r="N3094" s="1">
        <v>1</v>
      </c>
      <c r="O3094" s="58"/>
      <c r="P3094" s="58">
        <v>1547698.68</v>
      </c>
      <c r="Q3094" t="s">
        <v>118</v>
      </c>
      <c r="R3094" s="1" t="s">
        <v>48</v>
      </c>
    </row>
    <row r="3095" spans="3:18" x14ac:dyDescent="0.35">
      <c r="C3095" t="s">
        <v>51</v>
      </c>
      <c r="D3095" t="s">
        <v>22</v>
      </c>
      <c r="E3095" t="s">
        <v>45</v>
      </c>
      <c r="F3095" t="s">
        <v>46</v>
      </c>
      <c r="G3095" s="58">
        <v>4235442</v>
      </c>
      <c r="H3095" s="1" t="s">
        <v>56</v>
      </c>
      <c r="I3095" s="1" t="s">
        <v>111</v>
      </c>
      <c r="J3095" s="58">
        <v>67767072</v>
      </c>
      <c r="K3095" s="1" t="s">
        <v>112</v>
      </c>
      <c r="N3095" s="1">
        <v>1</v>
      </c>
      <c r="O3095" s="58"/>
      <c r="P3095" s="58">
        <v>1185923.76</v>
      </c>
      <c r="Q3095" t="s">
        <v>107</v>
      </c>
      <c r="R3095" s="1" t="s">
        <v>158</v>
      </c>
    </row>
    <row r="3096" spans="3:18" x14ac:dyDescent="0.35">
      <c r="C3096" t="s">
        <v>53</v>
      </c>
      <c r="D3096" t="s">
        <v>92</v>
      </c>
      <c r="E3096" t="s">
        <v>49</v>
      </c>
      <c r="F3096" t="s">
        <v>46</v>
      </c>
      <c r="G3096" s="58">
        <v>347449</v>
      </c>
      <c r="H3096" s="1" t="s">
        <v>47</v>
      </c>
      <c r="I3096" s="1" t="s">
        <v>119</v>
      </c>
      <c r="J3096" s="58">
        <v>2779592</v>
      </c>
      <c r="K3096" s="1" t="s">
        <v>112</v>
      </c>
      <c r="N3096" s="1">
        <v>1</v>
      </c>
      <c r="O3096" s="58"/>
      <c r="P3096" s="58">
        <v>66015.31</v>
      </c>
      <c r="Q3096" t="s">
        <v>107</v>
      </c>
      <c r="R3096" s="1" t="s">
        <v>158</v>
      </c>
    </row>
    <row r="3097" spans="3:18" x14ac:dyDescent="0.35">
      <c r="C3097" t="s">
        <v>51</v>
      </c>
      <c r="D3097" t="s">
        <v>19</v>
      </c>
      <c r="E3097" t="s">
        <v>49</v>
      </c>
      <c r="F3097" t="s">
        <v>46</v>
      </c>
      <c r="G3097" s="58">
        <v>245739</v>
      </c>
      <c r="H3097" s="1" t="s">
        <v>47</v>
      </c>
      <c r="I3097" s="1" t="s">
        <v>119</v>
      </c>
      <c r="J3097" s="58">
        <v>1720173</v>
      </c>
      <c r="K3097" s="1" t="s">
        <v>106</v>
      </c>
      <c r="L3097" s="1" t="s">
        <v>114</v>
      </c>
      <c r="N3097" s="1">
        <v>1</v>
      </c>
      <c r="O3097" s="58"/>
      <c r="P3097" s="58">
        <v>39318.239999999998</v>
      </c>
      <c r="Q3097" t="s">
        <v>107</v>
      </c>
      <c r="R3097" s="1" t="s">
        <v>158</v>
      </c>
    </row>
    <row r="3098" spans="3:18" x14ac:dyDescent="0.35">
      <c r="C3098" t="s">
        <v>51</v>
      </c>
      <c r="D3098" t="s">
        <v>22</v>
      </c>
      <c r="E3098" t="s">
        <v>49</v>
      </c>
      <c r="F3098" t="s">
        <v>46</v>
      </c>
      <c r="G3098" s="58">
        <v>2799414</v>
      </c>
      <c r="H3098" s="1" t="s">
        <v>58</v>
      </c>
      <c r="I3098" s="1" t="s">
        <v>108</v>
      </c>
      <c r="J3098" s="58">
        <v>89581248</v>
      </c>
      <c r="K3098" s="1" t="s">
        <v>106</v>
      </c>
      <c r="L3098" s="1" t="s">
        <v>124</v>
      </c>
      <c r="N3098" s="1">
        <v>1</v>
      </c>
      <c r="O3098" s="58"/>
      <c r="P3098" s="58">
        <v>1931595.66</v>
      </c>
      <c r="Q3098" t="s">
        <v>118</v>
      </c>
      <c r="R3098" s="1" t="s">
        <v>158</v>
      </c>
    </row>
    <row r="3099" spans="3:18" x14ac:dyDescent="0.35">
      <c r="C3099" t="s">
        <v>51</v>
      </c>
      <c r="D3099" t="s">
        <v>24</v>
      </c>
      <c r="E3099" t="s">
        <v>49</v>
      </c>
      <c r="F3099" t="s">
        <v>64</v>
      </c>
      <c r="G3099" s="58">
        <v>233324</v>
      </c>
      <c r="H3099" s="1" t="s">
        <v>48</v>
      </c>
      <c r="I3099" s="1" t="s">
        <v>108</v>
      </c>
      <c r="J3099" s="58">
        <v>4666480</v>
      </c>
      <c r="K3099" s="1" t="s">
        <v>112</v>
      </c>
      <c r="N3099" s="1">
        <v>1</v>
      </c>
      <c r="O3099" s="58"/>
      <c r="P3099" s="58">
        <v>191325.68</v>
      </c>
      <c r="Q3099" t="s">
        <v>127</v>
      </c>
      <c r="R3099" s="1" t="s">
        <v>48</v>
      </c>
    </row>
    <row r="3100" spans="3:18" x14ac:dyDescent="0.35">
      <c r="C3100" t="s">
        <v>51</v>
      </c>
      <c r="D3100" t="s">
        <v>21</v>
      </c>
      <c r="E3100" t="s">
        <v>49</v>
      </c>
      <c r="F3100" t="s">
        <v>64</v>
      </c>
      <c r="G3100" s="58">
        <v>71701</v>
      </c>
      <c r="H3100" s="1" t="s">
        <v>59</v>
      </c>
      <c r="I3100" s="1" t="s">
        <v>111</v>
      </c>
      <c r="J3100" s="58">
        <v>1218917</v>
      </c>
      <c r="K3100" s="1" t="s">
        <v>106</v>
      </c>
      <c r="L3100" s="1" t="s">
        <v>124</v>
      </c>
      <c r="N3100" s="1">
        <v>1</v>
      </c>
      <c r="O3100" s="58"/>
      <c r="P3100" s="58">
        <v>28680.400000000001</v>
      </c>
      <c r="Q3100" t="s">
        <v>107</v>
      </c>
      <c r="R3100" s="1" t="s">
        <v>158</v>
      </c>
    </row>
    <row r="3101" spans="3:18" x14ac:dyDescent="0.35">
      <c r="C3101" t="s">
        <v>53</v>
      </c>
      <c r="D3101" t="s">
        <v>22</v>
      </c>
      <c r="E3101" t="s">
        <v>45</v>
      </c>
      <c r="F3101" t="s">
        <v>46</v>
      </c>
      <c r="G3101" s="58">
        <v>14450139</v>
      </c>
      <c r="H3101" s="1" t="s">
        <v>47</v>
      </c>
      <c r="I3101" s="1" t="s">
        <v>128</v>
      </c>
      <c r="J3101" s="58"/>
      <c r="K3101" s="1" t="s">
        <v>112</v>
      </c>
      <c r="N3101" s="1">
        <v>0</v>
      </c>
      <c r="O3101" s="58"/>
      <c r="P3101" s="58">
        <v>4479543.09</v>
      </c>
      <c r="Q3101" t="s">
        <v>107</v>
      </c>
      <c r="R3101" s="1" t="s">
        <v>158</v>
      </c>
    </row>
    <row r="3102" spans="3:18" x14ac:dyDescent="0.35">
      <c r="C3102" t="s">
        <v>53</v>
      </c>
      <c r="D3102" t="s">
        <v>24</v>
      </c>
      <c r="E3102" t="s">
        <v>55</v>
      </c>
      <c r="F3102" t="s">
        <v>46</v>
      </c>
      <c r="G3102" s="58">
        <v>1167000</v>
      </c>
      <c r="H3102" s="1" t="s">
        <v>47</v>
      </c>
      <c r="I3102" s="1" t="s">
        <v>119</v>
      </c>
      <c r="J3102" s="58">
        <v>7002000</v>
      </c>
      <c r="K3102" s="1" t="s">
        <v>106</v>
      </c>
      <c r="L3102" s="1" t="s">
        <v>114</v>
      </c>
      <c r="N3102" s="1">
        <v>1</v>
      </c>
      <c r="O3102" s="58"/>
      <c r="P3102" s="58">
        <v>1750500</v>
      </c>
      <c r="Q3102" t="s">
        <v>110</v>
      </c>
      <c r="R3102" s="1" t="s">
        <v>158</v>
      </c>
    </row>
    <row r="3103" spans="3:18" x14ac:dyDescent="0.35">
      <c r="C3103" t="s">
        <v>53</v>
      </c>
      <c r="D3103" t="s">
        <v>22</v>
      </c>
      <c r="E3103" t="s">
        <v>45</v>
      </c>
      <c r="F3103" t="s">
        <v>46</v>
      </c>
      <c r="G3103" s="58">
        <v>89568</v>
      </c>
      <c r="H3103" s="1" t="s">
        <v>47</v>
      </c>
      <c r="I3103" s="1" t="s">
        <v>119</v>
      </c>
      <c r="J3103" s="58">
        <v>895680</v>
      </c>
      <c r="K3103" s="1" t="s">
        <v>112</v>
      </c>
      <c r="N3103" s="1">
        <v>1</v>
      </c>
      <c r="O3103" s="58"/>
      <c r="P3103" s="58">
        <v>42096.959999999999</v>
      </c>
      <c r="Q3103" t="s">
        <v>113</v>
      </c>
      <c r="R3103" s="1" t="s">
        <v>158</v>
      </c>
    </row>
    <row r="3104" spans="3:18" x14ac:dyDescent="0.35">
      <c r="C3104" t="s">
        <v>51</v>
      </c>
      <c r="D3104" t="s">
        <v>24</v>
      </c>
      <c r="E3104" t="s">
        <v>50</v>
      </c>
      <c r="F3104" t="s">
        <v>46</v>
      </c>
      <c r="G3104" s="58">
        <v>27978</v>
      </c>
      <c r="H3104" s="1" t="s">
        <v>47</v>
      </c>
      <c r="I3104" s="1" t="s">
        <v>111</v>
      </c>
      <c r="J3104" s="58">
        <v>363714</v>
      </c>
      <c r="K3104" s="1" t="s">
        <v>106</v>
      </c>
      <c r="L3104" s="1" t="s">
        <v>114</v>
      </c>
      <c r="N3104" s="1">
        <v>1</v>
      </c>
      <c r="O3104" s="58"/>
      <c r="P3104" s="58">
        <v>25739.759999999998</v>
      </c>
      <c r="Q3104" t="s">
        <v>127</v>
      </c>
      <c r="R3104" s="1" t="s">
        <v>158</v>
      </c>
    </row>
    <row r="3105" spans="3:18" x14ac:dyDescent="0.35">
      <c r="C3105" t="s">
        <v>51</v>
      </c>
      <c r="D3105" t="s">
        <v>24</v>
      </c>
      <c r="E3105" t="s">
        <v>55</v>
      </c>
      <c r="F3105" t="s">
        <v>46</v>
      </c>
      <c r="G3105" s="58">
        <v>43289</v>
      </c>
      <c r="H3105" s="1" t="s">
        <v>47</v>
      </c>
      <c r="I3105" s="1" t="s">
        <v>119</v>
      </c>
      <c r="J3105" s="58">
        <v>303023</v>
      </c>
      <c r="K3105" s="1" t="s">
        <v>106</v>
      </c>
      <c r="L3105" s="1" t="s">
        <v>114</v>
      </c>
      <c r="N3105" s="1">
        <v>1</v>
      </c>
      <c r="O3105" s="58"/>
      <c r="P3105" s="58">
        <v>53678.36</v>
      </c>
      <c r="Q3105" t="s">
        <v>110</v>
      </c>
      <c r="R3105" s="1" t="s">
        <v>158</v>
      </c>
    </row>
    <row r="3106" spans="3:18" x14ac:dyDescent="0.35">
      <c r="C3106" t="s">
        <v>53</v>
      </c>
      <c r="D3106" t="s">
        <v>19</v>
      </c>
      <c r="E3106" t="s">
        <v>49</v>
      </c>
      <c r="F3106" t="s">
        <v>46</v>
      </c>
      <c r="G3106" s="58">
        <v>2833041</v>
      </c>
      <c r="H3106" s="1" t="s">
        <v>47</v>
      </c>
      <c r="I3106" s="1" t="s">
        <v>111</v>
      </c>
      <c r="J3106" s="58">
        <v>33996492</v>
      </c>
      <c r="K3106" s="1" t="s">
        <v>106</v>
      </c>
      <c r="L3106" s="1" t="s">
        <v>124</v>
      </c>
      <c r="N3106" s="1">
        <v>1</v>
      </c>
      <c r="O3106" s="58"/>
      <c r="P3106" s="58">
        <v>793251.48</v>
      </c>
      <c r="Q3106" t="s">
        <v>107</v>
      </c>
      <c r="R3106" s="1" t="s">
        <v>158</v>
      </c>
    </row>
    <row r="3107" spans="3:18" x14ac:dyDescent="0.35">
      <c r="C3107" t="s">
        <v>51</v>
      </c>
      <c r="D3107" t="s">
        <v>20</v>
      </c>
      <c r="E3107" t="s">
        <v>49</v>
      </c>
      <c r="F3107" t="s">
        <v>46</v>
      </c>
      <c r="G3107" s="58">
        <v>328636</v>
      </c>
      <c r="H3107" s="1" t="s">
        <v>54</v>
      </c>
      <c r="I3107" s="1" t="s">
        <v>119</v>
      </c>
      <c r="J3107" s="58">
        <v>2957724</v>
      </c>
      <c r="K3107" s="1" t="s">
        <v>106</v>
      </c>
      <c r="L3107" s="1" t="s">
        <v>124</v>
      </c>
      <c r="N3107" s="1">
        <v>1</v>
      </c>
      <c r="O3107" s="58"/>
      <c r="P3107" s="58">
        <v>233331.56</v>
      </c>
      <c r="Q3107" t="s">
        <v>118</v>
      </c>
      <c r="R3107" s="1" t="s">
        <v>158</v>
      </c>
    </row>
    <row r="3108" spans="3:18" x14ac:dyDescent="0.35">
      <c r="C3108" t="s">
        <v>51</v>
      </c>
      <c r="D3108" t="s">
        <v>92</v>
      </c>
      <c r="E3108" t="s">
        <v>45</v>
      </c>
      <c r="F3108" t="s">
        <v>46</v>
      </c>
      <c r="G3108" s="58">
        <v>226299</v>
      </c>
      <c r="H3108" s="1" t="s">
        <v>56</v>
      </c>
      <c r="I3108" s="1" t="s">
        <v>111</v>
      </c>
      <c r="J3108" s="58">
        <v>4299681</v>
      </c>
      <c r="K3108" s="1" t="s">
        <v>106</v>
      </c>
      <c r="L3108" s="1" t="s">
        <v>120</v>
      </c>
      <c r="N3108" s="1">
        <v>1</v>
      </c>
      <c r="O3108" s="58"/>
      <c r="P3108" s="58">
        <v>167461.26</v>
      </c>
      <c r="Q3108" t="s">
        <v>118</v>
      </c>
      <c r="R3108" s="1" t="s">
        <v>158</v>
      </c>
    </row>
    <row r="3109" spans="3:18" x14ac:dyDescent="0.35">
      <c r="C3109" t="s">
        <v>53</v>
      </c>
      <c r="D3109" t="s">
        <v>21</v>
      </c>
      <c r="E3109" t="s">
        <v>49</v>
      </c>
      <c r="F3109" t="s">
        <v>46</v>
      </c>
      <c r="G3109" s="58">
        <v>36679198</v>
      </c>
      <c r="H3109" s="1" t="s">
        <v>54</v>
      </c>
      <c r="I3109" s="1" t="s">
        <v>111</v>
      </c>
      <c r="J3109" s="58">
        <v>440150376</v>
      </c>
      <c r="K3109" s="1" t="s">
        <v>112</v>
      </c>
      <c r="N3109" s="1">
        <v>1</v>
      </c>
      <c r="O3109" s="58"/>
      <c r="P3109" s="58">
        <v>23841478.699999999</v>
      </c>
      <c r="Q3109" t="s">
        <v>118</v>
      </c>
      <c r="R3109" s="1" t="s">
        <v>158</v>
      </c>
    </row>
    <row r="3110" spans="3:18" x14ac:dyDescent="0.35">
      <c r="C3110" t="s">
        <v>51</v>
      </c>
      <c r="D3110" t="s">
        <v>24</v>
      </c>
      <c r="E3110" t="s">
        <v>55</v>
      </c>
      <c r="F3110" t="s">
        <v>46</v>
      </c>
      <c r="G3110" s="58">
        <v>14958</v>
      </c>
      <c r="H3110" s="1" t="s">
        <v>48</v>
      </c>
      <c r="I3110" s="1" t="s">
        <v>105</v>
      </c>
      <c r="J3110" s="58">
        <v>44874</v>
      </c>
      <c r="K3110" s="1" t="s">
        <v>106</v>
      </c>
      <c r="L3110" s="1" t="s">
        <v>114</v>
      </c>
      <c r="M3110" s="1" t="s">
        <v>121</v>
      </c>
      <c r="N3110" s="1">
        <v>1</v>
      </c>
      <c r="O3110" s="58"/>
      <c r="P3110" s="58">
        <v>9722.7000000000007</v>
      </c>
      <c r="Q3110" t="s">
        <v>118</v>
      </c>
      <c r="R3110" s="1" t="s">
        <v>158</v>
      </c>
    </row>
    <row r="3111" spans="3:18" x14ac:dyDescent="0.35">
      <c r="C3111" t="s">
        <v>51</v>
      </c>
      <c r="D3111" t="s">
        <v>24</v>
      </c>
      <c r="E3111" t="s">
        <v>49</v>
      </c>
      <c r="F3111" t="s">
        <v>46</v>
      </c>
      <c r="G3111" s="58">
        <v>32085</v>
      </c>
      <c r="H3111" s="1" t="s">
        <v>48</v>
      </c>
      <c r="I3111" s="1" t="s">
        <v>108</v>
      </c>
      <c r="J3111" s="58">
        <v>898380</v>
      </c>
      <c r="K3111" s="1" t="s">
        <v>106</v>
      </c>
      <c r="L3111" s="1" t="s">
        <v>120</v>
      </c>
      <c r="M3111" s="1" t="s">
        <v>121</v>
      </c>
      <c r="N3111" s="1">
        <v>1</v>
      </c>
      <c r="O3111" s="58"/>
      <c r="P3111" s="58">
        <v>7058.7</v>
      </c>
      <c r="Q3111" t="s">
        <v>107</v>
      </c>
      <c r="R3111" s="1" t="s">
        <v>158</v>
      </c>
    </row>
    <row r="3112" spans="3:18" x14ac:dyDescent="0.35">
      <c r="C3112" t="s">
        <v>51</v>
      </c>
      <c r="D3112" t="s">
        <v>22</v>
      </c>
      <c r="E3112" t="s">
        <v>45</v>
      </c>
      <c r="F3112" t="s">
        <v>46</v>
      </c>
      <c r="G3112" s="58">
        <v>641240</v>
      </c>
      <c r="H3112" s="1" t="s">
        <v>48</v>
      </c>
      <c r="I3112" s="1" t="s">
        <v>108</v>
      </c>
      <c r="J3112" s="58">
        <v>14107280</v>
      </c>
      <c r="K3112" s="1" t="s">
        <v>106</v>
      </c>
      <c r="L3112" s="1" t="s">
        <v>120</v>
      </c>
      <c r="M3112" s="1" t="s">
        <v>115</v>
      </c>
      <c r="N3112" s="1">
        <v>1</v>
      </c>
      <c r="O3112" s="58"/>
      <c r="P3112" s="58">
        <v>910560.8</v>
      </c>
      <c r="Q3112" t="s">
        <v>110</v>
      </c>
      <c r="R3112" s="1" t="s">
        <v>48</v>
      </c>
    </row>
    <row r="3113" spans="3:18" x14ac:dyDescent="0.35">
      <c r="C3113" t="s">
        <v>51</v>
      </c>
      <c r="D3113" t="s">
        <v>23</v>
      </c>
      <c r="E3113" t="s">
        <v>55</v>
      </c>
      <c r="F3113" t="s">
        <v>46</v>
      </c>
      <c r="G3113" s="58">
        <v>299108</v>
      </c>
      <c r="H3113" s="1" t="s">
        <v>54</v>
      </c>
      <c r="I3113" s="1" t="s">
        <v>105</v>
      </c>
      <c r="J3113" s="58">
        <v>897324</v>
      </c>
      <c r="K3113" s="1" t="s">
        <v>106</v>
      </c>
      <c r="L3113" s="1" t="s">
        <v>120</v>
      </c>
      <c r="N3113" s="1">
        <v>1</v>
      </c>
      <c r="O3113" s="58"/>
      <c r="P3113" s="58">
        <v>29910.799999999999</v>
      </c>
      <c r="Q3113" t="s">
        <v>107</v>
      </c>
      <c r="R3113" s="1" t="s">
        <v>158</v>
      </c>
    </row>
    <row r="3114" spans="3:18" x14ac:dyDescent="0.35">
      <c r="C3114" t="s">
        <v>51</v>
      </c>
      <c r="D3114" t="s">
        <v>20</v>
      </c>
      <c r="E3114" t="s">
        <v>49</v>
      </c>
      <c r="F3114" t="s">
        <v>64</v>
      </c>
      <c r="G3114" s="58">
        <v>314746</v>
      </c>
      <c r="H3114" s="1" t="s">
        <v>47</v>
      </c>
      <c r="I3114" s="1" t="s">
        <v>108</v>
      </c>
      <c r="J3114" s="58">
        <v>11645602</v>
      </c>
      <c r="K3114" s="1" t="s">
        <v>112</v>
      </c>
      <c r="N3114" s="1">
        <v>1</v>
      </c>
      <c r="O3114" s="58"/>
      <c r="P3114" s="58">
        <v>151078.07999999999</v>
      </c>
      <c r="Q3114" t="s">
        <v>113</v>
      </c>
      <c r="R3114" s="1" t="s">
        <v>158</v>
      </c>
    </row>
    <row r="3115" spans="3:18" x14ac:dyDescent="0.35">
      <c r="C3115" t="s">
        <v>51</v>
      </c>
      <c r="D3115" t="s">
        <v>19</v>
      </c>
      <c r="E3115" t="s">
        <v>49</v>
      </c>
      <c r="F3115" t="s">
        <v>46</v>
      </c>
      <c r="G3115" s="58">
        <v>494660</v>
      </c>
      <c r="H3115" s="1" t="s">
        <v>48</v>
      </c>
      <c r="I3115" s="1" t="s">
        <v>111</v>
      </c>
      <c r="J3115" s="58">
        <v>8903880</v>
      </c>
      <c r="K3115" s="1" t="s">
        <v>106</v>
      </c>
      <c r="L3115" s="1" t="s">
        <v>124</v>
      </c>
      <c r="M3115" s="1" t="s">
        <v>126</v>
      </c>
      <c r="N3115" s="1">
        <v>1</v>
      </c>
      <c r="O3115" s="58"/>
      <c r="P3115" s="58">
        <v>301742.59999999998</v>
      </c>
      <c r="Q3115" t="s">
        <v>118</v>
      </c>
      <c r="R3115" s="1" t="s">
        <v>158</v>
      </c>
    </row>
    <row r="3116" spans="3:18" x14ac:dyDescent="0.35">
      <c r="C3116" t="s">
        <v>51</v>
      </c>
      <c r="D3116" t="s">
        <v>24</v>
      </c>
      <c r="E3116" t="s">
        <v>50</v>
      </c>
      <c r="F3116" t="s">
        <v>46</v>
      </c>
      <c r="G3116" s="58">
        <v>183474</v>
      </c>
      <c r="H3116" s="1" t="s">
        <v>48</v>
      </c>
      <c r="I3116" s="1" t="s">
        <v>108</v>
      </c>
      <c r="J3116" s="58">
        <v>6238116</v>
      </c>
      <c r="K3116" s="1" t="s">
        <v>106</v>
      </c>
      <c r="L3116" s="1" t="s">
        <v>120</v>
      </c>
      <c r="M3116" s="1" t="s">
        <v>115</v>
      </c>
      <c r="N3116" s="1">
        <v>1</v>
      </c>
      <c r="O3116" s="58"/>
      <c r="P3116" s="58">
        <v>108249.66</v>
      </c>
      <c r="Q3116" t="s">
        <v>113</v>
      </c>
      <c r="R3116" s="1" t="s">
        <v>158</v>
      </c>
    </row>
    <row r="3117" spans="3:18" x14ac:dyDescent="0.35">
      <c r="C3117" t="s">
        <v>53</v>
      </c>
      <c r="D3117" t="s">
        <v>92</v>
      </c>
      <c r="E3117" t="s">
        <v>45</v>
      </c>
      <c r="F3117" t="s">
        <v>46</v>
      </c>
      <c r="G3117" s="58">
        <v>1269722</v>
      </c>
      <c r="H3117" s="1" t="s">
        <v>47</v>
      </c>
      <c r="I3117" s="1" t="s">
        <v>105</v>
      </c>
      <c r="J3117" s="58"/>
      <c r="K3117" s="1" t="s">
        <v>106</v>
      </c>
      <c r="L3117" s="1" t="s">
        <v>120</v>
      </c>
      <c r="N3117" s="1">
        <v>0</v>
      </c>
      <c r="O3117" s="58"/>
      <c r="P3117" s="58">
        <v>126972.2</v>
      </c>
      <c r="Q3117" t="s">
        <v>107</v>
      </c>
      <c r="R3117" s="1" t="s">
        <v>158</v>
      </c>
    </row>
    <row r="3118" spans="3:18" x14ac:dyDescent="0.35">
      <c r="C3118" t="s">
        <v>53</v>
      </c>
      <c r="D3118" t="s">
        <v>21</v>
      </c>
      <c r="E3118" t="s">
        <v>45</v>
      </c>
      <c r="F3118" t="s">
        <v>46</v>
      </c>
      <c r="G3118" s="58">
        <v>419</v>
      </c>
      <c r="H3118" s="1" t="s">
        <v>56</v>
      </c>
      <c r="I3118" s="1" t="s">
        <v>128</v>
      </c>
      <c r="J3118" s="58"/>
      <c r="K3118" s="1" t="s">
        <v>106</v>
      </c>
      <c r="L3118" s="1" t="s">
        <v>120</v>
      </c>
      <c r="N3118" s="1">
        <v>0</v>
      </c>
      <c r="O3118" s="58"/>
      <c r="P3118" s="58">
        <v>0</v>
      </c>
      <c r="Q3118" t="s">
        <v>107</v>
      </c>
      <c r="R3118" s="1" t="s">
        <v>158</v>
      </c>
    </row>
    <row r="3119" spans="3:18" x14ac:dyDescent="0.35">
      <c r="C3119" t="s">
        <v>51</v>
      </c>
      <c r="D3119" t="s">
        <v>21</v>
      </c>
      <c r="E3119" t="s">
        <v>55</v>
      </c>
      <c r="F3119" t="s">
        <v>46</v>
      </c>
      <c r="G3119" s="58">
        <v>1750949</v>
      </c>
      <c r="H3119" s="1" t="s">
        <v>48</v>
      </c>
      <c r="I3119" s="1" t="s">
        <v>111</v>
      </c>
      <c r="J3119" s="58">
        <v>29766133</v>
      </c>
      <c r="K3119" s="1" t="s">
        <v>106</v>
      </c>
      <c r="L3119" s="1" t="s">
        <v>114</v>
      </c>
      <c r="M3119" s="1" t="s">
        <v>126</v>
      </c>
      <c r="N3119" s="1">
        <v>1</v>
      </c>
      <c r="O3119" s="58"/>
      <c r="P3119" s="58">
        <v>630341.64</v>
      </c>
      <c r="Q3119" t="s">
        <v>107</v>
      </c>
      <c r="R3119" s="1" t="s">
        <v>158</v>
      </c>
    </row>
    <row r="3120" spans="3:18" x14ac:dyDescent="0.35">
      <c r="C3120" t="s">
        <v>51</v>
      </c>
      <c r="D3120" t="s">
        <v>21</v>
      </c>
      <c r="E3120" t="s">
        <v>45</v>
      </c>
      <c r="F3120" t="s">
        <v>46</v>
      </c>
      <c r="G3120" s="58">
        <v>226976</v>
      </c>
      <c r="H3120" s="1" t="s">
        <v>48</v>
      </c>
      <c r="I3120" s="1" t="s">
        <v>108</v>
      </c>
      <c r="J3120" s="58">
        <v>4766496</v>
      </c>
      <c r="K3120" s="1" t="s">
        <v>106</v>
      </c>
      <c r="L3120" s="1" t="s">
        <v>124</v>
      </c>
      <c r="M3120" s="1" t="s">
        <v>122</v>
      </c>
      <c r="N3120" s="1">
        <v>1</v>
      </c>
      <c r="O3120" s="58"/>
      <c r="P3120" s="58">
        <v>147534.39999999999</v>
      </c>
      <c r="Q3120" t="s">
        <v>118</v>
      </c>
      <c r="R3120" s="1" t="s">
        <v>48</v>
      </c>
    </row>
    <row r="3121" spans="3:18" x14ac:dyDescent="0.35">
      <c r="C3121" t="s">
        <v>53</v>
      </c>
      <c r="D3121" t="s">
        <v>20</v>
      </c>
      <c r="E3121" t="s">
        <v>45</v>
      </c>
      <c r="F3121" t="s">
        <v>46</v>
      </c>
      <c r="G3121" s="58">
        <v>127566</v>
      </c>
      <c r="H3121" s="1" t="s">
        <v>48</v>
      </c>
      <c r="I3121" s="1" t="s">
        <v>111</v>
      </c>
      <c r="J3121" s="58">
        <v>1913490</v>
      </c>
      <c r="K3121" s="1" t="s">
        <v>112</v>
      </c>
      <c r="N3121" s="1">
        <v>1</v>
      </c>
      <c r="O3121" s="58"/>
      <c r="P3121" s="58">
        <v>102052.8</v>
      </c>
      <c r="Q3121" t="s">
        <v>118</v>
      </c>
      <c r="R3121" s="1" t="s">
        <v>158</v>
      </c>
    </row>
    <row r="3122" spans="3:18" x14ac:dyDescent="0.35">
      <c r="C3122" t="s">
        <v>51</v>
      </c>
      <c r="D3122" t="s">
        <v>20</v>
      </c>
      <c r="E3122" t="s">
        <v>49</v>
      </c>
      <c r="F3122" t="s">
        <v>46</v>
      </c>
      <c r="G3122" s="58">
        <v>201886</v>
      </c>
      <c r="H3122" s="1" t="s">
        <v>48</v>
      </c>
      <c r="I3122" s="1" t="s">
        <v>108</v>
      </c>
      <c r="J3122" s="58">
        <v>6056580</v>
      </c>
      <c r="K3122" s="1" t="s">
        <v>106</v>
      </c>
      <c r="L3122" s="1" t="s">
        <v>120</v>
      </c>
      <c r="M3122" s="1" t="s">
        <v>123</v>
      </c>
      <c r="N3122" s="1">
        <v>1</v>
      </c>
      <c r="O3122" s="58"/>
      <c r="P3122" s="58">
        <v>171603.1</v>
      </c>
      <c r="Q3122" t="s">
        <v>127</v>
      </c>
      <c r="R3122" s="1" t="s">
        <v>158</v>
      </c>
    </row>
    <row r="3123" spans="3:18" x14ac:dyDescent="0.35">
      <c r="C3123" t="s">
        <v>51</v>
      </c>
      <c r="D3123" t="s">
        <v>91</v>
      </c>
      <c r="E3123" t="s">
        <v>49</v>
      </c>
      <c r="F3123" t="s">
        <v>46</v>
      </c>
      <c r="G3123" s="58">
        <v>3417861</v>
      </c>
      <c r="H3123" s="1" t="s">
        <v>48</v>
      </c>
      <c r="I3123" s="1" t="s">
        <v>108</v>
      </c>
      <c r="J3123" s="58">
        <v>105953691</v>
      </c>
      <c r="K3123" s="1" t="s">
        <v>106</v>
      </c>
      <c r="L3123" s="1" t="s">
        <v>120</v>
      </c>
      <c r="M3123" s="1" t="s">
        <v>115</v>
      </c>
      <c r="N3123" s="1">
        <v>1</v>
      </c>
      <c r="O3123" s="58"/>
      <c r="P3123" s="58">
        <v>2905181.85</v>
      </c>
      <c r="Q3123" t="s">
        <v>127</v>
      </c>
      <c r="R3123" s="1" t="s">
        <v>158</v>
      </c>
    </row>
    <row r="3124" spans="3:18" x14ac:dyDescent="0.35">
      <c r="C3124" t="s">
        <v>51</v>
      </c>
      <c r="D3124" t="s">
        <v>22</v>
      </c>
      <c r="E3124" t="s">
        <v>55</v>
      </c>
      <c r="F3124" t="s">
        <v>46</v>
      </c>
      <c r="G3124" s="58">
        <v>4285228</v>
      </c>
      <c r="H3124" s="1" t="s">
        <v>48</v>
      </c>
      <c r="I3124" s="1" t="s">
        <v>108</v>
      </c>
      <c r="J3124" s="58">
        <v>137127296</v>
      </c>
      <c r="K3124" s="1" t="s">
        <v>106</v>
      </c>
      <c r="L3124" s="1" t="s">
        <v>124</v>
      </c>
      <c r="M3124" s="1" t="s">
        <v>115</v>
      </c>
      <c r="N3124" s="1">
        <v>1</v>
      </c>
      <c r="O3124" s="58"/>
      <c r="P3124" s="58">
        <v>3085364.16</v>
      </c>
      <c r="Q3124" t="s">
        <v>118</v>
      </c>
      <c r="R3124" s="1" t="s">
        <v>48</v>
      </c>
    </row>
    <row r="3125" spans="3:18" x14ac:dyDescent="0.35">
      <c r="C3125" t="s">
        <v>51</v>
      </c>
      <c r="D3125" t="s">
        <v>19</v>
      </c>
      <c r="E3125" t="s">
        <v>49</v>
      </c>
      <c r="F3125" t="s">
        <v>46</v>
      </c>
      <c r="G3125" s="58">
        <v>2081961</v>
      </c>
      <c r="H3125" s="1" t="s">
        <v>54</v>
      </c>
      <c r="I3125" s="1" t="s">
        <v>105</v>
      </c>
      <c r="J3125" s="58">
        <v>6245883</v>
      </c>
      <c r="K3125" s="1" t="s">
        <v>106</v>
      </c>
      <c r="L3125" s="1" t="s">
        <v>124</v>
      </c>
      <c r="N3125" s="1">
        <v>1</v>
      </c>
      <c r="O3125" s="58"/>
      <c r="P3125" s="58">
        <v>208196.1</v>
      </c>
      <c r="Q3125" t="s">
        <v>107</v>
      </c>
      <c r="R3125" s="1" t="s">
        <v>158</v>
      </c>
    </row>
    <row r="3126" spans="3:18" x14ac:dyDescent="0.35">
      <c r="C3126" t="s">
        <v>51</v>
      </c>
      <c r="D3126" t="s">
        <v>92</v>
      </c>
      <c r="E3126" t="s">
        <v>49</v>
      </c>
      <c r="F3126" t="s">
        <v>46</v>
      </c>
      <c r="G3126" s="58">
        <v>1225545</v>
      </c>
      <c r="H3126" s="1" t="s">
        <v>47</v>
      </c>
      <c r="I3126" s="1" t="s">
        <v>108</v>
      </c>
      <c r="J3126" s="58">
        <v>31864170</v>
      </c>
      <c r="K3126" s="1" t="s">
        <v>106</v>
      </c>
      <c r="L3126" s="1" t="s">
        <v>120</v>
      </c>
      <c r="N3126" s="1">
        <v>1</v>
      </c>
      <c r="O3126" s="58"/>
      <c r="P3126" s="58">
        <v>281875.34999999998</v>
      </c>
      <c r="Q3126" t="s">
        <v>107</v>
      </c>
      <c r="R3126" s="1" t="s">
        <v>158</v>
      </c>
    </row>
    <row r="3127" spans="3:18" x14ac:dyDescent="0.35">
      <c r="C3127" t="s">
        <v>51</v>
      </c>
      <c r="D3127" t="s">
        <v>23</v>
      </c>
      <c r="E3127" t="s">
        <v>55</v>
      </c>
      <c r="F3127" t="s">
        <v>46</v>
      </c>
      <c r="G3127" s="58">
        <v>956439</v>
      </c>
      <c r="H3127" s="1" t="s">
        <v>47</v>
      </c>
      <c r="I3127" s="1" t="s">
        <v>108</v>
      </c>
      <c r="J3127" s="58">
        <v>34431804</v>
      </c>
      <c r="K3127" s="1" t="s">
        <v>106</v>
      </c>
      <c r="L3127" s="1" t="s">
        <v>109</v>
      </c>
      <c r="N3127" s="1">
        <v>1</v>
      </c>
      <c r="O3127" s="58"/>
      <c r="P3127" s="58">
        <v>267802.92</v>
      </c>
      <c r="Q3127" t="s">
        <v>107</v>
      </c>
      <c r="R3127" s="1" t="s">
        <v>158</v>
      </c>
    </row>
    <row r="3128" spans="3:18" x14ac:dyDescent="0.35">
      <c r="C3128" t="s">
        <v>51</v>
      </c>
      <c r="D3128" t="s">
        <v>24</v>
      </c>
      <c r="E3128" t="s">
        <v>52</v>
      </c>
      <c r="F3128" t="s">
        <v>46</v>
      </c>
      <c r="G3128" s="58">
        <v>214443</v>
      </c>
      <c r="H3128" s="1" t="s">
        <v>48</v>
      </c>
      <c r="I3128" s="1" t="s">
        <v>119</v>
      </c>
      <c r="J3128" s="58">
        <v>1501101</v>
      </c>
      <c r="K3128" s="1" t="s">
        <v>106</v>
      </c>
      <c r="L3128" s="1" t="s">
        <v>130</v>
      </c>
      <c r="M3128" s="1" t="s">
        <v>121</v>
      </c>
      <c r="N3128" s="1">
        <v>1</v>
      </c>
      <c r="O3128" s="58"/>
      <c r="P3128" s="58">
        <v>53610.75</v>
      </c>
      <c r="Q3128" t="s">
        <v>107</v>
      </c>
      <c r="R3128" s="1" t="s">
        <v>48</v>
      </c>
    </row>
    <row r="3129" spans="3:18" x14ac:dyDescent="0.35">
      <c r="C3129" t="s">
        <v>53</v>
      </c>
      <c r="D3129" t="s">
        <v>21</v>
      </c>
      <c r="E3129" t="s">
        <v>49</v>
      </c>
      <c r="F3129" t="s">
        <v>46</v>
      </c>
      <c r="G3129" s="58">
        <v>10482</v>
      </c>
      <c r="H3129" s="1" t="s">
        <v>48</v>
      </c>
      <c r="I3129" s="1" t="s">
        <v>108</v>
      </c>
      <c r="J3129" s="58">
        <v>209640</v>
      </c>
      <c r="K3129" s="1" t="s">
        <v>106</v>
      </c>
      <c r="L3129" s="1" t="s">
        <v>124</v>
      </c>
      <c r="M3129" s="1" t="s">
        <v>126</v>
      </c>
      <c r="N3129" s="1">
        <v>1</v>
      </c>
      <c r="O3129" s="58"/>
      <c r="P3129" s="58">
        <v>2201.2199999999998</v>
      </c>
      <c r="Q3129" t="s">
        <v>107</v>
      </c>
      <c r="R3129" s="1" t="s">
        <v>158</v>
      </c>
    </row>
    <row r="3130" spans="3:18" x14ac:dyDescent="0.35">
      <c r="C3130" t="s">
        <v>51</v>
      </c>
      <c r="D3130" t="s">
        <v>23</v>
      </c>
      <c r="E3130" t="s">
        <v>45</v>
      </c>
      <c r="F3130" t="s">
        <v>46</v>
      </c>
      <c r="G3130" s="58">
        <v>93631115</v>
      </c>
      <c r="H3130" s="1" t="s">
        <v>47</v>
      </c>
      <c r="I3130" s="1" t="s">
        <v>108</v>
      </c>
      <c r="J3130" s="58">
        <v>2434408990</v>
      </c>
      <c r="K3130" s="1" t="s">
        <v>106</v>
      </c>
      <c r="L3130" s="1" t="s">
        <v>120</v>
      </c>
      <c r="N3130" s="1">
        <v>1</v>
      </c>
      <c r="O3130" s="58"/>
      <c r="P3130" s="58">
        <v>27153023.350000001</v>
      </c>
      <c r="Q3130" t="s">
        <v>107</v>
      </c>
      <c r="R3130" s="1" t="s">
        <v>158</v>
      </c>
    </row>
    <row r="3131" spans="3:18" x14ac:dyDescent="0.35">
      <c r="C3131" t="s">
        <v>51</v>
      </c>
      <c r="D3131" t="s">
        <v>23</v>
      </c>
      <c r="E3131" t="s">
        <v>45</v>
      </c>
      <c r="F3131" t="s">
        <v>46</v>
      </c>
      <c r="G3131" s="58">
        <v>6972680</v>
      </c>
      <c r="H3131" s="1" t="s">
        <v>47</v>
      </c>
      <c r="I3131" s="1" t="s">
        <v>119</v>
      </c>
      <c r="J3131" s="58">
        <v>55781440</v>
      </c>
      <c r="K3131" s="1" t="s">
        <v>106</v>
      </c>
      <c r="L3131" s="1" t="s">
        <v>120</v>
      </c>
      <c r="N3131" s="1">
        <v>1</v>
      </c>
      <c r="O3131" s="58"/>
      <c r="P3131" s="58">
        <v>3207432.8</v>
      </c>
      <c r="Q3131" t="s">
        <v>113</v>
      </c>
      <c r="R3131" s="1" t="s">
        <v>158</v>
      </c>
    </row>
    <row r="3132" spans="3:18" x14ac:dyDescent="0.35">
      <c r="C3132" t="s">
        <v>51</v>
      </c>
      <c r="D3132" t="s">
        <v>22</v>
      </c>
      <c r="E3132" t="s">
        <v>45</v>
      </c>
      <c r="F3132" t="s">
        <v>46</v>
      </c>
      <c r="G3132" s="58">
        <v>2721386</v>
      </c>
      <c r="H3132" s="1" t="s">
        <v>47</v>
      </c>
      <c r="I3132" s="1" t="s">
        <v>111</v>
      </c>
      <c r="J3132" s="58">
        <v>48984948</v>
      </c>
      <c r="K3132" s="1" t="s">
        <v>106</v>
      </c>
      <c r="L3132" s="1" t="s">
        <v>120</v>
      </c>
      <c r="N3132" s="1">
        <v>1</v>
      </c>
      <c r="O3132" s="58"/>
      <c r="P3132" s="58">
        <v>3184021.62</v>
      </c>
      <c r="Q3132" t="s">
        <v>110</v>
      </c>
      <c r="R3132" s="1" t="s">
        <v>158</v>
      </c>
    </row>
    <row r="3133" spans="3:18" x14ac:dyDescent="0.35">
      <c r="C3133" t="s">
        <v>51</v>
      </c>
      <c r="D3133" t="s">
        <v>23</v>
      </c>
      <c r="E3133" t="s">
        <v>55</v>
      </c>
      <c r="F3133" t="s">
        <v>46</v>
      </c>
      <c r="G3133" s="58">
        <v>6710134</v>
      </c>
      <c r="H3133" s="1" t="s">
        <v>59</v>
      </c>
      <c r="I3133" s="1" t="s">
        <v>108</v>
      </c>
      <c r="J3133" s="58">
        <v>208014154</v>
      </c>
      <c r="K3133" s="1" t="s">
        <v>106</v>
      </c>
      <c r="L3133" s="1" t="s">
        <v>114</v>
      </c>
      <c r="N3133" s="1">
        <v>1</v>
      </c>
      <c r="O3133" s="58"/>
      <c r="P3133" s="58">
        <v>5636512.5599999996</v>
      </c>
      <c r="Q3133" t="s">
        <v>127</v>
      </c>
      <c r="R3133" s="1" t="s">
        <v>158</v>
      </c>
    </row>
    <row r="3134" spans="3:18" x14ac:dyDescent="0.35">
      <c r="C3134" t="s">
        <v>51</v>
      </c>
      <c r="D3134" t="s">
        <v>22</v>
      </c>
      <c r="E3134" t="s">
        <v>62</v>
      </c>
      <c r="F3134" t="s">
        <v>46</v>
      </c>
      <c r="G3134" s="58">
        <v>1104265</v>
      </c>
      <c r="H3134" s="1" t="s">
        <v>48</v>
      </c>
      <c r="I3134" s="1" t="s">
        <v>108</v>
      </c>
      <c r="J3134" s="58">
        <v>38649275</v>
      </c>
      <c r="K3134" s="1" t="s">
        <v>112</v>
      </c>
      <c r="N3134" s="1">
        <v>1</v>
      </c>
      <c r="O3134" s="58"/>
      <c r="P3134" s="58">
        <v>795070.8</v>
      </c>
      <c r="Q3134" t="s">
        <v>118</v>
      </c>
      <c r="R3134" s="1" t="s">
        <v>48</v>
      </c>
    </row>
    <row r="3135" spans="3:18" x14ac:dyDescent="0.35">
      <c r="C3135" t="s">
        <v>51</v>
      </c>
      <c r="D3135" t="s">
        <v>20</v>
      </c>
      <c r="E3135" t="s">
        <v>49</v>
      </c>
      <c r="F3135" t="s">
        <v>46</v>
      </c>
      <c r="G3135" s="58">
        <v>10212986</v>
      </c>
      <c r="I3135" s="1" t="s">
        <v>108</v>
      </c>
      <c r="J3135" s="58">
        <v>337028538</v>
      </c>
      <c r="K3135" s="1" t="s">
        <v>106</v>
      </c>
      <c r="L3135" s="1" t="s">
        <v>124</v>
      </c>
      <c r="N3135" s="1">
        <v>1</v>
      </c>
      <c r="O3135" s="58"/>
      <c r="P3135" s="58">
        <v>7353349.9199999999</v>
      </c>
      <c r="Q3135" t="s">
        <v>118</v>
      </c>
      <c r="R3135" s="1" t="s">
        <v>158</v>
      </c>
    </row>
    <row r="3136" spans="3:18" x14ac:dyDescent="0.35">
      <c r="C3136" t="s">
        <v>51</v>
      </c>
      <c r="D3136" t="s">
        <v>24</v>
      </c>
      <c r="E3136" t="s">
        <v>49</v>
      </c>
      <c r="F3136" t="s">
        <v>46</v>
      </c>
      <c r="G3136" s="58">
        <v>718260</v>
      </c>
      <c r="H3136" s="1" t="s">
        <v>48</v>
      </c>
      <c r="I3136" s="1" t="s">
        <v>108</v>
      </c>
      <c r="J3136" s="58">
        <v>25139100</v>
      </c>
      <c r="K3136" s="1" t="s">
        <v>112</v>
      </c>
      <c r="N3136" s="1">
        <v>1</v>
      </c>
      <c r="O3136" s="58"/>
      <c r="P3136" s="58">
        <v>531512.4</v>
      </c>
      <c r="Q3136" t="s">
        <v>118</v>
      </c>
      <c r="R3136" s="1" t="s">
        <v>158</v>
      </c>
    </row>
    <row r="3137" spans="3:18" x14ac:dyDescent="0.35">
      <c r="C3137" t="s">
        <v>53</v>
      </c>
      <c r="D3137" t="s">
        <v>19</v>
      </c>
      <c r="E3137" t="s">
        <v>49</v>
      </c>
      <c r="F3137" t="s">
        <v>46</v>
      </c>
      <c r="G3137" s="58">
        <v>3849791</v>
      </c>
      <c r="H3137" s="1" t="s">
        <v>54</v>
      </c>
      <c r="I3137" s="1" t="s">
        <v>119</v>
      </c>
      <c r="J3137" s="58">
        <v>26948537</v>
      </c>
      <c r="K3137" s="1" t="s">
        <v>106</v>
      </c>
      <c r="L3137" s="1" t="s">
        <v>124</v>
      </c>
      <c r="N3137" s="1">
        <v>1</v>
      </c>
      <c r="O3137" s="58"/>
      <c r="P3137" s="58">
        <v>2001891.32</v>
      </c>
      <c r="Q3137" t="s">
        <v>113</v>
      </c>
      <c r="R3137" s="1" t="s">
        <v>158</v>
      </c>
    </row>
    <row r="3138" spans="3:18" x14ac:dyDescent="0.35">
      <c r="C3138" t="s">
        <v>51</v>
      </c>
      <c r="D3138" t="s">
        <v>24</v>
      </c>
      <c r="E3138" t="s">
        <v>45</v>
      </c>
      <c r="F3138" t="s">
        <v>46</v>
      </c>
      <c r="G3138" s="58">
        <v>50082088</v>
      </c>
      <c r="H3138" s="1" t="s">
        <v>48</v>
      </c>
      <c r="I3138" s="1" t="s">
        <v>108</v>
      </c>
      <c r="J3138" s="58">
        <v>1502462640</v>
      </c>
      <c r="K3138" s="1" t="s">
        <v>106</v>
      </c>
      <c r="L3138" s="1" t="s">
        <v>120</v>
      </c>
      <c r="M3138" s="1" t="s">
        <v>121</v>
      </c>
      <c r="N3138" s="1">
        <v>1</v>
      </c>
      <c r="O3138" s="58"/>
      <c r="P3138" s="58">
        <v>25541864.879999999</v>
      </c>
      <c r="Q3138" t="s">
        <v>113</v>
      </c>
      <c r="R3138" s="1" t="s">
        <v>158</v>
      </c>
    </row>
    <row r="3139" spans="3:18" x14ac:dyDescent="0.35">
      <c r="C3139" t="s">
        <v>51</v>
      </c>
      <c r="D3139" t="s">
        <v>60</v>
      </c>
      <c r="E3139" t="s">
        <v>60</v>
      </c>
      <c r="F3139" t="s">
        <v>46</v>
      </c>
      <c r="G3139" s="58">
        <v>128453</v>
      </c>
      <c r="H3139" s="1" t="s">
        <v>90</v>
      </c>
      <c r="I3139" s="1" t="s">
        <v>105</v>
      </c>
      <c r="J3139" s="58">
        <v>513812</v>
      </c>
      <c r="K3139" s="1" t="s">
        <v>106</v>
      </c>
      <c r="N3139" s="1">
        <v>1</v>
      </c>
      <c r="O3139" s="58"/>
      <c r="P3139" s="58">
        <v>60372.91</v>
      </c>
      <c r="Q3139" t="s">
        <v>113</v>
      </c>
      <c r="R3139" s="1" t="s">
        <v>90</v>
      </c>
    </row>
    <row r="3140" spans="3:18" x14ac:dyDescent="0.35">
      <c r="C3140" t="s">
        <v>53</v>
      </c>
      <c r="D3140" t="s">
        <v>23</v>
      </c>
      <c r="E3140" t="s">
        <v>55</v>
      </c>
      <c r="F3140" t="s">
        <v>46</v>
      </c>
      <c r="G3140" s="58">
        <v>583787</v>
      </c>
      <c r="H3140" s="1" t="s">
        <v>54</v>
      </c>
      <c r="I3140" s="1" t="s">
        <v>105</v>
      </c>
      <c r="J3140" s="58">
        <v>2335148</v>
      </c>
      <c r="K3140" s="1" t="s">
        <v>106</v>
      </c>
      <c r="L3140" s="1" t="s">
        <v>120</v>
      </c>
      <c r="N3140" s="1">
        <v>1</v>
      </c>
      <c r="O3140" s="58"/>
      <c r="P3140" s="58">
        <v>105081.66</v>
      </c>
      <c r="Q3140" t="s">
        <v>107</v>
      </c>
      <c r="R3140" s="1" t="s">
        <v>158</v>
      </c>
    </row>
    <row r="3141" spans="3:18" x14ac:dyDescent="0.35">
      <c r="C3141" t="s">
        <v>51</v>
      </c>
      <c r="D3141" t="s">
        <v>19</v>
      </c>
      <c r="E3141" t="s">
        <v>49</v>
      </c>
      <c r="F3141" t="s">
        <v>46</v>
      </c>
      <c r="G3141" s="58">
        <v>771175</v>
      </c>
      <c r="H3141" s="1" t="s">
        <v>48</v>
      </c>
      <c r="I3141" s="1" t="s">
        <v>108</v>
      </c>
      <c r="J3141" s="58">
        <v>26219950</v>
      </c>
      <c r="K3141" s="1" t="s">
        <v>106</v>
      </c>
      <c r="L3141" s="1" t="s">
        <v>114</v>
      </c>
      <c r="M3141" s="1" t="s">
        <v>122</v>
      </c>
      <c r="N3141" s="1">
        <v>1</v>
      </c>
      <c r="O3141" s="58"/>
      <c r="P3141" s="58">
        <v>562957.75</v>
      </c>
      <c r="Q3141" t="s">
        <v>118</v>
      </c>
      <c r="R3141" s="1" t="s">
        <v>158</v>
      </c>
    </row>
    <row r="3142" spans="3:18" x14ac:dyDescent="0.35">
      <c r="C3142" t="s">
        <v>51</v>
      </c>
      <c r="D3142" t="s">
        <v>19</v>
      </c>
      <c r="E3142" t="s">
        <v>49</v>
      </c>
      <c r="F3142" t="s">
        <v>46</v>
      </c>
      <c r="G3142" s="58">
        <v>493737</v>
      </c>
      <c r="H3142" s="1" t="s">
        <v>48</v>
      </c>
      <c r="I3142" s="1" t="s">
        <v>111</v>
      </c>
      <c r="J3142" s="58">
        <v>9874740</v>
      </c>
      <c r="K3142" s="1" t="s">
        <v>106</v>
      </c>
      <c r="L3142" s="1" t="s">
        <v>120</v>
      </c>
      <c r="M3142" s="1" t="s">
        <v>125</v>
      </c>
      <c r="N3142" s="1">
        <v>1</v>
      </c>
      <c r="O3142" s="58"/>
      <c r="P3142" s="58">
        <v>306116.94</v>
      </c>
      <c r="Q3142" t="s">
        <v>118</v>
      </c>
      <c r="R3142" s="1" t="s">
        <v>158</v>
      </c>
    </row>
    <row r="3143" spans="3:18" x14ac:dyDescent="0.35">
      <c r="C3143" t="s">
        <v>53</v>
      </c>
      <c r="D3143" t="s">
        <v>22</v>
      </c>
      <c r="E3143" t="s">
        <v>49</v>
      </c>
      <c r="F3143" t="s">
        <v>46</v>
      </c>
      <c r="G3143" s="58">
        <v>25471</v>
      </c>
      <c r="H3143" s="1" t="s">
        <v>56</v>
      </c>
      <c r="I3143" s="1" t="s">
        <v>111</v>
      </c>
      <c r="J3143" s="58">
        <v>331123</v>
      </c>
      <c r="K3143" s="1" t="s">
        <v>106</v>
      </c>
      <c r="L3143" s="1" t="s">
        <v>124</v>
      </c>
      <c r="N3143" s="1">
        <v>1</v>
      </c>
      <c r="O3143" s="58"/>
      <c r="P3143" s="58">
        <v>2292.39</v>
      </c>
      <c r="Q3143" t="s">
        <v>107</v>
      </c>
      <c r="R3143" s="1" t="s">
        <v>158</v>
      </c>
    </row>
    <row r="3144" spans="3:18" x14ac:dyDescent="0.35">
      <c r="C3144" t="s">
        <v>51</v>
      </c>
      <c r="D3144" t="s">
        <v>24</v>
      </c>
      <c r="E3144" t="s">
        <v>55</v>
      </c>
      <c r="F3144" t="s">
        <v>46</v>
      </c>
      <c r="G3144" s="58">
        <v>1105092</v>
      </c>
      <c r="H3144" s="1" t="s">
        <v>59</v>
      </c>
      <c r="I3144" s="1" t="s">
        <v>108</v>
      </c>
      <c r="J3144" s="58">
        <v>39783312</v>
      </c>
      <c r="K3144" s="1" t="s">
        <v>112</v>
      </c>
      <c r="N3144" s="1">
        <v>1</v>
      </c>
      <c r="O3144" s="58"/>
      <c r="P3144" s="58">
        <v>939328.2</v>
      </c>
      <c r="Q3144" t="s">
        <v>127</v>
      </c>
      <c r="R3144" s="1" t="s">
        <v>158</v>
      </c>
    </row>
    <row r="3145" spans="3:18" x14ac:dyDescent="0.35">
      <c r="C3145" t="s">
        <v>51</v>
      </c>
      <c r="D3145" t="s">
        <v>24</v>
      </c>
      <c r="E3145" t="s">
        <v>45</v>
      </c>
      <c r="F3145" t="s">
        <v>46</v>
      </c>
      <c r="G3145" s="58">
        <v>83619</v>
      </c>
      <c r="H3145" s="1" t="s">
        <v>59</v>
      </c>
      <c r="I3145" s="1" t="s">
        <v>108</v>
      </c>
      <c r="J3145" s="58">
        <v>2508570</v>
      </c>
      <c r="K3145" s="1" t="s">
        <v>112</v>
      </c>
      <c r="N3145" s="1">
        <v>1</v>
      </c>
      <c r="O3145" s="58"/>
      <c r="P3145" s="58">
        <v>8361.9</v>
      </c>
      <c r="Q3145" t="s">
        <v>107</v>
      </c>
      <c r="R3145" s="1" t="s">
        <v>158</v>
      </c>
    </row>
    <row r="3146" spans="3:18" x14ac:dyDescent="0.35">
      <c r="C3146" t="s">
        <v>53</v>
      </c>
      <c r="D3146" t="s">
        <v>22</v>
      </c>
      <c r="E3146" t="s">
        <v>55</v>
      </c>
      <c r="F3146" t="s">
        <v>46</v>
      </c>
      <c r="G3146" s="58">
        <v>643868</v>
      </c>
      <c r="H3146" s="1" t="s">
        <v>54</v>
      </c>
      <c r="I3146" s="1" t="s">
        <v>119</v>
      </c>
      <c r="J3146" s="58">
        <v>3863208</v>
      </c>
      <c r="K3146" s="1" t="s">
        <v>106</v>
      </c>
      <c r="L3146" s="1" t="s">
        <v>114</v>
      </c>
      <c r="N3146" s="1">
        <v>1</v>
      </c>
      <c r="O3146" s="58"/>
      <c r="P3146" s="58">
        <v>244669.84</v>
      </c>
      <c r="Q3146" t="s">
        <v>107</v>
      </c>
      <c r="R3146" s="1" t="s">
        <v>158</v>
      </c>
    </row>
    <row r="3147" spans="3:18" x14ac:dyDescent="0.35">
      <c r="C3147" t="s">
        <v>51</v>
      </c>
      <c r="D3147" t="s">
        <v>19</v>
      </c>
      <c r="E3147" t="s">
        <v>49</v>
      </c>
      <c r="F3147" t="s">
        <v>46</v>
      </c>
      <c r="G3147" s="58">
        <v>29140447</v>
      </c>
      <c r="H3147" s="1" t="s">
        <v>56</v>
      </c>
      <c r="I3147" s="1" t="s">
        <v>108</v>
      </c>
      <c r="J3147" s="58">
        <v>845072963</v>
      </c>
      <c r="K3147" s="1" t="s">
        <v>106</v>
      </c>
      <c r="L3147" s="1" t="s">
        <v>124</v>
      </c>
      <c r="N3147" s="1">
        <v>1</v>
      </c>
      <c r="O3147" s="58"/>
      <c r="P3147" s="58">
        <v>14861627.970000001</v>
      </c>
      <c r="Q3147" t="s">
        <v>113</v>
      </c>
      <c r="R3147" s="1" t="s">
        <v>158</v>
      </c>
    </row>
    <row r="3148" spans="3:18" x14ac:dyDescent="0.35">
      <c r="C3148" t="s">
        <v>53</v>
      </c>
      <c r="D3148" t="s">
        <v>23</v>
      </c>
      <c r="E3148" t="s">
        <v>55</v>
      </c>
      <c r="F3148" t="s">
        <v>46</v>
      </c>
      <c r="G3148" s="58">
        <v>2537783</v>
      </c>
      <c r="H3148" s="1" t="s">
        <v>47</v>
      </c>
      <c r="I3148" s="1" t="s">
        <v>111</v>
      </c>
      <c r="J3148" s="58">
        <v>35528962</v>
      </c>
      <c r="K3148" s="1" t="s">
        <v>106</v>
      </c>
      <c r="L3148" s="1" t="s">
        <v>114</v>
      </c>
      <c r="N3148" s="1">
        <v>1</v>
      </c>
      <c r="O3148" s="58"/>
      <c r="P3148" s="58">
        <v>2233249.04</v>
      </c>
      <c r="Q3148" t="s">
        <v>127</v>
      </c>
      <c r="R3148" s="1" t="s">
        <v>158</v>
      </c>
    </row>
    <row r="3149" spans="3:18" x14ac:dyDescent="0.35">
      <c r="C3149" t="s">
        <v>51</v>
      </c>
      <c r="D3149" t="s">
        <v>22</v>
      </c>
      <c r="E3149" t="s">
        <v>49</v>
      </c>
      <c r="F3149" t="s">
        <v>46</v>
      </c>
      <c r="G3149" s="58">
        <v>2497775</v>
      </c>
      <c r="H3149" s="1" t="s">
        <v>48</v>
      </c>
      <c r="I3149" s="1" t="s">
        <v>111</v>
      </c>
      <c r="J3149" s="58">
        <v>42462175</v>
      </c>
      <c r="K3149" s="1" t="s">
        <v>106</v>
      </c>
      <c r="L3149" s="1" t="s">
        <v>124</v>
      </c>
      <c r="M3149" s="1" t="s">
        <v>115</v>
      </c>
      <c r="N3149" s="1">
        <v>1</v>
      </c>
      <c r="O3149" s="58"/>
      <c r="P3149" s="58">
        <v>1223909.75</v>
      </c>
      <c r="Q3149" t="s">
        <v>113</v>
      </c>
      <c r="R3149" s="1" t="s">
        <v>48</v>
      </c>
    </row>
    <row r="3150" spans="3:18" x14ac:dyDescent="0.35">
      <c r="C3150" t="s">
        <v>51</v>
      </c>
      <c r="D3150" t="s">
        <v>92</v>
      </c>
      <c r="E3150" t="s">
        <v>45</v>
      </c>
      <c r="F3150" t="s">
        <v>46</v>
      </c>
      <c r="G3150" s="58">
        <v>120290</v>
      </c>
      <c r="H3150" s="1" t="s">
        <v>47</v>
      </c>
      <c r="I3150" s="1" t="s">
        <v>108</v>
      </c>
      <c r="J3150" s="58">
        <v>3127540</v>
      </c>
      <c r="K3150" s="1" t="s">
        <v>106</v>
      </c>
      <c r="L3150" s="1" t="s">
        <v>114</v>
      </c>
      <c r="N3150" s="1">
        <v>1</v>
      </c>
      <c r="O3150" s="58"/>
      <c r="P3150" s="58">
        <v>27666.7</v>
      </c>
      <c r="Q3150" t="s">
        <v>107</v>
      </c>
      <c r="R3150" s="1" t="s">
        <v>158</v>
      </c>
    </row>
    <row r="3151" spans="3:18" x14ac:dyDescent="0.35">
      <c r="C3151" t="s">
        <v>53</v>
      </c>
      <c r="D3151" t="s">
        <v>22</v>
      </c>
      <c r="E3151" t="s">
        <v>45</v>
      </c>
      <c r="F3151" t="s">
        <v>46</v>
      </c>
      <c r="G3151" s="58">
        <v>2991498</v>
      </c>
      <c r="H3151" s="1" t="s">
        <v>59</v>
      </c>
      <c r="I3151" s="1" t="s">
        <v>119</v>
      </c>
      <c r="J3151" s="58">
        <v>20940486</v>
      </c>
      <c r="K3151" s="1" t="s">
        <v>106</v>
      </c>
      <c r="L3151" s="1" t="s">
        <v>120</v>
      </c>
      <c r="N3151" s="1">
        <v>1</v>
      </c>
      <c r="O3151" s="58"/>
      <c r="P3151" s="58">
        <v>1525663.98</v>
      </c>
      <c r="Q3151" t="s">
        <v>113</v>
      </c>
      <c r="R3151" s="1" t="s">
        <v>158</v>
      </c>
    </row>
    <row r="3152" spans="3:18" x14ac:dyDescent="0.35">
      <c r="C3152" t="s">
        <v>53</v>
      </c>
      <c r="D3152" t="s">
        <v>21</v>
      </c>
      <c r="E3152" t="s">
        <v>45</v>
      </c>
      <c r="F3152" t="s">
        <v>46</v>
      </c>
      <c r="G3152" s="58">
        <v>1788127</v>
      </c>
      <c r="H3152" s="1" t="s">
        <v>47</v>
      </c>
      <c r="I3152" s="1" t="s">
        <v>119</v>
      </c>
      <c r="J3152" s="58">
        <v>14305016</v>
      </c>
      <c r="K3152" s="1" t="s">
        <v>112</v>
      </c>
      <c r="N3152" s="1">
        <v>1</v>
      </c>
      <c r="O3152" s="58"/>
      <c r="P3152" s="58">
        <v>429150.48</v>
      </c>
      <c r="Q3152" t="s">
        <v>107</v>
      </c>
      <c r="R3152" s="1" t="s">
        <v>158</v>
      </c>
    </row>
    <row r="3153" spans="3:18" x14ac:dyDescent="0.35">
      <c r="C3153" t="s">
        <v>51</v>
      </c>
      <c r="D3153" t="s">
        <v>24</v>
      </c>
      <c r="E3153" t="s">
        <v>50</v>
      </c>
      <c r="F3153" t="s">
        <v>46</v>
      </c>
      <c r="G3153" s="58">
        <v>107505</v>
      </c>
      <c r="H3153" s="1" t="s">
        <v>47</v>
      </c>
      <c r="I3153" s="1" t="s">
        <v>119</v>
      </c>
      <c r="J3153" s="58">
        <v>860040</v>
      </c>
      <c r="K3153" s="1" t="s">
        <v>106</v>
      </c>
      <c r="L3153" s="1" t="s">
        <v>120</v>
      </c>
      <c r="N3153" s="1">
        <v>1</v>
      </c>
      <c r="O3153" s="58"/>
      <c r="P3153" s="58">
        <v>23651.1</v>
      </c>
      <c r="Q3153" t="s">
        <v>107</v>
      </c>
      <c r="R3153" s="1" t="s">
        <v>158</v>
      </c>
    </row>
    <row r="3154" spans="3:18" x14ac:dyDescent="0.35">
      <c r="C3154" t="s">
        <v>51</v>
      </c>
      <c r="D3154" t="s">
        <v>22</v>
      </c>
      <c r="E3154" t="s">
        <v>50</v>
      </c>
      <c r="F3154" t="s">
        <v>46</v>
      </c>
      <c r="G3154" s="58">
        <v>16342241</v>
      </c>
      <c r="H3154" s="1" t="s">
        <v>48</v>
      </c>
      <c r="I3154" s="1" t="s">
        <v>108</v>
      </c>
      <c r="J3154" s="58">
        <v>473924989</v>
      </c>
      <c r="K3154" s="1" t="s">
        <v>106</v>
      </c>
      <c r="L3154" s="1" t="s">
        <v>109</v>
      </c>
      <c r="M3154" s="1" t="s">
        <v>115</v>
      </c>
      <c r="N3154" s="1">
        <v>1</v>
      </c>
      <c r="O3154" s="58"/>
      <c r="P3154" s="58">
        <v>8497965.3200000003</v>
      </c>
      <c r="Q3154" t="s">
        <v>113</v>
      </c>
      <c r="R3154" s="1" t="s">
        <v>48</v>
      </c>
    </row>
    <row r="3155" spans="3:18" x14ac:dyDescent="0.35">
      <c r="C3155" t="s">
        <v>51</v>
      </c>
      <c r="D3155" t="s">
        <v>25</v>
      </c>
      <c r="E3155" t="s">
        <v>50</v>
      </c>
      <c r="F3155" t="s">
        <v>46</v>
      </c>
      <c r="G3155" s="58">
        <v>258368</v>
      </c>
      <c r="H3155" s="1" t="s">
        <v>54</v>
      </c>
      <c r="I3155" s="1" t="s">
        <v>108</v>
      </c>
      <c r="J3155" s="58">
        <v>5942464</v>
      </c>
      <c r="K3155" s="1" t="s">
        <v>106</v>
      </c>
      <c r="L3155" s="1" t="s">
        <v>109</v>
      </c>
      <c r="N3155" s="1">
        <v>1</v>
      </c>
      <c r="O3155" s="58"/>
      <c r="P3155" s="58">
        <v>217029.12</v>
      </c>
      <c r="Q3155" t="s">
        <v>127</v>
      </c>
      <c r="R3155" s="1" t="s">
        <v>158</v>
      </c>
    </row>
    <row r="3156" spans="3:18" x14ac:dyDescent="0.35">
      <c r="C3156" t="s">
        <v>51</v>
      </c>
      <c r="D3156" t="s">
        <v>24</v>
      </c>
      <c r="E3156" t="s">
        <v>55</v>
      </c>
      <c r="F3156" t="s">
        <v>46</v>
      </c>
      <c r="G3156" s="58">
        <v>1033601</v>
      </c>
      <c r="H3156" s="1" t="s">
        <v>47</v>
      </c>
      <c r="I3156" s="1" t="s">
        <v>105</v>
      </c>
      <c r="J3156" s="58">
        <v>3100803</v>
      </c>
      <c r="K3156" s="1" t="s">
        <v>106</v>
      </c>
      <c r="L3156" s="1" t="s">
        <v>124</v>
      </c>
      <c r="N3156" s="1">
        <v>1</v>
      </c>
      <c r="O3156" s="58"/>
      <c r="P3156" s="58">
        <v>165376.16</v>
      </c>
      <c r="Q3156" t="s">
        <v>107</v>
      </c>
      <c r="R3156" s="1" t="s">
        <v>158</v>
      </c>
    </row>
    <row r="3157" spans="3:18" x14ac:dyDescent="0.35">
      <c r="C3157" t="s">
        <v>51</v>
      </c>
      <c r="D3157" t="s">
        <v>23</v>
      </c>
      <c r="E3157" t="s">
        <v>55</v>
      </c>
      <c r="F3157" t="s">
        <v>46</v>
      </c>
      <c r="G3157" s="58">
        <v>180529</v>
      </c>
      <c r="H3157" s="1" t="s">
        <v>47</v>
      </c>
      <c r="I3157" s="1" t="s">
        <v>108</v>
      </c>
      <c r="J3157" s="58">
        <v>5957457</v>
      </c>
      <c r="K3157" s="1" t="s">
        <v>106</v>
      </c>
      <c r="L3157" s="1" t="s">
        <v>124</v>
      </c>
      <c r="N3157" s="1">
        <v>1</v>
      </c>
      <c r="O3157" s="58"/>
      <c r="P3157" s="58">
        <v>155254.94</v>
      </c>
      <c r="Q3157" t="s">
        <v>127</v>
      </c>
      <c r="R3157" s="1" t="s">
        <v>158</v>
      </c>
    </row>
    <row r="3158" spans="3:18" x14ac:dyDescent="0.35">
      <c r="C3158" t="s">
        <v>51</v>
      </c>
      <c r="D3158" t="s">
        <v>19</v>
      </c>
      <c r="E3158" t="s">
        <v>49</v>
      </c>
      <c r="F3158" t="s">
        <v>46</v>
      </c>
      <c r="G3158" s="58">
        <v>566101</v>
      </c>
      <c r="H3158" s="1" t="s">
        <v>48</v>
      </c>
      <c r="I3158" s="1" t="s">
        <v>108</v>
      </c>
      <c r="J3158" s="58">
        <v>16416929</v>
      </c>
      <c r="K3158" s="1" t="s">
        <v>106</v>
      </c>
      <c r="L3158" s="1" t="s">
        <v>120</v>
      </c>
      <c r="M3158" s="1" t="s">
        <v>126</v>
      </c>
      <c r="N3158" s="1">
        <v>1</v>
      </c>
      <c r="O3158" s="58"/>
      <c r="P3158" s="58">
        <v>300033.53000000003</v>
      </c>
      <c r="Q3158" t="s">
        <v>113</v>
      </c>
      <c r="R3158" s="1" t="s">
        <v>158</v>
      </c>
    </row>
    <row r="3159" spans="3:18" x14ac:dyDescent="0.35">
      <c r="C3159" t="s">
        <v>51</v>
      </c>
      <c r="D3159" t="s">
        <v>24</v>
      </c>
      <c r="E3159" t="s">
        <v>50</v>
      </c>
      <c r="F3159" t="s">
        <v>64</v>
      </c>
      <c r="G3159" s="58">
        <v>440365</v>
      </c>
      <c r="H3159" s="1" t="s">
        <v>48</v>
      </c>
      <c r="I3159" s="1" t="s">
        <v>111</v>
      </c>
      <c r="J3159" s="58">
        <v>7486205</v>
      </c>
      <c r="K3159" s="1" t="s">
        <v>106</v>
      </c>
      <c r="L3159" s="1" t="s">
        <v>109</v>
      </c>
      <c r="M3159" s="1" t="s">
        <v>121</v>
      </c>
      <c r="N3159" s="1">
        <v>1</v>
      </c>
      <c r="O3159" s="58"/>
      <c r="P3159" s="58">
        <v>303851.84999999998</v>
      </c>
      <c r="Q3159" t="s">
        <v>118</v>
      </c>
      <c r="R3159" s="1" t="s">
        <v>48</v>
      </c>
    </row>
    <row r="3160" spans="3:18" x14ac:dyDescent="0.35">
      <c r="C3160" t="s">
        <v>51</v>
      </c>
      <c r="D3160" t="s">
        <v>21</v>
      </c>
      <c r="E3160" t="s">
        <v>45</v>
      </c>
      <c r="F3160" t="s">
        <v>46</v>
      </c>
      <c r="G3160" s="58">
        <v>4778203</v>
      </c>
      <c r="H3160" s="1" t="s">
        <v>48</v>
      </c>
      <c r="I3160" s="1" t="s">
        <v>119</v>
      </c>
      <c r="J3160" s="58">
        <v>38225624</v>
      </c>
      <c r="K3160" s="1" t="s">
        <v>106</v>
      </c>
      <c r="L3160" s="1" t="s">
        <v>120</v>
      </c>
      <c r="M3160" s="1" t="s">
        <v>126</v>
      </c>
      <c r="N3160" s="1">
        <v>1</v>
      </c>
      <c r="O3160" s="58"/>
      <c r="P3160" s="58">
        <v>2341319.4700000002</v>
      </c>
      <c r="Q3160" t="s">
        <v>113</v>
      </c>
      <c r="R3160" s="1" t="s">
        <v>158</v>
      </c>
    </row>
    <row r="3161" spans="3:18" x14ac:dyDescent="0.35">
      <c r="C3161" t="s">
        <v>51</v>
      </c>
      <c r="D3161" t="s">
        <v>24</v>
      </c>
      <c r="E3161" t="s">
        <v>55</v>
      </c>
      <c r="F3161" t="s">
        <v>64</v>
      </c>
      <c r="G3161" s="58">
        <v>75157</v>
      </c>
      <c r="H3161" s="1" t="s">
        <v>47</v>
      </c>
      <c r="I3161" s="1" t="s">
        <v>105</v>
      </c>
      <c r="J3161" s="58">
        <v>225471</v>
      </c>
      <c r="K3161" s="1" t="s">
        <v>106</v>
      </c>
      <c r="L3161" s="1" t="s">
        <v>114</v>
      </c>
      <c r="N3161" s="1">
        <v>1</v>
      </c>
      <c r="O3161" s="58"/>
      <c r="P3161" s="58">
        <v>9018.84</v>
      </c>
      <c r="Q3161" t="s">
        <v>107</v>
      </c>
      <c r="R3161" s="1" t="s">
        <v>158</v>
      </c>
    </row>
    <row r="3162" spans="3:18" x14ac:dyDescent="0.35">
      <c r="C3162" t="s">
        <v>51</v>
      </c>
      <c r="D3162" t="s">
        <v>92</v>
      </c>
      <c r="E3162" t="s">
        <v>49</v>
      </c>
      <c r="F3162" t="s">
        <v>46</v>
      </c>
      <c r="G3162" s="58">
        <v>4517678</v>
      </c>
      <c r="H3162" s="1" t="s">
        <v>48</v>
      </c>
      <c r="I3162" s="1" t="s">
        <v>108</v>
      </c>
      <c r="J3162" s="58">
        <v>131012662</v>
      </c>
      <c r="K3162" s="1" t="s">
        <v>112</v>
      </c>
      <c r="N3162" s="1">
        <v>1</v>
      </c>
      <c r="O3162" s="58"/>
      <c r="P3162" s="58">
        <v>1490833.74</v>
      </c>
      <c r="Q3162" t="s">
        <v>107</v>
      </c>
      <c r="R3162" s="1" t="s">
        <v>48</v>
      </c>
    </row>
    <row r="3163" spans="3:18" x14ac:dyDescent="0.35">
      <c r="C3163" t="s">
        <v>51</v>
      </c>
      <c r="D3163" t="s">
        <v>24</v>
      </c>
      <c r="E3163" t="s">
        <v>49</v>
      </c>
      <c r="F3163" t="s">
        <v>46</v>
      </c>
      <c r="G3163" s="58">
        <v>994225</v>
      </c>
      <c r="H3163" s="1" t="s">
        <v>48</v>
      </c>
      <c r="I3163" s="1" t="s">
        <v>108</v>
      </c>
      <c r="J3163" s="58">
        <v>33803650</v>
      </c>
      <c r="K3163" s="1" t="s">
        <v>112</v>
      </c>
      <c r="N3163" s="1">
        <v>1</v>
      </c>
      <c r="O3163" s="58"/>
      <c r="P3163" s="58">
        <v>566708.25</v>
      </c>
      <c r="Q3163" t="s">
        <v>113</v>
      </c>
      <c r="R3163" s="1" t="s">
        <v>48</v>
      </c>
    </row>
    <row r="3164" spans="3:18" x14ac:dyDescent="0.35">
      <c r="C3164" t="s">
        <v>51</v>
      </c>
      <c r="D3164" t="s">
        <v>21</v>
      </c>
      <c r="E3164" t="s">
        <v>45</v>
      </c>
      <c r="F3164" t="s">
        <v>64</v>
      </c>
      <c r="G3164" s="58">
        <v>692188</v>
      </c>
      <c r="H3164" s="1" t="s">
        <v>48</v>
      </c>
      <c r="I3164" s="1" t="s">
        <v>111</v>
      </c>
      <c r="J3164" s="58">
        <v>13151572</v>
      </c>
      <c r="K3164" s="1" t="s">
        <v>112</v>
      </c>
      <c r="N3164" s="1">
        <v>1</v>
      </c>
      <c r="O3164" s="58"/>
      <c r="P3164" s="58">
        <v>449922.2</v>
      </c>
      <c r="Q3164" t="s">
        <v>118</v>
      </c>
      <c r="R3164" s="1" t="s">
        <v>48</v>
      </c>
    </row>
    <row r="3165" spans="3:18" x14ac:dyDescent="0.35">
      <c r="C3165" t="s">
        <v>53</v>
      </c>
      <c r="D3165" t="s">
        <v>23</v>
      </c>
      <c r="E3165" t="s">
        <v>45</v>
      </c>
      <c r="F3165" t="s">
        <v>46</v>
      </c>
      <c r="G3165" s="58">
        <v>10810531</v>
      </c>
      <c r="H3165" s="1" t="s">
        <v>54</v>
      </c>
      <c r="I3165" s="1" t="s">
        <v>111</v>
      </c>
      <c r="J3165" s="58">
        <v>129726372</v>
      </c>
      <c r="K3165" s="1" t="s">
        <v>106</v>
      </c>
      <c r="L3165" s="1" t="s">
        <v>120</v>
      </c>
      <c r="N3165" s="1">
        <v>1</v>
      </c>
      <c r="O3165" s="58"/>
      <c r="P3165" s="58">
        <v>7243055.7699999996</v>
      </c>
      <c r="Q3165" t="s">
        <v>118</v>
      </c>
      <c r="R3165" s="1" t="s">
        <v>158</v>
      </c>
    </row>
    <row r="3166" spans="3:18" x14ac:dyDescent="0.35">
      <c r="C3166" t="s">
        <v>51</v>
      </c>
      <c r="D3166" t="s">
        <v>21</v>
      </c>
      <c r="E3166" t="s">
        <v>45</v>
      </c>
      <c r="F3166" t="s">
        <v>46</v>
      </c>
      <c r="G3166" s="58">
        <v>132399</v>
      </c>
      <c r="H3166" s="1" t="s">
        <v>47</v>
      </c>
      <c r="I3166" s="1" t="s">
        <v>111</v>
      </c>
      <c r="J3166" s="58">
        <v>2250783</v>
      </c>
      <c r="K3166" s="1" t="s">
        <v>106</v>
      </c>
      <c r="L3166" s="1" t="s">
        <v>114</v>
      </c>
      <c r="N3166" s="1">
        <v>1</v>
      </c>
      <c r="O3166" s="58"/>
      <c r="P3166" s="58">
        <v>35747.730000000003</v>
      </c>
      <c r="Q3166" t="s">
        <v>107</v>
      </c>
      <c r="R3166" s="1" t="s">
        <v>158</v>
      </c>
    </row>
    <row r="3167" spans="3:18" x14ac:dyDescent="0.35">
      <c r="C3167" t="s">
        <v>53</v>
      </c>
      <c r="D3167" t="s">
        <v>24</v>
      </c>
      <c r="E3167" t="s">
        <v>45</v>
      </c>
      <c r="F3167" t="s">
        <v>46</v>
      </c>
      <c r="G3167" s="58">
        <v>12</v>
      </c>
      <c r="H3167" s="1" t="s">
        <v>59</v>
      </c>
      <c r="I3167" s="1" t="s">
        <v>105</v>
      </c>
      <c r="J3167" s="58"/>
      <c r="K3167" s="1" t="s">
        <v>106</v>
      </c>
      <c r="L3167" s="1" t="s">
        <v>120</v>
      </c>
      <c r="N3167" s="1">
        <v>0</v>
      </c>
      <c r="O3167" s="58"/>
      <c r="P3167" s="58">
        <v>0</v>
      </c>
      <c r="Q3167" t="s">
        <v>107</v>
      </c>
      <c r="R3167" s="1" t="s">
        <v>158</v>
      </c>
    </row>
    <row r="3168" spans="3:18" x14ac:dyDescent="0.35">
      <c r="C3168" t="s">
        <v>51</v>
      </c>
      <c r="D3168" t="s">
        <v>24</v>
      </c>
      <c r="E3168" t="s">
        <v>50</v>
      </c>
      <c r="F3168" t="s">
        <v>46</v>
      </c>
      <c r="G3168" s="58">
        <v>3160958</v>
      </c>
      <c r="H3168" s="1" t="s">
        <v>54</v>
      </c>
      <c r="I3168" s="1" t="s">
        <v>111</v>
      </c>
      <c r="J3168" s="58">
        <v>53736286</v>
      </c>
      <c r="K3168" s="1" t="s">
        <v>106</v>
      </c>
      <c r="L3168" s="1" t="s">
        <v>109</v>
      </c>
      <c r="N3168" s="1">
        <v>1</v>
      </c>
      <c r="O3168" s="58"/>
      <c r="P3168" s="58">
        <v>1548869.42</v>
      </c>
      <c r="Q3168" t="s">
        <v>113</v>
      </c>
      <c r="R3168" s="1" t="s">
        <v>158</v>
      </c>
    </row>
    <row r="3169" spans="3:18" x14ac:dyDescent="0.35">
      <c r="C3169" t="s">
        <v>51</v>
      </c>
      <c r="D3169" t="s">
        <v>24</v>
      </c>
      <c r="E3169" t="s">
        <v>52</v>
      </c>
      <c r="F3169" t="s">
        <v>64</v>
      </c>
      <c r="G3169" s="58">
        <v>627213</v>
      </c>
      <c r="H3169" s="1" t="s">
        <v>48</v>
      </c>
      <c r="I3169" s="1" t="s">
        <v>108</v>
      </c>
      <c r="J3169" s="58">
        <v>20070816</v>
      </c>
      <c r="K3169" s="1" t="s">
        <v>112</v>
      </c>
      <c r="N3169" s="1">
        <v>1</v>
      </c>
      <c r="O3169" s="58"/>
      <c r="P3169" s="58">
        <v>457865.49</v>
      </c>
      <c r="Q3169" t="s">
        <v>118</v>
      </c>
      <c r="R3169" s="1" t="s">
        <v>48</v>
      </c>
    </row>
    <row r="3170" spans="3:18" x14ac:dyDescent="0.35">
      <c r="C3170" t="s">
        <v>51</v>
      </c>
      <c r="D3170" t="s">
        <v>22</v>
      </c>
      <c r="E3170" t="s">
        <v>62</v>
      </c>
      <c r="F3170" t="s">
        <v>46</v>
      </c>
      <c r="G3170" s="58">
        <v>1465384</v>
      </c>
      <c r="H3170" s="1" t="s">
        <v>48</v>
      </c>
      <c r="I3170" s="1" t="s">
        <v>108</v>
      </c>
      <c r="J3170" s="58">
        <v>45426904</v>
      </c>
      <c r="K3170" s="1" t="s">
        <v>106</v>
      </c>
      <c r="L3170" s="1" t="s">
        <v>131</v>
      </c>
      <c r="M3170" s="1" t="s">
        <v>115</v>
      </c>
      <c r="N3170" s="1">
        <v>1</v>
      </c>
      <c r="O3170" s="58"/>
      <c r="P3170" s="58">
        <v>791307.36</v>
      </c>
      <c r="Q3170" t="s">
        <v>113</v>
      </c>
      <c r="R3170" s="1" t="s">
        <v>48</v>
      </c>
    </row>
    <row r="3171" spans="3:18" x14ac:dyDescent="0.35">
      <c r="C3171" t="s">
        <v>51</v>
      </c>
      <c r="D3171" t="s">
        <v>23</v>
      </c>
      <c r="E3171" t="s">
        <v>55</v>
      </c>
      <c r="F3171" t="s">
        <v>46</v>
      </c>
      <c r="G3171" s="58">
        <v>9274711</v>
      </c>
      <c r="H3171" s="1" t="s">
        <v>48</v>
      </c>
      <c r="I3171" s="1" t="s">
        <v>111</v>
      </c>
      <c r="J3171" s="58">
        <v>139120665</v>
      </c>
      <c r="K3171" s="1" t="s">
        <v>106</v>
      </c>
      <c r="L3171" s="1" t="s">
        <v>114</v>
      </c>
      <c r="M3171" s="1" t="s">
        <v>125</v>
      </c>
      <c r="N3171" s="1">
        <v>1</v>
      </c>
      <c r="O3171" s="58"/>
      <c r="P3171" s="58">
        <v>2782413.3</v>
      </c>
      <c r="Q3171" t="s">
        <v>107</v>
      </c>
      <c r="R3171" s="1" t="s">
        <v>158</v>
      </c>
    </row>
    <row r="3172" spans="3:18" x14ac:dyDescent="0.35">
      <c r="C3172" t="s">
        <v>51</v>
      </c>
      <c r="D3172" t="s">
        <v>24</v>
      </c>
      <c r="E3172" t="s">
        <v>55</v>
      </c>
      <c r="F3172" t="s">
        <v>46</v>
      </c>
      <c r="G3172" s="58">
        <v>874422</v>
      </c>
      <c r="H3172" s="1" t="s">
        <v>48</v>
      </c>
      <c r="I3172" s="1" t="s">
        <v>108</v>
      </c>
      <c r="J3172" s="58">
        <v>27107082</v>
      </c>
      <c r="K3172" s="1" t="s">
        <v>106</v>
      </c>
      <c r="L3172" s="1" t="s">
        <v>120</v>
      </c>
      <c r="M3172" s="1" t="s">
        <v>121</v>
      </c>
      <c r="N3172" s="1">
        <v>1</v>
      </c>
      <c r="O3172" s="58"/>
      <c r="P3172" s="58">
        <v>419722.56</v>
      </c>
      <c r="Q3172" t="s">
        <v>113</v>
      </c>
      <c r="R3172" s="1" t="s">
        <v>158</v>
      </c>
    </row>
    <row r="3173" spans="3:18" x14ac:dyDescent="0.35">
      <c r="C3173" t="s">
        <v>53</v>
      </c>
      <c r="D3173" t="s">
        <v>22</v>
      </c>
      <c r="E3173" t="s">
        <v>45</v>
      </c>
      <c r="F3173" t="s">
        <v>46</v>
      </c>
      <c r="G3173" s="58">
        <v>8242322</v>
      </c>
      <c r="H3173" s="1" t="s">
        <v>59</v>
      </c>
      <c r="I3173" s="1" t="s">
        <v>105</v>
      </c>
      <c r="J3173" s="58">
        <v>24726966</v>
      </c>
      <c r="K3173" s="1" t="s">
        <v>106</v>
      </c>
      <c r="L3173" s="1" t="s">
        <v>120</v>
      </c>
      <c r="N3173" s="1">
        <v>1</v>
      </c>
      <c r="O3173" s="58"/>
      <c r="P3173" s="58">
        <v>1730887.62</v>
      </c>
      <c r="Q3173" t="s">
        <v>107</v>
      </c>
      <c r="R3173" s="1" t="s">
        <v>158</v>
      </c>
    </row>
    <row r="3174" spans="3:18" x14ac:dyDescent="0.35">
      <c r="C3174" t="s">
        <v>51</v>
      </c>
      <c r="D3174" t="s">
        <v>22</v>
      </c>
      <c r="E3174" t="s">
        <v>50</v>
      </c>
      <c r="F3174" t="s">
        <v>46</v>
      </c>
      <c r="G3174" s="58">
        <v>5407406</v>
      </c>
      <c r="H3174" s="1" t="s">
        <v>48</v>
      </c>
      <c r="I3174" s="1" t="s">
        <v>108</v>
      </c>
      <c r="J3174" s="58">
        <v>151407368</v>
      </c>
      <c r="K3174" s="1" t="s">
        <v>106</v>
      </c>
      <c r="L3174" s="1" t="s">
        <v>109</v>
      </c>
      <c r="M3174" s="1" t="s">
        <v>115</v>
      </c>
      <c r="N3174" s="1">
        <v>1</v>
      </c>
      <c r="O3174" s="58"/>
      <c r="P3174" s="58">
        <v>1622221.8</v>
      </c>
      <c r="Q3174" t="s">
        <v>107</v>
      </c>
      <c r="R3174" s="1" t="s">
        <v>48</v>
      </c>
    </row>
    <row r="3175" spans="3:18" x14ac:dyDescent="0.35">
      <c r="C3175" t="s">
        <v>53</v>
      </c>
      <c r="D3175" t="s">
        <v>24</v>
      </c>
      <c r="E3175" t="s">
        <v>45</v>
      </c>
      <c r="F3175" t="s">
        <v>46</v>
      </c>
      <c r="G3175" s="58">
        <v>559432</v>
      </c>
      <c r="H3175" s="1" t="s">
        <v>54</v>
      </c>
      <c r="I3175" s="1" t="s">
        <v>111</v>
      </c>
      <c r="J3175" s="58">
        <v>6153752</v>
      </c>
      <c r="K3175" s="1" t="s">
        <v>106</v>
      </c>
      <c r="L3175" s="1" t="s">
        <v>120</v>
      </c>
      <c r="N3175" s="1">
        <v>1</v>
      </c>
      <c r="O3175" s="58"/>
      <c r="P3175" s="58">
        <v>268527.35999999999</v>
      </c>
      <c r="Q3175" t="s">
        <v>113</v>
      </c>
      <c r="R3175" s="1" t="s">
        <v>158</v>
      </c>
    </row>
    <row r="3176" spans="3:18" x14ac:dyDescent="0.35">
      <c r="C3176" t="s">
        <v>51</v>
      </c>
      <c r="D3176" t="s">
        <v>21</v>
      </c>
      <c r="E3176" t="s">
        <v>49</v>
      </c>
      <c r="F3176" t="s">
        <v>46</v>
      </c>
      <c r="G3176" s="58">
        <v>9478513</v>
      </c>
      <c r="H3176" s="1" t="s">
        <v>47</v>
      </c>
      <c r="I3176" s="1" t="s">
        <v>111</v>
      </c>
      <c r="J3176" s="58">
        <v>151656208</v>
      </c>
      <c r="K3176" s="1" t="s">
        <v>106</v>
      </c>
      <c r="L3176" s="1" t="s">
        <v>124</v>
      </c>
      <c r="N3176" s="1">
        <v>1</v>
      </c>
      <c r="O3176" s="58"/>
      <c r="P3176" s="58">
        <v>8151521.1799999997</v>
      </c>
      <c r="Q3176" t="s">
        <v>127</v>
      </c>
      <c r="R3176" s="1" t="s">
        <v>158</v>
      </c>
    </row>
    <row r="3177" spans="3:18" x14ac:dyDescent="0.35">
      <c r="C3177" t="s">
        <v>51</v>
      </c>
      <c r="D3177" t="s">
        <v>20</v>
      </c>
      <c r="E3177" t="s">
        <v>49</v>
      </c>
      <c r="F3177" t="s">
        <v>46</v>
      </c>
      <c r="G3177" s="58">
        <v>1124849</v>
      </c>
      <c r="H3177" s="1" t="s">
        <v>47</v>
      </c>
      <c r="I3177" s="1" t="s">
        <v>119</v>
      </c>
      <c r="J3177" s="58">
        <v>7873943</v>
      </c>
      <c r="K3177" s="1" t="s">
        <v>106</v>
      </c>
      <c r="L3177" s="1" t="s">
        <v>124</v>
      </c>
      <c r="N3177" s="1">
        <v>1</v>
      </c>
      <c r="O3177" s="58"/>
      <c r="P3177" s="58">
        <v>787394.3</v>
      </c>
      <c r="Q3177" t="s">
        <v>118</v>
      </c>
      <c r="R3177" s="1" t="s">
        <v>158</v>
      </c>
    </row>
    <row r="3178" spans="3:18" x14ac:dyDescent="0.35">
      <c r="C3178" t="s">
        <v>53</v>
      </c>
      <c r="D3178" t="s">
        <v>20</v>
      </c>
      <c r="E3178" t="s">
        <v>45</v>
      </c>
      <c r="F3178" t="s">
        <v>46</v>
      </c>
      <c r="G3178" s="58">
        <v>70764</v>
      </c>
      <c r="H3178" s="1" t="s">
        <v>47</v>
      </c>
      <c r="I3178" s="1" t="s">
        <v>119</v>
      </c>
      <c r="J3178" s="58">
        <v>707640</v>
      </c>
      <c r="K3178" s="1" t="s">
        <v>112</v>
      </c>
      <c r="N3178" s="1">
        <v>1</v>
      </c>
      <c r="O3178" s="58"/>
      <c r="P3178" s="58">
        <v>45288.959999999999</v>
      </c>
      <c r="Q3178" t="s">
        <v>118</v>
      </c>
      <c r="R3178" s="1" t="s">
        <v>158</v>
      </c>
    </row>
    <row r="3179" spans="3:18" x14ac:dyDescent="0.35">
      <c r="C3179" t="s">
        <v>53</v>
      </c>
      <c r="D3179" t="s">
        <v>21</v>
      </c>
      <c r="E3179" t="s">
        <v>45</v>
      </c>
      <c r="F3179" t="s">
        <v>46</v>
      </c>
      <c r="G3179" s="58">
        <v>2814466</v>
      </c>
      <c r="H3179" s="1" t="s">
        <v>59</v>
      </c>
      <c r="I3179" s="1" t="s">
        <v>119</v>
      </c>
      <c r="J3179" s="58">
        <v>22515728</v>
      </c>
      <c r="K3179" s="1" t="s">
        <v>106</v>
      </c>
      <c r="L3179" s="1" t="s">
        <v>120</v>
      </c>
      <c r="N3179" s="1">
        <v>1</v>
      </c>
      <c r="O3179" s="58"/>
      <c r="P3179" s="58">
        <v>1913836.88</v>
      </c>
      <c r="Q3179" t="s">
        <v>118</v>
      </c>
      <c r="R3179" s="1" t="s">
        <v>158</v>
      </c>
    </row>
    <row r="3180" spans="3:18" x14ac:dyDescent="0.35">
      <c r="C3180" t="s">
        <v>51</v>
      </c>
      <c r="D3180" t="s">
        <v>92</v>
      </c>
      <c r="E3180" t="s">
        <v>45</v>
      </c>
      <c r="F3180" t="s">
        <v>46</v>
      </c>
      <c r="G3180" s="58">
        <v>8634443</v>
      </c>
      <c r="H3180" s="1" t="s">
        <v>48</v>
      </c>
      <c r="I3180" s="1" t="s">
        <v>108</v>
      </c>
      <c r="J3180" s="58">
        <v>284936619</v>
      </c>
      <c r="K3180" s="1" t="s">
        <v>112</v>
      </c>
      <c r="N3180" s="1">
        <v>1</v>
      </c>
      <c r="O3180" s="58"/>
      <c r="P3180" s="58">
        <v>6130454.5300000003</v>
      </c>
      <c r="Q3180" t="s">
        <v>118</v>
      </c>
      <c r="R3180" s="1" t="s">
        <v>48</v>
      </c>
    </row>
    <row r="3181" spans="3:18" x14ac:dyDescent="0.35">
      <c r="C3181" t="s">
        <v>51</v>
      </c>
      <c r="D3181" t="s">
        <v>22</v>
      </c>
      <c r="E3181" t="s">
        <v>49</v>
      </c>
      <c r="F3181" t="s">
        <v>46</v>
      </c>
      <c r="G3181" s="58">
        <v>248627</v>
      </c>
      <c r="H3181" s="1" t="s">
        <v>54</v>
      </c>
      <c r="I3181" s="1" t="s">
        <v>108</v>
      </c>
      <c r="J3181" s="58">
        <v>6464302</v>
      </c>
      <c r="K3181" s="1" t="s">
        <v>106</v>
      </c>
      <c r="L3181" s="1" t="s">
        <v>116</v>
      </c>
      <c r="N3181" s="1">
        <v>1</v>
      </c>
      <c r="O3181" s="58"/>
      <c r="P3181" s="58">
        <v>87019.45</v>
      </c>
      <c r="Q3181" t="s">
        <v>107</v>
      </c>
      <c r="R3181" s="1" t="s">
        <v>158</v>
      </c>
    </row>
    <row r="3182" spans="3:18" x14ac:dyDescent="0.35">
      <c r="C3182" t="s">
        <v>51</v>
      </c>
      <c r="D3182" t="s">
        <v>23</v>
      </c>
      <c r="E3182" t="s">
        <v>55</v>
      </c>
      <c r="F3182" t="s">
        <v>46</v>
      </c>
      <c r="G3182" s="58">
        <v>19896455</v>
      </c>
      <c r="H3182" s="1" t="s">
        <v>48</v>
      </c>
      <c r="I3182" s="1" t="s">
        <v>108</v>
      </c>
      <c r="J3182" s="58">
        <v>557100740</v>
      </c>
      <c r="K3182" s="1" t="s">
        <v>106</v>
      </c>
      <c r="L3182" s="1" t="s">
        <v>114</v>
      </c>
      <c r="M3182" s="1" t="s">
        <v>125</v>
      </c>
      <c r="N3182" s="1">
        <v>1</v>
      </c>
      <c r="O3182" s="58"/>
      <c r="P3182" s="58">
        <v>6167901.0499999998</v>
      </c>
      <c r="Q3182" t="s">
        <v>107</v>
      </c>
      <c r="R3182" s="1" t="s">
        <v>158</v>
      </c>
    </row>
    <row r="3183" spans="3:18" x14ac:dyDescent="0.35">
      <c r="C3183" t="s">
        <v>51</v>
      </c>
      <c r="D3183" t="s">
        <v>23</v>
      </c>
      <c r="E3183" t="s">
        <v>45</v>
      </c>
      <c r="F3183" t="s">
        <v>64</v>
      </c>
      <c r="G3183" s="58">
        <v>230836</v>
      </c>
      <c r="H3183" s="1" t="s">
        <v>56</v>
      </c>
      <c r="I3183" s="1" t="s">
        <v>108</v>
      </c>
      <c r="J3183" s="58">
        <v>5540064</v>
      </c>
      <c r="K3183" s="1" t="s">
        <v>112</v>
      </c>
      <c r="N3183" s="1">
        <v>1</v>
      </c>
      <c r="O3183" s="58"/>
      <c r="P3183" s="58">
        <v>117726.36</v>
      </c>
      <c r="Q3183" t="s">
        <v>113</v>
      </c>
      <c r="R3183" s="1" t="s">
        <v>158</v>
      </c>
    </row>
    <row r="3184" spans="3:18" x14ac:dyDescent="0.35">
      <c r="C3184" t="s">
        <v>51</v>
      </c>
      <c r="D3184" t="s">
        <v>23</v>
      </c>
      <c r="E3184" t="s">
        <v>55</v>
      </c>
      <c r="F3184" t="s">
        <v>46</v>
      </c>
      <c r="G3184" s="58">
        <v>146994</v>
      </c>
      <c r="H3184" s="1" t="s">
        <v>48</v>
      </c>
      <c r="I3184" s="1" t="s">
        <v>105</v>
      </c>
      <c r="J3184" s="58">
        <v>440982</v>
      </c>
      <c r="K3184" s="1" t="s">
        <v>106</v>
      </c>
      <c r="L3184" s="1" t="s">
        <v>114</v>
      </c>
      <c r="M3184" s="1" t="s">
        <v>125</v>
      </c>
      <c r="N3184" s="1">
        <v>1</v>
      </c>
      <c r="O3184" s="58"/>
      <c r="P3184" s="58">
        <v>29398.799999999999</v>
      </c>
      <c r="Q3184" t="s">
        <v>107</v>
      </c>
      <c r="R3184" s="1" t="s">
        <v>48</v>
      </c>
    </row>
    <row r="3185" spans="3:18" x14ac:dyDescent="0.35">
      <c r="C3185" t="s">
        <v>51</v>
      </c>
      <c r="D3185" t="s">
        <v>22</v>
      </c>
      <c r="E3185" t="s">
        <v>45</v>
      </c>
      <c r="F3185" t="s">
        <v>46</v>
      </c>
      <c r="G3185" s="58">
        <v>304254</v>
      </c>
      <c r="H3185" s="1" t="s">
        <v>54</v>
      </c>
      <c r="I3185" s="1" t="s">
        <v>108</v>
      </c>
      <c r="J3185" s="58">
        <v>8519112</v>
      </c>
      <c r="K3185" s="1" t="s">
        <v>106</v>
      </c>
      <c r="L3185" s="1" t="s">
        <v>124</v>
      </c>
      <c r="N3185" s="1">
        <v>1</v>
      </c>
      <c r="O3185" s="58"/>
      <c r="P3185" s="58">
        <v>252530.82</v>
      </c>
      <c r="Q3185" t="s">
        <v>127</v>
      </c>
      <c r="R3185" s="1" t="s">
        <v>158</v>
      </c>
    </row>
    <row r="3186" spans="3:18" x14ac:dyDescent="0.35">
      <c r="C3186" t="s">
        <v>51</v>
      </c>
      <c r="D3186" t="s">
        <v>19</v>
      </c>
      <c r="E3186" t="s">
        <v>49</v>
      </c>
      <c r="F3186" t="s">
        <v>46</v>
      </c>
      <c r="G3186" s="58">
        <v>709326</v>
      </c>
      <c r="H3186" s="1" t="s">
        <v>56</v>
      </c>
      <c r="I3186" s="1" t="s">
        <v>108</v>
      </c>
      <c r="J3186" s="58">
        <v>19861128</v>
      </c>
      <c r="K3186" s="1" t="s">
        <v>106</v>
      </c>
      <c r="L3186" s="1" t="s">
        <v>120</v>
      </c>
      <c r="N3186" s="1">
        <v>1</v>
      </c>
      <c r="O3186" s="58"/>
      <c r="P3186" s="58">
        <v>510714.72</v>
      </c>
      <c r="Q3186" t="s">
        <v>118</v>
      </c>
      <c r="R3186" s="1" t="s">
        <v>158</v>
      </c>
    </row>
    <row r="3187" spans="3:18" x14ac:dyDescent="0.35">
      <c r="C3187" t="s">
        <v>51</v>
      </c>
      <c r="D3187" t="s">
        <v>22</v>
      </c>
      <c r="E3187" t="s">
        <v>45</v>
      </c>
      <c r="F3187" t="s">
        <v>46</v>
      </c>
      <c r="G3187" s="58">
        <v>272386</v>
      </c>
      <c r="H3187" s="1" t="s">
        <v>56</v>
      </c>
      <c r="I3187" s="1" t="s">
        <v>111</v>
      </c>
      <c r="J3187" s="58">
        <v>2996246</v>
      </c>
      <c r="K3187" s="1" t="s">
        <v>106</v>
      </c>
      <c r="L3187" s="1" t="s">
        <v>124</v>
      </c>
      <c r="N3187" s="1">
        <v>1</v>
      </c>
      <c r="O3187" s="58"/>
      <c r="P3187" s="58">
        <v>92611.24</v>
      </c>
      <c r="Q3187" t="s">
        <v>107</v>
      </c>
      <c r="R3187" s="1" t="s">
        <v>158</v>
      </c>
    </row>
    <row r="3188" spans="3:18" x14ac:dyDescent="0.35">
      <c r="C3188" t="s">
        <v>51</v>
      </c>
      <c r="D3188" t="s">
        <v>22</v>
      </c>
      <c r="E3188" t="s">
        <v>45</v>
      </c>
      <c r="F3188" t="s">
        <v>46</v>
      </c>
      <c r="G3188" s="58">
        <v>13127257</v>
      </c>
      <c r="H3188" s="1" t="s">
        <v>48</v>
      </c>
      <c r="I3188" s="1" t="s">
        <v>119</v>
      </c>
      <c r="J3188" s="58">
        <v>105018056</v>
      </c>
      <c r="K3188" s="1" t="s">
        <v>106</v>
      </c>
      <c r="L3188" s="1" t="s">
        <v>120</v>
      </c>
      <c r="M3188" s="1" t="s">
        <v>115</v>
      </c>
      <c r="N3188" s="1">
        <v>1</v>
      </c>
      <c r="O3188" s="58"/>
      <c r="P3188" s="58">
        <v>6301083.3600000003</v>
      </c>
      <c r="Q3188" t="s">
        <v>113</v>
      </c>
      <c r="R3188" s="1" t="s">
        <v>158</v>
      </c>
    </row>
    <row r="3189" spans="3:18" x14ac:dyDescent="0.35">
      <c r="C3189" t="s">
        <v>51</v>
      </c>
      <c r="D3189" t="s">
        <v>92</v>
      </c>
      <c r="E3189" t="s">
        <v>49</v>
      </c>
      <c r="F3189" t="s">
        <v>46</v>
      </c>
      <c r="G3189" s="58">
        <v>234972</v>
      </c>
      <c r="H3189" s="1" t="s">
        <v>48</v>
      </c>
      <c r="I3189" s="1" t="s">
        <v>108</v>
      </c>
      <c r="J3189" s="58">
        <v>5874300</v>
      </c>
      <c r="K3189" s="1" t="s">
        <v>106</v>
      </c>
      <c r="L3189" s="1" t="s">
        <v>120</v>
      </c>
      <c r="M3189" s="1" t="s">
        <v>123</v>
      </c>
      <c r="N3189" s="1">
        <v>1</v>
      </c>
      <c r="O3189" s="58"/>
      <c r="P3189" s="58">
        <v>110436.84</v>
      </c>
      <c r="Q3189" t="s">
        <v>113</v>
      </c>
      <c r="R3189" s="1" t="s">
        <v>48</v>
      </c>
    </row>
    <row r="3190" spans="3:18" x14ac:dyDescent="0.35">
      <c r="C3190" t="s">
        <v>51</v>
      </c>
      <c r="D3190" t="s">
        <v>22</v>
      </c>
      <c r="E3190" t="s">
        <v>55</v>
      </c>
      <c r="F3190" t="s">
        <v>46</v>
      </c>
      <c r="G3190" s="58">
        <v>49878</v>
      </c>
      <c r="H3190" s="1" t="s">
        <v>54</v>
      </c>
      <c r="I3190" s="1" t="s">
        <v>111</v>
      </c>
      <c r="J3190" s="58">
        <v>897804</v>
      </c>
      <c r="K3190" s="1" t="s">
        <v>106</v>
      </c>
      <c r="L3190" s="1" t="s">
        <v>114</v>
      </c>
      <c r="N3190" s="1">
        <v>1</v>
      </c>
      <c r="O3190" s="58"/>
      <c r="P3190" s="58">
        <v>22943.88</v>
      </c>
      <c r="Q3190" t="s">
        <v>113</v>
      </c>
      <c r="R3190" s="1" t="s">
        <v>158</v>
      </c>
    </row>
    <row r="3191" spans="3:18" x14ac:dyDescent="0.35">
      <c r="C3191" t="s">
        <v>51</v>
      </c>
      <c r="D3191" t="s">
        <v>60</v>
      </c>
      <c r="E3191" t="s">
        <v>60</v>
      </c>
      <c r="F3191" t="s">
        <v>46</v>
      </c>
      <c r="G3191" s="58">
        <v>10123</v>
      </c>
      <c r="H3191" s="1" t="s">
        <v>90</v>
      </c>
      <c r="I3191" s="1" t="s">
        <v>111</v>
      </c>
      <c r="J3191" s="58">
        <v>131599</v>
      </c>
      <c r="K3191" s="1" t="s">
        <v>106</v>
      </c>
      <c r="N3191" s="1">
        <v>1</v>
      </c>
      <c r="O3191" s="58"/>
      <c r="P3191" s="58">
        <v>0</v>
      </c>
      <c r="Q3191" t="s">
        <v>107</v>
      </c>
      <c r="R3191" s="1" t="s">
        <v>90</v>
      </c>
    </row>
    <row r="3192" spans="3:18" x14ac:dyDescent="0.35">
      <c r="C3192" t="s">
        <v>51</v>
      </c>
      <c r="D3192" t="s">
        <v>23</v>
      </c>
      <c r="E3192" t="s">
        <v>49</v>
      </c>
      <c r="F3192" t="s">
        <v>46</v>
      </c>
      <c r="G3192" s="58">
        <v>2430402</v>
      </c>
      <c r="H3192" s="1" t="s">
        <v>48</v>
      </c>
      <c r="I3192" s="1" t="s">
        <v>108</v>
      </c>
      <c r="J3192" s="58">
        <v>65620854</v>
      </c>
      <c r="K3192" s="1" t="s">
        <v>106</v>
      </c>
      <c r="L3192" s="1" t="s">
        <v>124</v>
      </c>
      <c r="M3192" s="1" t="s">
        <v>125</v>
      </c>
      <c r="N3192" s="1">
        <v>1</v>
      </c>
      <c r="O3192" s="58"/>
      <c r="P3192" s="58">
        <v>1239505.02</v>
      </c>
      <c r="Q3192" t="s">
        <v>113</v>
      </c>
      <c r="R3192" s="1" t="s">
        <v>48</v>
      </c>
    </row>
    <row r="3193" spans="3:18" x14ac:dyDescent="0.35">
      <c r="C3193" t="s">
        <v>51</v>
      </c>
      <c r="D3193" t="s">
        <v>24</v>
      </c>
      <c r="E3193" t="s">
        <v>50</v>
      </c>
      <c r="F3193" t="s">
        <v>46</v>
      </c>
      <c r="G3193" s="58">
        <v>101329</v>
      </c>
      <c r="H3193" s="1" t="s">
        <v>47</v>
      </c>
      <c r="I3193" s="1" t="s">
        <v>111</v>
      </c>
      <c r="J3193" s="58">
        <v>1013290</v>
      </c>
      <c r="K3193" s="1" t="s">
        <v>106</v>
      </c>
      <c r="L3193" s="1" t="s">
        <v>120</v>
      </c>
      <c r="N3193" s="1">
        <v>1</v>
      </c>
      <c r="O3193" s="58"/>
      <c r="P3193" s="58">
        <v>51677.79</v>
      </c>
      <c r="Q3193" t="s">
        <v>113</v>
      </c>
      <c r="R3193" s="1" t="s">
        <v>158</v>
      </c>
    </row>
    <row r="3194" spans="3:18" x14ac:dyDescent="0.35">
      <c r="C3194" t="s">
        <v>51</v>
      </c>
      <c r="D3194" t="s">
        <v>21</v>
      </c>
      <c r="E3194" t="s">
        <v>49</v>
      </c>
      <c r="F3194" t="s">
        <v>46</v>
      </c>
      <c r="G3194" s="58">
        <v>283286</v>
      </c>
      <c r="H3194" s="1" t="s">
        <v>48</v>
      </c>
      <c r="I3194" s="1" t="s">
        <v>108</v>
      </c>
      <c r="J3194" s="58">
        <v>10198296</v>
      </c>
      <c r="K3194" s="1" t="s">
        <v>106</v>
      </c>
      <c r="L3194" s="1" t="s">
        <v>120</v>
      </c>
      <c r="M3194" s="1" t="s">
        <v>126</v>
      </c>
      <c r="N3194" s="1">
        <v>1</v>
      </c>
      <c r="O3194" s="58"/>
      <c r="P3194" s="58">
        <v>237960.24</v>
      </c>
      <c r="Q3194" t="s">
        <v>127</v>
      </c>
      <c r="R3194" s="1" t="s">
        <v>158</v>
      </c>
    </row>
    <row r="3195" spans="3:18" x14ac:dyDescent="0.35">
      <c r="C3195" t="s">
        <v>51</v>
      </c>
      <c r="D3195" t="s">
        <v>21</v>
      </c>
      <c r="E3195" t="s">
        <v>49</v>
      </c>
      <c r="F3195" t="s">
        <v>64</v>
      </c>
      <c r="G3195" s="58">
        <v>523226</v>
      </c>
      <c r="H3195" s="1" t="s">
        <v>54</v>
      </c>
      <c r="I3195" s="1" t="s">
        <v>108</v>
      </c>
      <c r="J3195" s="58">
        <v>19359362</v>
      </c>
      <c r="K3195" s="1" t="s">
        <v>112</v>
      </c>
      <c r="N3195" s="1">
        <v>1</v>
      </c>
      <c r="O3195" s="58"/>
      <c r="P3195" s="58">
        <v>345329.16</v>
      </c>
      <c r="Q3195" t="s">
        <v>118</v>
      </c>
      <c r="R3195" s="1" t="s">
        <v>158</v>
      </c>
    </row>
    <row r="3196" spans="3:18" x14ac:dyDescent="0.35">
      <c r="C3196" t="s">
        <v>53</v>
      </c>
      <c r="D3196" t="s">
        <v>20</v>
      </c>
      <c r="E3196" t="s">
        <v>49</v>
      </c>
      <c r="F3196" t="s">
        <v>46</v>
      </c>
      <c r="G3196" s="58">
        <v>284200</v>
      </c>
      <c r="H3196" s="1" t="s">
        <v>48</v>
      </c>
      <c r="I3196" s="1" t="s">
        <v>119</v>
      </c>
      <c r="J3196" s="58">
        <v>1705200</v>
      </c>
      <c r="K3196" s="1" t="s">
        <v>106</v>
      </c>
      <c r="L3196" s="1" t="s">
        <v>124</v>
      </c>
      <c r="M3196" s="1" t="s">
        <v>123</v>
      </c>
      <c r="N3196" s="1">
        <v>1</v>
      </c>
      <c r="O3196" s="58"/>
      <c r="P3196" s="58">
        <v>255780</v>
      </c>
      <c r="Q3196" t="s">
        <v>127</v>
      </c>
      <c r="R3196" s="1" t="s">
        <v>48</v>
      </c>
    </row>
    <row r="3197" spans="3:18" x14ac:dyDescent="0.35">
      <c r="C3197" t="s">
        <v>51</v>
      </c>
      <c r="D3197" t="s">
        <v>21</v>
      </c>
      <c r="E3197" t="s">
        <v>45</v>
      </c>
      <c r="F3197" t="s">
        <v>46</v>
      </c>
      <c r="G3197" s="58">
        <v>11306979</v>
      </c>
      <c r="H3197" s="1" t="s">
        <v>48</v>
      </c>
      <c r="I3197" s="1" t="s">
        <v>108</v>
      </c>
      <c r="J3197" s="58">
        <v>339209370</v>
      </c>
      <c r="K3197" s="1" t="s">
        <v>112</v>
      </c>
      <c r="N3197" s="1">
        <v>1</v>
      </c>
      <c r="O3197" s="58"/>
      <c r="P3197" s="58">
        <v>3392093.7</v>
      </c>
      <c r="Q3197" t="s">
        <v>107</v>
      </c>
      <c r="R3197" s="1" t="s">
        <v>48</v>
      </c>
    </row>
    <row r="3198" spans="3:18" x14ac:dyDescent="0.35">
      <c r="C3198" t="s">
        <v>51</v>
      </c>
      <c r="D3198" t="s">
        <v>21</v>
      </c>
      <c r="E3198" t="s">
        <v>45</v>
      </c>
      <c r="F3198" t="s">
        <v>46</v>
      </c>
      <c r="G3198" s="58">
        <v>786891</v>
      </c>
      <c r="H3198" s="1" t="s">
        <v>48</v>
      </c>
      <c r="I3198" s="1" t="s">
        <v>108</v>
      </c>
      <c r="J3198" s="58">
        <v>22819839</v>
      </c>
      <c r="K3198" s="1" t="s">
        <v>106</v>
      </c>
      <c r="L3198" s="1" t="s">
        <v>124</v>
      </c>
      <c r="M3198" s="1" t="s">
        <v>126</v>
      </c>
      <c r="N3198" s="1">
        <v>1</v>
      </c>
      <c r="O3198" s="58"/>
      <c r="P3198" s="58">
        <v>424921.14</v>
      </c>
      <c r="Q3198" t="s">
        <v>113</v>
      </c>
      <c r="R3198" s="1" t="s">
        <v>158</v>
      </c>
    </row>
    <row r="3199" spans="3:18" x14ac:dyDescent="0.35">
      <c r="C3199" t="s">
        <v>51</v>
      </c>
      <c r="D3199" t="s">
        <v>21</v>
      </c>
      <c r="E3199" t="s">
        <v>50</v>
      </c>
      <c r="F3199" t="s">
        <v>46</v>
      </c>
      <c r="G3199" s="58">
        <v>3663917</v>
      </c>
      <c r="H3199" s="1" t="s">
        <v>48</v>
      </c>
      <c r="I3199" s="1" t="s">
        <v>108</v>
      </c>
      <c r="J3199" s="58">
        <v>109917510</v>
      </c>
      <c r="K3199" s="1" t="s">
        <v>106</v>
      </c>
      <c r="L3199" s="1" t="s">
        <v>109</v>
      </c>
      <c r="M3199" s="1" t="s">
        <v>126</v>
      </c>
      <c r="N3199" s="1">
        <v>1</v>
      </c>
      <c r="O3199" s="58"/>
      <c r="P3199" s="58">
        <v>2528102.73</v>
      </c>
      <c r="Q3199" t="s">
        <v>118</v>
      </c>
      <c r="R3199" s="1" t="s">
        <v>48</v>
      </c>
    </row>
    <row r="3200" spans="3:18" x14ac:dyDescent="0.35">
      <c r="C3200" t="s">
        <v>51</v>
      </c>
      <c r="D3200" t="s">
        <v>23</v>
      </c>
      <c r="E3200" t="s">
        <v>55</v>
      </c>
      <c r="F3200" t="s">
        <v>64</v>
      </c>
      <c r="G3200" s="58">
        <v>110294</v>
      </c>
      <c r="H3200" s="1" t="s">
        <v>48</v>
      </c>
      <c r="I3200" s="1" t="s">
        <v>108</v>
      </c>
      <c r="J3200" s="58">
        <v>2757350</v>
      </c>
      <c r="K3200" s="1" t="s">
        <v>112</v>
      </c>
      <c r="N3200" s="1">
        <v>1</v>
      </c>
      <c r="O3200" s="58"/>
      <c r="P3200" s="58">
        <v>45220.54</v>
      </c>
      <c r="Q3200" t="s">
        <v>113</v>
      </c>
      <c r="R3200" s="1" t="s">
        <v>48</v>
      </c>
    </row>
    <row r="3201" spans="3:18" x14ac:dyDescent="0.35">
      <c r="C3201" t="s">
        <v>51</v>
      </c>
      <c r="D3201" t="s">
        <v>23</v>
      </c>
      <c r="E3201" t="s">
        <v>50</v>
      </c>
      <c r="F3201" t="s">
        <v>64</v>
      </c>
      <c r="G3201" s="58">
        <v>246427</v>
      </c>
      <c r="H3201" s="1" t="s">
        <v>48</v>
      </c>
      <c r="I3201" s="1" t="s">
        <v>108</v>
      </c>
      <c r="J3201" s="58">
        <v>7885664</v>
      </c>
      <c r="K3201" s="1" t="s">
        <v>112</v>
      </c>
      <c r="N3201" s="1">
        <v>1</v>
      </c>
      <c r="O3201" s="58"/>
      <c r="P3201" s="58">
        <v>66535.289999999994</v>
      </c>
      <c r="Q3201" t="s">
        <v>107</v>
      </c>
      <c r="R3201" s="1" t="s">
        <v>48</v>
      </c>
    </row>
    <row r="3202" spans="3:18" x14ac:dyDescent="0.35">
      <c r="C3202" t="s">
        <v>51</v>
      </c>
      <c r="D3202" t="s">
        <v>20</v>
      </c>
      <c r="E3202" t="s">
        <v>49</v>
      </c>
      <c r="F3202" t="s">
        <v>46</v>
      </c>
      <c r="G3202" s="58">
        <v>131491</v>
      </c>
      <c r="H3202" s="1" t="s">
        <v>47</v>
      </c>
      <c r="I3202" s="1" t="s">
        <v>108</v>
      </c>
      <c r="J3202" s="58">
        <v>4470694</v>
      </c>
      <c r="K3202" s="1" t="s">
        <v>106</v>
      </c>
      <c r="L3202" s="1" t="s">
        <v>109</v>
      </c>
      <c r="N3202" s="1">
        <v>1</v>
      </c>
      <c r="O3202" s="58"/>
      <c r="P3202" s="58">
        <v>17093.830000000002</v>
      </c>
      <c r="Q3202" t="s">
        <v>107</v>
      </c>
      <c r="R3202" s="1" t="s">
        <v>158</v>
      </c>
    </row>
    <row r="3203" spans="3:18" x14ac:dyDescent="0.35">
      <c r="C3203" t="s">
        <v>51</v>
      </c>
      <c r="D3203" t="s">
        <v>23</v>
      </c>
      <c r="E3203" t="s">
        <v>55</v>
      </c>
      <c r="F3203" t="s">
        <v>46</v>
      </c>
      <c r="G3203" s="58">
        <v>28226355</v>
      </c>
      <c r="H3203" s="1" t="s">
        <v>47</v>
      </c>
      <c r="I3203" s="1" t="s">
        <v>108</v>
      </c>
      <c r="J3203" s="58">
        <v>846790650</v>
      </c>
      <c r="K3203" s="1" t="s">
        <v>106</v>
      </c>
      <c r="L3203" s="1" t="s">
        <v>114</v>
      </c>
      <c r="N3203" s="1">
        <v>1</v>
      </c>
      <c r="O3203" s="58"/>
      <c r="P3203" s="58">
        <v>23992401.75</v>
      </c>
      <c r="Q3203" t="s">
        <v>127</v>
      </c>
      <c r="R3203" s="1" t="s">
        <v>158</v>
      </c>
    </row>
    <row r="3204" spans="3:18" x14ac:dyDescent="0.35">
      <c r="C3204" t="s">
        <v>53</v>
      </c>
      <c r="D3204" t="s">
        <v>22</v>
      </c>
      <c r="E3204" t="s">
        <v>49</v>
      </c>
      <c r="F3204" t="s">
        <v>46</v>
      </c>
      <c r="G3204" s="58">
        <v>10361093</v>
      </c>
      <c r="H3204" s="1" t="s">
        <v>54</v>
      </c>
      <c r="I3204" s="1" t="s">
        <v>105</v>
      </c>
      <c r="J3204" s="58">
        <v>20722186</v>
      </c>
      <c r="K3204" s="1" t="s">
        <v>106</v>
      </c>
      <c r="L3204" s="1" t="s">
        <v>124</v>
      </c>
      <c r="N3204" s="1">
        <v>1</v>
      </c>
      <c r="O3204" s="58"/>
      <c r="P3204" s="58">
        <v>1036109.3</v>
      </c>
      <c r="Q3204" t="s">
        <v>107</v>
      </c>
      <c r="R3204" s="1" t="s">
        <v>158</v>
      </c>
    </row>
    <row r="3205" spans="3:18" x14ac:dyDescent="0.35">
      <c r="C3205" t="s">
        <v>53</v>
      </c>
      <c r="D3205" t="s">
        <v>21</v>
      </c>
      <c r="E3205" t="s">
        <v>49</v>
      </c>
      <c r="F3205" t="s">
        <v>46</v>
      </c>
      <c r="G3205" s="58">
        <v>60225993</v>
      </c>
      <c r="H3205" s="1" t="s">
        <v>59</v>
      </c>
      <c r="I3205" s="1" t="s">
        <v>111</v>
      </c>
      <c r="J3205" s="58">
        <v>782937909</v>
      </c>
      <c r="K3205" s="1" t="s">
        <v>106</v>
      </c>
      <c r="L3205" s="1" t="s">
        <v>124</v>
      </c>
      <c r="N3205" s="1">
        <v>1</v>
      </c>
      <c r="O3205" s="58"/>
      <c r="P3205" s="58">
        <v>39749155.380000003</v>
      </c>
      <c r="Q3205" t="s">
        <v>118</v>
      </c>
      <c r="R3205" s="1" t="s">
        <v>158</v>
      </c>
    </row>
    <row r="3206" spans="3:18" x14ac:dyDescent="0.35">
      <c r="C3206" t="s">
        <v>53</v>
      </c>
      <c r="D3206" t="s">
        <v>19</v>
      </c>
      <c r="E3206" t="s">
        <v>45</v>
      </c>
      <c r="F3206" t="s">
        <v>46</v>
      </c>
      <c r="G3206" s="58">
        <v>703</v>
      </c>
      <c r="H3206" s="1" t="s">
        <v>47</v>
      </c>
      <c r="I3206" s="1" t="s">
        <v>105</v>
      </c>
      <c r="J3206" s="58"/>
      <c r="K3206" s="1" t="s">
        <v>106</v>
      </c>
      <c r="L3206" s="1" t="s">
        <v>114</v>
      </c>
      <c r="N3206" s="1">
        <v>0</v>
      </c>
      <c r="O3206" s="58"/>
      <c r="P3206" s="58">
        <v>0</v>
      </c>
      <c r="Q3206" t="s">
        <v>107</v>
      </c>
      <c r="R3206" s="1" t="s">
        <v>158</v>
      </c>
    </row>
    <row r="3207" spans="3:18" x14ac:dyDescent="0.35">
      <c r="C3207" t="s">
        <v>51</v>
      </c>
      <c r="D3207" t="s">
        <v>19</v>
      </c>
      <c r="E3207" t="s">
        <v>50</v>
      </c>
      <c r="F3207" t="s">
        <v>46</v>
      </c>
      <c r="G3207" s="58">
        <v>64132</v>
      </c>
      <c r="H3207" s="1" t="s">
        <v>48</v>
      </c>
      <c r="I3207" s="1" t="s">
        <v>111</v>
      </c>
      <c r="J3207" s="58">
        <v>769584</v>
      </c>
      <c r="K3207" s="1" t="s">
        <v>106</v>
      </c>
      <c r="L3207" s="1" t="s">
        <v>109</v>
      </c>
      <c r="M3207" s="1" t="s">
        <v>122</v>
      </c>
      <c r="N3207" s="1">
        <v>1</v>
      </c>
      <c r="O3207" s="58"/>
      <c r="P3207" s="58">
        <v>7695.84</v>
      </c>
      <c r="Q3207" t="s">
        <v>107</v>
      </c>
      <c r="R3207" s="1" t="s">
        <v>158</v>
      </c>
    </row>
    <row r="3208" spans="3:18" x14ac:dyDescent="0.35">
      <c r="C3208" t="s">
        <v>51</v>
      </c>
      <c r="D3208" t="s">
        <v>24</v>
      </c>
      <c r="E3208" t="s">
        <v>45</v>
      </c>
      <c r="F3208" t="s">
        <v>46</v>
      </c>
      <c r="G3208" s="58">
        <v>3293511</v>
      </c>
      <c r="H3208" s="1" t="s">
        <v>56</v>
      </c>
      <c r="I3208" s="1" t="s">
        <v>108</v>
      </c>
      <c r="J3208" s="58">
        <v>88924797</v>
      </c>
      <c r="K3208" s="1" t="s">
        <v>106</v>
      </c>
      <c r="L3208" s="1" t="s">
        <v>120</v>
      </c>
      <c r="N3208" s="1">
        <v>1</v>
      </c>
      <c r="O3208" s="58"/>
      <c r="P3208" s="58">
        <v>1679690.61</v>
      </c>
      <c r="Q3208" t="s">
        <v>113</v>
      </c>
      <c r="R3208" s="1" t="s">
        <v>158</v>
      </c>
    </row>
    <row r="3209" spans="3:18" x14ac:dyDescent="0.35">
      <c r="C3209" t="s">
        <v>51</v>
      </c>
      <c r="D3209" t="s">
        <v>21</v>
      </c>
      <c r="E3209" t="s">
        <v>49</v>
      </c>
      <c r="F3209" t="s">
        <v>46</v>
      </c>
      <c r="G3209" s="58">
        <v>14016</v>
      </c>
      <c r="H3209" s="1" t="s">
        <v>47</v>
      </c>
      <c r="I3209" s="1" t="s">
        <v>105</v>
      </c>
      <c r="J3209" s="58">
        <v>70080</v>
      </c>
      <c r="K3209" s="1" t="s">
        <v>106</v>
      </c>
      <c r="L3209" s="1" t="s">
        <v>124</v>
      </c>
      <c r="N3209" s="1">
        <v>1</v>
      </c>
      <c r="O3209" s="58"/>
      <c r="P3209" s="58">
        <v>13034.88</v>
      </c>
      <c r="Q3209" t="s">
        <v>127</v>
      </c>
      <c r="R3209" s="1" t="s">
        <v>158</v>
      </c>
    </row>
    <row r="3210" spans="3:18" x14ac:dyDescent="0.35">
      <c r="C3210" t="s">
        <v>51</v>
      </c>
      <c r="D3210" t="s">
        <v>23</v>
      </c>
      <c r="E3210" t="s">
        <v>50</v>
      </c>
      <c r="F3210" t="s">
        <v>46</v>
      </c>
      <c r="G3210" s="58">
        <v>3582264</v>
      </c>
      <c r="H3210" s="1" t="s">
        <v>48</v>
      </c>
      <c r="I3210" s="1" t="s">
        <v>111</v>
      </c>
      <c r="J3210" s="58">
        <v>57316224</v>
      </c>
      <c r="K3210" s="1" t="s">
        <v>106</v>
      </c>
      <c r="L3210" s="1" t="s">
        <v>109</v>
      </c>
      <c r="M3210" s="1" t="s">
        <v>125</v>
      </c>
      <c r="N3210" s="1">
        <v>1</v>
      </c>
      <c r="O3210" s="58"/>
      <c r="P3210" s="58">
        <v>1826954.64</v>
      </c>
      <c r="Q3210" t="s">
        <v>113</v>
      </c>
      <c r="R3210" s="1" t="s">
        <v>48</v>
      </c>
    </row>
    <row r="3211" spans="3:18" x14ac:dyDescent="0.35">
      <c r="C3211" t="s">
        <v>51</v>
      </c>
      <c r="D3211" t="s">
        <v>23</v>
      </c>
      <c r="E3211" t="s">
        <v>45</v>
      </c>
      <c r="F3211" t="s">
        <v>46</v>
      </c>
      <c r="G3211" s="58">
        <v>91842354</v>
      </c>
      <c r="H3211" s="1" t="s">
        <v>59</v>
      </c>
      <c r="I3211" s="1" t="s">
        <v>108</v>
      </c>
      <c r="J3211" s="58">
        <v>2387901204</v>
      </c>
      <c r="K3211" s="1" t="s">
        <v>106</v>
      </c>
      <c r="L3211" s="1" t="s">
        <v>120</v>
      </c>
      <c r="N3211" s="1">
        <v>1</v>
      </c>
      <c r="O3211" s="58"/>
      <c r="P3211" s="58">
        <v>47758024.079999998</v>
      </c>
      <c r="Q3211" t="s">
        <v>113</v>
      </c>
      <c r="R3211" s="1" t="s">
        <v>158</v>
      </c>
    </row>
    <row r="3212" spans="3:18" x14ac:dyDescent="0.35">
      <c r="C3212" t="s">
        <v>51</v>
      </c>
      <c r="D3212" t="s">
        <v>21</v>
      </c>
      <c r="E3212" t="s">
        <v>49</v>
      </c>
      <c r="F3212" t="s">
        <v>46</v>
      </c>
      <c r="G3212" s="58">
        <v>261680054</v>
      </c>
      <c r="H3212" s="1" t="s">
        <v>48</v>
      </c>
      <c r="I3212" s="1" t="s">
        <v>108</v>
      </c>
      <c r="J3212" s="58">
        <v>7327041512</v>
      </c>
      <c r="K3212" s="1" t="s">
        <v>106</v>
      </c>
      <c r="L3212" s="1" t="s">
        <v>124</v>
      </c>
      <c r="M3212" s="1" t="s">
        <v>126</v>
      </c>
      <c r="N3212" s="1">
        <v>1</v>
      </c>
      <c r="O3212" s="58"/>
      <c r="P3212" s="58">
        <v>75887215.659999996</v>
      </c>
      <c r="Q3212" t="s">
        <v>107</v>
      </c>
      <c r="R3212" s="1" t="s">
        <v>158</v>
      </c>
    </row>
    <row r="3213" spans="3:18" x14ac:dyDescent="0.35">
      <c r="C3213" t="s">
        <v>51</v>
      </c>
      <c r="D3213" t="s">
        <v>21</v>
      </c>
      <c r="E3213" t="s">
        <v>45</v>
      </c>
      <c r="F3213" t="s">
        <v>46</v>
      </c>
      <c r="G3213" s="58">
        <v>67821</v>
      </c>
      <c r="H3213" s="1" t="s">
        <v>47</v>
      </c>
      <c r="I3213" s="1" t="s">
        <v>105</v>
      </c>
      <c r="J3213" s="58">
        <v>271284</v>
      </c>
      <c r="K3213" s="1" t="s">
        <v>106</v>
      </c>
      <c r="L3213" s="1" t="s">
        <v>114</v>
      </c>
      <c r="N3213" s="1">
        <v>1</v>
      </c>
      <c r="O3213" s="58"/>
      <c r="P3213" s="58">
        <v>11529.57</v>
      </c>
      <c r="Q3213" t="s">
        <v>107</v>
      </c>
      <c r="R3213" s="1" t="s">
        <v>158</v>
      </c>
    </row>
    <row r="3214" spans="3:18" x14ac:dyDescent="0.35">
      <c r="C3214" t="s">
        <v>51</v>
      </c>
      <c r="D3214" t="s">
        <v>20</v>
      </c>
      <c r="E3214" t="s">
        <v>49</v>
      </c>
      <c r="F3214" t="s">
        <v>46</v>
      </c>
      <c r="G3214" s="58">
        <v>10249321</v>
      </c>
      <c r="H3214" s="1" t="s">
        <v>54</v>
      </c>
      <c r="I3214" s="1" t="s">
        <v>108</v>
      </c>
      <c r="J3214" s="58">
        <v>317728951</v>
      </c>
      <c r="K3214" s="1" t="s">
        <v>106</v>
      </c>
      <c r="L3214" s="1" t="s">
        <v>124</v>
      </c>
      <c r="N3214" s="1">
        <v>1</v>
      </c>
      <c r="O3214" s="58"/>
      <c r="P3214" s="58">
        <v>8711922.8499999996</v>
      </c>
      <c r="Q3214" t="s">
        <v>127</v>
      </c>
      <c r="R3214" s="1" t="s">
        <v>158</v>
      </c>
    </row>
    <row r="3215" spans="3:18" x14ac:dyDescent="0.35">
      <c r="C3215" t="s">
        <v>51</v>
      </c>
      <c r="D3215" t="s">
        <v>22</v>
      </c>
      <c r="E3215" t="s">
        <v>49</v>
      </c>
      <c r="F3215" t="s">
        <v>46</v>
      </c>
      <c r="G3215" s="58">
        <v>9346501</v>
      </c>
      <c r="H3215" s="1" t="s">
        <v>59</v>
      </c>
      <c r="I3215" s="1" t="s">
        <v>108</v>
      </c>
      <c r="J3215" s="58">
        <v>233662525</v>
      </c>
      <c r="K3215" s="1" t="s">
        <v>106</v>
      </c>
      <c r="L3215" s="1" t="s">
        <v>124</v>
      </c>
      <c r="N3215" s="1">
        <v>1</v>
      </c>
      <c r="O3215" s="58"/>
      <c r="P3215" s="58">
        <v>2710485.29</v>
      </c>
      <c r="Q3215" t="s">
        <v>107</v>
      </c>
      <c r="R3215" s="1" t="s">
        <v>158</v>
      </c>
    </row>
    <row r="3216" spans="3:18" x14ac:dyDescent="0.35">
      <c r="C3216" t="s">
        <v>51</v>
      </c>
      <c r="D3216" t="s">
        <v>24</v>
      </c>
      <c r="E3216" t="s">
        <v>50</v>
      </c>
      <c r="F3216" t="s">
        <v>46</v>
      </c>
      <c r="G3216" s="58">
        <v>14534993</v>
      </c>
      <c r="H3216" s="1" t="s">
        <v>47</v>
      </c>
      <c r="I3216" s="1" t="s">
        <v>111</v>
      </c>
      <c r="J3216" s="58">
        <v>232559888</v>
      </c>
      <c r="K3216" s="1" t="s">
        <v>106</v>
      </c>
      <c r="L3216" s="1" t="s">
        <v>109</v>
      </c>
      <c r="N3216" s="1">
        <v>1</v>
      </c>
      <c r="O3216" s="58"/>
      <c r="P3216" s="58">
        <v>7122146.5700000003</v>
      </c>
      <c r="Q3216" t="s">
        <v>113</v>
      </c>
      <c r="R3216" s="1" t="s">
        <v>158</v>
      </c>
    </row>
    <row r="3217" spans="3:18" x14ac:dyDescent="0.35">
      <c r="C3217" t="s">
        <v>53</v>
      </c>
      <c r="D3217" t="s">
        <v>19</v>
      </c>
      <c r="E3217" t="s">
        <v>49</v>
      </c>
      <c r="F3217" t="s">
        <v>46</v>
      </c>
      <c r="G3217" s="58">
        <v>5000</v>
      </c>
      <c r="H3217" s="1" t="s">
        <v>47</v>
      </c>
      <c r="I3217" s="1" t="s">
        <v>111</v>
      </c>
      <c r="J3217" s="58">
        <v>90000</v>
      </c>
      <c r="K3217" s="1" t="s">
        <v>106</v>
      </c>
      <c r="L3217" s="1" t="s">
        <v>124</v>
      </c>
      <c r="N3217" s="1">
        <v>1</v>
      </c>
      <c r="O3217" s="58"/>
      <c r="P3217" s="58">
        <v>5300</v>
      </c>
      <c r="Q3217" t="s">
        <v>110</v>
      </c>
      <c r="R3217" s="1" t="s">
        <v>158</v>
      </c>
    </row>
    <row r="3218" spans="3:18" x14ac:dyDescent="0.35">
      <c r="C3218" t="s">
        <v>51</v>
      </c>
      <c r="D3218" t="s">
        <v>91</v>
      </c>
      <c r="E3218" t="s">
        <v>49</v>
      </c>
      <c r="F3218" t="s">
        <v>46</v>
      </c>
      <c r="G3218" s="58">
        <v>788000</v>
      </c>
      <c r="H3218" s="1" t="s">
        <v>59</v>
      </c>
      <c r="I3218" s="1" t="s">
        <v>111</v>
      </c>
      <c r="J3218" s="58">
        <v>15760000</v>
      </c>
      <c r="K3218" s="1" t="s">
        <v>112</v>
      </c>
      <c r="N3218" s="1">
        <v>1</v>
      </c>
      <c r="O3218" s="58"/>
      <c r="P3218" s="58">
        <v>338840</v>
      </c>
      <c r="Q3218" t="s">
        <v>113</v>
      </c>
      <c r="R3218" s="1" t="s">
        <v>158</v>
      </c>
    </row>
    <row r="3219" spans="3:18" x14ac:dyDescent="0.35">
      <c r="C3219" t="s">
        <v>51</v>
      </c>
      <c r="D3219" t="s">
        <v>22</v>
      </c>
      <c r="E3219" t="s">
        <v>45</v>
      </c>
      <c r="F3219" t="s">
        <v>46</v>
      </c>
      <c r="G3219" s="58">
        <v>55573</v>
      </c>
      <c r="H3219" s="1" t="s">
        <v>56</v>
      </c>
      <c r="I3219" s="1" t="s">
        <v>111</v>
      </c>
      <c r="J3219" s="58">
        <v>833595</v>
      </c>
      <c r="K3219" s="1" t="s">
        <v>106</v>
      </c>
      <c r="L3219" s="1" t="s">
        <v>116</v>
      </c>
      <c r="N3219" s="1">
        <v>1</v>
      </c>
      <c r="O3219" s="58"/>
      <c r="P3219" s="58">
        <v>10558.87</v>
      </c>
      <c r="Q3219" t="s">
        <v>107</v>
      </c>
      <c r="R3219" s="1" t="s">
        <v>158</v>
      </c>
    </row>
    <row r="3220" spans="3:18" x14ac:dyDescent="0.35">
      <c r="C3220" t="s">
        <v>51</v>
      </c>
      <c r="D3220" t="s">
        <v>19</v>
      </c>
      <c r="E3220" t="s">
        <v>49</v>
      </c>
      <c r="F3220" t="s">
        <v>46</v>
      </c>
      <c r="G3220" s="58">
        <v>1066198</v>
      </c>
      <c r="H3220" s="1" t="s">
        <v>48</v>
      </c>
      <c r="I3220" s="1" t="s">
        <v>119</v>
      </c>
      <c r="J3220" s="58">
        <v>6397188</v>
      </c>
      <c r="K3220" s="1" t="s">
        <v>112</v>
      </c>
      <c r="N3220" s="1">
        <v>1</v>
      </c>
      <c r="O3220" s="58"/>
      <c r="P3220" s="58">
        <v>447803.16</v>
      </c>
      <c r="Q3220" t="s">
        <v>113</v>
      </c>
      <c r="R3220" s="1" t="s">
        <v>48</v>
      </c>
    </row>
    <row r="3221" spans="3:18" x14ac:dyDescent="0.35">
      <c r="C3221" t="s">
        <v>51</v>
      </c>
      <c r="D3221" t="s">
        <v>92</v>
      </c>
      <c r="E3221" t="s">
        <v>49</v>
      </c>
      <c r="F3221" t="s">
        <v>46</v>
      </c>
      <c r="G3221" s="58">
        <v>10619765</v>
      </c>
      <c r="H3221" s="1" t="s">
        <v>56</v>
      </c>
      <c r="I3221" s="1" t="s">
        <v>108</v>
      </c>
      <c r="J3221" s="58">
        <v>329212715</v>
      </c>
      <c r="K3221" s="1" t="s">
        <v>106</v>
      </c>
      <c r="L3221" s="1" t="s">
        <v>124</v>
      </c>
      <c r="N3221" s="1">
        <v>1</v>
      </c>
      <c r="O3221" s="58"/>
      <c r="P3221" s="58">
        <v>9026800.25</v>
      </c>
      <c r="Q3221" t="s">
        <v>127</v>
      </c>
      <c r="R3221" s="1" t="s">
        <v>158</v>
      </c>
    </row>
    <row r="3222" spans="3:18" x14ac:dyDescent="0.35">
      <c r="C3222" t="s">
        <v>51</v>
      </c>
      <c r="D3222" t="s">
        <v>23</v>
      </c>
      <c r="E3222" t="s">
        <v>45</v>
      </c>
      <c r="F3222" t="s">
        <v>46</v>
      </c>
      <c r="G3222" s="58">
        <v>54970748</v>
      </c>
      <c r="H3222" s="1" t="s">
        <v>54</v>
      </c>
      <c r="I3222" s="1" t="s">
        <v>108</v>
      </c>
      <c r="J3222" s="58">
        <v>1539180944</v>
      </c>
      <c r="K3222" s="1" t="s">
        <v>106</v>
      </c>
      <c r="L3222" s="1" t="s">
        <v>120</v>
      </c>
      <c r="N3222" s="1">
        <v>1</v>
      </c>
      <c r="O3222" s="58"/>
      <c r="P3222" s="58">
        <v>36830401.159999996</v>
      </c>
      <c r="Q3222" t="s">
        <v>118</v>
      </c>
      <c r="R3222" s="1" t="s">
        <v>158</v>
      </c>
    </row>
    <row r="3223" spans="3:18" x14ac:dyDescent="0.35">
      <c r="C3223" t="s">
        <v>51</v>
      </c>
      <c r="D3223" t="s">
        <v>22</v>
      </c>
      <c r="E3223" t="s">
        <v>49</v>
      </c>
      <c r="F3223" t="s">
        <v>46</v>
      </c>
      <c r="G3223" s="58">
        <v>8169218</v>
      </c>
      <c r="H3223" s="1" t="s">
        <v>48</v>
      </c>
      <c r="I3223" s="1" t="s">
        <v>108</v>
      </c>
      <c r="J3223" s="58">
        <v>261414976</v>
      </c>
      <c r="K3223" s="1" t="s">
        <v>112</v>
      </c>
      <c r="N3223" s="1">
        <v>1</v>
      </c>
      <c r="O3223" s="58"/>
      <c r="P3223" s="58">
        <v>4166301.18</v>
      </c>
      <c r="Q3223" t="s">
        <v>113</v>
      </c>
      <c r="R3223" s="1" t="s">
        <v>158</v>
      </c>
    </row>
    <row r="3224" spans="3:18" x14ac:dyDescent="0.35">
      <c r="C3224" t="s">
        <v>51</v>
      </c>
      <c r="D3224" t="s">
        <v>21</v>
      </c>
      <c r="E3224" t="s">
        <v>45</v>
      </c>
      <c r="F3224" t="s">
        <v>46</v>
      </c>
      <c r="G3224" s="58">
        <v>137719</v>
      </c>
      <c r="H3224" s="1" t="s">
        <v>48</v>
      </c>
      <c r="I3224" s="1" t="s">
        <v>111</v>
      </c>
      <c r="J3224" s="58">
        <v>2616661</v>
      </c>
      <c r="K3224" s="1" t="s">
        <v>106</v>
      </c>
      <c r="L3224" s="1" t="s">
        <v>124</v>
      </c>
      <c r="M3224" s="1" t="s">
        <v>123</v>
      </c>
      <c r="N3224" s="1">
        <v>1</v>
      </c>
      <c r="O3224" s="58"/>
      <c r="P3224" s="58">
        <v>67482.31</v>
      </c>
      <c r="Q3224" t="s">
        <v>113</v>
      </c>
      <c r="R3224" s="1" t="s">
        <v>48</v>
      </c>
    </row>
    <row r="3225" spans="3:18" x14ac:dyDescent="0.35">
      <c r="C3225" t="s">
        <v>51</v>
      </c>
      <c r="D3225" t="s">
        <v>24</v>
      </c>
      <c r="E3225" t="s">
        <v>55</v>
      </c>
      <c r="F3225" t="s">
        <v>46</v>
      </c>
      <c r="G3225" s="58">
        <v>847941</v>
      </c>
      <c r="H3225" s="1" t="s">
        <v>47</v>
      </c>
      <c r="I3225" s="1" t="s">
        <v>105</v>
      </c>
      <c r="J3225" s="58"/>
      <c r="K3225" s="1" t="s">
        <v>106</v>
      </c>
      <c r="L3225" s="1" t="s">
        <v>114</v>
      </c>
      <c r="N3225" s="1">
        <v>0</v>
      </c>
      <c r="O3225" s="58"/>
      <c r="P3225" s="58">
        <v>67835.28</v>
      </c>
      <c r="Q3225" t="s">
        <v>107</v>
      </c>
      <c r="R3225" s="1" t="s">
        <v>158</v>
      </c>
    </row>
    <row r="3226" spans="3:18" x14ac:dyDescent="0.35">
      <c r="C3226" t="s">
        <v>53</v>
      </c>
      <c r="D3226" t="s">
        <v>21</v>
      </c>
      <c r="E3226" t="s">
        <v>49</v>
      </c>
      <c r="F3226" t="s">
        <v>46</v>
      </c>
      <c r="G3226" s="58">
        <v>4552703</v>
      </c>
      <c r="H3226" s="1" t="s">
        <v>47</v>
      </c>
      <c r="I3226" s="1" t="s">
        <v>119</v>
      </c>
      <c r="J3226" s="58">
        <v>45527030</v>
      </c>
      <c r="K3226" s="1" t="s">
        <v>112</v>
      </c>
      <c r="N3226" s="1">
        <v>1</v>
      </c>
      <c r="O3226" s="58"/>
      <c r="P3226" s="58">
        <v>3505581.31</v>
      </c>
      <c r="Q3226" t="s">
        <v>118</v>
      </c>
      <c r="R3226" s="1" t="s">
        <v>158</v>
      </c>
    </row>
    <row r="3227" spans="3:18" x14ac:dyDescent="0.35">
      <c r="C3227" t="s">
        <v>51</v>
      </c>
      <c r="D3227" t="s">
        <v>91</v>
      </c>
      <c r="E3227" t="s">
        <v>49</v>
      </c>
      <c r="F3227" t="s">
        <v>46</v>
      </c>
      <c r="G3227" s="58">
        <v>716734</v>
      </c>
      <c r="H3227" s="1" t="s">
        <v>48</v>
      </c>
      <c r="I3227" s="1" t="s">
        <v>108</v>
      </c>
      <c r="J3227" s="58">
        <v>17918350</v>
      </c>
      <c r="K3227" s="1" t="s">
        <v>106</v>
      </c>
      <c r="L3227" s="1" t="s">
        <v>120</v>
      </c>
      <c r="M3227" s="1" t="s">
        <v>126</v>
      </c>
      <c r="N3227" s="1">
        <v>1</v>
      </c>
      <c r="O3227" s="58"/>
      <c r="P3227" s="58">
        <v>559052.52</v>
      </c>
      <c r="Q3227" t="s">
        <v>118</v>
      </c>
      <c r="R3227" s="1" t="s">
        <v>158</v>
      </c>
    </row>
    <row r="3228" spans="3:18" x14ac:dyDescent="0.35">
      <c r="C3228" t="s">
        <v>51</v>
      </c>
      <c r="D3228" t="s">
        <v>92</v>
      </c>
      <c r="E3228" t="s">
        <v>49</v>
      </c>
      <c r="F3228" t="s">
        <v>46</v>
      </c>
      <c r="G3228" s="58">
        <v>913272</v>
      </c>
      <c r="H3228" s="1" t="s">
        <v>59</v>
      </c>
      <c r="I3228" s="1" t="s">
        <v>108</v>
      </c>
      <c r="J3228" s="58">
        <v>23745072</v>
      </c>
      <c r="K3228" s="1" t="s">
        <v>112</v>
      </c>
      <c r="N3228" s="1">
        <v>1</v>
      </c>
      <c r="O3228" s="58"/>
      <c r="P3228" s="58">
        <v>237450.72</v>
      </c>
      <c r="Q3228" t="s">
        <v>107</v>
      </c>
      <c r="R3228" s="1" t="s">
        <v>158</v>
      </c>
    </row>
    <row r="3229" spans="3:18" x14ac:dyDescent="0.35">
      <c r="C3229" t="s">
        <v>51</v>
      </c>
      <c r="D3229" t="s">
        <v>21</v>
      </c>
      <c r="E3229" t="s">
        <v>49</v>
      </c>
      <c r="F3229" t="s">
        <v>46</v>
      </c>
      <c r="G3229" s="58">
        <v>121116641</v>
      </c>
      <c r="H3229" s="1" t="s">
        <v>54</v>
      </c>
      <c r="I3229" s="1" t="s">
        <v>111</v>
      </c>
      <c r="J3229" s="58">
        <v>1937866256</v>
      </c>
      <c r="K3229" s="1" t="s">
        <v>106</v>
      </c>
      <c r="L3229" s="1" t="s">
        <v>124</v>
      </c>
      <c r="N3229" s="1">
        <v>1</v>
      </c>
      <c r="O3229" s="58"/>
      <c r="P3229" s="58">
        <v>59347154.090000004</v>
      </c>
      <c r="Q3229" t="s">
        <v>113</v>
      </c>
      <c r="R3229" s="1" t="s">
        <v>158</v>
      </c>
    </row>
    <row r="3230" spans="3:18" x14ac:dyDescent="0.35">
      <c r="C3230" t="s">
        <v>53</v>
      </c>
      <c r="D3230" t="s">
        <v>22</v>
      </c>
      <c r="E3230" t="s">
        <v>55</v>
      </c>
      <c r="F3230" t="s">
        <v>46</v>
      </c>
      <c r="G3230" s="58">
        <v>2263089</v>
      </c>
      <c r="H3230" s="1" t="s">
        <v>56</v>
      </c>
      <c r="I3230" s="1" t="s">
        <v>119</v>
      </c>
      <c r="J3230" s="58">
        <v>20367801</v>
      </c>
      <c r="K3230" s="1" t="s">
        <v>106</v>
      </c>
      <c r="L3230" s="1" t="s">
        <v>120</v>
      </c>
      <c r="N3230" s="1">
        <v>1</v>
      </c>
      <c r="O3230" s="58"/>
      <c r="P3230" s="58">
        <v>497879.58</v>
      </c>
      <c r="Q3230" t="s">
        <v>107</v>
      </c>
      <c r="R3230" s="1" t="s">
        <v>158</v>
      </c>
    </row>
    <row r="3231" spans="3:18" x14ac:dyDescent="0.35">
      <c r="C3231" t="s">
        <v>53</v>
      </c>
      <c r="D3231" t="s">
        <v>21</v>
      </c>
      <c r="E3231" t="s">
        <v>55</v>
      </c>
      <c r="F3231" t="s">
        <v>46</v>
      </c>
      <c r="G3231" s="58">
        <v>44866</v>
      </c>
      <c r="H3231" s="1" t="s">
        <v>54</v>
      </c>
      <c r="I3231" s="1" t="s">
        <v>119</v>
      </c>
      <c r="J3231" s="58">
        <v>314062</v>
      </c>
      <c r="K3231" s="1" t="s">
        <v>106</v>
      </c>
      <c r="L3231" s="1" t="s">
        <v>114</v>
      </c>
      <c r="N3231" s="1">
        <v>1</v>
      </c>
      <c r="O3231" s="58"/>
      <c r="P3231" s="58">
        <v>25124.959999999999</v>
      </c>
      <c r="Q3231" t="s">
        <v>113</v>
      </c>
      <c r="R3231" s="1" t="s">
        <v>158</v>
      </c>
    </row>
    <row r="3232" spans="3:18" x14ac:dyDescent="0.35">
      <c r="C3232" t="s">
        <v>51</v>
      </c>
      <c r="D3232" t="s">
        <v>25</v>
      </c>
      <c r="E3232" t="s">
        <v>49</v>
      </c>
      <c r="F3232" t="s">
        <v>46</v>
      </c>
      <c r="G3232" s="58">
        <v>181098</v>
      </c>
      <c r="H3232" s="1" t="s">
        <v>48</v>
      </c>
      <c r="I3232" s="1" t="s">
        <v>108</v>
      </c>
      <c r="J3232" s="58">
        <v>6157332</v>
      </c>
      <c r="K3232" s="1" t="s">
        <v>106</v>
      </c>
      <c r="L3232" s="1" t="s">
        <v>124</v>
      </c>
      <c r="M3232" s="1" t="s">
        <v>117</v>
      </c>
      <c r="N3232" s="1">
        <v>1</v>
      </c>
      <c r="O3232" s="58"/>
      <c r="P3232" s="58">
        <v>152122.32</v>
      </c>
      <c r="Q3232" t="s">
        <v>127</v>
      </c>
      <c r="R3232" s="1" t="s">
        <v>158</v>
      </c>
    </row>
    <row r="3233" spans="3:18" x14ac:dyDescent="0.35">
      <c r="C3233" t="s">
        <v>51</v>
      </c>
      <c r="D3233" t="s">
        <v>21</v>
      </c>
      <c r="E3233" t="s">
        <v>49</v>
      </c>
      <c r="F3233" t="s">
        <v>46</v>
      </c>
      <c r="G3233" s="58">
        <v>17384155</v>
      </c>
      <c r="H3233" s="1" t="s">
        <v>59</v>
      </c>
      <c r="I3233" s="1" t="s">
        <v>108</v>
      </c>
      <c r="J3233" s="58">
        <v>504140495</v>
      </c>
      <c r="K3233" s="1" t="s">
        <v>112</v>
      </c>
      <c r="N3233" s="1">
        <v>1</v>
      </c>
      <c r="O3233" s="58"/>
      <c r="P3233" s="58">
        <v>8692077.5</v>
      </c>
      <c r="Q3233" t="s">
        <v>113</v>
      </c>
      <c r="R3233" s="1" t="s">
        <v>158</v>
      </c>
    </row>
    <row r="3234" spans="3:18" x14ac:dyDescent="0.35">
      <c r="C3234" t="s">
        <v>51</v>
      </c>
      <c r="D3234" t="s">
        <v>60</v>
      </c>
      <c r="E3234" t="s">
        <v>60</v>
      </c>
      <c r="F3234" t="s">
        <v>46</v>
      </c>
      <c r="G3234" s="58">
        <v>0</v>
      </c>
      <c r="H3234" s="1" t="s">
        <v>61</v>
      </c>
      <c r="I3234" s="1" t="s">
        <v>119</v>
      </c>
      <c r="J3234" s="58">
        <v>0</v>
      </c>
      <c r="K3234" s="1" t="s">
        <v>106</v>
      </c>
      <c r="N3234" s="1">
        <v>1</v>
      </c>
      <c r="O3234" s="58"/>
      <c r="P3234" s="58">
        <v>0</v>
      </c>
      <c r="Q3234" t="s">
        <v>113</v>
      </c>
    </row>
    <row r="3235" spans="3:18" x14ac:dyDescent="0.35">
      <c r="C3235" t="s">
        <v>51</v>
      </c>
      <c r="D3235" t="s">
        <v>24</v>
      </c>
      <c r="E3235" t="s">
        <v>45</v>
      </c>
      <c r="F3235" t="s">
        <v>46</v>
      </c>
      <c r="G3235" s="58">
        <v>5217</v>
      </c>
      <c r="H3235" s="1" t="s">
        <v>59</v>
      </c>
      <c r="I3235" s="1" t="s">
        <v>105</v>
      </c>
      <c r="J3235" s="58">
        <v>10434</v>
      </c>
      <c r="K3235" s="1" t="s">
        <v>106</v>
      </c>
      <c r="L3235" s="1" t="s">
        <v>120</v>
      </c>
      <c r="N3235" s="1">
        <v>1</v>
      </c>
      <c r="O3235" s="58"/>
      <c r="P3235" s="58">
        <v>2138.9699999999998</v>
      </c>
      <c r="Q3235" t="s">
        <v>113</v>
      </c>
      <c r="R3235" s="1" t="s">
        <v>158</v>
      </c>
    </row>
    <row r="3236" spans="3:18" x14ac:dyDescent="0.35">
      <c r="C3236" t="s">
        <v>51</v>
      </c>
      <c r="D3236" t="s">
        <v>21</v>
      </c>
      <c r="E3236" t="s">
        <v>49</v>
      </c>
      <c r="F3236" t="s">
        <v>46</v>
      </c>
      <c r="G3236" s="58">
        <v>17362303</v>
      </c>
      <c r="H3236" s="1" t="s">
        <v>56</v>
      </c>
      <c r="I3236" s="1" t="s">
        <v>108</v>
      </c>
      <c r="J3236" s="58">
        <v>503506787</v>
      </c>
      <c r="K3236" s="1" t="s">
        <v>112</v>
      </c>
      <c r="N3236" s="1">
        <v>1</v>
      </c>
      <c r="O3236" s="58"/>
      <c r="P3236" s="58">
        <v>8681151.5</v>
      </c>
      <c r="Q3236" t="s">
        <v>113</v>
      </c>
      <c r="R3236" s="1" t="s">
        <v>158</v>
      </c>
    </row>
    <row r="3237" spans="3:18" x14ac:dyDescent="0.35">
      <c r="C3237" t="s">
        <v>53</v>
      </c>
      <c r="D3237" t="s">
        <v>92</v>
      </c>
      <c r="E3237" t="s">
        <v>45</v>
      </c>
      <c r="F3237" t="s">
        <v>46</v>
      </c>
      <c r="G3237" s="58">
        <v>1053510</v>
      </c>
      <c r="H3237" s="1" t="s">
        <v>56</v>
      </c>
      <c r="I3237" s="1" t="s">
        <v>111</v>
      </c>
      <c r="J3237" s="58">
        <v>11588610</v>
      </c>
      <c r="K3237" s="1" t="s">
        <v>106</v>
      </c>
      <c r="L3237" s="1" t="s">
        <v>120</v>
      </c>
      <c r="N3237" s="1">
        <v>1</v>
      </c>
      <c r="O3237" s="58"/>
      <c r="P3237" s="58">
        <v>558360.30000000005</v>
      </c>
      <c r="Q3237" t="s">
        <v>113</v>
      </c>
      <c r="R3237" s="1" t="s">
        <v>158</v>
      </c>
    </row>
    <row r="3238" spans="3:18" x14ac:dyDescent="0.35">
      <c r="C3238" t="s">
        <v>51</v>
      </c>
      <c r="D3238" t="s">
        <v>24</v>
      </c>
      <c r="E3238" t="s">
        <v>55</v>
      </c>
      <c r="F3238" t="s">
        <v>46</v>
      </c>
      <c r="G3238" s="58">
        <v>1951983</v>
      </c>
      <c r="H3238" s="1" t="s">
        <v>48</v>
      </c>
      <c r="I3238" s="1" t="s">
        <v>108</v>
      </c>
      <c r="J3238" s="58">
        <v>62463456</v>
      </c>
      <c r="K3238" s="1" t="s">
        <v>112</v>
      </c>
      <c r="N3238" s="1">
        <v>1</v>
      </c>
      <c r="O3238" s="58"/>
      <c r="P3238" s="58">
        <v>1015031.16</v>
      </c>
      <c r="Q3238" t="s">
        <v>113</v>
      </c>
      <c r="R3238" s="1" t="s">
        <v>48</v>
      </c>
    </row>
    <row r="3239" spans="3:18" x14ac:dyDescent="0.35">
      <c r="C3239" t="s">
        <v>51</v>
      </c>
      <c r="D3239" t="s">
        <v>91</v>
      </c>
      <c r="E3239" t="s">
        <v>49</v>
      </c>
      <c r="F3239" t="s">
        <v>46</v>
      </c>
      <c r="G3239" s="58">
        <v>661287</v>
      </c>
      <c r="H3239" s="1" t="s">
        <v>56</v>
      </c>
      <c r="I3239" s="1" t="s">
        <v>108</v>
      </c>
      <c r="J3239" s="58">
        <v>24467619</v>
      </c>
      <c r="K3239" s="1" t="s">
        <v>106</v>
      </c>
      <c r="L3239" s="1" t="s">
        <v>114</v>
      </c>
      <c r="N3239" s="1">
        <v>1</v>
      </c>
      <c r="O3239" s="58"/>
      <c r="P3239" s="58">
        <v>409997.94</v>
      </c>
      <c r="Q3239" t="s">
        <v>118</v>
      </c>
      <c r="R3239" s="1" t="s">
        <v>158</v>
      </c>
    </row>
    <row r="3240" spans="3:18" x14ac:dyDescent="0.35">
      <c r="C3240" t="s">
        <v>51</v>
      </c>
      <c r="D3240" t="s">
        <v>19</v>
      </c>
      <c r="E3240" t="s">
        <v>49</v>
      </c>
      <c r="F3240" t="s">
        <v>46</v>
      </c>
      <c r="G3240" s="58">
        <v>582118</v>
      </c>
      <c r="H3240" s="1" t="s">
        <v>47</v>
      </c>
      <c r="I3240" s="1" t="s">
        <v>111</v>
      </c>
      <c r="J3240" s="58">
        <v>8149652</v>
      </c>
      <c r="K3240" s="1" t="s">
        <v>106</v>
      </c>
      <c r="L3240" s="1" t="s">
        <v>114</v>
      </c>
      <c r="N3240" s="1">
        <v>1</v>
      </c>
      <c r="O3240" s="58"/>
      <c r="P3240" s="58">
        <v>116423.6</v>
      </c>
      <c r="Q3240" t="s">
        <v>107</v>
      </c>
      <c r="R3240" s="1" t="s">
        <v>158</v>
      </c>
    </row>
    <row r="3241" spans="3:18" x14ac:dyDescent="0.35">
      <c r="C3241" t="s">
        <v>51</v>
      </c>
      <c r="D3241" t="s">
        <v>21</v>
      </c>
      <c r="E3241" t="s">
        <v>45</v>
      </c>
      <c r="F3241" t="s">
        <v>46</v>
      </c>
      <c r="G3241" s="58">
        <v>556628</v>
      </c>
      <c r="H3241" s="1" t="s">
        <v>47</v>
      </c>
      <c r="I3241" s="1" t="s">
        <v>111</v>
      </c>
      <c r="J3241" s="58">
        <v>9462676</v>
      </c>
      <c r="K3241" s="1" t="s">
        <v>106</v>
      </c>
      <c r="L3241" s="1" t="s">
        <v>120</v>
      </c>
      <c r="N3241" s="1">
        <v>1</v>
      </c>
      <c r="O3241" s="58"/>
      <c r="P3241" s="58">
        <v>467567.52</v>
      </c>
      <c r="Q3241" t="s">
        <v>127</v>
      </c>
      <c r="R3241" s="1" t="s">
        <v>158</v>
      </c>
    </row>
    <row r="3242" spans="3:18" x14ac:dyDescent="0.35">
      <c r="C3242" t="s">
        <v>51</v>
      </c>
      <c r="D3242" t="s">
        <v>92</v>
      </c>
      <c r="E3242" t="s">
        <v>45</v>
      </c>
      <c r="F3242" t="s">
        <v>46</v>
      </c>
      <c r="G3242" s="58">
        <v>683334</v>
      </c>
      <c r="H3242" s="1" t="s">
        <v>54</v>
      </c>
      <c r="I3242" s="1" t="s">
        <v>111</v>
      </c>
      <c r="J3242" s="58">
        <v>10933344</v>
      </c>
      <c r="K3242" s="1" t="s">
        <v>106</v>
      </c>
      <c r="L3242" s="1" t="s">
        <v>120</v>
      </c>
      <c r="N3242" s="1">
        <v>1</v>
      </c>
      <c r="O3242" s="58"/>
      <c r="P3242" s="58">
        <v>218666.88</v>
      </c>
      <c r="Q3242" t="s">
        <v>107</v>
      </c>
      <c r="R3242" s="1" t="s">
        <v>158</v>
      </c>
    </row>
    <row r="3243" spans="3:18" x14ac:dyDescent="0.35">
      <c r="C3243" t="s">
        <v>53</v>
      </c>
      <c r="D3243" t="s">
        <v>21</v>
      </c>
      <c r="E3243" t="s">
        <v>49</v>
      </c>
      <c r="F3243" t="s">
        <v>46</v>
      </c>
      <c r="G3243" s="58">
        <v>1108899</v>
      </c>
      <c r="H3243" s="1" t="s">
        <v>47</v>
      </c>
      <c r="I3243" s="1" t="s">
        <v>105</v>
      </c>
      <c r="J3243" s="58"/>
      <c r="K3243" s="1" t="s">
        <v>106</v>
      </c>
      <c r="L3243" s="1" t="s">
        <v>124</v>
      </c>
      <c r="N3243" s="1">
        <v>0</v>
      </c>
      <c r="O3243" s="58"/>
      <c r="P3243" s="58">
        <v>121978.89</v>
      </c>
      <c r="Q3243" t="s">
        <v>107</v>
      </c>
      <c r="R3243" s="1" t="s">
        <v>158</v>
      </c>
    </row>
    <row r="3244" spans="3:18" x14ac:dyDescent="0.35">
      <c r="C3244" t="s">
        <v>51</v>
      </c>
      <c r="D3244" t="s">
        <v>19</v>
      </c>
      <c r="E3244" t="s">
        <v>49</v>
      </c>
      <c r="F3244" t="s">
        <v>46</v>
      </c>
      <c r="G3244" s="58">
        <v>203302989</v>
      </c>
      <c r="H3244" s="1" t="s">
        <v>48</v>
      </c>
      <c r="I3244" s="1" t="s">
        <v>108</v>
      </c>
      <c r="J3244" s="58">
        <v>6912301626</v>
      </c>
      <c r="K3244" s="1" t="s">
        <v>106</v>
      </c>
      <c r="L3244" s="1" t="s">
        <v>124</v>
      </c>
      <c r="M3244" s="1" t="s">
        <v>122</v>
      </c>
      <c r="N3244" s="1">
        <v>1</v>
      </c>
      <c r="O3244" s="58"/>
      <c r="P3244" s="58">
        <v>168741480.87</v>
      </c>
      <c r="Q3244" t="s">
        <v>127</v>
      </c>
      <c r="R3244" s="1" t="s">
        <v>158</v>
      </c>
    </row>
    <row r="3245" spans="3:18" x14ac:dyDescent="0.35">
      <c r="C3245" t="s">
        <v>44</v>
      </c>
      <c r="D3245" t="s">
        <v>23</v>
      </c>
      <c r="E3245" t="s">
        <v>45</v>
      </c>
      <c r="F3245" t="s">
        <v>46</v>
      </c>
      <c r="G3245" s="58">
        <v>1176414</v>
      </c>
      <c r="H3245" s="1" t="s">
        <v>47</v>
      </c>
      <c r="I3245" s="1" t="s">
        <v>108</v>
      </c>
      <c r="J3245" s="58"/>
      <c r="N3245" s="1">
        <v>0</v>
      </c>
      <c r="O3245" s="58"/>
      <c r="P3245" s="58"/>
      <c r="R3245" s="1" t="s">
        <v>158</v>
      </c>
    </row>
    <row r="3246" spans="3:18" x14ac:dyDescent="0.35">
      <c r="C3246" t="s">
        <v>51</v>
      </c>
      <c r="D3246" t="s">
        <v>24</v>
      </c>
      <c r="E3246" t="s">
        <v>55</v>
      </c>
      <c r="F3246" t="s">
        <v>46</v>
      </c>
      <c r="G3246" s="58">
        <v>4356851</v>
      </c>
      <c r="H3246" s="1" t="s">
        <v>48</v>
      </c>
      <c r="I3246" s="1" t="s">
        <v>108</v>
      </c>
      <c r="J3246" s="58">
        <v>156846636</v>
      </c>
      <c r="K3246" s="1" t="s">
        <v>112</v>
      </c>
      <c r="N3246" s="1">
        <v>1</v>
      </c>
      <c r="O3246" s="58"/>
      <c r="P3246" s="58">
        <v>3703323.35</v>
      </c>
      <c r="Q3246" t="s">
        <v>127</v>
      </c>
      <c r="R3246" s="1" t="s">
        <v>158</v>
      </c>
    </row>
    <row r="3247" spans="3:18" x14ac:dyDescent="0.35">
      <c r="C3247" t="s">
        <v>51</v>
      </c>
      <c r="D3247" t="s">
        <v>19</v>
      </c>
      <c r="E3247" t="s">
        <v>45</v>
      </c>
      <c r="F3247" t="s">
        <v>46</v>
      </c>
      <c r="G3247" s="58">
        <v>14769969</v>
      </c>
      <c r="H3247" s="1" t="s">
        <v>48</v>
      </c>
      <c r="I3247" s="1" t="s">
        <v>108</v>
      </c>
      <c r="J3247" s="58">
        <v>428329101</v>
      </c>
      <c r="K3247" s="1" t="s">
        <v>106</v>
      </c>
      <c r="L3247" s="1" t="s">
        <v>120</v>
      </c>
      <c r="M3247" s="1" t="s">
        <v>122</v>
      </c>
      <c r="N3247" s="1">
        <v>1</v>
      </c>
      <c r="O3247" s="58"/>
      <c r="P3247" s="58">
        <v>7384984.5</v>
      </c>
      <c r="Q3247" t="s">
        <v>113</v>
      </c>
      <c r="R3247" s="1" t="s">
        <v>158</v>
      </c>
    </row>
    <row r="3248" spans="3:18" x14ac:dyDescent="0.35">
      <c r="C3248" t="s">
        <v>53</v>
      </c>
      <c r="D3248" t="s">
        <v>92</v>
      </c>
      <c r="E3248" t="s">
        <v>49</v>
      </c>
      <c r="F3248" t="s">
        <v>46</v>
      </c>
      <c r="G3248" s="58">
        <v>286282</v>
      </c>
      <c r="H3248" s="1" t="s">
        <v>56</v>
      </c>
      <c r="I3248" s="1" t="s">
        <v>119</v>
      </c>
      <c r="J3248" s="58">
        <v>2290256</v>
      </c>
      <c r="K3248" s="1" t="s">
        <v>106</v>
      </c>
      <c r="L3248" s="1" t="s">
        <v>124</v>
      </c>
      <c r="N3248" s="1">
        <v>1</v>
      </c>
      <c r="O3248" s="58"/>
      <c r="P3248" s="58">
        <v>137415.35999999999</v>
      </c>
      <c r="Q3248" t="s">
        <v>113</v>
      </c>
      <c r="R3248" s="1" t="s">
        <v>158</v>
      </c>
    </row>
    <row r="3249" spans="3:18" x14ac:dyDescent="0.35">
      <c r="C3249" t="s">
        <v>53</v>
      </c>
      <c r="D3249" t="s">
        <v>92</v>
      </c>
      <c r="E3249" t="s">
        <v>55</v>
      </c>
      <c r="F3249" t="s">
        <v>46</v>
      </c>
      <c r="G3249" s="58">
        <v>333015</v>
      </c>
      <c r="H3249" s="1" t="s">
        <v>59</v>
      </c>
      <c r="I3249" s="1" t="s">
        <v>119</v>
      </c>
      <c r="J3249" s="58">
        <v>2997135</v>
      </c>
      <c r="K3249" s="1" t="s">
        <v>106</v>
      </c>
      <c r="L3249" s="1" t="s">
        <v>114</v>
      </c>
      <c r="N3249" s="1">
        <v>1</v>
      </c>
      <c r="O3249" s="58"/>
      <c r="P3249" s="58">
        <v>163177.35</v>
      </c>
      <c r="Q3249" t="s">
        <v>113</v>
      </c>
      <c r="R3249" s="1" t="s">
        <v>158</v>
      </c>
    </row>
    <row r="3250" spans="3:18" x14ac:dyDescent="0.35">
      <c r="C3250" t="s">
        <v>53</v>
      </c>
      <c r="D3250" t="s">
        <v>92</v>
      </c>
      <c r="E3250" t="s">
        <v>49</v>
      </c>
      <c r="F3250" t="s">
        <v>46</v>
      </c>
      <c r="G3250" s="58">
        <v>2995</v>
      </c>
      <c r="H3250" s="1" t="s">
        <v>54</v>
      </c>
      <c r="I3250" s="1" t="s">
        <v>119</v>
      </c>
      <c r="J3250" s="58">
        <v>26955</v>
      </c>
      <c r="K3250" s="1" t="s">
        <v>106</v>
      </c>
      <c r="L3250" s="1" t="s">
        <v>124</v>
      </c>
      <c r="N3250" s="1">
        <v>1</v>
      </c>
      <c r="O3250" s="58"/>
      <c r="P3250" s="58">
        <v>1797</v>
      </c>
      <c r="Q3250" t="s">
        <v>113</v>
      </c>
      <c r="R3250" s="1" t="s">
        <v>158</v>
      </c>
    </row>
    <row r="3251" spans="3:18" x14ac:dyDescent="0.35">
      <c r="C3251" t="s">
        <v>53</v>
      </c>
      <c r="D3251" t="s">
        <v>22</v>
      </c>
      <c r="E3251" t="s">
        <v>45</v>
      </c>
      <c r="F3251" t="s">
        <v>46</v>
      </c>
      <c r="G3251" s="58">
        <v>41030</v>
      </c>
      <c r="H3251" s="1" t="s">
        <v>59</v>
      </c>
      <c r="I3251" s="1" t="s">
        <v>105</v>
      </c>
      <c r="J3251" s="58"/>
      <c r="K3251" s="1" t="s">
        <v>106</v>
      </c>
      <c r="L3251" s="1" t="s">
        <v>120</v>
      </c>
      <c r="N3251" s="1">
        <v>0</v>
      </c>
      <c r="O3251" s="58"/>
      <c r="P3251" s="58">
        <v>2051.5</v>
      </c>
      <c r="Q3251" t="s">
        <v>107</v>
      </c>
      <c r="R3251" s="1" t="s">
        <v>158</v>
      </c>
    </row>
    <row r="3252" spans="3:18" x14ac:dyDescent="0.35">
      <c r="C3252" t="s">
        <v>51</v>
      </c>
      <c r="D3252" t="s">
        <v>92</v>
      </c>
      <c r="E3252" t="s">
        <v>49</v>
      </c>
      <c r="F3252" t="s">
        <v>46</v>
      </c>
      <c r="G3252" s="58">
        <v>18306</v>
      </c>
      <c r="H3252" s="1" t="s">
        <v>54</v>
      </c>
      <c r="I3252" s="1" t="s">
        <v>105</v>
      </c>
      <c r="J3252" s="58">
        <v>73224</v>
      </c>
      <c r="K3252" s="1" t="s">
        <v>106</v>
      </c>
      <c r="L3252" s="1" t="s">
        <v>124</v>
      </c>
      <c r="N3252" s="1">
        <v>1</v>
      </c>
      <c r="O3252" s="58"/>
      <c r="P3252" s="58">
        <v>23065.56</v>
      </c>
      <c r="Q3252" t="s">
        <v>110</v>
      </c>
      <c r="R3252" s="1" t="s">
        <v>158</v>
      </c>
    </row>
    <row r="3253" spans="3:18" x14ac:dyDescent="0.35">
      <c r="C3253" t="s">
        <v>51</v>
      </c>
      <c r="D3253" t="s">
        <v>21</v>
      </c>
      <c r="E3253" t="s">
        <v>55</v>
      </c>
      <c r="F3253" t="s">
        <v>46</v>
      </c>
      <c r="G3253" s="58">
        <v>844057</v>
      </c>
      <c r="H3253" s="1" t="s">
        <v>48</v>
      </c>
      <c r="I3253" s="1" t="s">
        <v>108</v>
      </c>
      <c r="J3253" s="58">
        <v>27009824</v>
      </c>
      <c r="K3253" s="1" t="s">
        <v>106</v>
      </c>
      <c r="L3253" s="1" t="s">
        <v>124</v>
      </c>
      <c r="M3253" s="1" t="s">
        <v>126</v>
      </c>
      <c r="N3253" s="1">
        <v>1</v>
      </c>
      <c r="O3253" s="58"/>
      <c r="P3253" s="58">
        <v>413587.93</v>
      </c>
      <c r="Q3253" t="s">
        <v>113</v>
      </c>
      <c r="R3253" s="1" t="s">
        <v>48</v>
      </c>
    </row>
    <row r="3254" spans="3:18" x14ac:dyDescent="0.35">
      <c r="C3254" t="s">
        <v>51</v>
      </c>
      <c r="D3254" t="s">
        <v>22</v>
      </c>
      <c r="E3254" t="s">
        <v>49</v>
      </c>
      <c r="F3254" t="s">
        <v>46</v>
      </c>
      <c r="G3254" s="58">
        <v>1746039</v>
      </c>
      <c r="H3254" s="1" t="s">
        <v>48</v>
      </c>
      <c r="I3254" s="1" t="s">
        <v>108</v>
      </c>
      <c r="J3254" s="58">
        <v>57619287</v>
      </c>
      <c r="K3254" s="1" t="s">
        <v>106</v>
      </c>
      <c r="L3254" s="1" t="s">
        <v>124</v>
      </c>
      <c r="M3254" s="1" t="s">
        <v>115</v>
      </c>
      <c r="N3254" s="1">
        <v>1</v>
      </c>
      <c r="O3254" s="58"/>
      <c r="P3254" s="58">
        <v>1973024.07</v>
      </c>
      <c r="Q3254" t="s">
        <v>110</v>
      </c>
      <c r="R3254" s="1" t="s">
        <v>158</v>
      </c>
    </row>
    <row r="3255" spans="3:18" x14ac:dyDescent="0.35">
      <c r="C3255" t="s">
        <v>51</v>
      </c>
      <c r="D3255" t="s">
        <v>20</v>
      </c>
      <c r="E3255" t="s">
        <v>49</v>
      </c>
      <c r="F3255" t="s">
        <v>46</v>
      </c>
      <c r="G3255" s="58">
        <v>800948</v>
      </c>
      <c r="H3255" s="1" t="s">
        <v>48</v>
      </c>
      <c r="I3255" s="1" t="s">
        <v>111</v>
      </c>
      <c r="J3255" s="58">
        <v>10412324</v>
      </c>
      <c r="K3255" s="1" t="s">
        <v>112</v>
      </c>
      <c r="N3255" s="1">
        <v>1</v>
      </c>
      <c r="O3255" s="58"/>
      <c r="P3255" s="58">
        <v>512606.71999999997</v>
      </c>
      <c r="Q3255" t="s">
        <v>118</v>
      </c>
      <c r="R3255" s="1" t="s">
        <v>158</v>
      </c>
    </row>
    <row r="3256" spans="3:18" x14ac:dyDescent="0.35">
      <c r="C3256" t="s">
        <v>51</v>
      </c>
      <c r="D3256" t="s">
        <v>23</v>
      </c>
      <c r="E3256" t="s">
        <v>52</v>
      </c>
      <c r="F3256" t="s">
        <v>46</v>
      </c>
      <c r="G3256" s="58">
        <v>1053570</v>
      </c>
      <c r="H3256" s="1" t="s">
        <v>48</v>
      </c>
      <c r="I3256" s="1" t="s">
        <v>108</v>
      </c>
      <c r="J3256" s="58">
        <v>31607100</v>
      </c>
      <c r="K3256" s="1" t="s">
        <v>106</v>
      </c>
      <c r="L3256" s="1" t="s">
        <v>120</v>
      </c>
      <c r="M3256" s="1" t="s">
        <v>125</v>
      </c>
      <c r="N3256" s="1">
        <v>1</v>
      </c>
      <c r="O3256" s="58"/>
      <c r="P3256" s="58">
        <v>495177.9</v>
      </c>
      <c r="Q3256" t="s">
        <v>113</v>
      </c>
      <c r="R3256" s="1" t="s">
        <v>48</v>
      </c>
    </row>
    <row r="3257" spans="3:18" x14ac:dyDescent="0.35">
      <c r="C3257" t="s">
        <v>51</v>
      </c>
      <c r="D3257" t="s">
        <v>21</v>
      </c>
      <c r="E3257" t="s">
        <v>55</v>
      </c>
      <c r="F3257" t="s">
        <v>46</v>
      </c>
      <c r="G3257" s="58">
        <v>1116836</v>
      </c>
      <c r="H3257" s="1" t="s">
        <v>48</v>
      </c>
      <c r="I3257" s="1" t="s">
        <v>111</v>
      </c>
      <c r="J3257" s="58">
        <v>18986212</v>
      </c>
      <c r="K3257" s="1" t="s">
        <v>106</v>
      </c>
      <c r="L3257" s="1" t="s">
        <v>114</v>
      </c>
      <c r="M3257" s="1" t="s">
        <v>126</v>
      </c>
      <c r="N3257" s="1">
        <v>1</v>
      </c>
      <c r="O3257" s="58"/>
      <c r="P3257" s="58">
        <v>770616.84</v>
      </c>
      <c r="Q3257" t="s">
        <v>118</v>
      </c>
      <c r="R3257" s="1" t="s">
        <v>48</v>
      </c>
    </row>
    <row r="3258" spans="3:18" x14ac:dyDescent="0.35">
      <c r="C3258" t="s">
        <v>51</v>
      </c>
      <c r="D3258" t="s">
        <v>22</v>
      </c>
      <c r="E3258" t="s">
        <v>45</v>
      </c>
      <c r="F3258" t="s">
        <v>46</v>
      </c>
      <c r="G3258" s="58">
        <v>2019162189</v>
      </c>
      <c r="H3258" s="1" t="s">
        <v>48</v>
      </c>
      <c r="I3258" s="1" t="s">
        <v>108</v>
      </c>
      <c r="J3258" s="58">
        <v>64613190048</v>
      </c>
      <c r="K3258" s="1" t="s">
        <v>106</v>
      </c>
      <c r="L3258" s="1" t="s">
        <v>120</v>
      </c>
      <c r="M3258" s="1" t="s">
        <v>115</v>
      </c>
      <c r="N3258" s="1">
        <v>1</v>
      </c>
      <c r="O3258" s="58"/>
      <c r="P3258" s="58">
        <v>1453796776.0799999</v>
      </c>
      <c r="Q3258" t="s">
        <v>118</v>
      </c>
      <c r="R3258" s="1" t="s">
        <v>158</v>
      </c>
    </row>
    <row r="3259" spans="3:18" x14ac:dyDescent="0.35">
      <c r="C3259" t="s">
        <v>51</v>
      </c>
      <c r="D3259" t="s">
        <v>21</v>
      </c>
      <c r="E3259" t="s">
        <v>49</v>
      </c>
      <c r="F3259" t="s">
        <v>46</v>
      </c>
      <c r="G3259" s="58">
        <v>3011827</v>
      </c>
      <c r="H3259" s="1" t="s">
        <v>48</v>
      </c>
      <c r="I3259" s="1" t="s">
        <v>111</v>
      </c>
      <c r="J3259" s="58">
        <v>51201059</v>
      </c>
      <c r="K3259" s="1" t="s">
        <v>112</v>
      </c>
      <c r="N3259" s="1">
        <v>1</v>
      </c>
      <c r="O3259" s="58"/>
      <c r="P3259" s="58">
        <v>1475795.23</v>
      </c>
      <c r="Q3259" t="s">
        <v>113</v>
      </c>
      <c r="R3259" s="1" t="s">
        <v>158</v>
      </c>
    </row>
    <row r="3260" spans="3:18" x14ac:dyDescent="0.35">
      <c r="C3260" t="s">
        <v>51</v>
      </c>
      <c r="D3260" t="s">
        <v>20</v>
      </c>
      <c r="E3260" t="s">
        <v>45</v>
      </c>
      <c r="F3260" t="s">
        <v>46</v>
      </c>
      <c r="G3260" s="58">
        <v>291587</v>
      </c>
      <c r="H3260" s="1" t="s">
        <v>47</v>
      </c>
      <c r="I3260" s="1" t="s">
        <v>108</v>
      </c>
      <c r="J3260" s="58">
        <v>8747610</v>
      </c>
      <c r="K3260" s="1" t="s">
        <v>112</v>
      </c>
      <c r="N3260" s="1">
        <v>1</v>
      </c>
      <c r="O3260" s="58"/>
      <c r="P3260" s="58">
        <v>204110.9</v>
      </c>
      <c r="Q3260" t="s">
        <v>118</v>
      </c>
      <c r="R3260" s="1" t="s">
        <v>158</v>
      </c>
    </row>
    <row r="3261" spans="3:18" x14ac:dyDescent="0.35">
      <c r="C3261" t="s">
        <v>51</v>
      </c>
      <c r="D3261" t="s">
        <v>22</v>
      </c>
      <c r="E3261" t="s">
        <v>45</v>
      </c>
      <c r="F3261" t="s">
        <v>46</v>
      </c>
      <c r="G3261" s="58">
        <v>206216</v>
      </c>
      <c r="H3261" s="1" t="s">
        <v>48</v>
      </c>
      <c r="I3261" s="1" t="s">
        <v>108</v>
      </c>
      <c r="J3261" s="58">
        <v>7011344</v>
      </c>
      <c r="K3261" s="1" t="s">
        <v>106</v>
      </c>
      <c r="L3261" s="1" t="s">
        <v>124</v>
      </c>
      <c r="M3261" s="1" t="s">
        <v>122</v>
      </c>
      <c r="N3261" s="1">
        <v>1</v>
      </c>
      <c r="O3261" s="58"/>
      <c r="P3261" s="58">
        <v>109294.48</v>
      </c>
      <c r="Q3261" t="s">
        <v>113</v>
      </c>
      <c r="R3261" s="1" t="s">
        <v>158</v>
      </c>
    </row>
    <row r="3262" spans="3:18" x14ac:dyDescent="0.35">
      <c r="C3262" t="s">
        <v>51</v>
      </c>
      <c r="D3262" t="s">
        <v>22</v>
      </c>
      <c r="E3262" t="s">
        <v>55</v>
      </c>
      <c r="F3262" t="s">
        <v>46</v>
      </c>
      <c r="G3262" s="58">
        <v>103749</v>
      </c>
      <c r="H3262" s="1" t="s">
        <v>59</v>
      </c>
      <c r="I3262" s="1" t="s">
        <v>108</v>
      </c>
      <c r="J3262" s="58">
        <v>2178729</v>
      </c>
      <c r="K3262" s="1" t="s">
        <v>106</v>
      </c>
      <c r="L3262" s="1" t="s">
        <v>114</v>
      </c>
      <c r="N3262" s="1">
        <v>1</v>
      </c>
      <c r="O3262" s="58"/>
      <c r="P3262" s="58">
        <v>85074.18</v>
      </c>
      <c r="Q3262" t="s">
        <v>127</v>
      </c>
      <c r="R3262" s="1" t="s">
        <v>158</v>
      </c>
    </row>
    <row r="3263" spans="3:18" x14ac:dyDescent="0.35">
      <c r="C3263" t="s">
        <v>51</v>
      </c>
      <c r="D3263" t="s">
        <v>19</v>
      </c>
      <c r="E3263" t="s">
        <v>49</v>
      </c>
      <c r="F3263" t="s">
        <v>46</v>
      </c>
      <c r="G3263" s="58">
        <v>64202795</v>
      </c>
      <c r="H3263" s="1" t="s">
        <v>47</v>
      </c>
      <c r="I3263" s="1" t="s">
        <v>108</v>
      </c>
      <c r="J3263" s="58">
        <v>1669272670</v>
      </c>
      <c r="K3263" s="1" t="s">
        <v>106</v>
      </c>
      <c r="L3263" s="1" t="s">
        <v>124</v>
      </c>
      <c r="N3263" s="1">
        <v>1</v>
      </c>
      <c r="O3263" s="58"/>
      <c r="P3263" s="58">
        <v>17976782.600000001</v>
      </c>
      <c r="Q3263" t="s">
        <v>107</v>
      </c>
      <c r="R3263" s="1" t="s">
        <v>158</v>
      </c>
    </row>
    <row r="3264" spans="3:18" x14ac:dyDescent="0.35">
      <c r="C3264" t="s">
        <v>51</v>
      </c>
      <c r="D3264" t="s">
        <v>92</v>
      </c>
      <c r="E3264" t="s">
        <v>45</v>
      </c>
      <c r="F3264" t="s">
        <v>46</v>
      </c>
      <c r="G3264" s="58">
        <v>1764085</v>
      </c>
      <c r="H3264" s="1" t="s">
        <v>48</v>
      </c>
      <c r="I3264" s="1" t="s">
        <v>108</v>
      </c>
      <c r="J3264" s="58">
        <v>61742975</v>
      </c>
      <c r="K3264" s="1" t="s">
        <v>106</v>
      </c>
      <c r="L3264" s="1" t="s">
        <v>124</v>
      </c>
      <c r="M3264" s="1" t="s">
        <v>123</v>
      </c>
      <c r="N3264" s="1">
        <v>1</v>
      </c>
      <c r="O3264" s="58"/>
      <c r="P3264" s="58">
        <v>1287782.05</v>
      </c>
      <c r="Q3264" t="s">
        <v>118</v>
      </c>
      <c r="R3264" s="1" t="s">
        <v>48</v>
      </c>
    </row>
    <row r="3265" spans="3:18" x14ac:dyDescent="0.35">
      <c r="C3265" t="s">
        <v>51</v>
      </c>
      <c r="D3265" t="s">
        <v>92</v>
      </c>
      <c r="E3265" t="s">
        <v>49</v>
      </c>
      <c r="F3265" t="s">
        <v>46</v>
      </c>
      <c r="G3265" s="58">
        <v>780896</v>
      </c>
      <c r="H3265" s="1" t="s">
        <v>48</v>
      </c>
      <c r="I3265" s="1" t="s">
        <v>119</v>
      </c>
      <c r="J3265" s="58">
        <v>6247168</v>
      </c>
      <c r="K3265" s="1" t="s">
        <v>106</v>
      </c>
      <c r="L3265" s="1" t="s">
        <v>124</v>
      </c>
      <c r="M3265" s="1" t="s">
        <v>123</v>
      </c>
      <c r="N3265" s="1">
        <v>1</v>
      </c>
      <c r="O3265" s="58"/>
      <c r="P3265" s="58">
        <v>163988.16</v>
      </c>
      <c r="Q3265" t="s">
        <v>107</v>
      </c>
      <c r="R3265" s="1" t="s">
        <v>48</v>
      </c>
    </row>
    <row r="3266" spans="3:18" x14ac:dyDescent="0.35">
      <c r="C3266" t="s">
        <v>53</v>
      </c>
      <c r="D3266" t="s">
        <v>24</v>
      </c>
      <c r="E3266" t="s">
        <v>55</v>
      </c>
      <c r="F3266" t="s">
        <v>46</v>
      </c>
      <c r="G3266" s="58">
        <v>16006412</v>
      </c>
      <c r="H3266" s="1" t="s">
        <v>56</v>
      </c>
      <c r="I3266" s="1" t="s">
        <v>111</v>
      </c>
      <c r="J3266" s="58">
        <v>192076944</v>
      </c>
      <c r="K3266" s="1" t="s">
        <v>112</v>
      </c>
      <c r="N3266" s="1">
        <v>1</v>
      </c>
      <c r="O3266" s="58"/>
      <c r="P3266" s="58">
        <v>12164873.119999999</v>
      </c>
      <c r="Q3266" t="s">
        <v>118</v>
      </c>
      <c r="R3266" s="1" t="s">
        <v>158</v>
      </c>
    </row>
    <row r="3267" spans="3:18" x14ac:dyDescent="0.35">
      <c r="C3267" t="s">
        <v>51</v>
      </c>
      <c r="D3267" t="s">
        <v>21</v>
      </c>
      <c r="E3267" t="s">
        <v>49</v>
      </c>
      <c r="F3267" t="s">
        <v>46</v>
      </c>
      <c r="G3267" s="58">
        <v>8383241</v>
      </c>
      <c r="H3267" s="1" t="s">
        <v>47</v>
      </c>
      <c r="I3267" s="1" t="s">
        <v>108</v>
      </c>
      <c r="J3267" s="58">
        <v>226347507</v>
      </c>
      <c r="K3267" s="1" t="s">
        <v>106</v>
      </c>
      <c r="L3267" s="1" t="s">
        <v>120</v>
      </c>
      <c r="N3267" s="1">
        <v>1</v>
      </c>
      <c r="O3267" s="58"/>
      <c r="P3267" s="58">
        <v>2347307.48</v>
      </c>
      <c r="Q3267" t="s">
        <v>107</v>
      </c>
      <c r="R3267" s="1" t="s">
        <v>158</v>
      </c>
    </row>
    <row r="3268" spans="3:18" x14ac:dyDescent="0.35">
      <c r="C3268" t="s">
        <v>51</v>
      </c>
      <c r="D3268" t="s">
        <v>92</v>
      </c>
      <c r="E3268" t="s">
        <v>49</v>
      </c>
      <c r="F3268" t="s">
        <v>46</v>
      </c>
      <c r="G3268" s="58">
        <v>33453</v>
      </c>
      <c r="H3268" s="1" t="s">
        <v>48</v>
      </c>
      <c r="I3268" s="1" t="s">
        <v>108</v>
      </c>
      <c r="J3268" s="58">
        <v>936684</v>
      </c>
      <c r="K3268" s="1" t="s">
        <v>106</v>
      </c>
      <c r="L3268" s="1" t="s">
        <v>120</v>
      </c>
      <c r="M3268" s="1" t="s">
        <v>123</v>
      </c>
      <c r="N3268" s="1">
        <v>1</v>
      </c>
      <c r="O3268" s="58"/>
      <c r="P3268" s="58">
        <v>3010.77</v>
      </c>
      <c r="Q3268" t="s">
        <v>107</v>
      </c>
      <c r="R3268" s="1" t="s">
        <v>158</v>
      </c>
    </row>
    <row r="3269" spans="3:18" x14ac:dyDescent="0.35">
      <c r="C3269" t="s">
        <v>51</v>
      </c>
      <c r="D3269" t="s">
        <v>22</v>
      </c>
      <c r="E3269" t="s">
        <v>45</v>
      </c>
      <c r="F3269" t="s">
        <v>46</v>
      </c>
      <c r="G3269" s="58">
        <v>44628836</v>
      </c>
      <c r="H3269" s="1" t="s">
        <v>54</v>
      </c>
      <c r="I3269" s="1" t="s">
        <v>108</v>
      </c>
      <c r="J3269" s="58">
        <v>1115720900</v>
      </c>
      <c r="K3269" s="1" t="s">
        <v>106</v>
      </c>
      <c r="L3269" s="1" t="s">
        <v>120</v>
      </c>
      <c r="N3269" s="1">
        <v>1</v>
      </c>
      <c r="O3269" s="58"/>
      <c r="P3269" s="58">
        <v>12496074.08</v>
      </c>
      <c r="Q3269" t="s">
        <v>107</v>
      </c>
      <c r="R3269" s="1" t="s">
        <v>158</v>
      </c>
    </row>
    <row r="3270" spans="3:18" x14ac:dyDescent="0.35">
      <c r="C3270" t="s">
        <v>51</v>
      </c>
      <c r="D3270" t="s">
        <v>23</v>
      </c>
      <c r="E3270" t="s">
        <v>49</v>
      </c>
      <c r="F3270" t="s">
        <v>46</v>
      </c>
      <c r="G3270" s="58">
        <v>231910</v>
      </c>
      <c r="H3270" s="1" t="s">
        <v>48</v>
      </c>
      <c r="I3270" s="1" t="s">
        <v>108</v>
      </c>
      <c r="J3270" s="58">
        <v>8348760</v>
      </c>
      <c r="K3270" s="1" t="s">
        <v>106</v>
      </c>
      <c r="L3270" s="1" t="s">
        <v>120</v>
      </c>
      <c r="M3270" s="1" t="s">
        <v>125</v>
      </c>
      <c r="N3270" s="1">
        <v>1</v>
      </c>
      <c r="O3270" s="58"/>
      <c r="P3270" s="58">
        <v>211038.1</v>
      </c>
      <c r="Q3270" t="s">
        <v>127</v>
      </c>
      <c r="R3270" s="1" t="s">
        <v>158</v>
      </c>
    </row>
    <row r="3271" spans="3:18" x14ac:dyDescent="0.35">
      <c r="C3271" t="s">
        <v>51</v>
      </c>
      <c r="D3271" t="s">
        <v>24</v>
      </c>
      <c r="E3271" t="s">
        <v>55</v>
      </c>
      <c r="F3271" t="s">
        <v>46</v>
      </c>
      <c r="G3271" s="58">
        <v>669316</v>
      </c>
      <c r="H3271" s="1" t="s">
        <v>48</v>
      </c>
      <c r="I3271" s="1" t="s">
        <v>108</v>
      </c>
      <c r="J3271" s="58">
        <v>23426060</v>
      </c>
      <c r="K3271" s="1" t="s">
        <v>106</v>
      </c>
      <c r="L3271" s="1" t="s">
        <v>124</v>
      </c>
      <c r="M3271" s="1" t="s">
        <v>121</v>
      </c>
      <c r="N3271" s="1">
        <v>1</v>
      </c>
      <c r="O3271" s="58"/>
      <c r="P3271" s="58">
        <v>495293.84</v>
      </c>
      <c r="Q3271" t="s">
        <v>118</v>
      </c>
      <c r="R3271" s="1" t="s">
        <v>48</v>
      </c>
    </row>
    <row r="3272" spans="3:18" x14ac:dyDescent="0.35">
      <c r="C3272" t="s">
        <v>51</v>
      </c>
      <c r="D3272" t="s">
        <v>22</v>
      </c>
      <c r="E3272" t="s">
        <v>55</v>
      </c>
      <c r="F3272" t="s">
        <v>64</v>
      </c>
      <c r="G3272" s="58">
        <v>200824</v>
      </c>
      <c r="H3272" s="1" t="s">
        <v>48</v>
      </c>
      <c r="I3272" s="1" t="s">
        <v>111</v>
      </c>
      <c r="J3272" s="58">
        <v>2610712</v>
      </c>
      <c r="K3272" s="1" t="s">
        <v>112</v>
      </c>
      <c r="N3272" s="1">
        <v>1</v>
      </c>
      <c r="O3272" s="58"/>
      <c r="P3272" s="58">
        <v>86354.32</v>
      </c>
      <c r="Q3272" t="s">
        <v>113</v>
      </c>
      <c r="R3272" s="1" t="s">
        <v>48</v>
      </c>
    </row>
    <row r="3273" spans="3:18" x14ac:dyDescent="0.35">
      <c r="C3273" t="s">
        <v>51</v>
      </c>
      <c r="D3273" t="s">
        <v>20</v>
      </c>
      <c r="E3273" t="s">
        <v>49</v>
      </c>
      <c r="F3273" t="s">
        <v>46</v>
      </c>
      <c r="G3273" s="58">
        <v>59309160</v>
      </c>
      <c r="H3273" s="1" t="s">
        <v>54</v>
      </c>
      <c r="I3273" s="1" t="s">
        <v>108</v>
      </c>
      <c r="J3273" s="58">
        <v>1482729000</v>
      </c>
      <c r="K3273" s="1" t="s">
        <v>106</v>
      </c>
      <c r="L3273" s="1" t="s">
        <v>124</v>
      </c>
      <c r="N3273" s="1">
        <v>1</v>
      </c>
      <c r="O3273" s="58"/>
      <c r="P3273" s="58">
        <v>30840763.199999999</v>
      </c>
      <c r="Q3273" t="s">
        <v>113</v>
      </c>
      <c r="R3273" s="1" t="s">
        <v>158</v>
      </c>
    </row>
    <row r="3274" spans="3:18" x14ac:dyDescent="0.35">
      <c r="C3274" t="s">
        <v>51</v>
      </c>
      <c r="D3274" t="s">
        <v>23</v>
      </c>
      <c r="E3274" t="s">
        <v>62</v>
      </c>
      <c r="F3274" t="s">
        <v>46</v>
      </c>
      <c r="G3274" s="58">
        <v>794640</v>
      </c>
      <c r="H3274" s="1" t="s">
        <v>48</v>
      </c>
      <c r="I3274" s="1" t="s">
        <v>108</v>
      </c>
      <c r="J3274" s="58">
        <v>27017760</v>
      </c>
      <c r="K3274" s="1" t="s">
        <v>106</v>
      </c>
      <c r="L3274" s="1" t="s">
        <v>114</v>
      </c>
      <c r="M3274" s="1" t="s">
        <v>125</v>
      </c>
      <c r="N3274" s="1">
        <v>1</v>
      </c>
      <c r="O3274" s="58"/>
      <c r="P3274" s="58">
        <v>572140.80000000005</v>
      </c>
      <c r="Q3274" t="s">
        <v>118</v>
      </c>
      <c r="R3274" s="1" t="s">
        <v>48</v>
      </c>
    </row>
    <row r="3275" spans="3:18" x14ac:dyDescent="0.35">
      <c r="C3275" t="s">
        <v>51</v>
      </c>
      <c r="D3275" t="s">
        <v>22</v>
      </c>
      <c r="E3275" t="s">
        <v>45</v>
      </c>
      <c r="F3275" t="s">
        <v>46</v>
      </c>
      <c r="G3275" s="58">
        <v>2821546</v>
      </c>
      <c r="H3275" s="1" t="s">
        <v>47</v>
      </c>
      <c r="I3275" s="1" t="s">
        <v>111</v>
      </c>
      <c r="J3275" s="58">
        <v>47966282</v>
      </c>
      <c r="K3275" s="1" t="s">
        <v>112</v>
      </c>
      <c r="N3275" s="1">
        <v>1</v>
      </c>
      <c r="O3275" s="58"/>
      <c r="P3275" s="58">
        <v>1918651.28</v>
      </c>
      <c r="Q3275" t="s">
        <v>118</v>
      </c>
      <c r="R3275" s="1" t="s">
        <v>158</v>
      </c>
    </row>
    <row r="3276" spans="3:18" x14ac:dyDescent="0.35">
      <c r="C3276" t="s">
        <v>53</v>
      </c>
      <c r="D3276" t="s">
        <v>91</v>
      </c>
      <c r="E3276" t="s">
        <v>45</v>
      </c>
      <c r="F3276" t="s">
        <v>46</v>
      </c>
      <c r="G3276" s="58">
        <v>8598</v>
      </c>
      <c r="H3276" s="1" t="s">
        <v>59</v>
      </c>
      <c r="I3276" s="1" t="s">
        <v>119</v>
      </c>
      <c r="J3276" s="58">
        <v>42990</v>
      </c>
      <c r="K3276" s="1" t="s">
        <v>106</v>
      </c>
      <c r="L3276" s="1" t="s">
        <v>120</v>
      </c>
      <c r="N3276" s="1">
        <v>1</v>
      </c>
      <c r="O3276" s="58"/>
      <c r="P3276" s="58">
        <v>429.9</v>
      </c>
      <c r="Q3276" t="s">
        <v>107</v>
      </c>
      <c r="R3276" s="1" t="s">
        <v>158</v>
      </c>
    </row>
    <row r="3277" spans="3:18" x14ac:dyDescent="0.35">
      <c r="C3277" t="s">
        <v>51</v>
      </c>
      <c r="D3277" t="s">
        <v>24</v>
      </c>
      <c r="E3277" t="s">
        <v>55</v>
      </c>
      <c r="F3277" t="s">
        <v>46</v>
      </c>
      <c r="G3277" s="58">
        <v>263829</v>
      </c>
      <c r="H3277" s="1" t="s">
        <v>54</v>
      </c>
      <c r="I3277" s="1" t="s">
        <v>111</v>
      </c>
      <c r="J3277" s="58">
        <v>5276580</v>
      </c>
      <c r="K3277" s="1" t="s">
        <v>112</v>
      </c>
      <c r="N3277" s="1">
        <v>1</v>
      </c>
      <c r="O3277" s="58"/>
      <c r="P3277" s="58">
        <v>129276.21</v>
      </c>
      <c r="Q3277" t="s">
        <v>113</v>
      </c>
      <c r="R3277" s="1" t="s">
        <v>158</v>
      </c>
    </row>
    <row r="3278" spans="3:18" x14ac:dyDescent="0.35">
      <c r="C3278" t="s">
        <v>51</v>
      </c>
      <c r="D3278" t="s">
        <v>23</v>
      </c>
      <c r="E3278" t="s">
        <v>55</v>
      </c>
      <c r="F3278" t="s">
        <v>46</v>
      </c>
      <c r="G3278" s="58">
        <v>43338469</v>
      </c>
      <c r="H3278" s="1" t="s">
        <v>47</v>
      </c>
      <c r="I3278" s="1" t="s">
        <v>119</v>
      </c>
      <c r="J3278" s="58">
        <v>303369283</v>
      </c>
      <c r="K3278" s="1" t="s">
        <v>106</v>
      </c>
      <c r="L3278" s="1" t="s">
        <v>114</v>
      </c>
      <c r="N3278" s="1">
        <v>1</v>
      </c>
      <c r="O3278" s="58"/>
      <c r="P3278" s="58">
        <v>9967847.8699999992</v>
      </c>
      <c r="Q3278" t="s">
        <v>107</v>
      </c>
      <c r="R3278" s="1" t="s">
        <v>158</v>
      </c>
    </row>
    <row r="3279" spans="3:18" x14ac:dyDescent="0.35">
      <c r="C3279" t="s">
        <v>51</v>
      </c>
      <c r="D3279" t="s">
        <v>20</v>
      </c>
      <c r="E3279" t="s">
        <v>49</v>
      </c>
      <c r="F3279" t="s">
        <v>46</v>
      </c>
      <c r="G3279" s="58">
        <v>4512703</v>
      </c>
      <c r="H3279" s="1" t="s">
        <v>47</v>
      </c>
      <c r="I3279" s="1" t="s">
        <v>108</v>
      </c>
      <c r="J3279" s="58">
        <v>144406496</v>
      </c>
      <c r="K3279" s="1" t="s">
        <v>112</v>
      </c>
      <c r="N3279" s="1">
        <v>1</v>
      </c>
      <c r="O3279" s="58"/>
      <c r="P3279" s="58">
        <v>3113765.07</v>
      </c>
      <c r="Q3279" t="s">
        <v>118</v>
      </c>
      <c r="R3279" s="1" t="s">
        <v>158</v>
      </c>
    </row>
    <row r="3280" spans="3:18" x14ac:dyDescent="0.35">
      <c r="C3280" t="s">
        <v>51</v>
      </c>
      <c r="D3280" t="s">
        <v>24</v>
      </c>
      <c r="E3280" t="s">
        <v>45</v>
      </c>
      <c r="F3280" t="s">
        <v>46</v>
      </c>
      <c r="G3280" s="58">
        <v>262188</v>
      </c>
      <c r="H3280" s="1" t="s">
        <v>56</v>
      </c>
      <c r="I3280" s="1" t="s">
        <v>108</v>
      </c>
      <c r="J3280" s="58">
        <v>7341264</v>
      </c>
      <c r="K3280" s="1" t="s">
        <v>106</v>
      </c>
      <c r="L3280" s="1" t="s">
        <v>120</v>
      </c>
      <c r="N3280" s="1">
        <v>1</v>
      </c>
      <c r="O3280" s="58"/>
      <c r="P3280" s="58">
        <v>209750.39999999999</v>
      </c>
      <c r="Q3280" t="s">
        <v>127</v>
      </c>
      <c r="R3280" s="1" t="s">
        <v>158</v>
      </c>
    </row>
    <row r="3281" spans="3:18" x14ac:dyDescent="0.35">
      <c r="C3281" t="s">
        <v>51</v>
      </c>
      <c r="D3281" t="s">
        <v>21</v>
      </c>
      <c r="E3281" t="s">
        <v>49</v>
      </c>
      <c r="F3281" t="s">
        <v>46</v>
      </c>
      <c r="G3281" s="58">
        <v>1475</v>
      </c>
      <c r="H3281" s="1" t="s">
        <v>54</v>
      </c>
      <c r="I3281" s="1" t="s">
        <v>128</v>
      </c>
      <c r="J3281" s="58"/>
      <c r="K3281" s="1" t="s">
        <v>106</v>
      </c>
      <c r="L3281" s="1" t="s">
        <v>120</v>
      </c>
      <c r="N3281" s="1">
        <v>0</v>
      </c>
      <c r="O3281" s="58"/>
      <c r="P3281" s="58">
        <v>0</v>
      </c>
      <c r="Q3281" t="s">
        <v>107</v>
      </c>
      <c r="R3281" s="1" t="s">
        <v>158</v>
      </c>
    </row>
    <row r="3282" spans="3:18" x14ac:dyDescent="0.35">
      <c r="C3282" t="s">
        <v>51</v>
      </c>
      <c r="D3282" t="s">
        <v>23</v>
      </c>
      <c r="E3282" t="s">
        <v>49</v>
      </c>
      <c r="F3282" t="s">
        <v>46</v>
      </c>
      <c r="G3282" s="58">
        <v>296104</v>
      </c>
      <c r="H3282" s="1" t="s">
        <v>56</v>
      </c>
      <c r="I3282" s="1" t="s">
        <v>105</v>
      </c>
      <c r="J3282" s="58">
        <v>888312</v>
      </c>
      <c r="K3282" s="1" t="s">
        <v>106</v>
      </c>
      <c r="L3282" s="1" t="s">
        <v>124</v>
      </c>
      <c r="N3282" s="1">
        <v>1</v>
      </c>
      <c r="O3282" s="58"/>
      <c r="P3282" s="58">
        <v>32571.439999999999</v>
      </c>
      <c r="Q3282" t="s">
        <v>107</v>
      </c>
      <c r="R3282" s="1" t="s">
        <v>158</v>
      </c>
    </row>
    <row r="3283" spans="3:18" x14ac:dyDescent="0.35">
      <c r="C3283" t="s">
        <v>51</v>
      </c>
      <c r="D3283" t="s">
        <v>19</v>
      </c>
      <c r="E3283" t="s">
        <v>49</v>
      </c>
      <c r="F3283" t="s">
        <v>46</v>
      </c>
      <c r="G3283" s="58">
        <v>10351164</v>
      </c>
      <c r="H3283" s="1" t="s">
        <v>59</v>
      </c>
      <c r="I3283" s="1" t="s">
        <v>111</v>
      </c>
      <c r="J3283" s="58">
        <v>165618624</v>
      </c>
      <c r="K3283" s="1" t="s">
        <v>106</v>
      </c>
      <c r="L3283" s="1" t="s">
        <v>124</v>
      </c>
      <c r="N3283" s="1">
        <v>1</v>
      </c>
      <c r="O3283" s="58"/>
      <c r="P3283" s="58">
        <v>5072070.3600000003</v>
      </c>
      <c r="Q3283" t="s">
        <v>113</v>
      </c>
      <c r="R3283" s="1" t="s">
        <v>158</v>
      </c>
    </row>
    <row r="3284" spans="3:18" x14ac:dyDescent="0.35">
      <c r="C3284" t="s">
        <v>51</v>
      </c>
      <c r="D3284" t="s">
        <v>25</v>
      </c>
      <c r="E3284" t="s">
        <v>55</v>
      </c>
      <c r="F3284" t="s">
        <v>46</v>
      </c>
      <c r="G3284" s="58">
        <v>1431762</v>
      </c>
      <c r="H3284" s="1" t="s">
        <v>59</v>
      </c>
      <c r="I3284" s="1" t="s">
        <v>108</v>
      </c>
      <c r="J3284" s="58">
        <v>41521098</v>
      </c>
      <c r="K3284" s="1" t="s">
        <v>106</v>
      </c>
      <c r="L3284" s="1" t="s">
        <v>114</v>
      </c>
      <c r="N3284" s="1">
        <v>1</v>
      </c>
      <c r="O3284" s="58"/>
      <c r="P3284" s="58">
        <v>773151.48</v>
      </c>
      <c r="Q3284" t="s">
        <v>113</v>
      </c>
      <c r="R3284" s="1" t="s">
        <v>158</v>
      </c>
    </row>
    <row r="3285" spans="3:18" x14ac:dyDescent="0.35">
      <c r="C3285" t="s">
        <v>53</v>
      </c>
      <c r="D3285" t="s">
        <v>60</v>
      </c>
      <c r="E3285" t="s">
        <v>60</v>
      </c>
      <c r="F3285" t="s">
        <v>46</v>
      </c>
      <c r="G3285" s="58">
        <v>243226</v>
      </c>
      <c r="H3285" s="1" t="s">
        <v>90</v>
      </c>
      <c r="I3285" s="1" t="s">
        <v>119</v>
      </c>
      <c r="J3285" s="58">
        <v>1945808</v>
      </c>
      <c r="K3285" s="1" t="s">
        <v>106</v>
      </c>
      <c r="N3285" s="1">
        <v>1</v>
      </c>
      <c r="O3285" s="58"/>
      <c r="P3285" s="58">
        <v>131342.04</v>
      </c>
      <c r="Q3285" t="s">
        <v>113</v>
      </c>
      <c r="R3285" s="1" t="s">
        <v>90</v>
      </c>
    </row>
    <row r="3286" spans="3:18" x14ac:dyDescent="0.35">
      <c r="C3286" t="s">
        <v>51</v>
      </c>
      <c r="D3286" t="s">
        <v>24</v>
      </c>
      <c r="E3286" t="s">
        <v>62</v>
      </c>
      <c r="F3286" t="s">
        <v>46</v>
      </c>
      <c r="G3286" s="58">
        <v>820738</v>
      </c>
      <c r="H3286" s="1" t="s">
        <v>48</v>
      </c>
      <c r="I3286" s="1" t="s">
        <v>108</v>
      </c>
      <c r="J3286" s="58">
        <v>27905092</v>
      </c>
      <c r="K3286" s="1" t="s">
        <v>106</v>
      </c>
      <c r="L3286" s="1" t="s">
        <v>114</v>
      </c>
      <c r="M3286" s="1" t="s">
        <v>121</v>
      </c>
      <c r="N3286" s="1">
        <v>1</v>
      </c>
      <c r="O3286" s="58"/>
      <c r="P3286" s="58">
        <v>410369</v>
      </c>
      <c r="Q3286" t="s">
        <v>113</v>
      </c>
      <c r="R3286" s="1" t="s">
        <v>48</v>
      </c>
    </row>
    <row r="3287" spans="3:18" x14ac:dyDescent="0.35">
      <c r="C3287" t="s">
        <v>51</v>
      </c>
      <c r="D3287" t="s">
        <v>21</v>
      </c>
      <c r="E3287" t="s">
        <v>49</v>
      </c>
      <c r="F3287" t="s">
        <v>64</v>
      </c>
      <c r="G3287" s="58">
        <v>990405</v>
      </c>
      <c r="H3287" s="1" t="s">
        <v>48</v>
      </c>
      <c r="I3287" s="1" t="s">
        <v>108</v>
      </c>
      <c r="J3287" s="58">
        <v>22779315</v>
      </c>
      <c r="K3287" s="1" t="s">
        <v>106</v>
      </c>
      <c r="L3287" s="1" t="s">
        <v>124</v>
      </c>
      <c r="M3287" s="1" t="s">
        <v>126</v>
      </c>
      <c r="N3287" s="1">
        <v>1</v>
      </c>
      <c r="O3287" s="58"/>
      <c r="P3287" s="58">
        <v>653667.30000000005</v>
      </c>
      <c r="Q3287" t="s">
        <v>118</v>
      </c>
      <c r="R3287" s="1" t="s">
        <v>48</v>
      </c>
    </row>
    <row r="3288" spans="3:18" x14ac:dyDescent="0.35">
      <c r="C3288" t="s">
        <v>51</v>
      </c>
      <c r="D3288" t="s">
        <v>22</v>
      </c>
      <c r="E3288" t="s">
        <v>55</v>
      </c>
      <c r="F3288" t="s">
        <v>46</v>
      </c>
      <c r="G3288" s="58">
        <v>1034002</v>
      </c>
      <c r="H3288" s="1" t="s">
        <v>48</v>
      </c>
      <c r="I3288" s="1" t="s">
        <v>108</v>
      </c>
      <c r="J3288" s="58">
        <v>29986058</v>
      </c>
      <c r="K3288" s="1" t="s">
        <v>106</v>
      </c>
      <c r="L3288" s="1" t="s">
        <v>120</v>
      </c>
      <c r="M3288" s="1" t="s">
        <v>115</v>
      </c>
      <c r="N3288" s="1">
        <v>1</v>
      </c>
      <c r="O3288" s="58"/>
      <c r="P3288" s="58">
        <v>258500.5</v>
      </c>
      <c r="Q3288" t="s">
        <v>107</v>
      </c>
      <c r="R3288" s="1" t="s">
        <v>48</v>
      </c>
    </row>
    <row r="3289" spans="3:18" x14ac:dyDescent="0.35">
      <c r="C3289" t="s">
        <v>51</v>
      </c>
      <c r="D3289" t="s">
        <v>25</v>
      </c>
      <c r="E3289" t="s">
        <v>55</v>
      </c>
      <c r="F3289" t="s">
        <v>46</v>
      </c>
      <c r="G3289" s="58">
        <v>1487565</v>
      </c>
      <c r="H3289" s="1" t="s">
        <v>59</v>
      </c>
      <c r="I3289" s="1" t="s">
        <v>119</v>
      </c>
      <c r="J3289" s="58">
        <v>10412955</v>
      </c>
      <c r="K3289" s="1" t="s">
        <v>106</v>
      </c>
      <c r="L3289" s="1" t="s">
        <v>114</v>
      </c>
      <c r="N3289" s="1">
        <v>1</v>
      </c>
      <c r="O3289" s="58"/>
      <c r="P3289" s="58">
        <v>327264.3</v>
      </c>
      <c r="Q3289" t="s">
        <v>107</v>
      </c>
      <c r="R3289" s="1" t="s">
        <v>158</v>
      </c>
    </row>
    <row r="3290" spans="3:18" x14ac:dyDescent="0.35">
      <c r="C3290" t="s">
        <v>51</v>
      </c>
      <c r="D3290" t="s">
        <v>24</v>
      </c>
      <c r="E3290" t="s">
        <v>50</v>
      </c>
      <c r="F3290" t="s">
        <v>46</v>
      </c>
      <c r="G3290" s="58">
        <v>144109</v>
      </c>
      <c r="H3290" s="1" t="s">
        <v>59</v>
      </c>
      <c r="I3290" s="1" t="s">
        <v>111</v>
      </c>
      <c r="J3290" s="58">
        <v>2017526</v>
      </c>
      <c r="K3290" s="1" t="s">
        <v>112</v>
      </c>
      <c r="N3290" s="1">
        <v>1</v>
      </c>
      <c r="O3290" s="58"/>
      <c r="P3290" s="58">
        <v>122492.65</v>
      </c>
      <c r="Q3290" t="s">
        <v>127</v>
      </c>
      <c r="R3290" s="1" t="s">
        <v>158</v>
      </c>
    </row>
    <row r="3291" spans="3:18" x14ac:dyDescent="0.35">
      <c r="C3291" t="s">
        <v>51</v>
      </c>
      <c r="D3291" t="s">
        <v>24</v>
      </c>
      <c r="E3291" t="s">
        <v>50</v>
      </c>
      <c r="F3291" t="s">
        <v>46</v>
      </c>
      <c r="G3291" s="58">
        <v>265552</v>
      </c>
      <c r="H3291" s="1" t="s">
        <v>47</v>
      </c>
      <c r="I3291" s="1" t="s">
        <v>108</v>
      </c>
      <c r="J3291" s="58">
        <v>8497664</v>
      </c>
      <c r="K3291" s="1" t="s">
        <v>106</v>
      </c>
      <c r="L3291" s="1" t="s">
        <v>124</v>
      </c>
      <c r="N3291" s="1">
        <v>1</v>
      </c>
      <c r="O3291" s="58"/>
      <c r="P3291" s="58">
        <v>286796.15999999997</v>
      </c>
      <c r="Q3291" t="s">
        <v>110</v>
      </c>
      <c r="R3291" s="1" t="s">
        <v>158</v>
      </c>
    </row>
    <row r="3292" spans="3:18" x14ac:dyDescent="0.35">
      <c r="C3292" t="s">
        <v>53</v>
      </c>
      <c r="D3292" t="s">
        <v>22</v>
      </c>
      <c r="E3292" t="s">
        <v>50</v>
      </c>
      <c r="F3292" t="s">
        <v>46</v>
      </c>
      <c r="G3292" s="58">
        <v>753037</v>
      </c>
      <c r="H3292" s="1" t="s">
        <v>48</v>
      </c>
      <c r="I3292" s="1" t="s">
        <v>111</v>
      </c>
      <c r="J3292" s="58">
        <v>10542518</v>
      </c>
      <c r="K3292" s="1" t="s">
        <v>106</v>
      </c>
      <c r="L3292" s="1" t="s">
        <v>109</v>
      </c>
      <c r="M3292" s="1" t="s">
        <v>115</v>
      </c>
      <c r="N3292" s="1">
        <v>1</v>
      </c>
      <c r="O3292" s="58"/>
      <c r="P3292" s="58">
        <v>429231.09</v>
      </c>
      <c r="Q3292" t="s">
        <v>113</v>
      </c>
      <c r="R3292" s="1" t="s">
        <v>158</v>
      </c>
    </row>
    <row r="3293" spans="3:18" x14ac:dyDescent="0.35">
      <c r="C3293" t="s">
        <v>51</v>
      </c>
      <c r="D3293" t="s">
        <v>24</v>
      </c>
      <c r="E3293" t="s">
        <v>55</v>
      </c>
      <c r="F3293" t="s">
        <v>46</v>
      </c>
      <c r="G3293" s="58">
        <v>61107</v>
      </c>
      <c r="H3293" s="1" t="s">
        <v>48</v>
      </c>
      <c r="I3293" s="1" t="s">
        <v>111</v>
      </c>
      <c r="J3293" s="58">
        <v>916605</v>
      </c>
      <c r="K3293" s="1" t="s">
        <v>106</v>
      </c>
      <c r="L3293" s="1" t="s">
        <v>114</v>
      </c>
      <c r="M3293" s="1" t="s">
        <v>121</v>
      </c>
      <c r="N3293" s="1">
        <v>1</v>
      </c>
      <c r="O3293" s="58"/>
      <c r="P3293" s="58">
        <v>10999.26</v>
      </c>
      <c r="Q3293" t="s">
        <v>107</v>
      </c>
      <c r="R3293" s="1" t="s">
        <v>48</v>
      </c>
    </row>
    <row r="3294" spans="3:18" x14ac:dyDescent="0.35">
      <c r="C3294" t="s">
        <v>51</v>
      </c>
      <c r="D3294" t="s">
        <v>21</v>
      </c>
      <c r="E3294" t="s">
        <v>49</v>
      </c>
      <c r="F3294" t="s">
        <v>46</v>
      </c>
      <c r="G3294" s="58">
        <v>244898</v>
      </c>
      <c r="H3294" s="1" t="s">
        <v>48</v>
      </c>
      <c r="I3294" s="1" t="s">
        <v>119</v>
      </c>
      <c r="J3294" s="58">
        <v>1959184</v>
      </c>
      <c r="K3294" s="1" t="s">
        <v>112</v>
      </c>
      <c r="N3294" s="1">
        <v>1</v>
      </c>
      <c r="O3294" s="58"/>
      <c r="P3294" s="58">
        <v>127346.96</v>
      </c>
      <c r="Q3294" t="s">
        <v>113</v>
      </c>
      <c r="R3294" s="1" t="s">
        <v>158</v>
      </c>
    </row>
    <row r="3295" spans="3:18" x14ac:dyDescent="0.35">
      <c r="C3295" t="s">
        <v>51</v>
      </c>
      <c r="D3295" t="s">
        <v>22</v>
      </c>
      <c r="E3295" t="s">
        <v>45</v>
      </c>
      <c r="F3295" t="s">
        <v>46</v>
      </c>
      <c r="G3295" s="58">
        <v>211499</v>
      </c>
      <c r="H3295" s="1" t="s">
        <v>54</v>
      </c>
      <c r="I3295" s="1" t="s">
        <v>108</v>
      </c>
      <c r="J3295" s="58">
        <v>6979467</v>
      </c>
      <c r="K3295" s="1" t="s">
        <v>106</v>
      </c>
      <c r="L3295" s="1" t="s">
        <v>116</v>
      </c>
      <c r="N3295" s="1">
        <v>1</v>
      </c>
      <c r="O3295" s="58"/>
      <c r="P3295" s="58">
        <v>103634.51</v>
      </c>
      <c r="Q3295" t="s">
        <v>113</v>
      </c>
      <c r="R3295" s="1" t="s">
        <v>158</v>
      </c>
    </row>
    <row r="3296" spans="3:18" x14ac:dyDescent="0.35">
      <c r="C3296" t="s">
        <v>51</v>
      </c>
      <c r="D3296" t="s">
        <v>21</v>
      </c>
      <c r="E3296" t="s">
        <v>55</v>
      </c>
      <c r="F3296" t="s">
        <v>46</v>
      </c>
      <c r="G3296" s="58">
        <v>59886</v>
      </c>
      <c r="H3296" s="1" t="s">
        <v>48</v>
      </c>
      <c r="I3296" s="1" t="s">
        <v>108</v>
      </c>
      <c r="J3296" s="58">
        <v>1676808</v>
      </c>
      <c r="K3296" s="1" t="s">
        <v>112</v>
      </c>
      <c r="N3296" s="1">
        <v>1</v>
      </c>
      <c r="O3296" s="58"/>
      <c r="P3296" s="58">
        <v>43117.919999999998</v>
      </c>
      <c r="Q3296" t="s">
        <v>118</v>
      </c>
      <c r="R3296" s="1" t="s">
        <v>158</v>
      </c>
    </row>
    <row r="3297" spans="3:18" x14ac:dyDescent="0.35">
      <c r="C3297" t="s">
        <v>51</v>
      </c>
      <c r="D3297" t="s">
        <v>21</v>
      </c>
      <c r="E3297" t="s">
        <v>45</v>
      </c>
      <c r="F3297" t="s">
        <v>46</v>
      </c>
      <c r="G3297" s="58">
        <v>359851</v>
      </c>
      <c r="H3297" s="1" t="s">
        <v>48</v>
      </c>
      <c r="I3297" s="1" t="s">
        <v>108</v>
      </c>
      <c r="J3297" s="58">
        <v>14034189</v>
      </c>
      <c r="K3297" s="1" t="s">
        <v>106</v>
      </c>
      <c r="L3297" s="1" t="s">
        <v>120</v>
      </c>
      <c r="M3297" s="1" t="s">
        <v>115</v>
      </c>
      <c r="N3297" s="1">
        <v>1</v>
      </c>
      <c r="O3297" s="58"/>
      <c r="P3297" s="58">
        <v>302274.84000000003</v>
      </c>
      <c r="Q3297" t="s">
        <v>127</v>
      </c>
      <c r="R3297" s="1" t="s">
        <v>48</v>
      </c>
    </row>
    <row r="3298" spans="3:18" x14ac:dyDescent="0.35">
      <c r="C3298" t="s">
        <v>53</v>
      </c>
      <c r="D3298" t="s">
        <v>25</v>
      </c>
      <c r="E3298" t="s">
        <v>55</v>
      </c>
      <c r="F3298" t="s">
        <v>46</v>
      </c>
      <c r="G3298" s="58">
        <v>85662</v>
      </c>
      <c r="H3298" s="1" t="s">
        <v>59</v>
      </c>
      <c r="I3298" s="1" t="s">
        <v>105</v>
      </c>
      <c r="J3298" s="58">
        <v>171324</v>
      </c>
      <c r="K3298" s="1" t="s">
        <v>106</v>
      </c>
      <c r="L3298" s="1" t="s">
        <v>114</v>
      </c>
      <c r="N3298" s="1">
        <v>1</v>
      </c>
      <c r="O3298" s="58"/>
      <c r="P3298" s="58">
        <v>9422.82</v>
      </c>
      <c r="Q3298" t="s">
        <v>107</v>
      </c>
      <c r="R3298" s="1" t="s">
        <v>158</v>
      </c>
    </row>
    <row r="3299" spans="3:18" x14ac:dyDescent="0.35">
      <c r="C3299" t="s">
        <v>51</v>
      </c>
      <c r="D3299" t="s">
        <v>21</v>
      </c>
      <c r="E3299" t="s">
        <v>55</v>
      </c>
      <c r="F3299" t="s">
        <v>46</v>
      </c>
      <c r="G3299" s="58">
        <v>1256520</v>
      </c>
      <c r="H3299" s="1" t="s">
        <v>48</v>
      </c>
      <c r="I3299" s="1" t="s">
        <v>111</v>
      </c>
      <c r="J3299" s="58">
        <v>21360840</v>
      </c>
      <c r="K3299" s="1" t="s">
        <v>106</v>
      </c>
      <c r="L3299" s="1" t="s">
        <v>114</v>
      </c>
      <c r="M3299" s="1" t="s">
        <v>126</v>
      </c>
      <c r="N3299" s="1">
        <v>1</v>
      </c>
      <c r="O3299" s="58"/>
      <c r="P3299" s="58">
        <v>854433.6</v>
      </c>
      <c r="Q3299" t="s">
        <v>118</v>
      </c>
      <c r="R3299" s="1" t="s">
        <v>158</v>
      </c>
    </row>
    <row r="3300" spans="3:18" x14ac:dyDescent="0.35">
      <c r="C3300" t="s">
        <v>51</v>
      </c>
      <c r="D3300" t="s">
        <v>92</v>
      </c>
      <c r="E3300" t="s">
        <v>45</v>
      </c>
      <c r="F3300" t="s">
        <v>46</v>
      </c>
      <c r="G3300" s="58">
        <v>1897184</v>
      </c>
      <c r="H3300" s="1" t="s">
        <v>54</v>
      </c>
      <c r="I3300" s="1" t="s">
        <v>108</v>
      </c>
      <c r="J3300" s="58">
        <v>49326784</v>
      </c>
      <c r="K3300" s="1" t="s">
        <v>106</v>
      </c>
      <c r="L3300" s="1" t="s">
        <v>120</v>
      </c>
      <c r="N3300" s="1">
        <v>1</v>
      </c>
      <c r="O3300" s="58"/>
      <c r="P3300" s="58">
        <v>1365972.48</v>
      </c>
      <c r="Q3300" t="s">
        <v>118</v>
      </c>
      <c r="R3300" s="1" t="s">
        <v>158</v>
      </c>
    </row>
    <row r="3301" spans="3:18" x14ac:dyDescent="0.35">
      <c r="C3301" t="s">
        <v>51</v>
      </c>
      <c r="D3301" t="s">
        <v>23</v>
      </c>
      <c r="E3301" t="s">
        <v>45</v>
      </c>
      <c r="F3301" t="s">
        <v>46</v>
      </c>
      <c r="G3301" s="58">
        <v>200301</v>
      </c>
      <c r="H3301" s="1" t="s">
        <v>56</v>
      </c>
      <c r="I3301" s="1" t="s">
        <v>119</v>
      </c>
      <c r="J3301" s="58">
        <v>1802709</v>
      </c>
      <c r="K3301" s="1" t="s">
        <v>112</v>
      </c>
      <c r="N3301" s="1">
        <v>1</v>
      </c>
      <c r="O3301" s="58"/>
      <c r="P3301" s="58">
        <v>48072.24</v>
      </c>
      <c r="Q3301" t="s">
        <v>107</v>
      </c>
      <c r="R3301" s="1" t="s">
        <v>158</v>
      </c>
    </row>
    <row r="3302" spans="3:18" x14ac:dyDescent="0.35">
      <c r="C3302" t="s">
        <v>51</v>
      </c>
      <c r="D3302" t="s">
        <v>19</v>
      </c>
      <c r="E3302" t="s">
        <v>49</v>
      </c>
      <c r="F3302" t="s">
        <v>46</v>
      </c>
      <c r="G3302" s="58">
        <v>8915821</v>
      </c>
      <c r="H3302" s="1" t="s">
        <v>47</v>
      </c>
      <c r="I3302" s="1" t="s">
        <v>108</v>
      </c>
      <c r="J3302" s="58">
        <v>276390451</v>
      </c>
      <c r="K3302" s="1" t="s">
        <v>112</v>
      </c>
      <c r="N3302" s="1">
        <v>1</v>
      </c>
      <c r="O3302" s="58"/>
      <c r="P3302" s="58">
        <v>1515689.57</v>
      </c>
      <c r="Q3302" t="s">
        <v>107</v>
      </c>
      <c r="R3302" s="1" t="s">
        <v>158</v>
      </c>
    </row>
    <row r="3303" spans="3:18" x14ac:dyDescent="0.35">
      <c r="C3303" t="s">
        <v>51</v>
      </c>
      <c r="D3303" t="s">
        <v>23</v>
      </c>
      <c r="E3303" t="s">
        <v>50</v>
      </c>
      <c r="F3303" t="s">
        <v>46</v>
      </c>
      <c r="G3303" s="58">
        <v>935791</v>
      </c>
      <c r="H3303" s="1" t="s">
        <v>48</v>
      </c>
      <c r="I3303" s="1" t="s">
        <v>111</v>
      </c>
      <c r="J3303" s="58">
        <v>15908447</v>
      </c>
      <c r="K3303" s="1" t="s">
        <v>112</v>
      </c>
      <c r="N3303" s="1">
        <v>1</v>
      </c>
      <c r="O3303" s="58"/>
      <c r="P3303" s="58">
        <v>215231.93</v>
      </c>
      <c r="Q3303" t="s">
        <v>107</v>
      </c>
      <c r="R3303" s="1" t="s">
        <v>48</v>
      </c>
    </row>
    <row r="3304" spans="3:18" x14ac:dyDescent="0.35">
      <c r="C3304" t="s">
        <v>51</v>
      </c>
      <c r="D3304" t="s">
        <v>21</v>
      </c>
      <c r="E3304" t="s">
        <v>55</v>
      </c>
      <c r="F3304" t="s">
        <v>46</v>
      </c>
      <c r="G3304" s="58">
        <v>627071</v>
      </c>
      <c r="H3304" s="1" t="s">
        <v>48</v>
      </c>
      <c r="I3304" s="1" t="s">
        <v>111</v>
      </c>
      <c r="J3304" s="58">
        <v>10033136</v>
      </c>
      <c r="K3304" s="1" t="s">
        <v>112</v>
      </c>
      <c r="N3304" s="1">
        <v>1</v>
      </c>
      <c r="O3304" s="58"/>
      <c r="P3304" s="58">
        <v>401325.44</v>
      </c>
      <c r="Q3304" t="s">
        <v>118</v>
      </c>
      <c r="R3304" s="1" t="s">
        <v>48</v>
      </c>
    </row>
    <row r="3305" spans="3:18" x14ac:dyDescent="0.35">
      <c r="C3305" t="s">
        <v>51</v>
      </c>
      <c r="D3305" t="s">
        <v>92</v>
      </c>
      <c r="E3305" t="s">
        <v>49</v>
      </c>
      <c r="F3305" t="s">
        <v>64</v>
      </c>
      <c r="G3305" s="58">
        <v>135288</v>
      </c>
      <c r="H3305" s="1" t="s">
        <v>47</v>
      </c>
      <c r="I3305" s="1" t="s">
        <v>108</v>
      </c>
      <c r="J3305" s="58">
        <v>4193928</v>
      </c>
      <c r="K3305" s="1" t="s">
        <v>112</v>
      </c>
      <c r="N3305" s="1">
        <v>1</v>
      </c>
      <c r="O3305" s="58"/>
      <c r="P3305" s="58">
        <v>21646.080000000002</v>
      </c>
      <c r="Q3305" t="s">
        <v>107</v>
      </c>
      <c r="R3305" s="1" t="s">
        <v>158</v>
      </c>
    </row>
    <row r="3306" spans="3:18" x14ac:dyDescent="0.35">
      <c r="C3306" t="s">
        <v>51</v>
      </c>
      <c r="D3306" t="s">
        <v>23</v>
      </c>
      <c r="E3306" t="s">
        <v>45</v>
      </c>
      <c r="F3306" t="s">
        <v>46</v>
      </c>
      <c r="G3306" s="58">
        <v>147740</v>
      </c>
      <c r="H3306" s="1" t="s">
        <v>48</v>
      </c>
      <c r="I3306" s="1" t="s">
        <v>108</v>
      </c>
      <c r="J3306" s="58">
        <v>4136720</v>
      </c>
      <c r="K3306" s="1" t="s">
        <v>106</v>
      </c>
      <c r="L3306" s="1" t="s">
        <v>124</v>
      </c>
      <c r="M3306" s="1" t="s">
        <v>126</v>
      </c>
      <c r="N3306" s="1">
        <v>1</v>
      </c>
      <c r="O3306" s="58"/>
      <c r="P3306" s="58">
        <v>45799.4</v>
      </c>
      <c r="Q3306" t="s">
        <v>107</v>
      </c>
      <c r="R3306" s="1" t="s">
        <v>158</v>
      </c>
    </row>
    <row r="3307" spans="3:18" x14ac:dyDescent="0.35">
      <c r="C3307" t="s">
        <v>51</v>
      </c>
      <c r="D3307" t="s">
        <v>23</v>
      </c>
      <c r="E3307" t="s">
        <v>62</v>
      </c>
      <c r="F3307" t="s">
        <v>46</v>
      </c>
      <c r="G3307" s="58">
        <v>317659</v>
      </c>
      <c r="H3307" s="1" t="s">
        <v>48</v>
      </c>
      <c r="I3307" s="1" t="s">
        <v>108</v>
      </c>
      <c r="J3307" s="58">
        <v>9847429</v>
      </c>
      <c r="K3307" s="1" t="s">
        <v>106</v>
      </c>
      <c r="L3307" s="1" t="s">
        <v>124</v>
      </c>
      <c r="M3307" s="1" t="s">
        <v>125</v>
      </c>
      <c r="N3307" s="1">
        <v>1</v>
      </c>
      <c r="O3307" s="58"/>
      <c r="P3307" s="58">
        <v>266833.56</v>
      </c>
      <c r="Q3307" t="s">
        <v>127</v>
      </c>
      <c r="R3307" s="1" t="s">
        <v>48</v>
      </c>
    </row>
    <row r="3308" spans="3:18" x14ac:dyDescent="0.35">
      <c r="C3308" t="s">
        <v>51</v>
      </c>
      <c r="D3308" t="s">
        <v>91</v>
      </c>
      <c r="E3308" t="s">
        <v>55</v>
      </c>
      <c r="F3308" t="s">
        <v>46</v>
      </c>
      <c r="G3308" s="58">
        <v>971687</v>
      </c>
      <c r="H3308" s="1" t="s">
        <v>48</v>
      </c>
      <c r="I3308" s="1" t="s">
        <v>108</v>
      </c>
      <c r="J3308" s="58">
        <v>33037358</v>
      </c>
      <c r="K3308" s="1" t="s">
        <v>106</v>
      </c>
      <c r="L3308" s="1" t="s">
        <v>114</v>
      </c>
      <c r="M3308" s="1" t="s">
        <v>122</v>
      </c>
      <c r="N3308" s="1">
        <v>1</v>
      </c>
      <c r="O3308" s="58"/>
      <c r="P3308" s="58">
        <v>796783.34</v>
      </c>
      <c r="Q3308" t="s">
        <v>127</v>
      </c>
      <c r="R3308" s="1" t="s">
        <v>48</v>
      </c>
    </row>
    <row r="3309" spans="3:18" x14ac:dyDescent="0.35">
      <c r="C3309" t="s">
        <v>53</v>
      </c>
      <c r="D3309" t="s">
        <v>21</v>
      </c>
      <c r="E3309" t="s">
        <v>45</v>
      </c>
      <c r="F3309" t="s">
        <v>46</v>
      </c>
      <c r="G3309" s="58">
        <v>188606</v>
      </c>
      <c r="H3309" s="1" t="s">
        <v>59</v>
      </c>
      <c r="I3309" s="1" t="s">
        <v>119</v>
      </c>
      <c r="J3309" s="58">
        <v>1131636</v>
      </c>
      <c r="K3309" s="1" t="s">
        <v>106</v>
      </c>
      <c r="L3309" s="1" t="s">
        <v>120</v>
      </c>
      <c r="N3309" s="1">
        <v>1</v>
      </c>
      <c r="O3309" s="58"/>
      <c r="P3309" s="58">
        <v>247073.86</v>
      </c>
      <c r="Q3309" t="s">
        <v>110</v>
      </c>
      <c r="R3309" s="1" t="s">
        <v>158</v>
      </c>
    </row>
    <row r="3310" spans="3:18" x14ac:dyDescent="0.35">
      <c r="C3310" t="s">
        <v>51</v>
      </c>
      <c r="D3310" t="s">
        <v>20</v>
      </c>
      <c r="E3310" t="s">
        <v>49</v>
      </c>
      <c r="F3310" t="s">
        <v>46</v>
      </c>
      <c r="G3310" s="58">
        <v>1056744</v>
      </c>
      <c r="H3310" s="1" t="s">
        <v>54</v>
      </c>
      <c r="I3310" s="1" t="s">
        <v>111</v>
      </c>
      <c r="J3310" s="58">
        <v>14794416</v>
      </c>
      <c r="K3310" s="1" t="s">
        <v>106</v>
      </c>
      <c r="L3310" s="1" t="s">
        <v>120</v>
      </c>
      <c r="N3310" s="1">
        <v>1</v>
      </c>
      <c r="O3310" s="58"/>
      <c r="P3310" s="58">
        <v>771423.12</v>
      </c>
      <c r="Q3310" t="s">
        <v>118</v>
      </c>
      <c r="R3310" s="1" t="s">
        <v>158</v>
      </c>
    </row>
    <row r="3311" spans="3:18" x14ac:dyDescent="0.35">
      <c r="C3311" t="s">
        <v>51</v>
      </c>
      <c r="D3311" t="s">
        <v>24</v>
      </c>
      <c r="E3311" t="s">
        <v>55</v>
      </c>
      <c r="F3311" t="s">
        <v>46</v>
      </c>
      <c r="G3311" s="58">
        <v>316008</v>
      </c>
      <c r="H3311" s="1" t="s">
        <v>54</v>
      </c>
      <c r="I3311" s="1" t="s">
        <v>108</v>
      </c>
      <c r="J3311" s="58">
        <v>7268184</v>
      </c>
      <c r="K3311" s="1" t="s">
        <v>106</v>
      </c>
      <c r="L3311" s="1" t="s">
        <v>120</v>
      </c>
      <c r="N3311" s="1">
        <v>1</v>
      </c>
      <c r="O3311" s="58"/>
      <c r="P3311" s="58">
        <v>161164.07999999999</v>
      </c>
      <c r="Q3311" t="s">
        <v>113</v>
      </c>
      <c r="R3311" s="1" t="s">
        <v>158</v>
      </c>
    </row>
    <row r="3312" spans="3:18" x14ac:dyDescent="0.35">
      <c r="C3312" t="s">
        <v>53</v>
      </c>
      <c r="D3312" t="s">
        <v>92</v>
      </c>
      <c r="E3312" t="s">
        <v>49</v>
      </c>
      <c r="F3312" t="s">
        <v>46</v>
      </c>
      <c r="G3312" s="58">
        <v>1058699</v>
      </c>
      <c r="H3312" s="1" t="s">
        <v>59</v>
      </c>
      <c r="I3312" s="1" t="s">
        <v>119</v>
      </c>
      <c r="J3312" s="58">
        <v>8469592</v>
      </c>
      <c r="K3312" s="1" t="s">
        <v>106</v>
      </c>
      <c r="L3312" s="1" t="s">
        <v>124</v>
      </c>
      <c r="N3312" s="1">
        <v>1</v>
      </c>
      <c r="O3312" s="58"/>
      <c r="P3312" s="58">
        <v>307022.71000000002</v>
      </c>
      <c r="Q3312" t="s">
        <v>107</v>
      </c>
      <c r="R3312" s="1" t="s">
        <v>158</v>
      </c>
    </row>
    <row r="3313" spans="3:18" x14ac:dyDescent="0.35">
      <c r="C3313" t="s">
        <v>51</v>
      </c>
      <c r="D3313" t="s">
        <v>21</v>
      </c>
      <c r="E3313" t="s">
        <v>60</v>
      </c>
      <c r="F3313" t="s">
        <v>46</v>
      </c>
      <c r="G3313" s="58">
        <v>294041</v>
      </c>
      <c r="H3313" s="1" t="s">
        <v>48</v>
      </c>
      <c r="I3313" s="1" t="s">
        <v>108</v>
      </c>
      <c r="J3313" s="58">
        <v>9997394</v>
      </c>
      <c r="K3313" s="1" t="s">
        <v>106</v>
      </c>
      <c r="M3313" s="1" t="s">
        <v>126</v>
      </c>
      <c r="N3313" s="1">
        <v>1</v>
      </c>
      <c r="O3313" s="58"/>
      <c r="P3313" s="58">
        <v>179365.01</v>
      </c>
      <c r="Q3313" t="s">
        <v>118</v>
      </c>
    </row>
    <row r="3314" spans="3:18" x14ac:dyDescent="0.35">
      <c r="C3314" t="s">
        <v>53</v>
      </c>
      <c r="D3314" t="s">
        <v>23</v>
      </c>
      <c r="E3314" t="s">
        <v>45</v>
      </c>
      <c r="F3314" t="s">
        <v>46</v>
      </c>
      <c r="G3314" s="58">
        <v>598898</v>
      </c>
      <c r="H3314" s="1" t="s">
        <v>56</v>
      </c>
      <c r="I3314" s="1" t="s">
        <v>119</v>
      </c>
      <c r="J3314" s="58">
        <v>4791184</v>
      </c>
      <c r="K3314" s="1" t="s">
        <v>106</v>
      </c>
      <c r="L3314" s="1" t="s">
        <v>120</v>
      </c>
      <c r="N3314" s="1">
        <v>1</v>
      </c>
      <c r="O3314" s="58"/>
      <c r="P3314" s="58">
        <v>389283.7</v>
      </c>
      <c r="Q3314" t="s">
        <v>118</v>
      </c>
      <c r="R3314" s="1" t="s">
        <v>158</v>
      </c>
    </row>
    <row r="3315" spans="3:18" x14ac:dyDescent="0.35">
      <c r="C3315" t="s">
        <v>51</v>
      </c>
      <c r="D3315" t="s">
        <v>22</v>
      </c>
      <c r="E3315" t="s">
        <v>52</v>
      </c>
      <c r="F3315" t="s">
        <v>46</v>
      </c>
      <c r="G3315" s="58">
        <v>233374</v>
      </c>
      <c r="H3315" s="1" t="s">
        <v>48</v>
      </c>
      <c r="I3315" s="1" t="s">
        <v>119</v>
      </c>
      <c r="J3315" s="58">
        <v>2100366</v>
      </c>
      <c r="K3315" s="1" t="s">
        <v>106</v>
      </c>
      <c r="L3315" s="1" t="s">
        <v>130</v>
      </c>
      <c r="M3315" s="1" t="s">
        <v>115</v>
      </c>
      <c r="N3315" s="1">
        <v>1</v>
      </c>
      <c r="O3315" s="58"/>
      <c r="P3315" s="58">
        <v>137690.66</v>
      </c>
      <c r="Q3315" t="s">
        <v>113</v>
      </c>
      <c r="R3315" s="1" t="s">
        <v>48</v>
      </c>
    </row>
    <row r="3316" spans="3:18" x14ac:dyDescent="0.35">
      <c r="C3316" t="s">
        <v>51</v>
      </c>
      <c r="D3316" t="s">
        <v>24</v>
      </c>
      <c r="E3316" t="s">
        <v>62</v>
      </c>
      <c r="F3316" t="s">
        <v>46</v>
      </c>
      <c r="G3316" s="58">
        <v>205390</v>
      </c>
      <c r="H3316" s="1" t="s">
        <v>48</v>
      </c>
      <c r="I3316" s="1" t="s">
        <v>111</v>
      </c>
      <c r="J3316" s="58">
        <v>3491630</v>
      </c>
      <c r="K3316" s="1" t="s">
        <v>106</v>
      </c>
      <c r="L3316" s="1" t="s">
        <v>114</v>
      </c>
      <c r="M3316" s="1" t="s">
        <v>121</v>
      </c>
      <c r="N3316" s="1">
        <v>1</v>
      </c>
      <c r="O3316" s="58"/>
      <c r="P3316" s="58">
        <v>166365.9</v>
      </c>
      <c r="Q3316" t="s">
        <v>127</v>
      </c>
      <c r="R3316" s="1" t="s">
        <v>48</v>
      </c>
    </row>
    <row r="3317" spans="3:18" x14ac:dyDescent="0.35">
      <c r="C3317" t="s">
        <v>51</v>
      </c>
      <c r="D3317" t="s">
        <v>92</v>
      </c>
      <c r="E3317" t="s">
        <v>49</v>
      </c>
      <c r="F3317" t="s">
        <v>46</v>
      </c>
      <c r="G3317" s="58">
        <v>103494</v>
      </c>
      <c r="H3317" s="1" t="s">
        <v>47</v>
      </c>
      <c r="I3317" s="1" t="s">
        <v>119</v>
      </c>
      <c r="J3317" s="58">
        <v>724458</v>
      </c>
      <c r="K3317" s="1" t="s">
        <v>106</v>
      </c>
      <c r="L3317" s="1" t="s">
        <v>114</v>
      </c>
      <c r="N3317" s="1">
        <v>1</v>
      </c>
      <c r="O3317" s="58"/>
      <c r="P3317" s="58">
        <v>13454.22</v>
      </c>
      <c r="Q3317" t="s">
        <v>107</v>
      </c>
      <c r="R3317" s="1" t="s">
        <v>158</v>
      </c>
    </row>
    <row r="3318" spans="3:18" x14ac:dyDescent="0.35">
      <c r="C3318" t="s">
        <v>51</v>
      </c>
      <c r="D3318" t="s">
        <v>23</v>
      </c>
      <c r="E3318" t="s">
        <v>62</v>
      </c>
      <c r="F3318" t="s">
        <v>46</v>
      </c>
      <c r="G3318" s="58">
        <v>160209</v>
      </c>
      <c r="H3318" s="1" t="s">
        <v>48</v>
      </c>
      <c r="I3318" s="1" t="s">
        <v>119</v>
      </c>
      <c r="J3318" s="58">
        <v>1281672</v>
      </c>
      <c r="K3318" s="1" t="s">
        <v>112</v>
      </c>
      <c r="N3318" s="1">
        <v>1</v>
      </c>
      <c r="O3318" s="58"/>
      <c r="P3318" s="58">
        <v>96125.4</v>
      </c>
      <c r="Q3318" t="s">
        <v>118</v>
      </c>
      <c r="R3318" s="1" t="s">
        <v>48</v>
      </c>
    </row>
    <row r="3319" spans="3:18" x14ac:dyDescent="0.35">
      <c r="C3319" t="s">
        <v>51</v>
      </c>
      <c r="D3319" t="s">
        <v>23</v>
      </c>
      <c r="E3319" t="s">
        <v>45</v>
      </c>
      <c r="F3319" t="s">
        <v>46</v>
      </c>
      <c r="G3319" s="58">
        <v>92929</v>
      </c>
      <c r="H3319" s="1" t="s">
        <v>47</v>
      </c>
      <c r="I3319" s="1" t="s">
        <v>111</v>
      </c>
      <c r="J3319" s="58">
        <v>1393935</v>
      </c>
      <c r="K3319" s="1" t="s">
        <v>106</v>
      </c>
      <c r="L3319" s="1" t="s">
        <v>116</v>
      </c>
      <c r="N3319" s="1">
        <v>1</v>
      </c>
      <c r="O3319" s="58"/>
      <c r="P3319" s="58">
        <v>45535.21</v>
      </c>
      <c r="Q3319" t="s">
        <v>113</v>
      </c>
      <c r="R3319" s="1" t="s">
        <v>158</v>
      </c>
    </row>
    <row r="3320" spans="3:18" x14ac:dyDescent="0.35">
      <c r="C3320" t="s">
        <v>51</v>
      </c>
      <c r="D3320" t="s">
        <v>22</v>
      </c>
      <c r="E3320" t="s">
        <v>45</v>
      </c>
      <c r="F3320" t="s">
        <v>46</v>
      </c>
      <c r="G3320" s="58">
        <v>337127</v>
      </c>
      <c r="H3320" s="1" t="s">
        <v>48</v>
      </c>
      <c r="I3320" s="1" t="s">
        <v>108</v>
      </c>
      <c r="J3320" s="58">
        <v>8091048</v>
      </c>
      <c r="K3320" s="1" t="s">
        <v>106</v>
      </c>
      <c r="L3320" s="1" t="s">
        <v>120</v>
      </c>
      <c r="M3320" s="1" t="s">
        <v>125</v>
      </c>
      <c r="N3320" s="1">
        <v>1</v>
      </c>
      <c r="O3320" s="58"/>
      <c r="P3320" s="58">
        <v>262959.06</v>
      </c>
      <c r="Q3320" t="s">
        <v>118</v>
      </c>
      <c r="R3320" s="1" t="s">
        <v>158</v>
      </c>
    </row>
    <row r="3321" spans="3:18" x14ac:dyDescent="0.35">
      <c r="C3321" t="s">
        <v>53</v>
      </c>
      <c r="D3321" t="s">
        <v>24</v>
      </c>
      <c r="E3321" t="s">
        <v>55</v>
      </c>
      <c r="F3321" t="s">
        <v>46</v>
      </c>
      <c r="G3321" s="58">
        <v>389185</v>
      </c>
      <c r="H3321" s="1" t="s">
        <v>48</v>
      </c>
      <c r="I3321" s="1" t="s">
        <v>119</v>
      </c>
      <c r="J3321" s="58">
        <v>3502665</v>
      </c>
      <c r="K3321" s="1" t="s">
        <v>106</v>
      </c>
      <c r="L3321" s="1" t="s">
        <v>114</v>
      </c>
      <c r="M3321" s="1" t="s">
        <v>121</v>
      </c>
      <c r="N3321" s="1">
        <v>1</v>
      </c>
      <c r="O3321" s="58"/>
      <c r="P3321" s="58">
        <v>272429.5</v>
      </c>
      <c r="Q3321" t="s">
        <v>118</v>
      </c>
      <c r="R3321" s="1" t="s">
        <v>158</v>
      </c>
    </row>
    <row r="3322" spans="3:18" x14ac:dyDescent="0.35">
      <c r="C3322" t="s">
        <v>51</v>
      </c>
      <c r="D3322" t="s">
        <v>92</v>
      </c>
      <c r="E3322" t="s">
        <v>45</v>
      </c>
      <c r="F3322" t="s">
        <v>46</v>
      </c>
      <c r="G3322" s="58">
        <v>79661</v>
      </c>
      <c r="H3322" s="1" t="s">
        <v>59</v>
      </c>
      <c r="I3322" s="1" t="s">
        <v>119</v>
      </c>
      <c r="J3322" s="58">
        <v>716949</v>
      </c>
      <c r="K3322" s="1" t="s">
        <v>106</v>
      </c>
      <c r="L3322" s="1" t="s">
        <v>120</v>
      </c>
      <c r="N3322" s="1">
        <v>1</v>
      </c>
      <c r="O3322" s="58"/>
      <c r="P3322" s="58">
        <v>32661.01</v>
      </c>
      <c r="Q3322" t="s">
        <v>113</v>
      </c>
      <c r="R3322" s="1" t="s">
        <v>158</v>
      </c>
    </row>
    <row r="3323" spans="3:18" x14ac:dyDescent="0.35">
      <c r="C3323" t="s">
        <v>51</v>
      </c>
      <c r="D3323" t="s">
        <v>23</v>
      </c>
      <c r="E3323" t="s">
        <v>55</v>
      </c>
      <c r="F3323" t="s">
        <v>46</v>
      </c>
      <c r="G3323" s="58">
        <v>3483001</v>
      </c>
      <c r="H3323" s="1" t="s">
        <v>47</v>
      </c>
      <c r="I3323" s="1" t="s">
        <v>108</v>
      </c>
      <c r="J3323" s="58">
        <v>104490030</v>
      </c>
      <c r="K3323" s="1" t="s">
        <v>106</v>
      </c>
      <c r="L3323" s="1" t="s">
        <v>124</v>
      </c>
      <c r="N3323" s="1">
        <v>1</v>
      </c>
      <c r="O3323" s="58"/>
      <c r="P3323" s="58">
        <v>1741500.5</v>
      </c>
      <c r="Q3323" t="s">
        <v>113</v>
      </c>
      <c r="R3323" s="1" t="s">
        <v>158</v>
      </c>
    </row>
    <row r="3324" spans="3:18" x14ac:dyDescent="0.35">
      <c r="C3324" t="s">
        <v>51</v>
      </c>
      <c r="D3324" t="s">
        <v>19</v>
      </c>
      <c r="E3324" t="s">
        <v>49</v>
      </c>
      <c r="F3324" t="s">
        <v>46</v>
      </c>
      <c r="G3324" s="58">
        <v>196805</v>
      </c>
      <c r="H3324" s="1" t="s">
        <v>47</v>
      </c>
      <c r="I3324" s="1" t="s">
        <v>111</v>
      </c>
      <c r="J3324" s="58">
        <v>3148880</v>
      </c>
      <c r="K3324" s="1" t="s">
        <v>106</v>
      </c>
      <c r="L3324" s="1" t="s">
        <v>114</v>
      </c>
      <c r="N3324" s="1">
        <v>1</v>
      </c>
      <c r="O3324" s="58"/>
      <c r="P3324" s="58">
        <v>118083</v>
      </c>
      <c r="Q3324" t="s">
        <v>118</v>
      </c>
      <c r="R3324" s="1" t="s">
        <v>158</v>
      </c>
    </row>
    <row r="3325" spans="3:18" x14ac:dyDescent="0.35">
      <c r="C3325" t="s">
        <v>51</v>
      </c>
      <c r="D3325" t="s">
        <v>23</v>
      </c>
      <c r="E3325" t="s">
        <v>62</v>
      </c>
      <c r="F3325" t="s">
        <v>46</v>
      </c>
      <c r="G3325" s="58">
        <v>133104</v>
      </c>
      <c r="H3325" s="1" t="s">
        <v>48</v>
      </c>
      <c r="I3325" s="1" t="s">
        <v>108</v>
      </c>
      <c r="J3325" s="58">
        <v>4525536</v>
      </c>
      <c r="K3325" s="1" t="s">
        <v>106</v>
      </c>
      <c r="L3325" s="1" t="s">
        <v>120</v>
      </c>
      <c r="M3325" s="1" t="s">
        <v>125</v>
      </c>
      <c r="N3325" s="1">
        <v>1</v>
      </c>
      <c r="O3325" s="58"/>
      <c r="P3325" s="58">
        <v>45255.360000000001</v>
      </c>
      <c r="Q3325" t="s">
        <v>107</v>
      </c>
      <c r="R3325" s="1" t="s">
        <v>48</v>
      </c>
    </row>
    <row r="3326" spans="3:18" x14ac:dyDescent="0.35">
      <c r="C3326" t="s">
        <v>51</v>
      </c>
      <c r="D3326" t="s">
        <v>21</v>
      </c>
      <c r="E3326" t="s">
        <v>49</v>
      </c>
      <c r="F3326" t="s">
        <v>46</v>
      </c>
      <c r="G3326" s="58">
        <v>4741</v>
      </c>
      <c r="H3326" s="1" t="s">
        <v>54</v>
      </c>
      <c r="I3326" s="1" t="s">
        <v>105</v>
      </c>
      <c r="J3326" s="58">
        <v>18964</v>
      </c>
      <c r="K3326" s="1" t="s">
        <v>106</v>
      </c>
      <c r="L3326" s="1" t="s">
        <v>124</v>
      </c>
      <c r="N3326" s="1">
        <v>1</v>
      </c>
      <c r="O3326" s="58"/>
      <c r="P3326" s="58">
        <v>4124.67</v>
      </c>
      <c r="Q3326" t="s">
        <v>127</v>
      </c>
      <c r="R3326" s="1" t="s">
        <v>158</v>
      </c>
    </row>
    <row r="3327" spans="3:18" x14ac:dyDescent="0.35">
      <c r="C3327" t="s">
        <v>51</v>
      </c>
      <c r="D3327" t="s">
        <v>91</v>
      </c>
      <c r="E3327" t="s">
        <v>49</v>
      </c>
      <c r="F3327" t="s">
        <v>46</v>
      </c>
      <c r="G3327" s="58">
        <v>70957</v>
      </c>
      <c r="H3327" s="1" t="s">
        <v>47</v>
      </c>
      <c r="I3327" s="1" t="s">
        <v>111</v>
      </c>
      <c r="J3327" s="58">
        <v>1277226</v>
      </c>
      <c r="K3327" s="1" t="s">
        <v>106</v>
      </c>
      <c r="L3327" s="1" t="s">
        <v>124</v>
      </c>
      <c r="N3327" s="1">
        <v>1</v>
      </c>
      <c r="O3327" s="58"/>
      <c r="P3327" s="58">
        <v>57475.17</v>
      </c>
      <c r="Q3327" t="s">
        <v>127</v>
      </c>
      <c r="R3327" s="1" t="s">
        <v>158</v>
      </c>
    </row>
    <row r="3328" spans="3:18" x14ac:dyDescent="0.35">
      <c r="C3328" t="s">
        <v>51</v>
      </c>
      <c r="D3328" t="s">
        <v>25</v>
      </c>
      <c r="E3328" t="s">
        <v>50</v>
      </c>
      <c r="F3328" t="s">
        <v>46</v>
      </c>
      <c r="G3328" s="58">
        <v>511126</v>
      </c>
      <c r="H3328" s="1" t="s">
        <v>54</v>
      </c>
      <c r="I3328" s="1" t="s">
        <v>119</v>
      </c>
      <c r="J3328" s="58">
        <v>3577882</v>
      </c>
      <c r="K3328" s="1" t="s">
        <v>106</v>
      </c>
      <c r="L3328" s="1" t="s">
        <v>109</v>
      </c>
      <c r="N3328" s="1">
        <v>1</v>
      </c>
      <c r="O3328" s="58"/>
      <c r="P3328" s="58">
        <v>117558.98</v>
      </c>
      <c r="Q3328" t="s">
        <v>107</v>
      </c>
      <c r="R3328" s="1" t="s">
        <v>158</v>
      </c>
    </row>
    <row r="3329" spans="3:18" x14ac:dyDescent="0.35">
      <c r="C3329" t="s">
        <v>53</v>
      </c>
      <c r="D3329" t="s">
        <v>24</v>
      </c>
      <c r="E3329" t="s">
        <v>49</v>
      </c>
      <c r="F3329" t="s">
        <v>46</v>
      </c>
      <c r="G3329" s="58">
        <v>25358</v>
      </c>
      <c r="H3329" s="1" t="s">
        <v>48</v>
      </c>
      <c r="I3329" s="1" t="s">
        <v>105</v>
      </c>
      <c r="J3329" s="58">
        <v>76074</v>
      </c>
      <c r="K3329" s="1" t="s">
        <v>106</v>
      </c>
      <c r="L3329" s="1" t="s">
        <v>124</v>
      </c>
      <c r="M3329" s="1" t="s">
        <v>121</v>
      </c>
      <c r="N3329" s="1">
        <v>1</v>
      </c>
      <c r="O3329" s="58"/>
      <c r="P3329" s="58">
        <v>5832.34</v>
      </c>
      <c r="Q3329" t="s">
        <v>107</v>
      </c>
      <c r="R3329" s="1" t="s">
        <v>158</v>
      </c>
    </row>
    <row r="3330" spans="3:18" x14ac:dyDescent="0.35">
      <c r="C3330" t="s">
        <v>53</v>
      </c>
      <c r="D3330" t="s">
        <v>92</v>
      </c>
      <c r="E3330" t="s">
        <v>49</v>
      </c>
      <c r="F3330" t="s">
        <v>46</v>
      </c>
      <c r="G3330" s="58">
        <v>53524</v>
      </c>
      <c r="H3330" s="1" t="s">
        <v>54</v>
      </c>
      <c r="I3330" s="1" t="s">
        <v>105</v>
      </c>
      <c r="J3330" s="58"/>
      <c r="K3330" s="1" t="s">
        <v>106</v>
      </c>
      <c r="L3330" s="1" t="s">
        <v>124</v>
      </c>
      <c r="N3330" s="1">
        <v>0</v>
      </c>
      <c r="O3330" s="58"/>
      <c r="P3330" s="58">
        <v>0</v>
      </c>
      <c r="Q3330" t="s">
        <v>107</v>
      </c>
      <c r="R3330" s="1" t="s">
        <v>158</v>
      </c>
    </row>
    <row r="3331" spans="3:18" x14ac:dyDescent="0.35">
      <c r="C3331" t="s">
        <v>51</v>
      </c>
      <c r="D3331" t="s">
        <v>21</v>
      </c>
      <c r="E3331" t="s">
        <v>49</v>
      </c>
      <c r="F3331" t="s">
        <v>64</v>
      </c>
      <c r="G3331" s="58">
        <v>7735</v>
      </c>
      <c r="H3331" s="1" t="s">
        <v>54</v>
      </c>
      <c r="I3331" s="1" t="s">
        <v>119</v>
      </c>
      <c r="J3331" s="58">
        <v>46410</v>
      </c>
      <c r="K3331" s="1" t="s">
        <v>106</v>
      </c>
      <c r="L3331" s="1" t="s">
        <v>124</v>
      </c>
      <c r="N3331" s="1">
        <v>1</v>
      </c>
      <c r="O3331" s="58"/>
      <c r="P3331" s="58">
        <v>77.349999999999994</v>
      </c>
      <c r="Q3331" t="s">
        <v>107</v>
      </c>
      <c r="R3331" s="1" t="s">
        <v>158</v>
      </c>
    </row>
    <row r="3332" spans="3:18" x14ac:dyDescent="0.35">
      <c r="C3332" t="s">
        <v>51</v>
      </c>
      <c r="D3332" t="s">
        <v>21</v>
      </c>
      <c r="E3332" t="s">
        <v>45</v>
      </c>
      <c r="F3332" t="s">
        <v>46</v>
      </c>
      <c r="G3332" s="58">
        <v>149507</v>
      </c>
      <c r="H3332" s="1" t="s">
        <v>54</v>
      </c>
      <c r="I3332" s="1" t="s">
        <v>108</v>
      </c>
      <c r="J3332" s="58">
        <v>3588168</v>
      </c>
      <c r="K3332" s="1" t="s">
        <v>106</v>
      </c>
      <c r="L3332" s="1" t="s">
        <v>124</v>
      </c>
      <c r="N3332" s="1">
        <v>1</v>
      </c>
      <c r="O3332" s="58"/>
      <c r="P3332" s="58">
        <v>22426.05</v>
      </c>
      <c r="Q3332" t="s">
        <v>107</v>
      </c>
      <c r="R3332" s="1" t="s">
        <v>158</v>
      </c>
    </row>
    <row r="3333" spans="3:18" x14ac:dyDescent="0.35">
      <c r="C3333" t="s">
        <v>53</v>
      </c>
      <c r="D3333" t="s">
        <v>21</v>
      </c>
      <c r="E3333" t="s">
        <v>49</v>
      </c>
      <c r="F3333" t="s">
        <v>46</v>
      </c>
      <c r="G3333" s="58">
        <v>4649500</v>
      </c>
      <c r="H3333" s="1" t="s">
        <v>47</v>
      </c>
      <c r="I3333" s="1" t="s">
        <v>128</v>
      </c>
      <c r="J3333" s="58"/>
      <c r="K3333" s="1" t="s">
        <v>106</v>
      </c>
      <c r="L3333" s="1" t="s">
        <v>120</v>
      </c>
      <c r="N3333" s="1">
        <v>0</v>
      </c>
      <c r="O3333" s="58"/>
      <c r="P3333" s="58">
        <v>1441345</v>
      </c>
      <c r="Q3333" t="s">
        <v>107</v>
      </c>
      <c r="R3333" s="1" t="s">
        <v>158</v>
      </c>
    </row>
    <row r="3334" spans="3:18" x14ac:dyDescent="0.35">
      <c r="C3334" t="s">
        <v>51</v>
      </c>
      <c r="D3334" t="s">
        <v>20</v>
      </c>
      <c r="E3334" t="s">
        <v>49</v>
      </c>
      <c r="F3334" t="s">
        <v>46</v>
      </c>
      <c r="G3334" s="58">
        <v>74601</v>
      </c>
      <c r="H3334" s="1" t="s">
        <v>47</v>
      </c>
      <c r="I3334" s="1" t="s">
        <v>119</v>
      </c>
      <c r="J3334" s="58">
        <v>373005</v>
      </c>
      <c r="K3334" s="1" t="s">
        <v>106</v>
      </c>
      <c r="L3334" s="1" t="s">
        <v>124</v>
      </c>
      <c r="N3334" s="1">
        <v>1</v>
      </c>
      <c r="O3334" s="58"/>
      <c r="P3334" s="58">
        <v>86537.16</v>
      </c>
      <c r="Q3334" t="s">
        <v>110</v>
      </c>
      <c r="R3334" s="1" t="s">
        <v>158</v>
      </c>
    </row>
    <row r="3335" spans="3:18" x14ac:dyDescent="0.35">
      <c r="C3335" t="s">
        <v>51</v>
      </c>
      <c r="D3335" t="s">
        <v>25</v>
      </c>
      <c r="E3335" t="s">
        <v>45</v>
      </c>
      <c r="F3335" t="s">
        <v>46</v>
      </c>
      <c r="G3335" s="58">
        <v>84873</v>
      </c>
      <c r="H3335" s="1" t="s">
        <v>47</v>
      </c>
      <c r="I3335" s="1" t="s">
        <v>111</v>
      </c>
      <c r="J3335" s="58">
        <v>1442841</v>
      </c>
      <c r="K3335" s="1" t="s">
        <v>106</v>
      </c>
      <c r="L3335" s="1" t="s">
        <v>124</v>
      </c>
      <c r="N3335" s="1">
        <v>1</v>
      </c>
      <c r="O3335" s="58"/>
      <c r="P3335" s="58">
        <v>51772.53</v>
      </c>
      <c r="Q3335" t="s">
        <v>118</v>
      </c>
      <c r="R3335" s="1" t="s">
        <v>158</v>
      </c>
    </row>
    <row r="3336" spans="3:18" x14ac:dyDescent="0.35">
      <c r="C3336" t="s">
        <v>51</v>
      </c>
      <c r="D3336" t="s">
        <v>21</v>
      </c>
      <c r="E3336" t="s">
        <v>49</v>
      </c>
      <c r="F3336" t="s">
        <v>46</v>
      </c>
      <c r="G3336" s="58">
        <v>271655</v>
      </c>
      <c r="H3336" s="1" t="s">
        <v>59</v>
      </c>
      <c r="I3336" s="1" t="s">
        <v>111</v>
      </c>
      <c r="J3336" s="58">
        <v>4889790</v>
      </c>
      <c r="K3336" s="1" t="s">
        <v>112</v>
      </c>
      <c r="N3336" s="1">
        <v>1</v>
      </c>
      <c r="O3336" s="58"/>
      <c r="P3336" s="58">
        <v>220040.55</v>
      </c>
      <c r="Q3336" t="s">
        <v>127</v>
      </c>
      <c r="R3336" s="1" t="s">
        <v>158</v>
      </c>
    </row>
    <row r="3337" spans="3:18" x14ac:dyDescent="0.35">
      <c r="C3337" t="s">
        <v>53</v>
      </c>
      <c r="D3337" t="s">
        <v>92</v>
      </c>
      <c r="E3337" t="s">
        <v>45</v>
      </c>
      <c r="F3337" t="s">
        <v>46</v>
      </c>
      <c r="G3337" s="58">
        <v>13616871</v>
      </c>
      <c r="H3337" s="1" t="s">
        <v>48</v>
      </c>
      <c r="I3337" s="1" t="s">
        <v>111</v>
      </c>
      <c r="J3337" s="58">
        <v>149785581</v>
      </c>
      <c r="K3337" s="1" t="s">
        <v>106</v>
      </c>
      <c r="L3337" s="1" t="s">
        <v>120</v>
      </c>
      <c r="M3337" s="1" t="s">
        <v>123</v>
      </c>
      <c r="N3337" s="1">
        <v>1</v>
      </c>
      <c r="O3337" s="58"/>
      <c r="P3337" s="58">
        <v>6536098.0800000001</v>
      </c>
      <c r="Q3337" t="s">
        <v>113</v>
      </c>
      <c r="R3337" s="1" t="s">
        <v>158</v>
      </c>
    </row>
    <row r="3338" spans="3:18" x14ac:dyDescent="0.35">
      <c r="C3338" t="s">
        <v>51</v>
      </c>
      <c r="D3338" t="s">
        <v>24</v>
      </c>
      <c r="E3338" t="s">
        <v>62</v>
      </c>
      <c r="F3338" t="s">
        <v>46</v>
      </c>
      <c r="G3338" s="58">
        <v>274912</v>
      </c>
      <c r="H3338" s="1" t="s">
        <v>48</v>
      </c>
      <c r="I3338" s="1" t="s">
        <v>108</v>
      </c>
      <c r="J3338" s="58">
        <v>11821216</v>
      </c>
      <c r="K3338" s="1" t="s">
        <v>106</v>
      </c>
      <c r="L3338" s="1" t="s">
        <v>120</v>
      </c>
      <c r="M3338" s="1" t="s">
        <v>115</v>
      </c>
      <c r="N3338" s="1">
        <v>1</v>
      </c>
      <c r="O3338" s="58"/>
      <c r="P3338" s="58">
        <v>140205.12</v>
      </c>
      <c r="Q3338" t="s">
        <v>113</v>
      </c>
      <c r="R3338" s="1" t="s">
        <v>48</v>
      </c>
    </row>
    <row r="3339" spans="3:18" x14ac:dyDescent="0.35">
      <c r="C3339" t="s">
        <v>51</v>
      </c>
      <c r="D3339" t="s">
        <v>24</v>
      </c>
      <c r="E3339" t="s">
        <v>55</v>
      </c>
      <c r="F3339" t="s">
        <v>46</v>
      </c>
      <c r="G3339" s="58">
        <v>981322</v>
      </c>
      <c r="H3339" s="1" t="s">
        <v>54</v>
      </c>
      <c r="I3339" s="1" t="s">
        <v>111</v>
      </c>
      <c r="J3339" s="58">
        <v>15701152</v>
      </c>
      <c r="K3339" s="1" t="s">
        <v>106</v>
      </c>
      <c r="L3339" s="1" t="s">
        <v>120</v>
      </c>
      <c r="N3339" s="1">
        <v>1</v>
      </c>
      <c r="O3339" s="58"/>
      <c r="P3339" s="58">
        <v>461221.34</v>
      </c>
      <c r="Q3339" t="s">
        <v>113</v>
      </c>
      <c r="R3339" s="1" t="s">
        <v>158</v>
      </c>
    </row>
    <row r="3340" spans="3:18" x14ac:dyDescent="0.35">
      <c r="C3340" t="s">
        <v>51</v>
      </c>
      <c r="D3340" t="s">
        <v>21</v>
      </c>
      <c r="E3340" t="s">
        <v>49</v>
      </c>
      <c r="F3340" t="s">
        <v>46</v>
      </c>
      <c r="G3340" s="58">
        <v>2</v>
      </c>
      <c r="H3340" s="1" t="s">
        <v>59</v>
      </c>
      <c r="I3340" s="1" t="s">
        <v>119</v>
      </c>
      <c r="J3340" s="58">
        <v>12</v>
      </c>
      <c r="K3340" s="1" t="s">
        <v>106</v>
      </c>
      <c r="L3340" s="1" t="s">
        <v>124</v>
      </c>
      <c r="N3340" s="1">
        <v>1</v>
      </c>
      <c r="O3340" s="58"/>
      <c r="P3340" s="58">
        <v>3</v>
      </c>
      <c r="Q3340" t="s">
        <v>110</v>
      </c>
      <c r="R3340" s="1" t="s">
        <v>158</v>
      </c>
    </row>
    <row r="3341" spans="3:18" x14ac:dyDescent="0.35">
      <c r="C3341" t="s">
        <v>51</v>
      </c>
      <c r="D3341" t="s">
        <v>23</v>
      </c>
      <c r="E3341" t="s">
        <v>49</v>
      </c>
      <c r="F3341" t="s">
        <v>46</v>
      </c>
      <c r="G3341" s="58">
        <v>64943</v>
      </c>
      <c r="H3341" s="1" t="s">
        <v>48</v>
      </c>
      <c r="I3341" s="1" t="s">
        <v>111</v>
      </c>
      <c r="J3341" s="58">
        <v>909202</v>
      </c>
      <c r="K3341" s="1" t="s">
        <v>106</v>
      </c>
      <c r="L3341" s="1" t="s">
        <v>124</v>
      </c>
      <c r="M3341" s="1" t="s">
        <v>126</v>
      </c>
      <c r="N3341" s="1">
        <v>1</v>
      </c>
      <c r="O3341" s="58"/>
      <c r="P3341" s="58">
        <v>24678.34</v>
      </c>
      <c r="Q3341" t="s">
        <v>107</v>
      </c>
      <c r="R3341" s="1" t="s">
        <v>48</v>
      </c>
    </row>
    <row r="3342" spans="3:18" x14ac:dyDescent="0.35">
      <c r="C3342" t="s">
        <v>51</v>
      </c>
      <c r="D3342" t="s">
        <v>24</v>
      </c>
      <c r="E3342" t="s">
        <v>55</v>
      </c>
      <c r="F3342" t="s">
        <v>46</v>
      </c>
      <c r="G3342" s="58">
        <v>137777237</v>
      </c>
      <c r="H3342" s="1" t="s">
        <v>48</v>
      </c>
      <c r="I3342" s="1" t="s">
        <v>108</v>
      </c>
      <c r="J3342" s="58">
        <v>4133317110</v>
      </c>
      <c r="K3342" s="1" t="s">
        <v>106</v>
      </c>
      <c r="L3342" s="1" t="s">
        <v>114</v>
      </c>
      <c r="M3342" s="1" t="s">
        <v>121</v>
      </c>
      <c r="N3342" s="1">
        <v>1</v>
      </c>
      <c r="O3342" s="58"/>
      <c r="P3342" s="58">
        <v>70266390.870000005</v>
      </c>
      <c r="Q3342" t="s">
        <v>113</v>
      </c>
      <c r="R3342" s="1" t="s">
        <v>158</v>
      </c>
    </row>
    <row r="3343" spans="3:18" x14ac:dyDescent="0.35">
      <c r="C3343" t="s">
        <v>51</v>
      </c>
      <c r="D3343" t="s">
        <v>23</v>
      </c>
      <c r="E3343" t="s">
        <v>62</v>
      </c>
      <c r="F3343" t="s">
        <v>46</v>
      </c>
      <c r="G3343" s="58">
        <v>206954</v>
      </c>
      <c r="H3343" s="1" t="s">
        <v>48</v>
      </c>
      <c r="I3343" s="1" t="s">
        <v>108</v>
      </c>
      <c r="J3343" s="58">
        <v>6208620</v>
      </c>
      <c r="K3343" s="1" t="s">
        <v>106</v>
      </c>
      <c r="L3343" s="1" t="s">
        <v>120</v>
      </c>
      <c r="M3343" s="1" t="s">
        <v>125</v>
      </c>
      <c r="N3343" s="1">
        <v>1</v>
      </c>
      <c r="O3343" s="58"/>
      <c r="P3343" s="58">
        <v>109685.62</v>
      </c>
      <c r="Q3343" t="s">
        <v>113</v>
      </c>
      <c r="R3343" s="1" t="s">
        <v>48</v>
      </c>
    </row>
    <row r="3344" spans="3:18" x14ac:dyDescent="0.35">
      <c r="C3344" t="s">
        <v>51</v>
      </c>
      <c r="D3344" t="s">
        <v>91</v>
      </c>
      <c r="E3344" t="s">
        <v>49</v>
      </c>
      <c r="F3344" t="s">
        <v>46</v>
      </c>
      <c r="G3344" s="58">
        <v>27044322</v>
      </c>
      <c r="H3344" s="1" t="s">
        <v>48</v>
      </c>
      <c r="I3344" s="1" t="s">
        <v>108</v>
      </c>
      <c r="J3344" s="58">
        <v>865418304</v>
      </c>
      <c r="K3344" s="1" t="s">
        <v>112</v>
      </c>
      <c r="N3344" s="1">
        <v>1</v>
      </c>
      <c r="O3344" s="58"/>
      <c r="P3344" s="58">
        <v>14063047.439999999</v>
      </c>
      <c r="Q3344" t="s">
        <v>113</v>
      </c>
      <c r="R3344" s="1" t="s">
        <v>48</v>
      </c>
    </row>
    <row r="3345" spans="3:18" x14ac:dyDescent="0.35">
      <c r="C3345" t="s">
        <v>51</v>
      </c>
      <c r="D3345" t="s">
        <v>91</v>
      </c>
      <c r="E3345" t="s">
        <v>49</v>
      </c>
      <c r="F3345" t="s">
        <v>46</v>
      </c>
      <c r="G3345" s="58">
        <v>269280</v>
      </c>
      <c r="H3345" s="1" t="s">
        <v>47</v>
      </c>
      <c r="I3345" s="1" t="s">
        <v>108</v>
      </c>
      <c r="J3345" s="58">
        <v>9694080</v>
      </c>
      <c r="K3345" s="1" t="s">
        <v>106</v>
      </c>
      <c r="L3345" s="1" t="s">
        <v>109</v>
      </c>
      <c r="N3345" s="1">
        <v>1</v>
      </c>
      <c r="O3345" s="58"/>
      <c r="P3345" s="58">
        <v>288129.59999999998</v>
      </c>
      <c r="Q3345" t="s">
        <v>110</v>
      </c>
      <c r="R3345" s="1" t="s">
        <v>158</v>
      </c>
    </row>
    <row r="3346" spans="3:18" x14ac:dyDescent="0.35">
      <c r="C3346" t="s">
        <v>51</v>
      </c>
      <c r="D3346" t="s">
        <v>20</v>
      </c>
      <c r="E3346" t="s">
        <v>55</v>
      </c>
      <c r="F3346" t="s">
        <v>46</v>
      </c>
      <c r="G3346" s="58">
        <v>94825</v>
      </c>
      <c r="H3346" s="1" t="s">
        <v>48</v>
      </c>
      <c r="I3346" s="1" t="s">
        <v>111</v>
      </c>
      <c r="J3346" s="58">
        <v>1612025</v>
      </c>
      <c r="K3346" s="1" t="s">
        <v>106</v>
      </c>
      <c r="L3346" s="1" t="s">
        <v>114</v>
      </c>
      <c r="M3346" s="1" t="s">
        <v>123</v>
      </c>
      <c r="N3346" s="1">
        <v>1</v>
      </c>
      <c r="O3346" s="58"/>
      <c r="P3346" s="58">
        <v>56895</v>
      </c>
      <c r="Q3346" t="s">
        <v>113</v>
      </c>
      <c r="R3346" s="1" t="s">
        <v>48</v>
      </c>
    </row>
    <row r="3347" spans="3:18" x14ac:dyDescent="0.35">
      <c r="C3347" t="s">
        <v>51</v>
      </c>
      <c r="D3347" t="s">
        <v>24</v>
      </c>
      <c r="E3347" t="s">
        <v>55</v>
      </c>
      <c r="F3347" t="s">
        <v>46</v>
      </c>
      <c r="G3347" s="58">
        <v>60451</v>
      </c>
      <c r="H3347" s="1" t="s">
        <v>59</v>
      </c>
      <c r="I3347" s="1" t="s">
        <v>105</v>
      </c>
      <c r="J3347" s="58">
        <v>241804</v>
      </c>
      <c r="K3347" s="1" t="s">
        <v>106</v>
      </c>
      <c r="L3347" s="1" t="s">
        <v>114</v>
      </c>
      <c r="N3347" s="1">
        <v>1</v>
      </c>
      <c r="O3347" s="58"/>
      <c r="P3347" s="58">
        <v>34457.07</v>
      </c>
      <c r="Q3347" t="s">
        <v>113</v>
      </c>
      <c r="R3347" s="1" t="s">
        <v>158</v>
      </c>
    </row>
    <row r="3348" spans="3:18" x14ac:dyDescent="0.35">
      <c r="C3348" t="s">
        <v>51</v>
      </c>
      <c r="D3348" t="s">
        <v>24</v>
      </c>
      <c r="E3348" t="s">
        <v>50</v>
      </c>
      <c r="F3348" t="s">
        <v>46</v>
      </c>
      <c r="G3348" s="58">
        <v>207236</v>
      </c>
      <c r="H3348" s="1" t="s">
        <v>56</v>
      </c>
      <c r="I3348" s="1" t="s">
        <v>119</v>
      </c>
      <c r="J3348" s="58">
        <v>1450652</v>
      </c>
      <c r="K3348" s="1" t="s">
        <v>106</v>
      </c>
      <c r="L3348" s="1" t="s">
        <v>109</v>
      </c>
      <c r="N3348" s="1">
        <v>1</v>
      </c>
      <c r="O3348" s="58"/>
      <c r="P3348" s="58">
        <v>103618</v>
      </c>
      <c r="Q3348" t="s">
        <v>113</v>
      </c>
      <c r="R3348" s="1" t="s">
        <v>158</v>
      </c>
    </row>
    <row r="3349" spans="3:18" x14ac:dyDescent="0.35">
      <c r="C3349" t="s">
        <v>53</v>
      </c>
      <c r="D3349" t="s">
        <v>25</v>
      </c>
      <c r="E3349" t="s">
        <v>45</v>
      </c>
      <c r="F3349" t="s">
        <v>46</v>
      </c>
      <c r="G3349" s="58">
        <v>410598</v>
      </c>
      <c r="H3349" s="1" t="s">
        <v>59</v>
      </c>
      <c r="I3349" s="1" t="s">
        <v>111</v>
      </c>
      <c r="J3349" s="58">
        <v>5337774</v>
      </c>
      <c r="K3349" s="1" t="s">
        <v>106</v>
      </c>
      <c r="L3349" s="1" t="s">
        <v>120</v>
      </c>
      <c r="N3349" s="1">
        <v>1</v>
      </c>
      <c r="O3349" s="58"/>
      <c r="P3349" s="58">
        <v>291524.58</v>
      </c>
      <c r="Q3349" t="s">
        <v>118</v>
      </c>
      <c r="R3349" s="1" t="s">
        <v>158</v>
      </c>
    </row>
    <row r="3350" spans="3:18" x14ac:dyDescent="0.35">
      <c r="C3350" t="s">
        <v>51</v>
      </c>
      <c r="D3350" t="s">
        <v>22</v>
      </c>
      <c r="E3350" t="s">
        <v>45</v>
      </c>
      <c r="F3350" t="s">
        <v>46</v>
      </c>
      <c r="G3350" s="58">
        <v>156099</v>
      </c>
      <c r="H3350" s="1" t="s">
        <v>54</v>
      </c>
      <c r="I3350" s="1" t="s">
        <v>108</v>
      </c>
      <c r="J3350" s="58">
        <v>3278079</v>
      </c>
      <c r="K3350" s="1" t="s">
        <v>106</v>
      </c>
      <c r="L3350" s="1" t="s">
        <v>114</v>
      </c>
      <c r="N3350" s="1">
        <v>1</v>
      </c>
      <c r="O3350" s="58"/>
      <c r="P3350" s="58">
        <v>70244.55</v>
      </c>
      <c r="Q3350" t="s">
        <v>113</v>
      </c>
      <c r="R3350" s="1" t="s">
        <v>158</v>
      </c>
    </row>
    <row r="3351" spans="3:18" x14ac:dyDescent="0.35">
      <c r="C3351" t="s">
        <v>53</v>
      </c>
      <c r="D3351" t="s">
        <v>22</v>
      </c>
      <c r="E3351" t="s">
        <v>55</v>
      </c>
      <c r="F3351" t="s">
        <v>46</v>
      </c>
      <c r="G3351" s="58">
        <v>235961</v>
      </c>
      <c r="H3351" s="1" t="s">
        <v>48</v>
      </c>
      <c r="I3351" s="1" t="s">
        <v>119</v>
      </c>
      <c r="J3351" s="58">
        <v>2123649</v>
      </c>
      <c r="K3351" s="1" t="s">
        <v>106</v>
      </c>
      <c r="L3351" s="1" t="s">
        <v>114</v>
      </c>
      <c r="M3351" s="1" t="s">
        <v>115</v>
      </c>
      <c r="N3351" s="1">
        <v>1</v>
      </c>
      <c r="O3351" s="58"/>
      <c r="P3351" s="58">
        <v>125059.33</v>
      </c>
      <c r="Q3351" t="s">
        <v>113</v>
      </c>
      <c r="R3351" s="1" t="s">
        <v>158</v>
      </c>
    </row>
    <row r="3352" spans="3:18" x14ac:dyDescent="0.35">
      <c r="C3352" t="s">
        <v>51</v>
      </c>
      <c r="D3352" t="s">
        <v>22</v>
      </c>
      <c r="E3352" t="s">
        <v>55</v>
      </c>
      <c r="F3352" t="s">
        <v>46</v>
      </c>
      <c r="G3352" s="58">
        <v>282847</v>
      </c>
      <c r="H3352" s="1" t="s">
        <v>48</v>
      </c>
      <c r="I3352" s="1" t="s">
        <v>108</v>
      </c>
      <c r="J3352" s="58">
        <v>11031033</v>
      </c>
      <c r="K3352" s="1" t="s">
        <v>106</v>
      </c>
      <c r="L3352" s="1" t="s">
        <v>124</v>
      </c>
      <c r="M3352" s="1" t="s">
        <v>115</v>
      </c>
      <c r="N3352" s="1">
        <v>1</v>
      </c>
      <c r="O3352" s="58"/>
      <c r="P3352" s="58">
        <v>237591.48</v>
      </c>
      <c r="Q3352" t="s">
        <v>127</v>
      </c>
      <c r="R3352" s="1" t="s">
        <v>48</v>
      </c>
    </row>
    <row r="3353" spans="3:18" x14ac:dyDescent="0.35">
      <c r="C3353" t="s">
        <v>53</v>
      </c>
      <c r="D3353" t="s">
        <v>23</v>
      </c>
      <c r="E3353" t="s">
        <v>55</v>
      </c>
      <c r="F3353" t="s">
        <v>46</v>
      </c>
      <c r="G3353" s="58">
        <v>1267702</v>
      </c>
      <c r="H3353" s="1" t="s">
        <v>54</v>
      </c>
      <c r="I3353" s="1" t="s">
        <v>111</v>
      </c>
      <c r="J3353" s="58">
        <v>13944722</v>
      </c>
      <c r="K3353" s="1" t="s">
        <v>106</v>
      </c>
      <c r="L3353" s="1" t="s">
        <v>114</v>
      </c>
      <c r="N3353" s="1">
        <v>1</v>
      </c>
      <c r="O3353" s="58"/>
      <c r="P3353" s="58">
        <v>747944.18</v>
      </c>
      <c r="Q3353" t="s">
        <v>113</v>
      </c>
      <c r="R3353" s="1" t="s">
        <v>158</v>
      </c>
    </row>
    <row r="3354" spans="3:18" x14ac:dyDescent="0.35">
      <c r="C3354" t="s">
        <v>51</v>
      </c>
      <c r="D3354" t="s">
        <v>22</v>
      </c>
      <c r="E3354" t="s">
        <v>45</v>
      </c>
      <c r="F3354" t="s">
        <v>46</v>
      </c>
      <c r="G3354" s="58">
        <v>2546619</v>
      </c>
      <c r="H3354" s="1" t="s">
        <v>47</v>
      </c>
      <c r="I3354" s="1" t="s">
        <v>119</v>
      </c>
      <c r="J3354" s="58">
        <v>22919571</v>
      </c>
      <c r="K3354" s="1" t="s">
        <v>112</v>
      </c>
      <c r="N3354" s="1">
        <v>1</v>
      </c>
      <c r="O3354" s="58"/>
      <c r="P3354" s="58">
        <v>534789.99</v>
      </c>
      <c r="Q3354" t="s">
        <v>107</v>
      </c>
      <c r="R3354" s="1" t="s">
        <v>158</v>
      </c>
    </row>
    <row r="3355" spans="3:18" x14ac:dyDescent="0.35">
      <c r="C3355" t="s">
        <v>51</v>
      </c>
      <c r="D3355" t="s">
        <v>20</v>
      </c>
      <c r="E3355" t="s">
        <v>50</v>
      </c>
      <c r="F3355" t="s">
        <v>46</v>
      </c>
      <c r="G3355" s="58">
        <v>181158</v>
      </c>
      <c r="H3355" s="1" t="s">
        <v>48</v>
      </c>
      <c r="I3355" s="1" t="s">
        <v>111</v>
      </c>
      <c r="J3355" s="58">
        <v>2355054</v>
      </c>
      <c r="K3355" s="1" t="s">
        <v>106</v>
      </c>
      <c r="L3355" s="1" t="s">
        <v>109</v>
      </c>
      <c r="M3355" s="1" t="s">
        <v>123</v>
      </c>
      <c r="N3355" s="1">
        <v>1</v>
      </c>
      <c r="O3355" s="58"/>
      <c r="P3355" s="58">
        <v>86955.839999999997</v>
      </c>
      <c r="Q3355" t="s">
        <v>113</v>
      </c>
      <c r="R3355" s="1" t="s">
        <v>158</v>
      </c>
    </row>
    <row r="3356" spans="3:18" x14ac:dyDescent="0.35">
      <c r="C3356" t="s">
        <v>51</v>
      </c>
      <c r="D3356" t="s">
        <v>21</v>
      </c>
      <c r="E3356" t="s">
        <v>49</v>
      </c>
      <c r="F3356" t="s">
        <v>46</v>
      </c>
      <c r="G3356" s="58">
        <v>24306916</v>
      </c>
      <c r="H3356" s="1" t="s">
        <v>48</v>
      </c>
      <c r="I3356" s="1" t="s">
        <v>108</v>
      </c>
      <c r="J3356" s="58">
        <v>850742060</v>
      </c>
      <c r="K3356" s="1" t="s">
        <v>112</v>
      </c>
      <c r="N3356" s="1">
        <v>1</v>
      </c>
      <c r="O3356" s="58"/>
      <c r="P3356" s="58">
        <v>20903947.760000002</v>
      </c>
      <c r="Q3356" t="s">
        <v>127</v>
      </c>
      <c r="R3356" s="1" t="s">
        <v>158</v>
      </c>
    </row>
    <row r="3357" spans="3:18" x14ac:dyDescent="0.35">
      <c r="C3357" t="s">
        <v>51</v>
      </c>
      <c r="D3357" t="s">
        <v>22</v>
      </c>
      <c r="E3357" t="s">
        <v>52</v>
      </c>
      <c r="F3357" t="s">
        <v>46</v>
      </c>
      <c r="G3357" s="58">
        <v>465830</v>
      </c>
      <c r="H3357" s="1" t="s">
        <v>48</v>
      </c>
      <c r="I3357" s="1" t="s">
        <v>111</v>
      </c>
      <c r="J3357" s="58">
        <v>7919110</v>
      </c>
      <c r="K3357" s="1" t="s">
        <v>106</v>
      </c>
      <c r="L3357" s="1" t="s">
        <v>130</v>
      </c>
      <c r="M3357" s="1" t="s">
        <v>115</v>
      </c>
      <c r="N3357" s="1">
        <v>1</v>
      </c>
      <c r="O3357" s="58"/>
      <c r="P3357" s="58">
        <v>116457.5</v>
      </c>
      <c r="Q3357" t="s">
        <v>107</v>
      </c>
      <c r="R3357" s="1" t="s">
        <v>48</v>
      </c>
    </row>
    <row r="3358" spans="3:18" x14ac:dyDescent="0.35">
      <c r="C3358" t="s">
        <v>51</v>
      </c>
      <c r="D3358" t="s">
        <v>24</v>
      </c>
      <c r="E3358" t="s">
        <v>49</v>
      </c>
      <c r="F3358" t="s">
        <v>46</v>
      </c>
      <c r="G3358" s="58">
        <v>120192</v>
      </c>
      <c r="H3358" s="1" t="s">
        <v>48</v>
      </c>
      <c r="I3358" s="1" t="s">
        <v>111</v>
      </c>
      <c r="J3358" s="58">
        <v>1802880</v>
      </c>
      <c r="K3358" s="1" t="s">
        <v>112</v>
      </c>
      <c r="N3358" s="1">
        <v>1</v>
      </c>
      <c r="O3358" s="58"/>
      <c r="P3358" s="58">
        <v>9615.36</v>
      </c>
      <c r="Q3358" t="s">
        <v>107</v>
      </c>
      <c r="R3358" s="1" t="s">
        <v>158</v>
      </c>
    </row>
    <row r="3359" spans="3:18" x14ac:dyDescent="0.35">
      <c r="C3359" t="s">
        <v>51</v>
      </c>
      <c r="D3359" t="s">
        <v>23</v>
      </c>
      <c r="E3359" t="s">
        <v>45</v>
      </c>
      <c r="F3359" t="s">
        <v>46</v>
      </c>
      <c r="G3359" s="58">
        <v>122654</v>
      </c>
      <c r="H3359" s="1" t="s">
        <v>48</v>
      </c>
      <c r="I3359" s="1" t="s">
        <v>108</v>
      </c>
      <c r="J3359" s="58">
        <v>2943696</v>
      </c>
      <c r="K3359" s="1" t="s">
        <v>106</v>
      </c>
      <c r="L3359" s="1" t="s">
        <v>116</v>
      </c>
      <c r="M3359" s="1" t="s">
        <v>129</v>
      </c>
      <c r="N3359" s="1">
        <v>1</v>
      </c>
      <c r="O3359" s="58"/>
      <c r="P3359" s="58">
        <v>20851.18</v>
      </c>
      <c r="Q3359" t="s">
        <v>107</v>
      </c>
      <c r="R3359" s="1" t="s">
        <v>158</v>
      </c>
    </row>
    <row r="3360" spans="3:18" x14ac:dyDescent="0.35">
      <c r="C3360" t="s">
        <v>51</v>
      </c>
      <c r="D3360" t="s">
        <v>23</v>
      </c>
      <c r="E3360" t="s">
        <v>55</v>
      </c>
      <c r="F3360" t="s">
        <v>46</v>
      </c>
      <c r="G3360" s="58">
        <v>4200731</v>
      </c>
      <c r="H3360" s="1" t="s">
        <v>59</v>
      </c>
      <c r="I3360" s="1" t="s">
        <v>119</v>
      </c>
      <c r="J3360" s="58">
        <v>29405117</v>
      </c>
      <c r="K3360" s="1" t="s">
        <v>106</v>
      </c>
      <c r="L3360" s="1" t="s">
        <v>114</v>
      </c>
      <c r="N3360" s="1">
        <v>1</v>
      </c>
      <c r="O3360" s="58"/>
      <c r="P3360" s="58">
        <v>1092190.06</v>
      </c>
      <c r="Q3360" t="s">
        <v>107</v>
      </c>
      <c r="R3360" s="1" t="s">
        <v>158</v>
      </c>
    </row>
    <row r="3361" spans="3:18" x14ac:dyDescent="0.35">
      <c r="C3361" t="s">
        <v>51</v>
      </c>
      <c r="D3361" t="s">
        <v>24</v>
      </c>
      <c r="E3361" t="s">
        <v>49</v>
      </c>
      <c r="F3361" t="s">
        <v>46</v>
      </c>
      <c r="G3361" s="58">
        <v>3248</v>
      </c>
      <c r="H3361" s="1" t="s">
        <v>48</v>
      </c>
      <c r="I3361" s="1" t="s">
        <v>111</v>
      </c>
      <c r="J3361" s="58">
        <v>45472</v>
      </c>
      <c r="K3361" s="1" t="s">
        <v>112</v>
      </c>
      <c r="N3361" s="1">
        <v>1</v>
      </c>
      <c r="O3361" s="58"/>
      <c r="P3361" s="58">
        <v>162.4</v>
      </c>
      <c r="Q3361" t="s">
        <v>107</v>
      </c>
      <c r="R3361" s="1" t="s">
        <v>48</v>
      </c>
    </row>
    <row r="3362" spans="3:18" x14ac:dyDescent="0.35">
      <c r="C3362" t="s">
        <v>53</v>
      </c>
      <c r="D3362" t="s">
        <v>20</v>
      </c>
      <c r="E3362" t="s">
        <v>45</v>
      </c>
      <c r="F3362" t="s">
        <v>46</v>
      </c>
      <c r="G3362" s="58">
        <v>3572938</v>
      </c>
      <c r="H3362" s="1" t="s">
        <v>54</v>
      </c>
      <c r="I3362" s="1" t="s">
        <v>111</v>
      </c>
      <c r="J3362" s="58">
        <v>42875256</v>
      </c>
      <c r="K3362" s="1" t="s">
        <v>106</v>
      </c>
      <c r="L3362" s="1" t="s">
        <v>120</v>
      </c>
      <c r="N3362" s="1">
        <v>1</v>
      </c>
      <c r="O3362" s="58"/>
      <c r="P3362" s="58">
        <v>1750739.62</v>
      </c>
      <c r="Q3362" t="s">
        <v>113</v>
      </c>
      <c r="R3362" s="1" t="s">
        <v>158</v>
      </c>
    </row>
    <row r="3363" spans="3:18" x14ac:dyDescent="0.35">
      <c r="C3363" t="s">
        <v>51</v>
      </c>
      <c r="D3363" t="s">
        <v>19</v>
      </c>
      <c r="E3363" t="s">
        <v>50</v>
      </c>
      <c r="F3363" t="s">
        <v>46</v>
      </c>
      <c r="G3363" s="58">
        <v>386103</v>
      </c>
      <c r="H3363" s="1" t="s">
        <v>48</v>
      </c>
      <c r="I3363" s="1" t="s">
        <v>108</v>
      </c>
      <c r="J3363" s="58">
        <v>10424781</v>
      </c>
      <c r="K3363" s="1" t="s">
        <v>106</v>
      </c>
      <c r="L3363" s="1" t="s">
        <v>109</v>
      </c>
      <c r="M3363" s="1" t="s">
        <v>122</v>
      </c>
      <c r="N3363" s="1">
        <v>1</v>
      </c>
      <c r="O3363" s="58"/>
      <c r="P3363" s="58">
        <v>262550.03999999998</v>
      </c>
      <c r="Q3363" t="s">
        <v>118</v>
      </c>
      <c r="R3363" s="1" t="s">
        <v>48</v>
      </c>
    </row>
    <row r="3364" spans="3:18" x14ac:dyDescent="0.35">
      <c r="C3364" t="s">
        <v>53</v>
      </c>
      <c r="D3364" t="s">
        <v>20</v>
      </c>
      <c r="E3364" t="s">
        <v>49</v>
      </c>
      <c r="F3364" t="s">
        <v>46</v>
      </c>
      <c r="G3364" s="58">
        <v>1140</v>
      </c>
      <c r="H3364" s="1" t="s">
        <v>47</v>
      </c>
      <c r="I3364" s="1" t="s">
        <v>105</v>
      </c>
      <c r="J3364" s="58"/>
      <c r="K3364" s="1" t="s">
        <v>106</v>
      </c>
      <c r="L3364" s="1" t="s">
        <v>124</v>
      </c>
      <c r="N3364" s="1">
        <v>0</v>
      </c>
      <c r="O3364" s="58"/>
      <c r="P3364" s="58">
        <v>763.8</v>
      </c>
      <c r="Q3364" t="s">
        <v>118</v>
      </c>
      <c r="R3364" s="1" t="s">
        <v>158</v>
      </c>
    </row>
    <row r="3365" spans="3:18" x14ac:dyDescent="0.35">
      <c r="C3365" t="s">
        <v>53</v>
      </c>
      <c r="D3365" t="s">
        <v>20</v>
      </c>
      <c r="E3365" t="s">
        <v>49</v>
      </c>
      <c r="F3365" t="s">
        <v>46</v>
      </c>
      <c r="G3365" s="58">
        <v>34852271</v>
      </c>
      <c r="H3365" s="1" t="s">
        <v>47</v>
      </c>
      <c r="I3365" s="1" t="s">
        <v>111</v>
      </c>
      <c r="J3365" s="58">
        <v>418227252</v>
      </c>
      <c r="K3365" s="1" t="s">
        <v>106</v>
      </c>
      <c r="L3365" s="1" t="s">
        <v>124</v>
      </c>
      <c r="N3365" s="1">
        <v>1</v>
      </c>
      <c r="O3365" s="58"/>
      <c r="P3365" s="58">
        <v>17774658.210000001</v>
      </c>
      <c r="Q3365" t="s">
        <v>113</v>
      </c>
      <c r="R3365" s="1" t="s">
        <v>158</v>
      </c>
    </row>
    <row r="3366" spans="3:18" x14ac:dyDescent="0.35">
      <c r="C3366" t="s">
        <v>51</v>
      </c>
      <c r="D3366" t="s">
        <v>23</v>
      </c>
      <c r="E3366" t="s">
        <v>45</v>
      </c>
      <c r="F3366" t="s">
        <v>46</v>
      </c>
      <c r="G3366" s="58">
        <v>523100</v>
      </c>
      <c r="H3366" s="1" t="s">
        <v>48</v>
      </c>
      <c r="I3366" s="1" t="s">
        <v>119</v>
      </c>
      <c r="J3366" s="58">
        <v>4184800</v>
      </c>
      <c r="K3366" s="1" t="s">
        <v>106</v>
      </c>
      <c r="L3366" s="1" t="s">
        <v>120</v>
      </c>
      <c r="M3366" s="1" t="s">
        <v>125</v>
      </c>
      <c r="N3366" s="1">
        <v>1</v>
      </c>
      <c r="O3366" s="58"/>
      <c r="P3366" s="58">
        <v>125544</v>
      </c>
      <c r="Q3366" t="s">
        <v>107</v>
      </c>
      <c r="R3366" s="1" t="s">
        <v>48</v>
      </c>
    </row>
    <row r="3367" spans="3:18" x14ac:dyDescent="0.35">
      <c r="C3367" t="s">
        <v>51</v>
      </c>
      <c r="D3367" t="s">
        <v>22</v>
      </c>
      <c r="E3367" t="s">
        <v>50</v>
      </c>
      <c r="F3367" t="s">
        <v>46</v>
      </c>
      <c r="G3367" s="58">
        <v>75000</v>
      </c>
      <c r="H3367" s="1" t="s">
        <v>48</v>
      </c>
      <c r="I3367" s="1" t="s">
        <v>108</v>
      </c>
      <c r="J3367" s="58">
        <v>1575000</v>
      </c>
      <c r="K3367" s="1" t="s">
        <v>106</v>
      </c>
      <c r="L3367" s="1" t="s">
        <v>109</v>
      </c>
      <c r="M3367" s="1" t="s">
        <v>115</v>
      </c>
      <c r="N3367" s="1">
        <v>1</v>
      </c>
      <c r="O3367" s="58"/>
      <c r="P3367" s="58">
        <v>90000</v>
      </c>
      <c r="Q3367" t="s">
        <v>110</v>
      </c>
      <c r="R3367" s="1" t="s">
        <v>48</v>
      </c>
    </row>
    <row r="3368" spans="3:18" x14ac:dyDescent="0.35">
      <c r="C3368" t="s">
        <v>53</v>
      </c>
      <c r="D3368" t="s">
        <v>19</v>
      </c>
      <c r="E3368" t="s">
        <v>45</v>
      </c>
      <c r="F3368" t="s">
        <v>46</v>
      </c>
      <c r="G3368" s="58">
        <v>82820</v>
      </c>
      <c r="H3368" s="1" t="s">
        <v>54</v>
      </c>
      <c r="I3368" s="1" t="s">
        <v>111</v>
      </c>
      <c r="J3368" s="58">
        <v>1159480</v>
      </c>
      <c r="K3368" s="1" t="s">
        <v>106</v>
      </c>
      <c r="L3368" s="1" t="s">
        <v>120</v>
      </c>
      <c r="N3368" s="1">
        <v>1</v>
      </c>
      <c r="O3368" s="58"/>
      <c r="P3368" s="58">
        <v>53004.800000000003</v>
      </c>
      <c r="Q3368" t="s">
        <v>118</v>
      </c>
      <c r="R3368" s="1" t="s">
        <v>158</v>
      </c>
    </row>
    <row r="3369" spans="3:18" x14ac:dyDescent="0.35">
      <c r="C3369" t="s">
        <v>51</v>
      </c>
      <c r="D3369" t="s">
        <v>23</v>
      </c>
      <c r="E3369" t="s">
        <v>45</v>
      </c>
      <c r="F3369" t="s">
        <v>46</v>
      </c>
      <c r="G3369" s="58">
        <v>278870</v>
      </c>
      <c r="H3369" s="1" t="s">
        <v>59</v>
      </c>
      <c r="I3369" s="1" t="s">
        <v>111</v>
      </c>
      <c r="J3369" s="58">
        <v>4183050</v>
      </c>
      <c r="K3369" s="1" t="s">
        <v>106</v>
      </c>
      <c r="L3369" s="1" t="s">
        <v>124</v>
      </c>
      <c r="N3369" s="1">
        <v>1</v>
      </c>
      <c r="O3369" s="58"/>
      <c r="P3369" s="58">
        <v>69717.5</v>
      </c>
      <c r="Q3369" t="s">
        <v>107</v>
      </c>
      <c r="R3369" s="1" t="s">
        <v>158</v>
      </c>
    </row>
    <row r="3370" spans="3:18" x14ac:dyDescent="0.35">
      <c r="C3370" t="s">
        <v>51</v>
      </c>
      <c r="D3370" t="s">
        <v>21</v>
      </c>
      <c r="E3370" t="s">
        <v>49</v>
      </c>
      <c r="F3370" t="s">
        <v>46</v>
      </c>
      <c r="G3370" s="58">
        <v>5869773</v>
      </c>
      <c r="H3370" s="1" t="s">
        <v>47</v>
      </c>
      <c r="I3370" s="1" t="s">
        <v>111</v>
      </c>
      <c r="J3370" s="58">
        <v>93916368</v>
      </c>
      <c r="K3370" s="1" t="s">
        <v>112</v>
      </c>
      <c r="N3370" s="1">
        <v>1</v>
      </c>
      <c r="O3370" s="58"/>
      <c r="P3370" s="58">
        <v>1467443.25</v>
      </c>
      <c r="Q3370" t="s">
        <v>107</v>
      </c>
      <c r="R3370" s="1" t="s">
        <v>158</v>
      </c>
    </row>
    <row r="3371" spans="3:18" x14ac:dyDescent="0.35">
      <c r="C3371" t="s">
        <v>51</v>
      </c>
      <c r="D3371" t="s">
        <v>22</v>
      </c>
      <c r="E3371" t="s">
        <v>49</v>
      </c>
      <c r="F3371" t="s">
        <v>46</v>
      </c>
      <c r="G3371" s="58">
        <v>59141</v>
      </c>
      <c r="H3371" s="1" t="s">
        <v>54</v>
      </c>
      <c r="I3371" s="1" t="s">
        <v>105</v>
      </c>
      <c r="J3371" s="58">
        <v>118282</v>
      </c>
      <c r="K3371" s="1" t="s">
        <v>106</v>
      </c>
      <c r="L3371" s="1" t="s">
        <v>124</v>
      </c>
      <c r="N3371" s="1">
        <v>1</v>
      </c>
      <c r="O3371" s="58"/>
      <c r="P3371" s="58">
        <v>40215.879999999997</v>
      </c>
      <c r="Q3371" t="s">
        <v>118</v>
      </c>
      <c r="R3371" s="1" t="s">
        <v>158</v>
      </c>
    </row>
    <row r="3372" spans="3:18" x14ac:dyDescent="0.35">
      <c r="C3372" t="s">
        <v>51</v>
      </c>
      <c r="D3372" t="s">
        <v>21</v>
      </c>
      <c r="E3372" t="s">
        <v>49</v>
      </c>
      <c r="F3372" t="s">
        <v>46</v>
      </c>
      <c r="G3372" s="58">
        <v>103011</v>
      </c>
      <c r="H3372" s="1" t="s">
        <v>59</v>
      </c>
      <c r="I3372" s="1" t="s">
        <v>105</v>
      </c>
      <c r="J3372" s="58"/>
      <c r="K3372" s="1" t="s">
        <v>106</v>
      </c>
      <c r="L3372" s="1" t="s">
        <v>124</v>
      </c>
      <c r="N3372" s="1">
        <v>0</v>
      </c>
      <c r="O3372" s="58"/>
      <c r="P3372" s="58">
        <v>20602.2</v>
      </c>
      <c r="Q3372" t="s">
        <v>107</v>
      </c>
      <c r="R3372" s="1" t="s">
        <v>158</v>
      </c>
    </row>
    <row r="3373" spans="3:18" x14ac:dyDescent="0.35">
      <c r="C3373" t="s">
        <v>51</v>
      </c>
      <c r="D3373" t="s">
        <v>19</v>
      </c>
      <c r="E3373" t="s">
        <v>49</v>
      </c>
      <c r="F3373" t="s">
        <v>46</v>
      </c>
      <c r="G3373" s="58">
        <v>166832</v>
      </c>
      <c r="I3373" s="1" t="s">
        <v>111</v>
      </c>
      <c r="J3373" s="58">
        <v>3169808</v>
      </c>
      <c r="K3373" s="1" t="s">
        <v>106</v>
      </c>
      <c r="L3373" s="1" t="s">
        <v>124</v>
      </c>
      <c r="N3373" s="1">
        <v>1</v>
      </c>
      <c r="O3373" s="58"/>
      <c r="P3373" s="58">
        <v>51717.919999999998</v>
      </c>
      <c r="Q3373" t="s">
        <v>107</v>
      </c>
      <c r="R3373" s="1" t="s">
        <v>158</v>
      </c>
    </row>
    <row r="3374" spans="3:18" x14ac:dyDescent="0.35">
      <c r="C3374" t="s">
        <v>51</v>
      </c>
      <c r="D3374" t="s">
        <v>22</v>
      </c>
      <c r="E3374" t="s">
        <v>45</v>
      </c>
      <c r="F3374" t="s">
        <v>46</v>
      </c>
      <c r="G3374" s="58">
        <v>41234</v>
      </c>
      <c r="H3374" s="1" t="s">
        <v>47</v>
      </c>
      <c r="I3374" s="1" t="s">
        <v>119</v>
      </c>
      <c r="J3374" s="58">
        <v>247404</v>
      </c>
      <c r="K3374" s="1" t="s">
        <v>106</v>
      </c>
      <c r="L3374" s="1" t="s">
        <v>116</v>
      </c>
      <c r="N3374" s="1">
        <v>1</v>
      </c>
      <c r="O3374" s="58"/>
      <c r="P3374" s="58">
        <v>6597.44</v>
      </c>
      <c r="Q3374" t="s">
        <v>107</v>
      </c>
      <c r="R3374" s="1" t="s">
        <v>158</v>
      </c>
    </row>
    <row r="3375" spans="3:18" x14ac:dyDescent="0.35">
      <c r="C3375" t="s">
        <v>51</v>
      </c>
      <c r="D3375" t="s">
        <v>22</v>
      </c>
      <c r="E3375" t="s">
        <v>55</v>
      </c>
      <c r="F3375" t="s">
        <v>46</v>
      </c>
      <c r="G3375" s="58">
        <v>144882</v>
      </c>
      <c r="H3375" s="1" t="s">
        <v>48</v>
      </c>
      <c r="I3375" s="1" t="s">
        <v>108</v>
      </c>
      <c r="J3375" s="58">
        <v>6085044</v>
      </c>
      <c r="K3375" s="1" t="s">
        <v>106</v>
      </c>
      <c r="L3375" s="1" t="s">
        <v>120</v>
      </c>
      <c r="M3375" s="1" t="s">
        <v>125</v>
      </c>
      <c r="N3375" s="1">
        <v>1</v>
      </c>
      <c r="O3375" s="58"/>
      <c r="P3375" s="58">
        <v>118803.24</v>
      </c>
      <c r="Q3375" t="s">
        <v>127</v>
      </c>
      <c r="R3375" s="1" t="s">
        <v>48</v>
      </c>
    </row>
    <row r="3376" spans="3:18" x14ac:dyDescent="0.35">
      <c r="C3376" t="s">
        <v>51</v>
      </c>
      <c r="D3376" t="s">
        <v>24</v>
      </c>
      <c r="E3376" t="s">
        <v>49</v>
      </c>
      <c r="F3376" t="s">
        <v>46</v>
      </c>
      <c r="G3376" s="58">
        <v>22714874</v>
      </c>
      <c r="H3376" s="1" t="s">
        <v>48</v>
      </c>
      <c r="I3376" s="1" t="s">
        <v>108</v>
      </c>
      <c r="J3376" s="58">
        <v>658731346</v>
      </c>
      <c r="K3376" s="1" t="s">
        <v>106</v>
      </c>
      <c r="L3376" s="1" t="s">
        <v>124</v>
      </c>
      <c r="M3376" s="1" t="s">
        <v>121</v>
      </c>
      <c r="N3376" s="1">
        <v>1</v>
      </c>
      <c r="O3376" s="58"/>
      <c r="P3376" s="58">
        <v>11811734.48</v>
      </c>
      <c r="Q3376" t="s">
        <v>113</v>
      </c>
      <c r="R3376" s="1" t="s">
        <v>158</v>
      </c>
    </row>
    <row r="3377" spans="3:18" x14ac:dyDescent="0.35">
      <c r="C3377" t="s">
        <v>53</v>
      </c>
      <c r="D3377" t="s">
        <v>22</v>
      </c>
      <c r="E3377" t="s">
        <v>45</v>
      </c>
      <c r="F3377" t="s">
        <v>46</v>
      </c>
      <c r="G3377" s="58">
        <v>91031</v>
      </c>
      <c r="H3377" s="1" t="s">
        <v>48</v>
      </c>
      <c r="I3377" s="1" t="s">
        <v>111</v>
      </c>
      <c r="J3377" s="58">
        <v>1183403</v>
      </c>
      <c r="K3377" s="1" t="s">
        <v>106</v>
      </c>
      <c r="L3377" s="1" t="s">
        <v>120</v>
      </c>
      <c r="M3377" s="1" t="s">
        <v>115</v>
      </c>
      <c r="N3377" s="1">
        <v>1</v>
      </c>
      <c r="O3377" s="58"/>
      <c r="P3377" s="58">
        <v>8192.7900000000009</v>
      </c>
      <c r="Q3377" t="s">
        <v>107</v>
      </c>
      <c r="R3377" s="1" t="s">
        <v>158</v>
      </c>
    </row>
    <row r="3378" spans="3:18" x14ac:dyDescent="0.35">
      <c r="C3378" t="s">
        <v>51</v>
      </c>
      <c r="D3378" t="s">
        <v>21</v>
      </c>
      <c r="E3378" t="s">
        <v>45</v>
      </c>
      <c r="F3378" t="s">
        <v>46</v>
      </c>
      <c r="G3378" s="58">
        <v>346825</v>
      </c>
      <c r="H3378" s="1" t="s">
        <v>48</v>
      </c>
      <c r="I3378" s="1" t="s">
        <v>108</v>
      </c>
      <c r="J3378" s="58">
        <v>11445225</v>
      </c>
      <c r="K3378" s="1" t="s">
        <v>106</v>
      </c>
      <c r="L3378" s="1" t="s">
        <v>114</v>
      </c>
      <c r="M3378" s="1" t="s">
        <v>126</v>
      </c>
      <c r="N3378" s="1">
        <v>1</v>
      </c>
      <c r="O3378" s="58"/>
      <c r="P3378" s="58">
        <v>235841</v>
      </c>
      <c r="Q3378" t="s">
        <v>118</v>
      </c>
      <c r="R3378" s="1" t="s">
        <v>158</v>
      </c>
    </row>
    <row r="3379" spans="3:18" x14ac:dyDescent="0.35">
      <c r="C3379" t="s">
        <v>53</v>
      </c>
      <c r="D3379" t="s">
        <v>23</v>
      </c>
      <c r="E3379" t="s">
        <v>55</v>
      </c>
      <c r="F3379" t="s">
        <v>46</v>
      </c>
      <c r="G3379" s="58">
        <v>100588</v>
      </c>
      <c r="H3379" s="1" t="s">
        <v>59</v>
      </c>
      <c r="I3379" s="1" t="s">
        <v>119</v>
      </c>
      <c r="J3379" s="58">
        <v>804704</v>
      </c>
      <c r="K3379" s="1" t="s">
        <v>106</v>
      </c>
      <c r="L3379" s="1" t="s">
        <v>114</v>
      </c>
      <c r="N3379" s="1">
        <v>1</v>
      </c>
      <c r="O3379" s="58"/>
      <c r="P3379" s="58">
        <v>44258.720000000001</v>
      </c>
      <c r="Q3379" t="s">
        <v>113</v>
      </c>
      <c r="R3379" s="1" t="s">
        <v>158</v>
      </c>
    </row>
    <row r="3380" spans="3:18" x14ac:dyDescent="0.35">
      <c r="C3380" t="s">
        <v>53</v>
      </c>
      <c r="D3380" t="s">
        <v>21</v>
      </c>
      <c r="E3380" t="s">
        <v>49</v>
      </c>
      <c r="F3380" t="s">
        <v>46</v>
      </c>
      <c r="G3380" s="58">
        <v>723065</v>
      </c>
      <c r="H3380" s="1" t="s">
        <v>59</v>
      </c>
      <c r="I3380" s="1" t="s">
        <v>111</v>
      </c>
      <c r="J3380" s="58">
        <v>7953715</v>
      </c>
      <c r="K3380" s="1" t="s">
        <v>106</v>
      </c>
      <c r="L3380" s="1" t="s">
        <v>124</v>
      </c>
      <c r="N3380" s="1">
        <v>1</v>
      </c>
      <c r="O3380" s="58"/>
      <c r="P3380" s="58">
        <v>180766.25</v>
      </c>
      <c r="Q3380" t="s">
        <v>107</v>
      </c>
      <c r="R3380" s="1" t="s">
        <v>158</v>
      </c>
    </row>
    <row r="3381" spans="3:18" x14ac:dyDescent="0.35">
      <c r="C3381" t="s">
        <v>51</v>
      </c>
      <c r="D3381" t="s">
        <v>24</v>
      </c>
      <c r="E3381" t="s">
        <v>45</v>
      </c>
      <c r="F3381" t="s">
        <v>46</v>
      </c>
      <c r="G3381" s="58">
        <v>4686148</v>
      </c>
      <c r="H3381" s="1" t="s">
        <v>47</v>
      </c>
      <c r="I3381" s="1" t="s">
        <v>108</v>
      </c>
      <c r="J3381" s="58">
        <v>126525996</v>
      </c>
      <c r="K3381" s="1" t="s">
        <v>106</v>
      </c>
      <c r="L3381" s="1" t="s">
        <v>120</v>
      </c>
      <c r="N3381" s="1">
        <v>1</v>
      </c>
      <c r="O3381" s="58"/>
      <c r="P3381" s="58">
        <v>2389935.48</v>
      </c>
      <c r="Q3381" t="s">
        <v>113</v>
      </c>
      <c r="R3381" s="1" t="s">
        <v>158</v>
      </c>
    </row>
    <row r="3382" spans="3:18" x14ac:dyDescent="0.35">
      <c r="C3382" t="s">
        <v>51</v>
      </c>
      <c r="D3382" t="s">
        <v>21</v>
      </c>
      <c r="E3382" t="s">
        <v>49</v>
      </c>
      <c r="F3382" t="s">
        <v>64</v>
      </c>
      <c r="G3382" s="58">
        <v>1130809</v>
      </c>
      <c r="H3382" s="1" t="s">
        <v>48</v>
      </c>
      <c r="I3382" s="1" t="s">
        <v>108</v>
      </c>
      <c r="J3382" s="58">
        <v>39578315</v>
      </c>
      <c r="K3382" s="1" t="s">
        <v>112</v>
      </c>
      <c r="N3382" s="1">
        <v>1</v>
      </c>
      <c r="O3382" s="58"/>
      <c r="P3382" s="58">
        <v>802874.39</v>
      </c>
      <c r="Q3382" t="s">
        <v>118</v>
      </c>
      <c r="R3382" s="1" t="s">
        <v>158</v>
      </c>
    </row>
    <row r="3383" spans="3:18" x14ac:dyDescent="0.35">
      <c r="C3383" t="s">
        <v>51</v>
      </c>
      <c r="D3383" t="s">
        <v>22</v>
      </c>
      <c r="E3383" t="s">
        <v>45</v>
      </c>
      <c r="F3383" t="s">
        <v>46</v>
      </c>
      <c r="G3383" s="58">
        <v>472877</v>
      </c>
      <c r="H3383" s="1" t="s">
        <v>59</v>
      </c>
      <c r="I3383" s="1" t="s">
        <v>108</v>
      </c>
      <c r="J3383" s="58">
        <v>11349048</v>
      </c>
      <c r="K3383" s="1" t="s">
        <v>106</v>
      </c>
      <c r="L3383" s="1" t="s">
        <v>124</v>
      </c>
      <c r="N3383" s="1">
        <v>1</v>
      </c>
      <c r="O3383" s="58"/>
      <c r="P3383" s="58">
        <v>141863.1</v>
      </c>
      <c r="Q3383" t="s">
        <v>107</v>
      </c>
      <c r="R3383" s="1" t="s">
        <v>158</v>
      </c>
    </row>
    <row r="3384" spans="3:18" x14ac:dyDescent="0.35">
      <c r="C3384" t="s">
        <v>51</v>
      </c>
      <c r="D3384" t="s">
        <v>23</v>
      </c>
      <c r="E3384" t="s">
        <v>55</v>
      </c>
      <c r="F3384" t="s">
        <v>46</v>
      </c>
      <c r="G3384" s="58">
        <v>5758755</v>
      </c>
      <c r="H3384" s="1" t="s">
        <v>59</v>
      </c>
      <c r="I3384" s="1" t="s">
        <v>105</v>
      </c>
      <c r="J3384" s="58">
        <v>17276265</v>
      </c>
      <c r="K3384" s="1" t="s">
        <v>106</v>
      </c>
      <c r="L3384" s="1" t="s">
        <v>114</v>
      </c>
      <c r="N3384" s="1">
        <v>1</v>
      </c>
      <c r="O3384" s="58"/>
      <c r="P3384" s="58">
        <v>2879377.5</v>
      </c>
      <c r="Q3384" t="s">
        <v>113</v>
      </c>
      <c r="R3384" s="1" t="s">
        <v>158</v>
      </c>
    </row>
    <row r="3385" spans="3:18" x14ac:dyDescent="0.35">
      <c r="C3385" t="s">
        <v>51</v>
      </c>
      <c r="D3385" t="s">
        <v>60</v>
      </c>
      <c r="E3385" t="s">
        <v>60</v>
      </c>
      <c r="F3385" t="s">
        <v>46</v>
      </c>
      <c r="G3385" s="58">
        <v>5020621</v>
      </c>
      <c r="H3385" s="1" t="s">
        <v>90</v>
      </c>
      <c r="I3385" s="1" t="s">
        <v>111</v>
      </c>
      <c r="J3385" s="58">
        <v>85350557</v>
      </c>
      <c r="K3385" s="1" t="s">
        <v>106</v>
      </c>
      <c r="N3385" s="1">
        <v>1</v>
      </c>
      <c r="O3385" s="58"/>
      <c r="P3385" s="58">
        <v>5924332.7800000003</v>
      </c>
      <c r="Q3385" t="s">
        <v>110</v>
      </c>
      <c r="R3385" s="1" t="s">
        <v>90</v>
      </c>
    </row>
    <row r="3386" spans="3:18" x14ac:dyDescent="0.35">
      <c r="C3386" t="s">
        <v>53</v>
      </c>
      <c r="D3386" t="s">
        <v>22</v>
      </c>
      <c r="E3386" t="s">
        <v>45</v>
      </c>
      <c r="F3386" t="s">
        <v>46</v>
      </c>
      <c r="G3386" s="58">
        <v>2284621</v>
      </c>
      <c r="H3386" s="1" t="s">
        <v>59</v>
      </c>
      <c r="I3386" s="1" t="s">
        <v>111</v>
      </c>
      <c r="J3386" s="58">
        <v>29700073</v>
      </c>
      <c r="K3386" s="1" t="s">
        <v>106</v>
      </c>
      <c r="L3386" s="1" t="s">
        <v>120</v>
      </c>
      <c r="N3386" s="1">
        <v>1</v>
      </c>
      <c r="O3386" s="58"/>
      <c r="P3386" s="58">
        <v>1576388.49</v>
      </c>
      <c r="Q3386" t="s">
        <v>118</v>
      </c>
      <c r="R3386" s="1" t="s">
        <v>158</v>
      </c>
    </row>
    <row r="3387" spans="3:18" x14ac:dyDescent="0.35">
      <c r="C3387" t="s">
        <v>51</v>
      </c>
      <c r="D3387" t="s">
        <v>20</v>
      </c>
      <c r="E3387" t="s">
        <v>49</v>
      </c>
      <c r="F3387" t="s">
        <v>46</v>
      </c>
      <c r="G3387" s="58">
        <v>2328689</v>
      </c>
      <c r="H3387" s="1" t="s">
        <v>47</v>
      </c>
      <c r="I3387" s="1" t="s">
        <v>119</v>
      </c>
      <c r="J3387" s="58">
        <v>16300823</v>
      </c>
      <c r="K3387" s="1" t="s">
        <v>106</v>
      </c>
      <c r="L3387" s="1" t="s">
        <v>114</v>
      </c>
      <c r="N3387" s="1">
        <v>1</v>
      </c>
      <c r="O3387" s="58"/>
      <c r="P3387" s="58">
        <v>489024.69</v>
      </c>
      <c r="Q3387" t="s">
        <v>107</v>
      </c>
      <c r="R3387" s="1" t="s">
        <v>158</v>
      </c>
    </row>
    <row r="3388" spans="3:18" x14ac:dyDescent="0.35">
      <c r="C3388" t="s">
        <v>51</v>
      </c>
      <c r="D3388" t="s">
        <v>23</v>
      </c>
      <c r="E3388" t="s">
        <v>45</v>
      </c>
      <c r="F3388" t="s">
        <v>46</v>
      </c>
      <c r="G3388" s="58">
        <v>15790730</v>
      </c>
      <c r="H3388" s="1" t="s">
        <v>54</v>
      </c>
      <c r="I3388" s="1" t="s">
        <v>108</v>
      </c>
      <c r="J3388" s="58">
        <v>410558980</v>
      </c>
      <c r="K3388" s="1" t="s">
        <v>106</v>
      </c>
      <c r="L3388" s="1" t="s">
        <v>120</v>
      </c>
      <c r="N3388" s="1">
        <v>1</v>
      </c>
      <c r="O3388" s="58"/>
      <c r="P3388" s="58">
        <v>4263497.0999999996</v>
      </c>
      <c r="Q3388" t="s">
        <v>107</v>
      </c>
      <c r="R3388" s="1" t="s">
        <v>158</v>
      </c>
    </row>
    <row r="3389" spans="3:18" x14ac:dyDescent="0.35">
      <c r="C3389" t="s">
        <v>51</v>
      </c>
      <c r="D3389" t="s">
        <v>92</v>
      </c>
      <c r="E3389" t="s">
        <v>49</v>
      </c>
      <c r="F3389" t="s">
        <v>46</v>
      </c>
      <c r="G3389" s="58">
        <v>539250</v>
      </c>
      <c r="H3389" s="1" t="s">
        <v>56</v>
      </c>
      <c r="I3389" s="1" t="s">
        <v>111</v>
      </c>
      <c r="J3389" s="58">
        <v>8088750</v>
      </c>
      <c r="K3389" s="1" t="s">
        <v>112</v>
      </c>
      <c r="N3389" s="1">
        <v>1</v>
      </c>
      <c r="O3389" s="58"/>
      <c r="P3389" s="58">
        <v>134812.5</v>
      </c>
      <c r="Q3389" t="s">
        <v>107</v>
      </c>
      <c r="R3389" s="1" t="s">
        <v>158</v>
      </c>
    </row>
    <row r="3390" spans="3:18" x14ac:dyDescent="0.35">
      <c r="C3390" t="s">
        <v>51</v>
      </c>
      <c r="D3390" t="s">
        <v>92</v>
      </c>
      <c r="E3390" t="s">
        <v>45</v>
      </c>
      <c r="F3390" t="s">
        <v>46</v>
      </c>
      <c r="G3390" s="58">
        <v>528176</v>
      </c>
      <c r="H3390" s="1" t="s">
        <v>47</v>
      </c>
      <c r="I3390" s="1" t="s">
        <v>111</v>
      </c>
      <c r="J3390" s="58">
        <v>8450816</v>
      </c>
      <c r="K3390" s="1" t="s">
        <v>106</v>
      </c>
      <c r="L3390" s="1" t="s">
        <v>120</v>
      </c>
      <c r="N3390" s="1">
        <v>1</v>
      </c>
      <c r="O3390" s="58"/>
      <c r="P3390" s="58">
        <v>264088</v>
      </c>
      <c r="Q3390" t="s">
        <v>113</v>
      </c>
      <c r="R3390" s="1" t="s">
        <v>158</v>
      </c>
    </row>
    <row r="3391" spans="3:18" x14ac:dyDescent="0.35">
      <c r="C3391" t="s">
        <v>51</v>
      </c>
      <c r="D3391" t="s">
        <v>92</v>
      </c>
      <c r="E3391" t="s">
        <v>45</v>
      </c>
      <c r="F3391" t="s">
        <v>46</v>
      </c>
      <c r="G3391" s="58">
        <v>279667</v>
      </c>
      <c r="H3391" s="1" t="s">
        <v>48</v>
      </c>
      <c r="I3391" s="1" t="s">
        <v>105</v>
      </c>
      <c r="J3391" s="58">
        <v>839001</v>
      </c>
      <c r="K3391" s="1" t="s">
        <v>106</v>
      </c>
      <c r="L3391" s="1" t="s">
        <v>120</v>
      </c>
      <c r="M3391" s="1" t="s">
        <v>123</v>
      </c>
      <c r="N3391" s="1">
        <v>1</v>
      </c>
      <c r="O3391" s="58"/>
      <c r="P3391" s="58">
        <v>47543.39</v>
      </c>
      <c r="Q3391" t="s">
        <v>107</v>
      </c>
      <c r="R3391" s="1" t="s">
        <v>48</v>
      </c>
    </row>
    <row r="3392" spans="3:18" x14ac:dyDescent="0.35">
      <c r="C3392" t="s">
        <v>51</v>
      </c>
      <c r="D3392" t="s">
        <v>19</v>
      </c>
      <c r="E3392" t="s">
        <v>52</v>
      </c>
      <c r="F3392" t="s">
        <v>46</v>
      </c>
      <c r="G3392" s="58">
        <v>159654</v>
      </c>
      <c r="H3392" s="1" t="s">
        <v>48</v>
      </c>
      <c r="I3392" s="1" t="s">
        <v>108</v>
      </c>
      <c r="J3392" s="58">
        <v>5268582</v>
      </c>
      <c r="K3392" s="1" t="s">
        <v>106</v>
      </c>
      <c r="L3392" s="1" t="s">
        <v>130</v>
      </c>
      <c r="M3392" s="1" t="s">
        <v>122</v>
      </c>
      <c r="N3392" s="1">
        <v>1</v>
      </c>
      <c r="O3392" s="58"/>
      <c r="P3392" s="58">
        <v>78230.460000000006</v>
      </c>
      <c r="Q3392" t="s">
        <v>113</v>
      </c>
      <c r="R3392" s="1" t="s">
        <v>48</v>
      </c>
    </row>
    <row r="3393" spans="3:18" x14ac:dyDescent="0.35">
      <c r="C3393" t="s">
        <v>51</v>
      </c>
      <c r="D3393" t="s">
        <v>24</v>
      </c>
      <c r="E3393" t="s">
        <v>55</v>
      </c>
      <c r="F3393" t="s">
        <v>46</v>
      </c>
      <c r="G3393" s="58">
        <v>11966594</v>
      </c>
      <c r="H3393" s="1" t="s">
        <v>47</v>
      </c>
      <c r="I3393" s="1" t="s">
        <v>108</v>
      </c>
      <c r="J3393" s="58">
        <v>370964414</v>
      </c>
      <c r="K3393" s="1" t="s">
        <v>112</v>
      </c>
      <c r="N3393" s="1">
        <v>1</v>
      </c>
      <c r="O3393" s="58"/>
      <c r="P3393" s="58">
        <v>5983297</v>
      </c>
      <c r="Q3393" t="s">
        <v>113</v>
      </c>
      <c r="R3393" s="1" t="s">
        <v>158</v>
      </c>
    </row>
    <row r="3394" spans="3:18" x14ac:dyDescent="0.35">
      <c r="C3394" t="s">
        <v>51</v>
      </c>
      <c r="D3394" t="s">
        <v>92</v>
      </c>
      <c r="E3394" t="s">
        <v>49</v>
      </c>
      <c r="F3394" t="s">
        <v>46</v>
      </c>
      <c r="G3394" s="58">
        <v>2105707</v>
      </c>
      <c r="H3394" s="1" t="s">
        <v>59</v>
      </c>
      <c r="I3394" s="1" t="s">
        <v>108</v>
      </c>
      <c r="J3394" s="58">
        <v>58959796</v>
      </c>
      <c r="K3394" s="1" t="s">
        <v>112</v>
      </c>
      <c r="N3394" s="1">
        <v>1</v>
      </c>
      <c r="O3394" s="58"/>
      <c r="P3394" s="58">
        <v>1431880.76</v>
      </c>
      <c r="Q3394" t="s">
        <v>118</v>
      </c>
      <c r="R3394" s="1" t="s">
        <v>158</v>
      </c>
    </row>
    <row r="3395" spans="3:18" x14ac:dyDescent="0.35">
      <c r="C3395" t="s">
        <v>51</v>
      </c>
      <c r="D3395" t="s">
        <v>22</v>
      </c>
      <c r="E3395" t="s">
        <v>45</v>
      </c>
      <c r="F3395" t="s">
        <v>64</v>
      </c>
      <c r="G3395" s="58">
        <v>4392189</v>
      </c>
      <c r="H3395" s="1" t="s">
        <v>48</v>
      </c>
      <c r="I3395" s="1" t="s">
        <v>108</v>
      </c>
      <c r="J3395" s="58">
        <v>144942237</v>
      </c>
      <c r="K3395" s="1" t="s">
        <v>112</v>
      </c>
      <c r="N3395" s="1">
        <v>1</v>
      </c>
      <c r="O3395" s="58"/>
      <c r="P3395" s="58">
        <v>3689438.76</v>
      </c>
      <c r="Q3395" t="s">
        <v>127</v>
      </c>
      <c r="R3395" s="1" t="s">
        <v>48</v>
      </c>
    </row>
    <row r="3396" spans="3:18" x14ac:dyDescent="0.35">
      <c r="C3396" t="s">
        <v>51</v>
      </c>
      <c r="D3396" t="s">
        <v>24</v>
      </c>
      <c r="E3396" t="s">
        <v>55</v>
      </c>
      <c r="F3396" t="s">
        <v>46</v>
      </c>
      <c r="G3396" s="58">
        <v>141310</v>
      </c>
      <c r="H3396" s="1" t="s">
        <v>47</v>
      </c>
      <c r="I3396" s="1" t="s">
        <v>111</v>
      </c>
      <c r="J3396" s="58">
        <v>2684890</v>
      </c>
      <c r="K3396" s="1" t="s">
        <v>106</v>
      </c>
      <c r="L3396" s="1" t="s">
        <v>124</v>
      </c>
      <c r="N3396" s="1">
        <v>1</v>
      </c>
      <c r="O3396" s="58"/>
      <c r="P3396" s="58">
        <v>110221.8</v>
      </c>
      <c r="Q3396" t="s">
        <v>118</v>
      </c>
      <c r="R3396" s="1" t="s">
        <v>158</v>
      </c>
    </row>
    <row r="3397" spans="3:18" x14ac:dyDescent="0.35">
      <c r="C3397" t="s">
        <v>51</v>
      </c>
      <c r="D3397" t="s">
        <v>24</v>
      </c>
      <c r="E3397" t="s">
        <v>52</v>
      </c>
      <c r="F3397" t="s">
        <v>46</v>
      </c>
      <c r="G3397" s="58">
        <v>427104</v>
      </c>
      <c r="H3397" s="1" t="s">
        <v>48</v>
      </c>
      <c r="I3397" s="1" t="s">
        <v>108</v>
      </c>
      <c r="J3397" s="58">
        <v>15375744</v>
      </c>
      <c r="K3397" s="1" t="s">
        <v>106</v>
      </c>
      <c r="L3397" s="1" t="s">
        <v>124</v>
      </c>
      <c r="M3397" s="1" t="s">
        <v>121</v>
      </c>
      <c r="N3397" s="1">
        <v>1</v>
      </c>
      <c r="O3397" s="58"/>
      <c r="P3397" s="58">
        <v>350225.28</v>
      </c>
      <c r="Q3397" t="s">
        <v>127</v>
      </c>
      <c r="R3397" s="1" t="s">
        <v>48</v>
      </c>
    </row>
    <row r="3398" spans="3:18" x14ac:dyDescent="0.35">
      <c r="C3398" t="s">
        <v>51</v>
      </c>
      <c r="D3398" t="s">
        <v>91</v>
      </c>
      <c r="E3398" t="s">
        <v>49</v>
      </c>
      <c r="F3398" t="s">
        <v>46</v>
      </c>
      <c r="G3398" s="58">
        <v>315828</v>
      </c>
      <c r="H3398" s="1" t="s">
        <v>48</v>
      </c>
      <c r="I3398" s="1" t="s">
        <v>111</v>
      </c>
      <c r="J3398" s="58">
        <v>6000732</v>
      </c>
      <c r="K3398" s="1" t="s">
        <v>106</v>
      </c>
      <c r="L3398" s="1" t="s">
        <v>114</v>
      </c>
      <c r="M3398" s="1" t="s">
        <v>125</v>
      </c>
      <c r="N3398" s="1">
        <v>1</v>
      </c>
      <c r="O3398" s="58"/>
      <c r="P3398" s="58">
        <v>318986.28000000003</v>
      </c>
      <c r="Q3398" t="s">
        <v>110</v>
      </c>
      <c r="R3398" s="1" t="s">
        <v>158</v>
      </c>
    </row>
    <row r="3399" spans="3:18" x14ac:dyDescent="0.35">
      <c r="C3399" t="s">
        <v>51</v>
      </c>
      <c r="D3399" t="s">
        <v>23</v>
      </c>
      <c r="E3399" t="s">
        <v>55</v>
      </c>
      <c r="F3399" t="s">
        <v>46</v>
      </c>
      <c r="G3399" s="58">
        <v>7618407</v>
      </c>
      <c r="H3399" s="1" t="s">
        <v>47</v>
      </c>
      <c r="I3399" s="1" t="s">
        <v>108</v>
      </c>
      <c r="J3399" s="58">
        <v>243789024</v>
      </c>
      <c r="K3399" s="1" t="s">
        <v>112</v>
      </c>
      <c r="N3399" s="1">
        <v>1</v>
      </c>
      <c r="O3399" s="58"/>
      <c r="P3399" s="58">
        <v>5180516.76</v>
      </c>
      <c r="Q3399" t="s">
        <v>118</v>
      </c>
      <c r="R3399" s="1" t="s">
        <v>158</v>
      </c>
    </row>
    <row r="3400" spans="3:18" x14ac:dyDescent="0.35">
      <c r="C3400" t="s">
        <v>51</v>
      </c>
      <c r="D3400" t="s">
        <v>21</v>
      </c>
      <c r="E3400" t="s">
        <v>49</v>
      </c>
      <c r="F3400" t="s">
        <v>46</v>
      </c>
      <c r="G3400" s="58">
        <v>6242588</v>
      </c>
      <c r="H3400" s="1" t="s">
        <v>47</v>
      </c>
      <c r="I3400" s="1" t="s">
        <v>111</v>
      </c>
      <c r="J3400" s="58">
        <v>106123996</v>
      </c>
      <c r="K3400" s="1" t="s">
        <v>112</v>
      </c>
      <c r="N3400" s="1">
        <v>1</v>
      </c>
      <c r="O3400" s="58"/>
      <c r="P3400" s="58">
        <v>3121294</v>
      </c>
      <c r="Q3400" t="s">
        <v>113</v>
      </c>
      <c r="R3400" s="1" t="s">
        <v>158</v>
      </c>
    </row>
    <row r="3401" spans="3:18" x14ac:dyDescent="0.35">
      <c r="C3401" t="s">
        <v>53</v>
      </c>
      <c r="D3401" t="s">
        <v>21</v>
      </c>
      <c r="E3401" t="s">
        <v>45</v>
      </c>
      <c r="F3401" t="s">
        <v>46</v>
      </c>
      <c r="G3401" s="58">
        <v>99845613</v>
      </c>
      <c r="H3401" s="1" t="s">
        <v>47</v>
      </c>
      <c r="I3401" s="1" t="s">
        <v>119</v>
      </c>
      <c r="J3401" s="58">
        <v>798764904</v>
      </c>
      <c r="K3401" s="1" t="s">
        <v>106</v>
      </c>
      <c r="L3401" s="1" t="s">
        <v>120</v>
      </c>
      <c r="N3401" s="1">
        <v>1</v>
      </c>
      <c r="O3401" s="58"/>
      <c r="P3401" s="58">
        <v>48924350.369999997</v>
      </c>
      <c r="Q3401" t="s">
        <v>113</v>
      </c>
      <c r="R3401" s="1" t="s">
        <v>158</v>
      </c>
    </row>
    <row r="3402" spans="3:18" x14ac:dyDescent="0.35">
      <c r="C3402" t="s">
        <v>51</v>
      </c>
      <c r="D3402" t="s">
        <v>92</v>
      </c>
      <c r="E3402" t="s">
        <v>49</v>
      </c>
      <c r="F3402" t="s">
        <v>46</v>
      </c>
      <c r="G3402" s="58">
        <v>230242</v>
      </c>
      <c r="H3402" s="1" t="s">
        <v>48</v>
      </c>
      <c r="I3402" s="1" t="s">
        <v>108</v>
      </c>
      <c r="J3402" s="58">
        <v>6216534</v>
      </c>
      <c r="K3402" s="1" t="s">
        <v>106</v>
      </c>
      <c r="L3402" s="1" t="s">
        <v>120</v>
      </c>
      <c r="M3402" s="1" t="s">
        <v>115</v>
      </c>
      <c r="N3402" s="1">
        <v>1</v>
      </c>
      <c r="O3402" s="58"/>
      <c r="P3402" s="58">
        <v>82887.12</v>
      </c>
      <c r="Q3402" t="s">
        <v>107</v>
      </c>
      <c r="R3402" s="1" t="s">
        <v>48</v>
      </c>
    </row>
    <row r="3403" spans="3:18" x14ac:dyDescent="0.35">
      <c r="C3403" t="s">
        <v>51</v>
      </c>
      <c r="D3403" t="s">
        <v>24</v>
      </c>
      <c r="E3403" t="s">
        <v>55</v>
      </c>
      <c r="F3403" t="s">
        <v>46</v>
      </c>
      <c r="G3403" s="58">
        <v>7679639</v>
      </c>
      <c r="H3403" s="1" t="s">
        <v>54</v>
      </c>
      <c r="I3403" s="1" t="s">
        <v>108</v>
      </c>
      <c r="J3403" s="58">
        <v>230389170</v>
      </c>
      <c r="K3403" s="1" t="s">
        <v>106</v>
      </c>
      <c r="L3403" s="1" t="s">
        <v>114</v>
      </c>
      <c r="N3403" s="1">
        <v>1</v>
      </c>
      <c r="O3403" s="58"/>
      <c r="P3403" s="58">
        <v>6681285.9299999997</v>
      </c>
      <c r="Q3403" t="s">
        <v>127</v>
      </c>
      <c r="R3403" s="1" t="s">
        <v>158</v>
      </c>
    </row>
    <row r="3404" spans="3:18" x14ac:dyDescent="0.35">
      <c r="C3404" t="s">
        <v>51</v>
      </c>
      <c r="D3404" t="s">
        <v>24</v>
      </c>
      <c r="E3404" t="s">
        <v>55</v>
      </c>
      <c r="F3404" t="s">
        <v>46</v>
      </c>
      <c r="G3404" s="58">
        <v>468298</v>
      </c>
      <c r="H3404" s="1" t="s">
        <v>59</v>
      </c>
      <c r="I3404" s="1" t="s">
        <v>111</v>
      </c>
      <c r="J3404" s="58">
        <v>7024470</v>
      </c>
      <c r="K3404" s="1" t="s">
        <v>106</v>
      </c>
      <c r="L3404" s="1" t="s">
        <v>114</v>
      </c>
      <c r="N3404" s="1">
        <v>1</v>
      </c>
      <c r="O3404" s="58"/>
      <c r="P3404" s="58">
        <v>491712.9</v>
      </c>
      <c r="Q3404" t="s">
        <v>110</v>
      </c>
      <c r="R3404" s="1" t="s">
        <v>158</v>
      </c>
    </row>
    <row r="3405" spans="3:18" x14ac:dyDescent="0.35">
      <c r="C3405" t="s">
        <v>51</v>
      </c>
      <c r="D3405" t="s">
        <v>23</v>
      </c>
      <c r="E3405" t="s">
        <v>55</v>
      </c>
      <c r="F3405" t="s">
        <v>46</v>
      </c>
      <c r="G3405" s="58">
        <v>2730085</v>
      </c>
      <c r="H3405" s="1" t="s">
        <v>48</v>
      </c>
      <c r="I3405" s="1" t="s">
        <v>108</v>
      </c>
      <c r="J3405" s="58">
        <v>79172465</v>
      </c>
      <c r="K3405" s="1" t="s">
        <v>106</v>
      </c>
      <c r="L3405" s="1" t="s">
        <v>120</v>
      </c>
      <c r="M3405" s="1" t="s">
        <v>125</v>
      </c>
      <c r="N3405" s="1">
        <v>1</v>
      </c>
      <c r="O3405" s="58"/>
      <c r="P3405" s="58">
        <v>1419644.2</v>
      </c>
      <c r="Q3405" t="s">
        <v>113</v>
      </c>
      <c r="R3405" s="1" t="s">
        <v>48</v>
      </c>
    </row>
    <row r="3406" spans="3:18" x14ac:dyDescent="0.35">
      <c r="C3406" t="s">
        <v>51</v>
      </c>
      <c r="D3406" t="s">
        <v>24</v>
      </c>
      <c r="E3406" t="s">
        <v>45</v>
      </c>
      <c r="F3406" t="s">
        <v>46</v>
      </c>
      <c r="G3406" s="58">
        <v>21055</v>
      </c>
      <c r="H3406" s="1" t="s">
        <v>48</v>
      </c>
      <c r="I3406" s="1" t="s">
        <v>108</v>
      </c>
      <c r="J3406" s="58">
        <v>821145</v>
      </c>
      <c r="K3406" s="1" t="s">
        <v>106</v>
      </c>
      <c r="L3406" s="1" t="s">
        <v>114</v>
      </c>
      <c r="M3406" s="1" t="s">
        <v>121</v>
      </c>
      <c r="N3406" s="1">
        <v>1</v>
      </c>
      <c r="O3406" s="58"/>
      <c r="P3406" s="58">
        <v>4842.6499999999996</v>
      </c>
      <c r="Q3406" t="s">
        <v>107</v>
      </c>
      <c r="R3406" s="1" t="s">
        <v>158</v>
      </c>
    </row>
    <row r="3407" spans="3:18" x14ac:dyDescent="0.35">
      <c r="C3407" t="s">
        <v>51</v>
      </c>
      <c r="D3407" t="s">
        <v>23</v>
      </c>
      <c r="E3407" t="s">
        <v>49</v>
      </c>
      <c r="F3407" t="s">
        <v>46</v>
      </c>
      <c r="G3407" s="58">
        <v>241880</v>
      </c>
      <c r="H3407" s="1" t="s">
        <v>48</v>
      </c>
      <c r="I3407" s="1" t="s">
        <v>108</v>
      </c>
      <c r="J3407" s="58">
        <v>8223920</v>
      </c>
      <c r="K3407" s="1" t="s">
        <v>106</v>
      </c>
      <c r="L3407" s="1" t="s">
        <v>124</v>
      </c>
      <c r="M3407" s="1" t="s">
        <v>126</v>
      </c>
      <c r="N3407" s="1">
        <v>1</v>
      </c>
      <c r="O3407" s="58"/>
      <c r="P3407" s="58">
        <v>128196.4</v>
      </c>
      <c r="Q3407" t="s">
        <v>113</v>
      </c>
      <c r="R3407" s="1" t="s">
        <v>48</v>
      </c>
    </row>
    <row r="3408" spans="3:18" x14ac:dyDescent="0.35">
      <c r="C3408" t="s">
        <v>53</v>
      </c>
      <c r="D3408" t="s">
        <v>21</v>
      </c>
      <c r="E3408" t="s">
        <v>49</v>
      </c>
      <c r="F3408" t="s">
        <v>46</v>
      </c>
      <c r="G3408" s="58">
        <v>2108792</v>
      </c>
      <c r="H3408" s="1" t="s">
        <v>47</v>
      </c>
      <c r="I3408" s="1" t="s">
        <v>105</v>
      </c>
      <c r="J3408" s="58">
        <v>6326376</v>
      </c>
      <c r="K3408" s="1" t="s">
        <v>112</v>
      </c>
      <c r="N3408" s="1">
        <v>1</v>
      </c>
      <c r="O3408" s="58"/>
      <c r="P3408" s="58">
        <v>1349626.8799999999</v>
      </c>
      <c r="Q3408" t="s">
        <v>118</v>
      </c>
      <c r="R3408" s="1" t="s">
        <v>158</v>
      </c>
    </row>
    <row r="3409" spans="3:18" x14ac:dyDescent="0.35">
      <c r="C3409" t="s">
        <v>51</v>
      </c>
      <c r="D3409" t="s">
        <v>22</v>
      </c>
      <c r="E3409" t="s">
        <v>49</v>
      </c>
      <c r="F3409" t="s">
        <v>46</v>
      </c>
      <c r="G3409" s="58">
        <v>60379</v>
      </c>
      <c r="H3409" s="1" t="s">
        <v>47</v>
      </c>
      <c r="I3409" s="1" t="s">
        <v>111</v>
      </c>
      <c r="J3409" s="58">
        <v>1147201</v>
      </c>
      <c r="K3409" s="1" t="s">
        <v>106</v>
      </c>
      <c r="L3409" s="1" t="s">
        <v>124</v>
      </c>
      <c r="N3409" s="1">
        <v>1</v>
      </c>
      <c r="O3409" s="58"/>
      <c r="P3409" s="58">
        <v>50114.57</v>
      </c>
      <c r="Q3409" t="s">
        <v>127</v>
      </c>
      <c r="R3409" s="1" t="s">
        <v>158</v>
      </c>
    </row>
    <row r="3410" spans="3:18" x14ac:dyDescent="0.35">
      <c r="C3410" t="s">
        <v>51</v>
      </c>
      <c r="D3410" t="s">
        <v>19</v>
      </c>
      <c r="E3410" t="s">
        <v>49</v>
      </c>
      <c r="F3410" t="s">
        <v>46</v>
      </c>
      <c r="G3410" s="58">
        <v>894309</v>
      </c>
      <c r="H3410" s="1" t="s">
        <v>47</v>
      </c>
      <c r="I3410" s="1" t="s">
        <v>111</v>
      </c>
      <c r="J3410" s="58">
        <v>16097562</v>
      </c>
      <c r="K3410" s="1" t="s">
        <v>112</v>
      </c>
      <c r="N3410" s="1">
        <v>1</v>
      </c>
      <c r="O3410" s="58"/>
      <c r="P3410" s="58">
        <v>447154.5</v>
      </c>
      <c r="Q3410" t="s">
        <v>113</v>
      </c>
      <c r="R3410" s="1" t="s">
        <v>158</v>
      </c>
    </row>
    <row r="3411" spans="3:18" x14ac:dyDescent="0.35">
      <c r="C3411" t="s">
        <v>51</v>
      </c>
      <c r="D3411" t="s">
        <v>92</v>
      </c>
      <c r="E3411" t="s">
        <v>49</v>
      </c>
      <c r="F3411" t="s">
        <v>46</v>
      </c>
      <c r="G3411" s="58">
        <v>45106735</v>
      </c>
      <c r="H3411" s="1" t="s">
        <v>48</v>
      </c>
      <c r="I3411" s="1" t="s">
        <v>111</v>
      </c>
      <c r="J3411" s="58">
        <v>676601025</v>
      </c>
      <c r="K3411" s="1" t="s">
        <v>106</v>
      </c>
      <c r="L3411" s="1" t="s">
        <v>124</v>
      </c>
      <c r="M3411" s="1" t="s">
        <v>123</v>
      </c>
      <c r="N3411" s="1">
        <v>1</v>
      </c>
      <c r="O3411" s="58"/>
      <c r="P3411" s="58">
        <v>11727751.1</v>
      </c>
      <c r="Q3411" t="s">
        <v>107</v>
      </c>
      <c r="R3411" s="1" t="s">
        <v>158</v>
      </c>
    </row>
    <row r="3412" spans="3:18" x14ac:dyDescent="0.35">
      <c r="C3412" t="s">
        <v>51</v>
      </c>
      <c r="D3412" t="s">
        <v>23</v>
      </c>
      <c r="E3412" t="s">
        <v>45</v>
      </c>
      <c r="F3412" t="s">
        <v>46</v>
      </c>
      <c r="G3412" s="58">
        <v>34273237</v>
      </c>
      <c r="H3412" s="1" t="s">
        <v>47</v>
      </c>
      <c r="I3412" s="1" t="s">
        <v>108</v>
      </c>
      <c r="J3412" s="58">
        <v>1028197110</v>
      </c>
      <c r="K3412" s="1" t="s">
        <v>106</v>
      </c>
      <c r="L3412" s="1" t="s">
        <v>120</v>
      </c>
      <c r="N3412" s="1">
        <v>1</v>
      </c>
      <c r="O3412" s="58"/>
      <c r="P3412" s="58">
        <v>29132251.449999999</v>
      </c>
      <c r="Q3412" t="s">
        <v>127</v>
      </c>
      <c r="R3412" s="1" t="s">
        <v>158</v>
      </c>
    </row>
    <row r="3413" spans="3:18" x14ac:dyDescent="0.35">
      <c r="C3413" t="s">
        <v>51</v>
      </c>
      <c r="D3413" t="s">
        <v>24</v>
      </c>
      <c r="E3413" t="s">
        <v>55</v>
      </c>
      <c r="F3413" t="s">
        <v>46</v>
      </c>
      <c r="G3413" s="58">
        <v>985353</v>
      </c>
      <c r="H3413" s="1" t="s">
        <v>48</v>
      </c>
      <c r="I3413" s="1" t="s">
        <v>108</v>
      </c>
      <c r="J3413" s="58">
        <v>32516649</v>
      </c>
      <c r="K3413" s="1" t="s">
        <v>106</v>
      </c>
      <c r="L3413" s="1" t="s">
        <v>120</v>
      </c>
      <c r="M3413" s="1" t="s">
        <v>121</v>
      </c>
      <c r="N3413" s="1">
        <v>1</v>
      </c>
      <c r="O3413" s="58"/>
      <c r="P3413" s="58">
        <v>739014.75</v>
      </c>
      <c r="Q3413" t="s">
        <v>118</v>
      </c>
      <c r="R3413" s="1" t="s">
        <v>48</v>
      </c>
    </row>
    <row r="3414" spans="3:18" x14ac:dyDescent="0.35">
      <c r="C3414" t="s">
        <v>53</v>
      </c>
      <c r="D3414" t="s">
        <v>23</v>
      </c>
      <c r="E3414" t="s">
        <v>50</v>
      </c>
      <c r="F3414" t="s">
        <v>46</v>
      </c>
      <c r="G3414" s="58">
        <v>860218</v>
      </c>
      <c r="H3414" s="1" t="s">
        <v>48</v>
      </c>
      <c r="I3414" s="1" t="s">
        <v>119</v>
      </c>
      <c r="J3414" s="58">
        <v>7741962</v>
      </c>
      <c r="K3414" s="1" t="s">
        <v>106</v>
      </c>
      <c r="L3414" s="1" t="s">
        <v>114</v>
      </c>
      <c r="M3414" s="1" t="s">
        <v>125</v>
      </c>
      <c r="N3414" s="1">
        <v>1</v>
      </c>
      <c r="O3414" s="58"/>
      <c r="P3414" s="58">
        <v>395700.28</v>
      </c>
      <c r="Q3414" t="s">
        <v>113</v>
      </c>
      <c r="R3414" s="1" t="s">
        <v>158</v>
      </c>
    </row>
    <row r="3415" spans="3:18" x14ac:dyDescent="0.35">
      <c r="C3415" t="s">
        <v>51</v>
      </c>
      <c r="D3415" t="s">
        <v>21</v>
      </c>
      <c r="E3415" t="s">
        <v>49</v>
      </c>
      <c r="F3415" t="s">
        <v>46</v>
      </c>
      <c r="G3415" s="58">
        <v>118312</v>
      </c>
      <c r="H3415" s="1" t="s">
        <v>54</v>
      </c>
      <c r="I3415" s="1" t="s">
        <v>111</v>
      </c>
      <c r="J3415" s="58">
        <v>2129616</v>
      </c>
      <c r="K3415" s="1" t="s">
        <v>106</v>
      </c>
      <c r="L3415" s="1" t="s">
        <v>116</v>
      </c>
      <c r="N3415" s="1">
        <v>1</v>
      </c>
      <c r="O3415" s="58"/>
      <c r="P3415" s="58">
        <v>81635.28</v>
      </c>
      <c r="Q3415" t="s">
        <v>118</v>
      </c>
      <c r="R3415" s="1" t="s">
        <v>158</v>
      </c>
    </row>
    <row r="3416" spans="3:18" x14ac:dyDescent="0.35">
      <c r="C3416" t="s">
        <v>51</v>
      </c>
      <c r="D3416" t="s">
        <v>92</v>
      </c>
      <c r="E3416" t="s">
        <v>55</v>
      </c>
      <c r="F3416" t="s">
        <v>46</v>
      </c>
      <c r="G3416" s="58">
        <v>134439</v>
      </c>
      <c r="H3416" s="1" t="s">
        <v>48</v>
      </c>
      <c r="I3416" s="1" t="s">
        <v>111</v>
      </c>
      <c r="J3416" s="58">
        <v>2554341</v>
      </c>
      <c r="K3416" s="1" t="s">
        <v>106</v>
      </c>
      <c r="L3416" s="1" t="s">
        <v>114</v>
      </c>
      <c r="M3416" s="1" t="s">
        <v>123</v>
      </c>
      <c r="N3416" s="1">
        <v>1</v>
      </c>
      <c r="O3416" s="58"/>
      <c r="P3416" s="58">
        <v>92762.91</v>
      </c>
      <c r="Q3416" t="s">
        <v>118</v>
      </c>
      <c r="R3416" s="1" t="s">
        <v>48</v>
      </c>
    </row>
    <row r="3417" spans="3:18" x14ac:dyDescent="0.35">
      <c r="C3417" t="s">
        <v>51</v>
      </c>
      <c r="D3417" t="s">
        <v>21</v>
      </c>
      <c r="E3417" t="s">
        <v>49</v>
      </c>
      <c r="F3417" t="s">
        <v>46</v>
      </c>
      <c r="G3417" s="58">
        <v>1002271</v>
      </c>
      <c r="H3417" s="1" t="s">
        <v>56</v>
      </c>
      <c r="I3417" s="1" t="s">
        <v>119</v>
      </c>
      <c r="J3417" s="58">
        <v>8018168</v>
      </c>
      <c r="K3417" s="1" t="s">
        <v>112</v>
      </c>
      <c r="N3417" s="1">
        <v>1</v>
      </c>
      <c r="O3417" s="58"/>
      <c r="P3417" s="58">
        <v>210476.91</v>
      </c>
      <c r="Q3417" t="s">
        <v>107</v>
      </c>
      <c r="R3417" s="1" t="s">
        <v>158</v>
      </c>
    </row>
    <row r="3418" spans="3:18" x14ac:dyDescent="0.35">
      <c r="C3418" t="s">
        <v>51</v>
      </c>
      <c r="D3418" t="s">
        <v>22</v>
      </c>
      <c r="E3418" t="s">
        <v>45</v>
      </c>
      <c r="F3418" t="s">
        <v>46</v>
      </c>
      <c r="G3418" s="58">
        <v>27707</v>
      </c>
      <c r="H3418" s="1" t="s">
        <v>59</v>
      </c>
      <c r="I3418" s="1" t="s">
        <v>105</v>
      </c>
      <c r="J3418" s="58">
        <v>138535</v>
      </c>
      <c r="K3418" s="1" t="s">
        <v>106</v>
      </c>
      <c r="L3418" s="1" t="s">
        <v>124</v>
      </c>
      <c r="N3418" s="1">
        <v>1</v>
      </c>
      <c r="O3418" s="58"/>
      <c r="P3418" s="58">
        <v>12745.22</v>
      </c>
      <c r="Q3418" t="s">
        <v>113</v>
      </c>
      <c r="R3418" s="1" t="s">
        <v>158</v>
      </c>
    </row>
    <row r="3419" spans="3:18" x14ac:dyDescent="0.35">
      <c r="C3419" t="s">
        <v>51</v>
      </c>
      <c r="D3419" t="s">
        <v>24</v>
      </c>
      <c r="E3419" t="s">
        <v>45</v>
      </c>
      <c r="F3419" t="s">
        <v>46</v>
      </c>
      <c r="G3419" s="58">
        <v>1174027</v>
      </c>
      <c r="H3419" s="1" t="s">
        <v>47</v>
      </c>
      <c r="I3419" s="1" t="s">
        <v>105</v>
      </c>
      <c r="J3419" s="58">
        <v>2348054</v>
      </c>
      <c r="K3419" s="1" t="s">
        <v>106</v>
      </c>
      <c r="L3419" s="1" t="s">
        <v>120</v>
      </c>
      <c r="N3419" s="1">
        <v>1</v>
      </c>
      <c r="O3419" s="58"/>
      <c r="P3419" s="58">
        <v>105662.43</v>
      </c>
      <c r="Q3419" t="s">
        <v>107</v>
      </c>
      <c r="R3419" s="1" t="s">
        <v>158</v>
      </c>
    </row>
    <row r="3420" spans="3:18" x14ac:dyDescent="0.35">
      <c r="C3420" t="s">
        <v>51</v>
      </c>
      <c r="D3420" t="s">
        <v>21</v>
      </c>
      <c r="E3420" t="s">
        <v>49</v>
      </c>
      <c r="F3420" t="s">
        <v>46</v>
      </c>
      <c r="G3420" s="58">
        <v>326805</v>
      </c>
      <c r="H3420" s="1" t="s">
        <v>59</v>
      </c>
      <c r="I3420" s="1" t="s">
        <v>119</v>
      </c>
      <c r="J3420" s="58">
        <v>2614440</v>
      </c>
      <c r="K3420" s="1" t="s">
        <v>112</v>
      </c>
      <c r="N3420" s="1">
        <v>1</v>
      </c>
      <c r="O3420" s="58"/>
      <c r="P3420" s="58">
        <v>78433.2</v>
      </c>
      <c r="Q3420" t="s">
        <v>107</v>
      </c>
      <c r="R3420" s="1" t="s">
        <v>158</v>
      </c>
    </row>
    <row r="3421" spans="3:18" x14ac:dyDescent="0.35">
      <c r="C3421" t="s">
        <v>51</v>
      </c>
      <c r="D3421" t="s">
        <v>21</v>
      </c>
      <c r="E3421" t="s">
        <v>55</v>
      </c>
      <c r="F3421" t="s">
        <v>46</v>
      </c>
      <c r="G3421" s="58">
        <v>160446</v>
      </c>
      <c r="H3421" s="1" t="s">
        <v>48</v>
      </c>
      <c r="I3421" s="1" t="s">
        <v>119</v>
      </c>
      <c r="J3421" s="58">
        <v>1123122</v>
      </c>
      <c r="K3421" s="1" t="s">
        <v>106</v>
      </c>
      <c r="L3421" s="1" t="s">
        <v>114</v>
      </c>
      <c r="M3421" s="1" t="s">
        <v>126</v>
      </c>
      <c r="N3421" s="1">
        <v>1</v>
      </c>
      <c r="O3421" s="58"/>
      <c r="P3421" s="58">
        <v>33693.660000000003</v>
      </c>
      <c r="Q3421" t="s">
        <v>107</v>
      </c>
      <c r="R3421" s="1" t="s">
        <v>158</v>
      </c>
    </row>
    <row r="3422" spans="3:18" x14ac:dyDescent="0.35">
      <c r="C3422" t="s">
        <v>51</v>
      </c>
      <c r="D3422" t="s">
        <v>19</v>
      </c>
      <c r="E3422" t="s">
        <v>49</v>
      </c>
      <c r="F3422" t="s">
        <v>46</v>
      </c>
      <c r="G3422" s="58">
        <v>1345520</v>
      </c>
      <c r="H3422" s="1" t="s">
        <v>54</v>
      </c>
      <c r="I3422" s="1" t="s">
        <v>105</v>
      </c>
      <c r="J3422" s="58">
        <v>4036560</v>
      </c>
      <c r="K3422" s="1" t="s">
        <v>106</v>
      </c>
      <c r="L3422" s="1" t="s">
        <v>124</v>
      </c>
      <c r="N3422" s="1">
        <v>1</v>
      </c>
      <c r="O3422" s="58"/>
      <c r="P3422" s="58">
        <v>1237878.3999999999</v>
      </c>
      <c r="Q3422" t="s">
        <v>127</v>
      </c>
      <c r="R3422" s="1" t="s">
        <v>158</v>
      </c>
    </row>
    <row r="3423" spans="3:18" x14ac:dyDescent="0.35">
      <c r="C3423" t="s">
        <v>53</v>
      </c>
      <c r="D3423" t="s">
        <v>22</v>
      </c>
      <c r="E3423" t="s">
        <v>49</v>
      </c>
      <c r="F3423" t="s">
        <v>46</v>
      </c>
      <c r="G3423" s="58">
        <v>185256</v>
      </c>
      <c r="H3423" s="1" t="s">
        <v>54</v>
      </c>
      <c r="I3423" s="1" t="s">
        <v>119</v>
      </c>
      <c r="J3423" s="58">
        <v>1296792</v>
      </c>
      <c r="K3423" s="1" t="s">
        <v>106</v>
      </c>
      <c r="L3423" s="1" t="s">
        <v>124</v>
      </c>
      <c r="N3423" s="1">
        <v>1</v>
      </c>
      <c r="O3423" s="58"/>
      <c r="P3423" s="58">
        <v>114858.72</v>
      </c>
      <c r="Q3423" t="s">
        <v>118</v>
      </c>
      <c r="R3423" s="1" t="s">
        <v>158</v>
      </c>
    </row>
    <row r="3424" spans="3:18" x14ac:dyDescent="0.35">
      <c r="C3424" t="s">
        <v>51</v>
      </c>
      <c r="D3424" t="s">
        <v>21</v>
      </c>
      <c r="E3424" t="s">
        <v>45</v>
      </c>
      <c r="F3424" t="s">
        <v>46</v>
      </c>
      <c r="G3424" s="58">
        <v>364110</v>
      </c>
      <c r="H3424" s="1" t="s">
        <v>59</v>
      </c>
      <c r="I3424" s="1" t="s">
        <v>108</v>
      </c>
      <c r="J3424" s="58">
        <v>8374530</v>
      </c>
      <c r="K3424" s="1" t="s">
        <v>106</v>
      </c>
      <c r="L3424" s="1" t="s">
        <v>114</v>
      </c>
      <c r="N3424" s="1">
        <v>1</v>
      </c>
      <c r="O3424" s="58"/>
      <c r="P3424" s="58">
        <v>254877</v>
      </c>
      <c r="Q3424" t="s">
        <v>118</v>
      </c>
      <c r="R3424" s="1" t="s">
        <v>158</v>
      </c>
    </row>
    <row r="3425" spans="3:18" x14ac:dyDescent="0.35">
      <c r="C3425" t="s">
        <v>51</v>
      </c>
      <c r="D3425" t="s">
        <v>19</v>
      </c>
      <c r="E3425" t="s">
        <v>49</v>
      </c>
      <c r="F3425" t="s">
        <v>46</v>
      </c>
      <c r="G3425" s="58">
        <v>229561</v>
      </c>
      <c r="H3425" s="1" t="s">
        <v>48</v>
      </c>
      <c r="I3425" s="1" t="s">
        <v>108</v>
      </c>
      <c r="J3425" s="58">
        <v>6427708</v>
      </c>
      <c r="K3425" s="1" t="s">
        <v>106</v>
      </c>
      <c r="L3425" s="1" t="s">
        <v>114</v>
      </c>
      <c r="M3425" s="1" t="s">
        <v>125</v>
      </c>
      <c r="N3425" s="1">
        <v>1</v>
      </c>
      <c r="O3425" s="58"/>
      <c r="P3425" s="58">
        <v>192831.24</v>
      </c>
      <c r="Q3425" t="s">
        <v>127</v>
      </c>
      <c r="R3425" s="1" t="s">
        <v>158</v>
      </c>
    </row>
    <row r="3426" spans="3:18" x14ac:dyDescent="0.35">
      <c r="C3426" t="s">
        <v>51</v>
      </c>
      <c r="D3426" t="s">
        <v>20</v>
      </c>
      <c r="E3426" t="s">
        <v>49</v>
      </c>
      <c r="F3426" t="s">
        <v>46</v>
      </c>
      <c r="G3426" s="58">
        <v>101060</v>
      </c>
      <c r="H3426" s="1" t="s">
        <v>48</v>
      </c>
      <c r="I3426" s="1" t="s">
        <v>108</v>
      </c>
      <c r="J3426" s="58">
        <v>2728620</v>
      </c>
      <c r="K3426" s="1" t="s">
        <v>106</v>
      </c>
      <c r="L3426" s="1" t="s">
        <v>120</v>
      </c>
      <c r="M3426" s="1" t="s">
        <v>123</v>
      </c>
      <c r="N3426" s="1">
        <v>1</v>
      </c>
      <c r="O3426" s="58"/>
      <c r="P3426" s="58">
        <v>22233.200000000001</v>
      </c>
      <c r="Q3426" t="s">
        <v>107</v>
      </c>
      <c r="R3426" s="1" t="s">
        <v>158</v>
      </c>
    </row>
    <row r="3427" spans="3:18" x14ac:dyDescent="0.35">
      <c r="C3427" t="s">
        <v>51</v>
      </c>
      <c r="D3427" t="s">
        <v>91</v>
      </c>
      <c r="E3427" t="s">
        <v>49</v>
      </c>
      <c r="F3427" t="s">
        <v>46</v>
      </c>
      <c r="G3427" s="58">
        <v>1600585</v>
      </c>
      <c r="H3427" s="1" t="s">
        <v>48</v>
      </c>
      <c r="I3427" s="1" t="s">
        <v>108</v>
      </c>
      <c r="J3427" s="58">
        <v>49618135</v>
      </c>
      <c r="K3427" s="1" t="s">
        <v>106</v>
      </c>
      <c r="L3427" s="1" t="s">
        <v>120</v>
      </c>
      <c r="M3427" s="1" t="s">
        <v>115</v>
      </c>
      <c r="N3427" s="1">
        <v>1</v>
      </c>
      <c r="O3427" s="58"/>
      <c r="P3427" s="58">
        <v>560204.75</v>
      </c>
      <c r="Q3427" t="s">
        <v>107</v>
      </c>
      <c r="R3427" s="1" t="s">
        <v>158</v>
      </c>
    </row>
    <row r="3428" spans="3:18" x14ac:dyDescent="0.35">
      <c r="C3428" t="s">
        <v>53</v>
      </c>
      <c r="D3428" t="s">
        <v>22</v>
      </c>
      <c r="E3428" t="s">
        <v>55</v>
      </c>
      <c r="F3428" t="s">
        <v>46</v>
      </c>
      <c r="G3428" s="58">
        <v>49775</v>
      </c>
      <c r="H3428" s="1" t="s">
        <v>47</v>
      </c>
      <c r="I3428" s="1" t="s">
        <v>105</v>
      </c>
      <c r="J3428" s="58">
        <v>149325</v>
      </c>
      <c r="K3428" s="1" t="s">
        <v>106</v>
      </c>
      <c r="L3428" s="1" t="s">
        <v>124</v>
      </c>
      <c r="N3428" s="1">
        <v>1</v>
      </c>
      <c r="O3428" s="58"/>
      <c r="P3428" s="58">
        <v>9457.25</v>
      </c>
      <c r="Q3428" t="s">
        <v>107</v>
      </c>
      <c r="R3428" s="1" t="s">
        <v>158</v>
      </c>
    </row>
    <row r="3429" spans="3:18" x14ac:dyDescent="0.35">
      <c r="C3429" t="s">
        <v>51</v>
      </c>
      <c r="D3429" t="s">
        <v>19</v>
      </c>
      <c r="E3429" t="s">
        <v>49</v>
      </c>
      <c r="F3429" t="s">
        <v>46</v>
      </c>
      <c r="G3429" s="58">
        <v>111632872</v>
      </c>
      <c r="H3429" s="1" t="s">
        <v>48</v>
      </c>
      <c r="I3429" s="1" t="s">
        <v>108</v>
      </c>
      <c r="J3429" s="58">
        <v>3907150520</v>
      </c>
      <c r="K3429" s="1" t="s">
        <v>112</v>
      </c>
      <c r="N3429" s="1">
        <v>1</v>
      </c>
      <c r="O3429" s="58"/>
      <c r="P3429" s="58">
        <v>78143010.400000006</v>
      </c>
      <c r="Q3429" t="s">
        <v>118</v>
      </c>
      <c r="R3429" s="1" t="s">
        <v>48</v>
      </c>
    </row>
    <row r="3430" spans="3:18" x14ac:dyDescent="0.35">
      <c r="C3430" t="s">
        <v>51</v>
      </c>
      <c r="D3430" t="s">
        <v>23</v>
      </c>
      <c r="E3430" t="s">
        <v>49</v>
      </c>
      <c r="F3430" t="s">
        <v>46</v>
      </c>
      <c r="G3430" s="58">
        <v>1313522</v>
      </c>
      <c r="H3430" s="1" t="s">
        <v>48</v>
      </c>
      <c r="I3430" s="1" t="s">
        <v>108</v>
      </c>
      <c r="J3430" s="58">
        <v>38092138</v>
      </c>
      <c r="K3430" s="1" t="s">
        <v>112</v>
      </c>
      <c r="N3430" s="1">
        <v>1</v>
      </c>
      <c r="O3430" s="58"/>
      <c r="P3430" s="58">
        <v>696166.66</v>
      </c>
      <c r="Q3430" t="s">
        <v>113</v>
      </c>
      <c r="R3430" s="1" t="s">
        <v>158</v>
      </c>
    </row>
    <row r="3431" spans="3:18" x14ac:dyDescent="0.35">
      <c r="C3431" t="s">
        <v>53</v>
      </c>
      <c r="D3431" t="s">
        <v>21</v>
      </c>
      <c r="E3431" t="s">
        <v>55</v>
      </c>
      <c r="F3431" t="s">
        <v>46</v>
      </c>
      <c r="G3431" s="58">
        <v>354842</v>
      </c>
      <c r="H3431" s="1" t="s">
        <v>47</v>
      </c>
      <c r="I3431" s="1" t="s">
        <v>111</v>
      </c>
      <c r="J3431" s="58">
        <v>5322630</v>
      </c>
      <c r="K3431" s="1" t="s">
        <v>112</v>
      </c>
      <c r="N3431" s="1">
        <v>1</v>
      </c>
      <c r="O3431" s="58"/>
      <c r="P3431" s="58">
        <v>255486.24</v>
      </c>
      <c r="Q3431" t="s">
        <v>118</v>
      </c>
      <c r="R3431" s="1" t="s">
        <v>158</v>
      </c>
    </row>
    <row r="3432" spans="3:18" x14ac:dyDescent="0.35">
      <c r="C3432" t="s">
        <v>51</v>
      </c>
      <c r="D3432" t="s">
        <v>22</v>
      </c>
      <c r="E3432" t="s">
        <v>45</v>
      </c>
      <c r="F3432" t="s">
        <v>46</v>
      </c>
      <c r="G3432" s="58">
        <v>485335</v>
      </c>
      <c r="H3432" s="1" t="s">
        <v>59</v>
      </c>
      <c r="I3432" s="1" t="s">
        <v>108</v>
      </c>
      <c r="J3432" s="58">
        <v>11648040</v>
      </c>
      <c r="K3432" s="1" t="s">
        <v>106</v>
      </c>
      <c r="L3432" s="1" t="s">
        <v>124</v>
      </c>
      <c r="N3432" s="1">
        <v>1</v>
      </c>
      <c r="O3432" s="58"/>
      <c r="P3432" s="58">
        <v>247520.85</v>
      </c>
      <c r="Q3432" t="s">
        <v>113</v>
      </c>
      <c r="R3432" s="1" t="s">
        <v>158</v>
      </c>
    </row>
    <row r="3433" spans="3:18" x14ac:dyDescent="0.35">
      <c r="C3433" t="s">
        <v>53</v>
      </c>
      <c r="D3433" t="s">
        <v>21</v>
      </c>
      <c r="E3433" t="s">
        <v>49</v>
      </c>
      <c r="F3433" t="s">
        <v>46</v>
      </c>
      <c r="G3433" s="58">
        <v>15000</v>
      </c>
      <c r="H3433" s="1" t="s">
        <v>47</v>
      </c>
      <c r="I3433" s="1" t="s">
        <v>111</v>
      </c>
      <c r="J3433" s="58">
        <v>180000</v>
      </c>
      <c r="K3433" s="1" t="s">
        <v>106</v>
      </c>
      <c r="L3433" s="1" t="s">
        <v>120</v>
      </c>
      <c r="N3433" s="1">
        <v>1</v>
      </c>
      <c r="O3433" s="58"/>
      <c r="P3433" s="58">
        <v>14550</v>
      </c>
      <c r="Q3433" t="s">
        <v>127</v>
      </c>
      <c r="R3433" s="1" t="s">
        <v>158</v>
      </c>
    </row>
    <row r="3434" spans="3:18" x14ac:dyDescent="0.35">
      <c r="C3434" t="s">
        <v>51</v>
      </c>
      <c r="D3434" t="s">
        <v>21</v>
      </c>
      <c r="E3434" t="s">
        <v>45</v>
      </c>
      <c r="F3434" t="s">
        <v>46</v>
      </c>
      <c r="G3434" s="58">
        <v>2278183</v>
      </c>
      <c r="H3434" s="1" t="s">
        <v>59</v>
      </c>
      <c r="I3434" s="1" t="s">
        <v>119</v>
      </c>
      <c r="J3434" s="58">
        <v>15947281</v>
      </c>
      <c r="K3434" s="1" t="s">
        <v>106</v>
      </c>
      <c r="L3434" s="1" t="s">
        <v>120</v>
      </c>
      <c r="N3434" s="1">
        <v>1</v>
      </c>
      <c r="O3434" s="58"/>
      <c r="P3434" s="58">
        <v>592327.57999999996</v>
      </c>
      <c r="Q3434" t="s">
        <v>107</v>
      </c>
      <c r="R3434" s="1" t="s">
        <v>158</v>
      </c>
    </row>
    <row r="3435" spans="3:18" x14ac:dyDescent="0.35">
      <c r="C3435" t="s">
        <v>51</v>
      </c>
      <c r="D3435" t="s">
        <v>23</v>
      </c>
      <c r="E3435" t="s">
        <v>45</v>
      </c>
      <c r="F3435" t="s">
        <v>46</v>
      </c>
      <c r="G3435" s="58">
        <v>266267</v>
      </c>
      <c r="H3435" s="1" t="s">
        <v>48</v>
      </c>
      <c r="I3435" s="1" t="s">
        <v>108</v>
      </c>
      <c r="J3435" s="58">
        <v>7988010</v>
      </c>
      <c r="K3435" s="1" t="s">
        <v>106</v>
      </c>
      <c r="L3435" s="1" t="s">
        <v>124</v>
      </c>
      <c r="M3435" s="1" t="s">
        <v>122</v>
      </c>
      <c r="N3435" s="1">
        <v>1</v>
      </c>
      <c r="O3435" s="58"/>
      <c r="P3435" s="58">
        <v>101181.46</v>
      </c>
      <c r="Q3435" t="s">
        <v>107</v>
      </c>
      <c r="R3435" s="1" t="s">
        <v>158</v>
      </c>
    </row>
    <row r="3436" spans="3:18" x14ac:dyDescent="0.35">
      <c r="C3436" t="s">
        <v>51</v>
      </c>
      <c r="D3436" t="s">
        <v>19</v>
      </c>
      <c r="E3436" t="s">
        <v>49</v>
      </c>
      <c r="F3436" t="s">
        <v>46</v>
      </c>
      <c r="G3436" s="58">
        <v>9296706</v>
      </c>
      <c r="H3436" s="1" t="s">
        <v>48</v>
      </c>
      <c r="I3436" s="1" t="s">
        <v>105</v>
      </c>
      <c r="J3436" s="58">
        <v>18593412</v>
      </c>
      <c r="K3436" s="1" t="s">
        <v>106</v>
      </c>
      <c r="L3436" s="1" t="s">
        <v>124</v>
      </c>
      <c r="M3436" s="1" t="s">
        <v>122</v>
      </c>
      <c r="N3436" s="1">
        <v>1</v>
      </c>
      <c r="O3436" s="58"/>
      <c r="P3436" s="58">
        <v>4183517.7</v>
      </c>
      <c r="Q3436" t="s">
        <v>113</v>
      </c>
      <c r="R3436" s="1" t="s">
        <v>158</v>
      </c>
    </row>
    <row r="3437" spans="3:18" x14ac:dyDescent="0.35">
      <c r="C3437" t="s">
        <v>51</v>
      </c>
      <c r="D3437" t="s">
        <v>60</v>
      </c>
      <c r="E3437" t="s">
        <v>60</v>
      </c>
      <c r="F3437" t="s">
        <v>46</v>
      </c>
      <c r="G3437" s="58">
        <v>0</v>
      </c>
      <c r="H3437" s="1" t="s">
        <v>61</v>
      </c>
      <c r="I3437" s="1" t="s">
        <v>111</v>
      </c>
      <c r="J3437" s="58">
        <v>0</v>
      </c>
      <c r="K3437" s="1" t="s">
        <v>106</v>
      </c>
      <c r="N3437" s="1">
        <v>1</v>
      </c>
      <c r="O3437" s="58"/>
      <c r="P3437" s="58">
        <v>0</v>
      </c>
      <c r="Q3437" t="s">
        <v>110</v>
      </c>
    </row>
    <row r="3438" spans="3:18" x14ac:dyDescent="0.35">
      <c r="C3438" t="s">
        <v>51</v>
      </c>
      <c r="D3438" t="s">
        <v>21</v>
      </c>
      <c r="E3438" t="s">
        <v>49</v>
      </c>
      <c r="F3438" t="s">
        <v>46</v>
      </c>
      <c r="G3438" s="58">
        <v>91525</v>
      </c>
      <c r="H3438" s="1" t="s">
        <v>54</v>
      </c>
      <c r="I3438" s="1" t="s">
        <v>119</v>
      </c>
      <c r="J3438" s="58">
        <v>915250</v>
      </c>
      <c r="K3438" s="1" t="s">
        <v>112</v>
      </c>
      <c r="N3438" s="1">
        <v>1</v>
      </c>
      <c r="O3438" s="58"/>
      <c r="P3438" s="58">
        <v>60406.5</v>
      </c>
      <c r="Q3438" t="s">
        <v>118</v>
      </c>
      <c r="R3438" s="1" t="s">
        <v>158</v>
      </c>
    </row>
    <row r="3439" spans="3:18" x14ac:dyDescent="0.35">
      <c r="C3439" t="s">
        <v>51</v>
      </c>
      <c r="D3439" t="s">
        <v>22</v>
      </c>
      <c r="E3439" t="s">
        <v>45</v>
      </c>
      <c r="F3439" t="s">
        <v>46</v>
      </c>
      <c r="G3439" s="58">
        <v>8416234</v>
      </c>
      <c r="H3439" s="1" t="s">
        <v>59</v>
      </c>
      <c r="I3439" s="1" t="s">
        <v>108</v>
      </c>
      <c r="J3439" s="58">
        <v>244070786</v>
      </c>
      <c r="K3439" s="1" t="s">
        <v>112</v>
      </c>
      <c r="N3439" s="1">
        <v>1</v>
      </c>
      <c r="O3439" s="58"/>
      <c r="P3439" s="58">
        <v>4039792.32</v>
      </c>
      <c r="Q3439" t="s">
        <v>113</v>
      </c>
      <c r="R3439" s="1" t="s">
        <v>158</v>
      </c>
    </row>
    <row r="3440" spans="3:18" x14ac:dyDescent="0.35">
      <c r="C3440" t="s">
        <v>44</v>
      </c>
      <c r="D3440" t="s">
        <v>60</v>
      </c>
      <c r="E3440" t="s">
        <v>60</v>
      </c>
      <c r="F3440" t="s">
        <v>46</v>
      </c>
      <c r="G3440" s="58">
        <v>5605779</v>
      </c>
      <c r="H3440" s="1" t="s">
        <v>61</v>
      </c>
      <c r="I3440" s="1" t="s">
        <v>108</v>
      </c>
      <c r="J3440" s="58"/>
      <c r="N3440" s="1">
        <v>0</v>
      </c>
      <c r="O3440" s="58"/>
      <c r="P3440" s="58"/>
    </row>
    <row r="3441" spans="3:18" x14ac:dyDescent="0.35">
      <c r="C3441" t="s">
        <v>51</v>
      </c>
      <c r="D3441" t="s">
        <v>21</v>
      </c>
      <c r="E3441" t="s">
        <v>49</v>
      </c>
      <c r="F3441" t="s">
        <v>46</v>
      </c>
      <c r="G3441" s="58">
        <v>338706</v>
      </c>
      <c r="H3441" s="1" t="s">
        <v>48</v>
      </c>
      <c r="I3441" s="1" t="s">
        <v>111</v>
      </c>
      <c r="J3441" s="58">
        <v>3387060</v>
      </c>
      <c r="K3441" s="1" t="s">
        <v>106</v>
      </c>
      <c r="L3441" s="1" t="s">
        <v>124</v>
      </c>
      <c r="M3441" s="1" t="s">
        <v>123</v>
      </c>
      <c r="N3441" s="1">
        <v>1</v>
      </c>
      <c r="O3441" s="58"/>
      <c r="P3441" s="58">
        <v>111772.98</v>
      </c>
      <c r="Q3441" t="s">
        <v>107</v>
      </c>
      <c r="R3441" s="1" t="s">
        <v>48</v>
      </c>
    </row>
    <row r="3442" spans="3:18" x14ac:dyDescent="0.35">
      <c r="C3442" t="s">
        <v>53</v>
      </c>
      <c r="D3442" t="s">
        <v>20</v>
      </c>
      <c r="E3442" t="s">
        <v>49</v>
      </c>
      <c r="F3442" t="s">
        <v>46</v>
      </c>
      <c r="G3442" s="58">
        <v>524628</v>
      </c>
      <c r="H3442" s="1" t="s">
        <v>54</v>
      </c>
      <c r="I3442" s="1" t="s">
        <v>111</v>
      </c>
      <c r="J3442" s="58">
        <v>5770908</v>
      </c>
      <c r="K3442" s="1" t="s">
        <v>106</v>
      </c>
      <c r="L3442" s="1" t="s">
        <v>124</v>
      </c>
      <c r="N3442" s="1">
        <v>1</v>
      </c>
      <c r="O3442" s="58"/>
      <c r="P3442" s="58">
        <v>257067.72</v>
      </c>
      <c r="Q3442" t="s">
        <v>113</v>
      </c>
      <c r="R3442" s="1" t="s">
        <v>158</v>
      </c>
    </row>
    <row r="3443" spans="3:18" x14ac:dyDescent="0.35">
      <c r="C3443" t="s">
        <v>53</v>
      </c>
      <c r="D3443" t="s">
        <v>21</v>
      </c>
      <c r="E3443" t="s">
        <v>45</v>
      </c>
      <c r="F3443" t="s">
        <v>46</v>
      </c>
      <c r="G3443" s="58">
        <v>18000000</v>
      </c>
      <c r="H3443" s="1" t="s">
        <v>48</v>
      </c>
      <c r="I3443" s="1" t="s">
        <v>105</v>
      </c>
      <c r="J3443" s="58">
        <v>18000000</v>
      </c>
      <c r="K3443" s="1" t="s">
        <v>112</v>
      </c>
      <c r="N3443" s="1">
        <v>1</v>
      </c>
      <c r="O3443" s="58"/>
      <c r="P3443" s="58">
        <v>11160000</v>
      </c>
      <c r="Q3443" t="s">
        <v>118</v>
      </c>
      <c r="R3443" s="1" t="s">
        <v>158</v>
      </c>
    </row>
    <row r="3444" spans="3:18" x14ac:dyDescent="0.35">
      <c r="C3444" t="s">
        <v>51</v>
      </c>
      <c r="D3444" t="s">
        <v>20</v>
      </c>
      <c r="E3444" t="s">
        <v>49</v>
      </c>
      <c r="F3444" t="s">
        <v>46</v>
      </c>
      <c r="G3444" s="58">
        <v>374061</v>
      </c>
      <c r="I3444" s="1" t="s">
        <v>111</v>
      </c>
      <c r="J3444" s="58">
        <v>6359037</v>
      </c>
      <c r="K3444" s="1" t="s">
        <v>106</v>
      </c>
      <c r="L3444" s="1" t="s">
        <v>124</v>
      </c>
      <c r="N3444" s="1">
        <v>1</v>
      </c>
      <c r="O3444" s="58"/>
      <c r="P3444" s="58">
        <v>86034.03</v>
      </c>
      <c r="Q3444" t="s">
        <v>107</v>
      </c>
      <c r="R3444" s="1" t="s">
        <v>158</v>
      </c>
    </row>
    <row r="3445" spans="3:18" x14ac:dyDescent="0.35">
      <c r="C3445" t="s">
        <v>51</v>
      </c>
      <c r="D3445" t="s">
        <v>23</v>
      </c>
      <c r="E3445" t="s">
        <v>45</v>
      </c>
      <c r="F3445" t="s">
        <v>46</v>
      </c>
      <c r="G3445" s="58">
        <v>786261</v>
      </c>
      <c r="H3445" s="1" t="s">
        <v>47</v>
      </c>
      <c r="I3445" s="1" t="s">
        <v>111</v>
      </c>
      <c r="J3445" s="58">
        <v>12580176</v>
      </c>
      <c r="K3445" s="1" t="s">
        <v>106</v>
      </c>
      <c r="L3445" s="1" t="s">
        <v>114</v>
      </c>
      <c r="N3445" s="1">
        <v>1</v>
      </c>
      <c r="O3445" s="58"/>
      <c r="P3445" s="58">
        <v>377405.28</v>
      </c>
      <c r="Q3445" t="s">
        <v>113</v>
      </c>
      <c r="R3445" s="1" t="s">
        <v>158</v>
      </c>
    </row>
    <row r="3446" spans="3:18" x14ac:dyDescent="0.35">
      <c r="C3446" t="s">
        <v>51</v>
      </c>
      <c r="D3446" t="s">
        <v>91</v>
      </c>
      <c r="E3446" t="s">
        <v>49</v>
      </c>
      <c r="F3446" t="s">
        <v>46</v>
      </c>
      <c r="G3446" s="58">
        <v>14099493</v>
      </c>
      <c r="H3446" s="1" t="s">
        <v>48</v>
      </c>
      <c r="I3446" s="1" t="s">
        <v>108</v>
      </c>
      <c r="J3446" s="58">
        <v>422984790</v>
      </c>
      <c r="K3446" s="1" t="s">
        <v>112</v>
      </c>
      <c r="N3446" s="1">
        <v>1</v>
      </c>
      <c r="O3446" s="58"/>
      <c r="P3446" s="58">
        <v>4229847.9000000004</v>
      </c>
      <c r="Q3446" t="s">
        <v>107</v>
      </c>
      <c r="R3446" s="1" t="s">
        <v>48</v>
      </c>
    </row>
    <row r="3447" spans="3:18" x14ac:dyDescent="0.35">
      <c r="C3447" t="s">
        <v>51</v>
      </c>
      <c r="D3447" t="s">
        <v>24</v>
      </c>
      <c r="E3447" t="s">
        <v>55</v>
      </c>
      <c r="F3447" t="s">
        <v>46</v>
      </c>
      <c r="G3447" s="58">
        <v>10054676</v>
      </c>
      <c r="H3447" s="1" t="s">
        <v>59</v>
      </c>
      <c r="I3447" s="1" t="s">
        <v>119</v>
      </c>
      <c r="J3447" s="58">
        <v>70382732</v>
      </c>
      <c r="K3447" s="1" t="s">
        <v>106</v>
      </c>
      <c r="L3447" s="1" t="s">
        <v>114</v>
      </c>
      <c r="N3447" s="1">
        <v>1</v>
      </c>
      <c r="O3447" s="58"/>
      <c r="P3447" s="58">
        <v>2614215.7599999998</v>
      </c>
      <c r="Q3447" t="s">
        <v>107</v>
      </c>
      <c r="R3447" s="1" t="s">
        <v>158</v>
      </c>
    </row>
    <row r="3448" spans="3:18" x14ac:dyDescent="0.35">
      <c r="C3448" t="s">
        <v>51</v>
      </c>
      <c r="D3448" t="s">
        <v>24</v>
      </c>
      <c r="E3448" t="s">
        <v>55</v>
      </c>
      <c r="F3448" t="s">
        <v>46</v>
      </c>
      <c r="G3448" s="58">
        <v>40872448</v>
      </c>
      <c r="H3448" s="1" t="s">
        <v>59</v>
      </c>
      <c r="I3448" s="1" t="s">
        <v>108</v>
      </c>
      <c r="J3448" s="58">
        <v>1062683648</v>
      </c>
      <c r="K3448" s="1" t="s">
        <v>106</v>
      </c>
      <c r="L3448" s="1" t="s">
        <v>114</v>
      </c>
      <c r="N3448" s="1">
        <v>1</v>
      </c>
      <c r="O3448" s="58"/>
      <c r="P3448" s="58">
        <v>21253672.960000001</v>
      </c>
      <c r="Q3448" t="s">
        <v>113</v>
      </c>
      <c r="R3448" s="1" t="s">
        <v>158</v>
      </c>
    </row>
    <row r="3449" spans="3:18" x14ac:dyDescent="0.35">
      <c r="C3449" t="s">
        <v>51</v>
      </c>
      <c r="D3449" t="s">
        <v>92</v>
      </c>
      <c r="E3449" t="s">
        <v>49</v>
      </c>
      <c r="F3449" t="s">
        <v>46</v>
      </c>
      <c r="G3449" s="58">
        <v>3345192</v>
      </c>
      <c r="H3449" s="1" t="s">
        <v>47</v>
      </c>
      <c r="I3449" s="1" t="s">
        <v>108</v>
      </c>
      <c r="J3449" s="58">
        <v>113736528</v>
      </c>
      <c r="K3449" s="1" t="s">
        <v>112</v>
      </c>
      <c r="N3449" s="1">
        <v>1</v>
      </c>
      <c r="O3449" s="58"/>
      <c r="P3449" s="58">
        <v>635586.48</v>
      </c>
      <c r="Q3449" t="s">
        <v>107</v>
      </c>
      <c r="R3449" s="1" t="s">
        <v>158</v>
      </c>
    </row>
    <row r="3450" spans="3:18" x14ac:dyDescent="0.35">
      <c r="C3450" t="s">
        <v>51</v>
      </c>
      <c r="D3450" t="s">
        <v>21</v>
      </c>
      <c r="E3450" t="s">
        <v>49</v>
      </c>
      <c r="F3450" t="s">
        <v>46</v>
      </c>
      <c r="G3450" s="58">
        <v>42822</v>
      </c>
      <c r="H3450" s="1" t="s">
        <v>48</v>
      </c>
      <c r="I3450" s="1" t="s">
        <v>111</v>
      </c>
      <c r="J3450" s="58">
        <v>813618</v>
      </c>
      <c r="K3450" s="1" t="s">
        <v>106</v>
      </c>
      <c r="L3450" s="1" t="s">
        <v>124</v>
      </c>
      <c r="M3450" s="1" t="s">
        <v>123</v>
      </c>
      <c r="N3450" s="1">
        <v>1</v>
      </c>
      <c r="O3450" s="58"/>
      <c r="P3450" s="58">
        <v>21411</v>
      </c>
      <c r="Q3450" t="s">
        <v>113</v>
      </c>
      <c r="R3450" s="1" t="s">
        <v>48</v>
      </c>
    </row>
    <row r="3451" spans="3:18" x14ac:dyDescent="0.35">
      <c r="C3451" t="s">
        <v>53</v>
      </c>
      <c r="D3451" t="s">
        <v>21</v>
      </c>
      <c r="E3451" t="s">
        <v>49</v>
      </c>
      <c r="F3451" t="s">
        <v>46</v>
      </c>
      <c r="G3451" s="58">
        <v>1237</v>
      </c>
      <c r="H3451" s="1" t="s">
        <v>47</v>
      </c>
      <c r="I3451" s="1" t="s">
        <v>105</v>
      </c>
      <c r="J3451" s="58"/>
      <c r="K3451" s="1" t="s">
        <v>106</v>
      </c>
      <c r="L3451" s="1" t="s">
        <v>124</v>
      </c>
      <c r="N3451" s="1">
        <v>0</v>
      </c>
      <c r="O3451" s="58"/>
      <c r="P3451" s="58">
        <v>828.79</v>
      </c>
      <c r="Q3451" t="s">
        <v>118</v>
      </c>
      <c r="R3451" s="1" t="s">
        <v>158</v>
      </c>
    </row>
    <row r="3452" spans="3:18" x14ac:dyDescent="0.35">
      <c r="C3452" t="s">
        <v>51</v>
      </c>
      <c r="D3452" t="s">
        <v>21</v>
      </c>
      <c r="E3452" t="s">
        <v>49</v>
      </c>
      <c r="F3452" t="s">
        <v>46</v>
      </c>
      <c r="G3452" s="58">
        <v>319759</v>
      </c>
      <c r="H3452" s="1" t="s">
        <v>56</v>
      </c>
      <c r="I3452" s="1" t="s">
        <v>111</v>
      </c>
      <c r="J3452" s="58">
        <v>4796385</v>
      </c>
      <c r="K3452" s="1" t="s">
        <v>112</v>
      </c>
      <c r="N3452" s="1">
        <v>1</v>
      </c>
      <c r="O3452" s="58"/>
      <c r="P3452" s="58">
        <v>303771.05</v>
      </c>
      <c r="Q3452" t="s">
        <v>127</v>
      </c>
      <c r="R3452" s="1" t="s">
        <v>158</v>
      </c>
    </row>
    <row r="3453" spans="3:18" x14ac:dyDescent="0.35">
      <c r="C3453" t="s">
        <v>51</v>
      </c>
      <c r="D3453" t="s">
        <v>92</v>
      </c>
      <c r="E3453" t="s">
        <v>49</v>
      </c>
      <c r="F3453" t="s">
        <v>46</v>
      </c>
      <c r="G3453" s="58">
        <v>46583</v>
      </c>
      <c r="H3453" s="1" t="s">
        <v>59</v>
      </c>
      <c r="I3453" s="1" t="s">
        <v>119</v>
      </c>
      <c r="J3453" s="58">
        <v>372664</v>
      </c>
      <c r="K3453" s="1" t="s">
        <v>106</v>
      </c>
      <c r="L3453" s="1" t="s">
        <v>116</v>
      </c>
      <c r="N3453" s="1">
        <v>1</v>
      </c>
      <c r="O3453" s="58"/>
      <c r="P3453" s="58">
        <v>2794.98</v>
      </c>
      <c r="Q3453" t="s">
        <v>107</v>
      </c>
      <c r="R3453" s="1" t="s">
        <v>158</v>
      </c>
    </row>
    <row r="3454" spans="3:18" x14ac:dyDescent="0.35">
      <c r="C3454" t="s">
        <v>51</v>
      </c>
      <c r="D3454" t="s">
        <v>19</v>
      </c>
      <c r="E3454" t="s">
        <v>49</v>
      </c>
      <c r="F3454" t="s">
        <v>46</v>
      </c>
      <c r="G3454" s="58">
        <v>351300</v>
      </c>
      <c r="H3454" s="1" t="s">
        <v>54</v>
      </c>
      <c r="I3454" s="1" t="s">
        <v>119</v>
      </c>
      <c r="J3454" s="58">
        <v>2459100</v>
      </c>
      <c r="K3454" s="1" t="s">
        <v>106</v>
      </c>
      <c r="L3454" s="1" t="s">
        <v>120</v>
      </c>
      <c r="N3454" s="1">
        <v>1</v>
      </c>
      <c r="O3454" s="58"/>
      <c r="P3454" s="58">
        <v>59721</v>
      </c>
      <c r="Q3454" t="s">
        <v>107</v>
      </c>
      <c r="R3454" s="1" t="s">
        <v>158</v>
      </c>
    </row>
    <row r="3455" spans="3:18" x14ac:dyDescent="0.35">
      <c r="C3455" t="s">
        <v>51</v>
      </c>
      <c r="D3455" t="s">
        <v>23</v>
      </c>
      <c r="E3455" t="s">
        <v>45</v>
      </c>
      <c r="F3455" t="s">
        <v>64</v>
      </c>
      <c r="G3455" s="58">
        <v>979476</v>
      </c>
      <c r="H3455" s="1" t="s">
        <v>48</v>
      </c>
      <c r="I3455" s="1" t="s">
        <v>108</v>
      </c>
      <c r="J3455" s="58">
        <v>33302184</v>
      </c>
      <c r="K3455" s="1" t="s">
        <v>112</v>
      </c>
      <c r="N3455" s="1">
        <v>1</v>
      </c>
      <c r="O3455" s="58"/>
      <c r="P3455" s="58">
        <v>822759.84</v>
      </c>
      <c r="Q3455" t="s">
        <v>127</v>
      </c>
      <c r="R3455" s="1" t="s">
        <v>48</v>
      </c>
    </row>
    <row r="3456" spans="3:18" x14ac:dyDescent="0.35">
      <c r="C3456" t="s">
        <v>51</v>
      </c>
      <c r="D3456" t="s">
        <v>19</v>
      </c>
      <c r="E3456" t="s">
        <v>49</v>
      </c>
      <c r="F3456" t="s">
        <v>46</v>
      </c>
      <c r="G3456" s="58">
        <v>171867</v>
      </c>
      <c r="H3456" s="1" t="s">
        <v>47</v>
      </c>
      <c r="I3456" s="1" t="s">
        <v>111</v>
      </c>
      <c r="J3456" s="58">
        <v>2406138</v>
      </c>
      <c r="K3456" s="1" t="s">
        <v>106</v>
      </c>
      <c r="L3456" s="1" t="s">
        <v>109</v>
      </c>
      <c r="N3456" s="1">
        <v>1</v>
      </c>
      <c r="O3456" s="58"/>
      <c r="P3456" s="58">
        <v>70465.47</v>
      </c>
      <c r="Q3456" t="s">
        <v>113</v>
      </c>
      <c r="R3456" s="1" t="s">
        <v>158</v>
      </c>
    </row>
    <row r="3457" spans="3:18" x14ac:dyDescent="0.35">
      <c r="C3457" t="s">
        <v>51</v>
      </c>
      <c r="D3457" t="s">
        <v>22</v>
      </c>
      <c r="E3457" t="s">
        <v>45</v>
      </c>
      <c r="F3457" t="s">
        <v>46</v>
      </c>
      <c r="G3457" s="58">
        <v>378825</v>
      </c>
      <c r="H3457" s="1" t="s">
        <v>48</v>
      </c>
      <c r="I3457" s="1" t="s">
        <v>108</v>
      </c>
      <c r="J3457" s="58">
        <v>9849450</v>
      </c>
      <c r="K3457" s="1" t="s">
        <v>106</v>
      </c>
      <c r="L3457" s="1" t="s">
        <v>120</v>
      </c>
      <c r="M3457" s="1" t="s">
        <v>126</v>
      </c>
      <c r="N3457" s="1">
        <v>1</v>
      </c>
      <c r="O3457" s="58"/>
      <c r="P3457" s="58">
        <v>189412.5</v>
      </c>
      <c r="Q3457" t="s">
        <v>113</v>
      </c>
      <c r="R3457" s="1" t="s">
        <v>158</v>
      </c>
    </row>
    <row r="3458" spans="3:18" x14ac:dyDescent="0.35">
      <c r="C3458" t="s">
        <v>51</v>
      </c>
      <c r="D3458" t="s">
        <v>23</v>
      </c>
      <c r="E3458" t="s">
        <v>55</v>
      </c>
      <c r="F3458" t="s">
        <v>46</v>
      </c>
      <c r="G3458" s="58">
        <v>8666246</v>
      </c>
      <c r="H3458" s="1" t="s">
        <v>48</v>
      </c>
      <c r="I3458" s="1" t="s">
        <v>108</v>
      </c>
      <c r="J3458" s="58">
        <v>303318610</v>
      </c>
      <c r="K3458" s="1" t="s">
        <v>106</v>
      </c>
      <c r="L3458" s="1" t="s">
        <v>120</v>
      </c>
      <c r="M3458" s="1" t="s">
        <v>125</v>
      </c>
      <c r="N3458" s="1">
        <v>1</v>
      </c>
      <c r="O3458" s="58"/>
      <c r="P3458" s="58">
        <v>7192984.1799999997</v>
      </c>
      <c r="Q3458" t="s">
        <v>127</v>
      </c>
      <c r="R3458" s="1" t="s">
        <v>48</v>
      </c>
    </row>
    <row r="3459" spans="3:18" x14ac:dyDescent="0.35">
      <c r="C3459" t="s">
        <v>44</v>
      </c>
      <c r="D3459" t="s">
        <v>92</v>
      </c>
      <c r="E3459" t="s">
        <v>45</v>
      </c>
      <c r="F3459" t="s">
        <v>46</v>
      </c>
      <c r="G3459" s="58">
        <v>1037182</v>
      </c>
      <c r="H3459" s="1" t="s">
        <v>47</v>
      </c>
      <c r="I3459" s="1" t="s">
        <v>108</v>
      </c>
      <c r="J3459" s="58"/>
      <c r="N3459" s="1">
        <v>0</v>
      </c>
      <c r="O3459" s="58"/>
      <c r="P3459" s="58"/>
      <c r="R3459" s="1" t="s">
        <v>158</v>
      </c>
    </row>
    <row r="3460" spans="3:18" x14ac:dyDescent="0.35">
      <c r="C3460" t="s">
        <v>51</v>
      </c>
      <c r="D3460" t="s">
        <v>24</v>
      </c>
      <c r="E3460" t="s">
        <v>49</v>
      </c>
      <c r="F3460" t="s">
        <v>46</v>
      </c>
      <c r="G3460" s="58">
        <v>155730</v>
      </c>
      <c r="H3460" s="1" t="s">
        <v>47</v>
      </c>
      <c r="I3460" s="1" t="s">
        <v>111</v>
      </c>
      <c r="J3460" s="58">
        <v>2491680</v>
      </c>
      <c r="K3460" s="1" t="s">
        <v>106</v>
      </c>
      <c r="L3460" s="1" t="s">
        <v>124</v>
      </c>
      <c r="N3460" s="1">
        <v>1</v>
      </c>
      <c r="O3460" s="58"/>
      <c r="P3460" s="58">
        <v>88766.1</v>
      </c>
      <c r="Q3460" t="s">
        <v>113</v>
      </c>
      <c r="R3460" s="1" t="s">
        <v>158</v>
      </c>
    </row>
    <row r="3461" spans="3:18" x14ac:dyDescent="0.35">
      <c r="C3461" t="s">
        <v>51</v>
      </c>
      <c r="D3461" t="s">
        <v>20</v>
      </c>
      <c r="E3461" t="s">
        <v>49</v>
      </c>
      <c r="F3461" t="s">
        <v>46</v>
      </c>
      <c r="G3461" s="58">
        <v>3005378</v>
      </c>
      <c r="H3461" s="1" t="s">
        <v>48</v>
      </c>
      <c r="I3461" s="1" t="s">
        <v>108</v>
      </c>
      <c r="J3461" s="58">
        <v>90161340</v>
      </c>
      <c r="K3461" s="1" t="s">
        <v>106</v>
      </c>
      <c r="L3461" s="1" t="s">
        <v>120</v>
      </c>
      <c r="M3461" s="1" t="s">
        <v>115</v>
      </c>
      <c r="N3461" s="1">
        <v>1</v>
      </c>
      <c r="O3461" s="58"/>
      <c r="P3461" s="58">
        <v>2073710.82</v>
      </c>
      <c r="Q3461" t="s">
        <v>118</v>
      </c>
      <c r="R3461" s="1" t="s">
        <v>48</v>
      </c>
    </row>
    <row r="3462" spans="3:18" x14ac:dyDescent="0.35">
      <c r="C3462" t="s">
        <v>51</v>
      </c>
      <c r="D3462" t="s">
        <v>23</v>
      </c>
      <c r="E3462" t="s">
        <v>49</v>
      </c>
      <c r="F3462" t="s">
        <v>46</v>
      </c>
      <c r="G3462" s="58">
        <v>120094</v>
      </c>
      <c r="H3462" s="1" t="s">
        <v>48</v>
      </c>
      <c r="I3462" s="1" t="s">
        <v>111</v>
      </c>
      <c r="J3462" s="58">
        <v>1561222</v>
      </c>
      <c r="K3462" s="1" t="s">
        <v>106</v>
      </c>
      <c r="L3462" s="1" t="s">
        <v>124</v>
      </c>
      <c r="M3462" s="1" t="s">
        <v>115</v>
      </c>
      <c r="N3462" s="1">
        <v>1</v>
      </c>
      <c r="O3462" s="58"/>
      <c r="P3462" s="58">
        <v>37229.14</v>
      </c>
      <c r="Q3462" t="s">
        <v>107</v>
      </c>
      <c r="R3462" s="1" t="s">
        <v>158</v>
      </c>
    </row>
    <row r="3463" spans="3:18" x14ac:dyDescent="0.35">
      <c r="C3463" t="s">
        <v>51</v>
      </c>
      <c r="D3463" t="s">
        <v>24</v>
      </c>
      <c r="E3463" t="s">
        <v>55</v>
      </c>
      <c r="F3463" t="s">
        <v>46</v>
      </c>
      <c r="G3463" s="58">
        <v>94829</v>
      </c>
      <c r="H3463" s="1" t="s">
        <v>48</v>
      </c>
      <c r="I3463" s="1" t="s">
        <v>108</v>
      </c>
      <c r="J3463" s="58">
        <v>3224186</v>
      </c>
      <c r="K3463" s="1" t="s">
        <v>106</v>
      </c>
      <c r="L3463" s="1" t="s">
        <v>124</v>
      </c>
      <c r="M3463" s="1" t="s">
        <v>121</v>
      </c>
      <c r="N3463" s="1">
        <v>1</v>
      </c>
      <c r="O3463" s="58"/>
      <c r="P3463" s="58">
        <v>28448.7</v>
      </c>
      <c r="Q3463" t="s">
        <v>107</v>
      </c>
      <c r="R3463" s="1" t="s">
        <v>158</v>
      </c>
    </row>
    <row r="3464" spans="3:18" x14ac:dyDescent="0.35">
      <c r="C3464" t="s">
        <v>53</v>
      </c>
      <c r="D3464" t="s">
        <v>91</v>
      </c>
      <c r="E3464" t="s">
        <v>49</v>
      </c>
      <c r="F3464" t="s">
        <v>46</v>
      </c>
      <c r="G3464" s="58">
        <v>275653</v>
      </c>
      <c r="H3464" s="1" t="s">
        <v>47</v>
      </c>
      <c r="I3464" s="1" t="s">
        <v>119</v>
      </c>
      <c r="J3464" s="58">
        <v>1929571</v>
      </c>
      <c r="K3464" s="1" t="s">
        <v>106</v>
      </c>
      <c r="L3464" s="1" t="s">
        <v>124</v>
      </c>
      <c r="N3464" s="1">
        <v>1</v>
      </c>
      <c r="O3464" s="58"/>
      <c r="P3464" s="58">
        <v>159878.74</v>
      </c>
      <c r="Q3464" t="s">
        <v>113</v>
      </c>
      <c r="R3464" s="1" t="s">
        <v>158</v>
      </c>
    </row>
    <row r="3465" spans="3:18" x14ac:dyDescent="0.35">
      <c r="C3465" t="s">
        <v>51</v>
      </c>
      <c r="D3465" t="s">
        <v>23</v>
      </c>
      <c r="E3465" t="s">
        <v>45</v>
      </c>
      <c r="F3465" t="s">
        <v>46</v>
      </c>
      <c r="G3465" s="58">
        <v>0</v>
      </c>
      <c r="H3465" s="1" t="s">
        <v>54</v>
      </c>
      <c r="I3465" s="1" t="s">
        <v>111</v>
      </c>
      <c r="J3465" s="58">
        <v>0</v>
      </c>
      <c r="K3465" s="1" t="s">
        <v>106</v>
      </c>
      <c r="L3465" s="1" t="s">
        <v>120</v>
      </c>
      <c r="N3465" s="1">
        <v>1</v>
      </c>
      <c r="O3465" s="58"/>
      <c r="P3465" s="58">
        <v>0</v>
      </c>
      <c r="Q3465" t="s">
        <v>110</v>
      </c>
      <c r="R3465" s="1" t="s">
        <v>158</v>
      </c>
    </row>
    <row r="3466" spans="3:18" x14ac:dyDescent="0.35">
      <c r="C3466" t="s">
        <v>51</v>
      </c>
      <c r="D3466" t="s">
        <v>92</v>
      </c>
      <c r="E3466" t="s">
        <v>45</v>
      </c>
      <c r="F3466" t="s">
        <v>46</v>
      </c>
      <c r="G3466" s="58">
        <v>6587086</v>
      </c>
      <c r="H3466" s="1" t="s">
        <v>48</v>
      </c>
      <c r="I3466" s="1" t="s">
        <v>108</v>
      </c>
      <c r="J3466" s="58">
        <v>197612580</v>
      </c>
      <c r="K3466" s="1" t="s">
        <v>106</v>
      </c>
      <c r="L3466" s="1" t="s">
        <v>120</v>
      </c>
      <c r="M3466" s="1" t="s">
        <v>123</v>
      </c>
      <c r="N3466" s="1">
        <v>1</v>
      </c>
      <c r="O3466" s="58"/>
      <c r="P3466" s="58">
        <v>3359413.86</v>
      </c>
      <c r="Q3466" t="s">
        <v>113</v>
      </c>
      <c r="R3466" s="1" t="s">
        <v>48</v>
      </c>
    </row>
    <row r="3467" spans="3:18" x14ac:dyDescent="0.35">
      <c r="C3467" t="s">
        <v>53</v>
      </c>
      <c r="D3467" t="s">
        <v>21</v>
      </c>
      <c r="E3467" t="s">
        <v>45</v>
      </c>
      <c r="F3467" t="s">
        <v>46</v>
      </c>
      <c r="G3467" s="58">
        <v>1327723</v>
      </c>
      <c r="H3467" s="1" t="s">
        <v>56</v>
      </c>
      <c r="I3467" s="1" t="s">
        <v>119</v>
      </c>
      <c r="J3467" s="58">
        <v>9294061</v>
      </c>
      <c r="K3467" s="1" t="s">
        <v>106</v>
      </c>
      <c r="L3467" s="1" t="s">
        <v>120</v>
      </c>
      <c r="N3467" s="1">
        <v>1</v>
      </c>
      <c r="O3467" s="58"/>
      <c r="P3467" s="58">
        <v>1168396.24</v>
      </c>
      <c r="Q3467" t="s">
        <v>127</v>
      </c>
      <c r="R3467" s="1" t="s">
        <v>158</v>
      </c>
    </row>
    <row r="3468" spans="3:18" x14ac:dyDescent="0.35">
      <c r="C3468" t="s">
        <v>51</v>
      </c>
      <c r="D3468" t="s">
        <v>21</v>
      </c>
      <c r="E3468" t="s">
        <v>49</v>
      </c>
      <c r="F3468" t="s">
        <v>46</v>
      </c>
      <c r="G3468" s="58">
        <v>1446515</v>
      </c>
      <c r="H3468" s="1" t="s">
        <v>47</v>
      </c>
      <c r="I3468" s="1" t="s">
        <v>108</v>
      </c>
      <c r="J3468" s="58">
        <v>40502420</v>
      </c>
      <c r="K3468" s="1" t="s">
        <v>106</v>
      </c>
      <c r="L3468" s="1" t="s">
        <v>114</v>
      </c>
      <c r="N3468" s="1">
        <v>1</v>
      </c>
      <c r="O3468" s="58"/>
      <c r="P3468" s="58">
        <v>752187.8</v>
      </c>
      <c r="Q3468" t="s">
        <v>113</v>
      </c>
      <c r="R3468" s="1" t="s">
        <v>158</v>
      </c>
    </row>
    <row r="3469" spans="3:18" x14ac:dyDescent="0.35">
      <c r="C3469" t="s">
        <v>51</v>
      </c>
      <c r="D3469" t="s">
        <v>19</v>
      </c>
      <c r="E3469" t="s">
        <v>49</v>
      </c>
      <c r="F3469" t="s">
        <v>46</v>
      </c>
      <c r="G3469" s="58">
        <v>354748</v>
      </c>
      <c r="H3469" s="1" t="s">
        <v>48</v>
      </c>
      <c r="I3469" s="1" t="s">
        <v>111</v>
      </c>
      <c r="J3469" s="58">
        <v>6740212</v>
      </c>
      <c r="K3469" s="1" t="s">
        <v>106</v>
      </c>
      <c r="L3469" s="1" t="s">
        <v>114</v>
      </c>
      <c r="M3469" s="1" t="s">
        <v>125</v>
      </c>
      <c r="N3469" s="1">
        <v>1</v>
      </c>
      <c r="O3469" s="58"/>
      <c r="P3469" s="58">
        <v>262513.52</v>
      </c>
      <c r="Q3469" t="s">
        <v>118</v>
      </c>
      <c r="R3469" s="1" t="s">
        <v>158</v>
      </c>
    </row>
    <row r="3470" spans="3:18" x14ac:dyDescent="0.35">
      <c r="C3470" t="s">
        <v>51</v>
      </c>
      <c r="D3470" t="s">
        <v>23</v>
      </c>
      <c r="E3470" t="s">
        <v>55</v>
      </c>
      <c r="F3470" t="s">
        <v>46</v>
      </c>
      <c r="G3470" s="58">
        <v>595058</v>
      </c>
      <c r="H3470" s="1" t="s">
        <v>47</v>
      </c>
      <c r="I3470" s="1" t="s">
        <v>111</v>
      </c>
      <c r="J3470" s="58">
        <v>9520928</v>
      </c>
      <c r="K3470" s="1" t="s">
        <v>106</v>
      </c>
      <c r="L3470" s="1" t="s">
        <v>120</v>
      </c>
      <c r="N3470" s="1">
        <v>1</v>
      </c>
      <c r="O3470" s="58"/>
      <c r="P3470" s="58">
        <v>392738.28</v>
      </c>
      <c r="Q3470" t="s">
        <v>118</v>
      </c>
      <c r="R3470" s="1" t="s">
        <v>158</v>
      </c>
    </row>
    <row r="3471" spans="3:18" x14ac:dyDescent="0.35">
      <c r="C3471" t="s">
        <v>51</v>
      </c>
      <c r="D3471" t="s">
        <v>19</v>
      </c>
      <c r="E3471" t="s">
        <v>49</v>
      </c>
      <c r="F3471" t="s">
        <v>46</v>
      </c>
      <c r="G3471" s="58">
        <v>296084</v>
      </c>
      <c r="H3471" s="1" t="s">
        <v>48</v>
      </c>
      <c r="I3471" s="1" t="s">
        <v>108</v>
      </c>
      <c r="J3471" s="58">
        <v>8586436</v>
      </c>
      <c r="K3471" s="1" t="s">
        <v>106</v>
      </c>
      <c r="L3471" s="1" t="s">
        <v>124</v>
      </c>
      <c r="M3471" s="1" t="s">
        <v>115</v>
      </c>
      <c r="N3471" s="1">
        <v>1</v>
      </c>
      <c r="O3471" s="58"/>
      <c r="P3471" s="58">
        <v>153963.68</v>
      </c>
      <c r="Q3471" t="s">
        <v>113</v>
      </c>
      <c r="R3471" s="1" t="s">
        <v>158</v>
      </c>
    </row>
    <row r="3472" spans="3:18" x14ac:dyDescent="0.35">
      <c r="C3472" t="s">
        <v>53</v>
      </c>
      <c r="D3472" t="s">
        <v>25</v>
      </c>
      <c r="E3472" t="s">
        <v>55</v>
      </c>
      <c r="F3472" t="s">
        <v>46</v>
      </c>
      <c r="G3472" s="58">
        <v>99448</v>
      </c>
      <c r="H3472" s="1" t="s">
        <v>47</v>
      </c>
      <c r="I3472" s="1" t="s">
        <v>105</v>
      </c>
      <c r="J3472" s="58">
        <v>397792</v>
      </c>
      <c r="K3472" s="1" t="s">
        <v>106</v>
      </c>
      <c r="L3472" s="1" t="s">
        <v>114</v>
      </c>
      <c r="N3472" s="1">
        <v>1</v>
      </c>
      <c r="O3472" s="58"/>
      <c r="P3472" s="58">
        <v>64641.2</v>
      </c>
      <c r="Q3472" t="s">
        <v>118</v>
      </c>
      <c r="R3472" s="1" t="s">
        <v>158</v>
      </c>
    </row>
    <row r="3473" spans="3:18" x14ac:dyDescent="0.35">
      <c r="C3473" t="s">
        <v>51</v>
      </c>
      <c r="D3473" t="s">
        <v>23</v>
      </c>
      <c r="E3473" t="s">
        <v>45</v>
      </c>
      <c r="F3473" t="s">
        <v>46</v>
      </c>
      <c r="G3473" s="58">
        <v>176412</v>
      </c>
      <c r="H3473" s="1" t="s">
        <v>48</v>
      </c>
      <c r="I3473" s="1" t="s">
        <v>108</v>
      </c>
      <c r="J3473" s="58">
        <v>6350832</v>
      </c>
      <c r="K3473" s="1" t="s">
        <v>106</v>
      </c>
      <c r="L3473" s="1" t="s">
        <v>124</v>
      </c>
      <c r="M3473" s="1" t="s">
        <v>125</v>
      </c>
      <c r="N3473" s="1">
        <v>1</v>
      </c>
      <c r="O3473" s="58"/>
      <c r="P3473" s="58">
        <v>70564.800000000003</v>
      </c>
      <c r="Q3473" t="s">
        <v>113</v>
      </c>
      <c r="R3473" s="1" t="s">
        <v>48</v>
      </c>
    </row>
    <row r="3474" spans="3:18" x14ac:dyDescent="0.35">
      <c r="C3474" t="s">
        <v>51</v>
      </c>
      <c r="D3474" t="s">
        <v>23</v>
      </c>
      <c r="E3474" t="s">
        <v>55</v>
      </c>
      <c r="F3474" t="s">
        <v>46</v>
      </c>
      <c r="G3474" s="58">
        <v>4417307</v>
      </c>
      <c r="H3474" s="1" t="s">
        <v>48</v>
      </c>
      <c r="I3474" s="1" t="s">
        <v>108</v>
      </c>
      <c r="J3474" s="58">
        <v>141353824</v>
      </c>
      <c r="K3474" s="1" t="s">
        <v>112</v>
      </c>
      <c r="N3474" s="1">
        <v>1</v>
      </c>
      <c r="O3474" s="58"/>
      <c r="P3474" s="58">
        <v>2208653.5</v>
      </c>
      <c r="Q3474" t="s">
        <v>113</v>
      </c>
      <c r="R3474" s="1" t="s">
        <v>158</v>
      </c>
    </row>
    <row r="3475" spans="3:18" x14ac:dyDescent="0.35">
      <c r="C3475" t="s">
        <v>51</v>
      </c>
      <c r="D3475" t="s">
        <v>91</v>
      </c>
      <c r="E3475" t="s">
        <v>49</v>
      </c>
      <c r="F3475" t="s">
        <v>46</v>
      </c>
      <c r="G3475" s="58">
        <v>47562</v>
      </c>
      <c r="H3475" s="1" t="s">
        <v>48</v>
      </c>
      <c r="I3475" s="1" t="s">
        <v>119</v>
      </c>
      <c r="J3475" s="58">
        <v>332934</v>
      </c>
      <c r="K3475" s="1" t="s">
        <v>106</v>
      </c>
      <c r="L3475" s="1" t="s">
        <v>124</v>
      </c>
      <c r="M3475" s="1" t="s">
        <v>122</v>
      </c>
      <c r="N3475" s="1">
        <v>1</v>
      </c>
      <c r="O3475" s="58"/>
      <c r="P3475" s="58">
        <v>25207.86</v>
      </c>
      <c r="Q3475" t="s">
        <v>113</v>
      </c>
      <c r="R3475" s="1" t="s">
        <v>48</v>
      </c>
    </row>
    <row r="3476" spans="3:18" x14ac:dyDescent="0.35">
      <c r="C3476" t="s">
        <v>51</v>
      </c>
      <c r="D3476" t="s">
        <v>24</v>
      </c>
      <c r="E3476" t="s">
        <v>55</v>
      </c>
      <c r="F3476" t="s">
        <v>46</v>
      </c>
      <c r="G3476" s="58">
        <v>194926</v>
      </c>
      <c r="H3476" s="1" t="s">
        <v>48</v>
      </c>
      <c r="I3476" s="1" t="s">
        <v>108</v>
      </c>
      <c r="J3476" s="58">
        <v>5652854</v>
      </c>
      <c r="K3476" s="1" t="s">
        <v>106</v>
      </c>
      <c r="L3476" s="1" t="s">
        <v>109</v>
      </c>
      <c r="M3476" s="1" t="s">
        <v>121</v>
      </c>
      <c r="N3476" s="1">
        <v>1</v>
      </c>
      <c r="O3476" s="58"/>
      <c r="P3476" s="58">
        <v>161788.57999999999</v>
      </c>
      <c r="Q3476" t="s">
        <v>127</v>
      </c>
      <c r="R3476" s="1" t="s">
        <v>158</v>
      </c>
    </row>
    <row r="3477" spans="3:18" x14ac:dyDescent="0.35">
      <c r="C3477" t="s">
        <v>51</v>
      </c>
      <c r="D3477" t="s">
        <v>21</v>
      </c>
      <c r="E3477" t="s">
        <v>50</v>
      </c>
      <c r="F3477" t="s">
        <v>46</v>
      </c>
      <c r="G3477" s="58">
        <v>122173</v>
      </c>
      <c r="H3477" s="1" t="s">
        <v>48</v>
      </c>
      <c r="I3477" s="1" t="s">
        <v>119</v>
      </c>
      <c r="J3477" s="58">
        <v>855211</v>
      </c>
      <c r="K3477" s="1" t="s">
        <v>106</v>
      </c>
      <c r="L3477" s="1" t="s">
        <v>109</v>
      </c>
      <c r="M3477" s="1" t="s">
        <v>126</v>
      </c>
      <c r="N3477" s="1">
        <v>1</v>
      </c>
      <c r="O3477" s="58"/>
      <c r="P3477" s="58">
        <v>45204.01</v>
      </c>
      <c r="Q3477" t="s">
        <v>107</v>
      </c>
      <c r="R3477" s="1" t="s">
        <v>48</v>
      </c>
    </row>
    <row r="3478" spans="3:18" x14ac:dyDescent="0.35">
      <c r="C3478" t="s">
        <v>51</v>
      </c>
      <c r="D3478" t="s">
        <v>21</v>
      </c>
      <c r="E3478" t="s">
        <v>45</v>
      </c>
      <c r="F3478" t="s">
        <v>46</v>
      </c>
      <c r="G3478" s="58">
        <v>236286</v>
      </c>
      <c r="H3478" s="1" t="s">
        <v>48</v>
      </c>
      <c r="I3478" s="1" t="s">
        <v>108</v>
      </c>
      <c r="J3478" s="58">
        <v>5434578</v>
      </c>
      <c r="K3478" s="1" t="s">
        <v>106</v>
      </c>
      <c r="L3478" s="1" t="s">
        <v>124</v>
      </c>
      <c r="M3478" s="1" t="s">
        <v>115</v>
      </c>
      <c r="N3478" s="1">
        <v>1</v>
      </c>
      <c r="O3478" s="58"/>
      <c r="P3478" s="58">
        <v>80337.240000000005</v>
      </c>
      <c r="Q3478" t="s">
        <v>107</v>
      </c>
      <c r="R3478" s="1" t="s">
        <v>48</v>
      </c>
    </row>
    <row r="3479" spans="3:18" x14ac:dyDescent="0.35">
      <c r="C3479" t="s">
        <v>51</v>
      </c>
      <c r="D3479" t="s">
        <v>92</v>
      </c>
      <c r="E3479" t="s">
        <v>49</v>
      </c>
      <c r="F3479" t="s">
        <v>46</v>
      </c>
      <c r="G3479" s="58">
        <v>77866695</v>
      </c>
      <c r="H3479" s="1" t="s">
        <v>47</v>
      </c>
      <c r="I3479" s="1" t="s">
        <v>108</v>
      </c>
      <c r="J3479" s="58">
        <v>2024534070</v>
      </c>
      <c r="K3479" s="1" t="s">
        <v>106</v>
      </c>
      <c r="L3479" s="1" t="s">
        <v>124</v>
      </c>
      <c r="N3479" s="1">
        <v>1</v>
      </c>
      <c r="O3479" s="58"/>
      <c r="P3479" s="58">
        <v>40490681.399999999</v>
      </c>
      <c r="Q3479" t="s">
        <v>113</v>
      </c>
      <c r="R3479" s="1" t="s">
        <v>158</v>
      </c>
    </row>
    <row r="3480" spans="3:18" x14ac:dyDescent="0.35">
      <c r="C3480" t="s">
        <v>51</v>
      </c>
      <c r="D3480" t="s">
        <v>91</v>
      </c>
      <c r="E3480" t="s">
        <v>55</v>
      </c>
      <c r="F3480" t="s">
        <v>46</v>
      </c>
      <c r="G3480" s="58">
        <v>2618353</v>
      </c>
      <c r="H3480" s="1" t="s">
        <v>48</v>
      </c>
      <c r="I3480" s="1" t="s">
        <v>105</v>
      </c>
      <c r="J3480" s="58">
        <v>7855059</v>
      </c>
      <c r="K3480" s="1" t="s">
        <v>112</v>
      </c>
      <c r="N3480" s="1">
        <v>1</v>
      </c>
      <c r="O3480" s="58"/>
      <c r="P3480" s="58">
        <v>497487.07</v>
      </c>
      <c r="Q3480" t="s">
        <v>107</v>
      </c>
      <c r="R3480" s="1" t="s">
        <v>48</v>
      </c>
    </row>
    <row r="3481" spans="3:18" x14ac:dyDescent="0.35">
      <c r="C3481" t="s">
        <v>51</v>
      </c>
      <c r="D3481" t="s">
        <v>21</v>
      </c>
      <c r="E3481" t="s">
        <v>49</v>
      </c>
      <c r="F3481" t="s">
        <v>46</v>
      </c>
      <c r="G3481" s="58">
        <v>497862</v>
      </c>
      <c r="H3481" s="1" t="s">
        <v>56</v>
      </c>
      <c r="I3481" s="1" t="s">
        <v>119</v>
      </c>
      <c r="J3481" s="58">
        <v>3982896</v>
      </c>
      <c r="K3481" s="1" t="s">
        <v>106</v>
      </c>
      <c r="L3481" s="1" t="s">
        <v>124</v>
      </c>
      <c r="N3481" s="1">
        <v>1</v>
      </c>
      <c r="O3481" s="58"/>
      <c r="P3481" s="58">
        <v>687049.56</v>
      </c>
      <c r="Q3481" t="s">
        <v>110</v>
      </c>
      <c r="R3481" s="1" t="s">
        <v>158</v>
      </c>
    </row>
    <row r="3482" spans="3:18" x14ac:dyDescent="0.35">
      <c r="C3482" t="s">
        <v>51</v>
      </c>
      <c r="D3482" t="s">
        <v>21</v>
      </c>
      <c r="E3482" t="s">
        <v>49</v>
      </c>
      <c r="F3482" t="s">
        <v>46</v>
      </c>
      <c r="G3482" s="58">
        <v>501261993</v>
      </c>
      <c r="H3482" s="1" t="s">
        <v>56</v>
      </c>
      <c r="I3482" s="1" t="s">
        <v>108</v>
      </c>
      <c r="J3482" s="58">
        <v>14035335804</v>
      </c>
      <c r="K3482" s="1" t="s">
        <v>106</v>
      </c>
      <c r="L3482" s="1" t="s">
        <v>124</v>
      </c>
      <c r="N3482" s="1">
        <v>1</v>
      </c>
      <c r="O3482" s="58"/>
      <c r="P3482" s="58">
        <v>345870775.17000002</v>
      </c>
      <c r="Q3482" t="s">
        <v>118</v>
      </c>
      <c r="R3482" s="1" t="s">
        <v>158</v>
      </c>
    </row>
    <row r="3483" spans="3:18" x14ac:dyDescent="0.35">
      <c r="C3483" t="s">
        <v>51</v>
      </c>
      <c r="D3483" t="s">
        <v>19</v>
      </c>
      <c r="E3483" t="s">
        <v>49</v>
      </c>
      <c r="F3483" t="s">
        <v>46</v>
      </c>
      <c r="G3483" s="58">
        <v>756483</v>
      </c>
      <c r="H3483" s="1" t="s">
        <v>48</v>
      </c>
      <c r="I3483" s="1" t="s">
        <v>108</v>
      </c>
      <c r="J3483" s="58">
        <v>23450973</v>
      </c>
      <c r="K3483" s="1" t="s">
        <v>106</v>
      </c>
      <c r="L3483" s="1" t="s">
        <v>124</v>
      </c>
      <c r="M3483" s="1" t="s">
        <v>126</v>
      </c>
      <c r="N3483" s="1">
        <v>1</v>
      </c>
      <c r="O3483" s="58"/>
      <c r="P3483" s="58">
        <v>635445.72</v>
      </c>
      <c r="Q3483" t="s">
        <v>127</v>
      </c>
      <c r="R3483" s="1" t="s">
        <v>158</v>
      </c>
    </row>
    <row r="3484" spans="3:18" x14ac:dyDescent="0.35">
      <c r="C3484" t="s">
        <v>51</v>
      </c>
      <c r="D3484" t="s">
        <v>22</v>
      </c>
      <c r="E3484" t="s">
        <v>49</v>
      </c>
      <c r="F3484" t="s">
        <v>46</v>
      </c>
      <c r="G3484" s="58">
        <v>99364</v>
      </c>
      <c r="H3484" s="1" t="s">
        <v>48</v>
      </c>
      <c r="I3484" s="1" t="s">
        <v>105</v>
      </c>
      <c r="J3484" s="58">
        <v>198728</v>
      </c>
      <c r="K3484" s="1" t="s">
        <v>106</v>
      </c>
      <c r="L3484" s="1" t="s">
        <v>124</v>
      </c>
      <c r="M3484" s="1" t="s">
        <v>115</v>
      </c>
      <c r="N3484" s="1">
        <v>1</v>
      </c>
      <c r="O3484" s="58"/>
      <c r="P3484" s="58">
        <v>10930.04</v>
      </c>
      <c r="Q3484" t="s">
        <v>107</v>
      </c>
      <c r="R3484" s="1" t="s">
        <v>48</v>
      </c>
    </row>
    <row r="3485" spans="3:18" x14ac:dyDescent="0.35">
      <c r="C3485" t="s">
        <v>51</v>
      </c>
      <c r="D3485" t="s">
        <v>24</v>
      </c>
      <c r="E3485" t="s">
        <v>52</v>
      </c>
      <c r="F3485" t="s">
        <v>46</v>
      </c>
      <c r="G3485" s="58">
        <v>531332</v>
      </c>
      <c r="H3485" s="1" t="s">
        <v>48</v>
      </c>
      <c r="I3485" s="1" t="s">
        <v>108</v>
      </c>
      <c r="J3485" s="58">
        <v>20190616</v>
      </c>
      <c r="K3485" s="1" t="s">
        <v>106</v>
      </c>
      <c r="L3485" s="1" t="s">
        <v>114</v>
      </c>
      <c r="M3485" s="1" t="s">
        <v>121</v>
      </c>
      <c r="N3485" s="1">
        <v>1</v>
      </c>
      <c r="O3485" s="58"/>
      <c r="P3485" s="58">
        <v>435692.24</v>
      </c>
      <c r="Q3485" t="s">
        <v>127</v>
      </c>
      <c r="R3485" s="1" t="s">
        <v>48</v>
      </c>
    </row>
    <row r="3486" spans="3:18" x14ac:dyDescent="0.35">
      <c r="C3486" t="s">
        <v>53</v>
      </c>
      <c r="D3486" t="s">
        <v>21</v>
      </c>
      <c r="E3486" t="s">
        <v>49</v>
      </c>
      <c r="F3486" t="s">
        <v>46</v>
      </c>
      <c r="G3486" s="58">
        <v>108445</v>
      </c>
      <c r="H3486" s="1" t="s">
        <v>48</v>
      </c>
      <c r="I3486" s="1" t="s">
        <v>108</v>
      </c>
      <c r="J3486" s="58">
        <v>3253350</v>
      </c>
      <c r="K3486" s="1" t="s">
        <v>112</v>
      </c>
      <c r="N3486" s="1">
        <v>1</v>
      </c>
      <c r="O3486" s="58"/>
      <c r="P3486" s="58">
        <v>82418.2</v>
      </c>
      <c r="Q3486" t="s">
        <v>118</v>
      </c>
      <c r="R3486" s="1" t="s">
        <v>48</v>
      </c>
    </row>
    <row r="3487" spans="3:18" x14ac:dyDescent="0.35">
      <c r="C3487" t="s">
        <v>51</v>
      </c>
      <c r="D3487" t="s">
        <v>23</v>
      </c>
      <c r="E3487" t="s">
        <v>45</v>
      </c>
      <c r="F3487" t="s">
        <v>46</v>
      </c>
      <c r="G3487" s="58">
        <v>30531524</v>
      </c>
      <c r="H3487" s="1" t="s">
        <v>59</v>
      </c>
      <c r="I3487" s="1" t="s">
        <v>111</v>
      </c>
      <c r="J3487" s="58">
        <v>427441336</v>
      </c>
      <c r="K3487" s="1" t="s">
        <v>106</v>
      </c>
      <c r="L3487" s="1" t="s">
        <v>120</v>
      </c>
      <c r="N3487" s="1">
        <v>1</v>
      </c>
      <c r="O3487" s="58"/>
      <c r="P3487" s="58">
        <v>8548826.7200000007</v>
      </c>
      <c r="Q3487" t="s">
        <v>107</v>
      </c>
      <c r="R3487" s="1" t="s">
        <v>158</v>
      </c>
    </row>
    <row r="3488" spans="3:18" x14ac:dyDescent="0.35">
      <c r="C3488" t="s">
        <v>51</v>
      </c>
      <c r="D3488" t="s">
        <v>19</v>
      </c>
      <c r="E3488" t="s">
        <v>50</v>
      </c>
      <c r="F3488" t="s">
        <v>46</v>
      </c>
      <c r="G3488" s="58">
        <v>235014</v>
      </c>
      <c r="H3488" s="1" t="s">
        <v>48</v>
      </c>
      <c r="I3488" s="1" t="s">
        <v>108</v>
      </c>
      <c r="J3488" s="58">
        <v>6815406</v>
      </c>
      <c r="K3488" s="1" t="s">
        <v>106</v>
      </c>
      <c r="L3488" s="1" t="s">
        <v>109</v>
      </c>
      <c r="M3488" s="1" t="s">
        <v>122</v>
      </c>
      <c r="N3488" s="1">
        <v>1</v>
      </c>
      <c r="O3488" s="58"/>
      <c r="P3488" s="58">
        <v>126907.56</v>
      </c>
      <c r="Q3488" t="s">
        <v>113</v>
      </c>
      <c r="R3488" s="1" t="s">
        <v>158</v>
      </c>
    </row>
    <row r="3489" spans="3:18" x14ac:dyDescent="0.35">
      <c r="C3489" t="s">
        <v>51</v>
      </c>
      <c r="D3489" t="s">
        <v>21</v>
      </c>
      <c r="E3489" t="s">
        <v>52</v>
      </c>
      <c r="F3489" t="s">
        <v>46</v>
      </c>
      <c r="G3489" s="58">
        <v>21706</v>
      </c>
      <c r="H3489" s="1" t="s">
        <v>48</v>
      </c>
      <c r="I3489" s="1" t="s">
        <v>119</v>
      </c>
      <c r="J3489" s="58">
        <v>108530</v>
      </c>
      <c r="K3489" s="1" t="s">
        <v>106</v>
      </c>
      <c r="L3489" s="1" t="s">
        <v>130</v>
      </c>
      <c r="M3489" s="1" t="s">
        <v>126</v>
      </c>
      <c r="N3489" s="1">
        <v>1</v>
      </c>
      <c r="O3489" s="58"/>
      <c r="P3489" s="58">
        <v>4775.32</v>
      </c>
      <c r="Q3489" t="s">
        <v>107</v>
      </c>
      <c r="R3489" s="1" t="s">
        <v>48</v>
      </c>
    </row>
    <row r="3490" spans="3:18" x14ac:dyDescent="0.35">
      <c r="C3490" t="s">
        <v>51</v>
      </c>
      <c r="D3490" t="s">
        <v>23</v>
      </c>
      <c r="E3490" t="s">
        <v>45</v>
      </c>
      <c r="F3490" t="s">
        <v>64</v>
      </c>
      <c r="G3490" s="58">
        <v>68692</v>
      </c>
      <c r="H3490" s="1" t="s">
        <v>47</v>
      </c>
      <c r="I3490" s="1" t="s">
        <v>105</v>
      </c>
      <c r="J3490" s="58">
        <v>206076</v>
      </c>
      <c r="K3490" s="1" t="s">
        <v>106</v>
      </c>
      <c r="L3490" s="1" t="s">
        <v>120</v>
      </c>
      <c r="N3490" s="1">
        <v>1</v>
      </c>
      <c r="O3490" s="58"/>
      <c r="P3490" s="58">
        <v>9616.8799999999992</v>
      </c>
      <c r="Q3490" t="s">
        <v>107</v>
      </c>
      <c r="R3490" s="1" t="s">
        <v>158</v>
      </c>
    </row>
    <row r="3491" spans="3:18" x14ac:dyDescent="0.35">
      <c r="C3491" t="s">
        <v>51</v>
      </c>
      <c r="D3491" t="s">
        <v>92</v>
      </c>
      <c r="E3491" t="s">
        <v>49</v>
      </c>
      <c r="F3491" t="s">
        <v>46</v>
      </c>
      <c r="G3491" s="58">
        <v>355673</v>
      </c>
      <c r="H3491" s="1" t="s">
        <v>48</v>
      </c>
      <c r="I3491" s="1" t="s">
        <v>108</v>
      </c>
      <c r="J3491" s="58">
        <v>10670190</v>
      </c>
      <c r="K3491" s="1" t="s">
        <v>106</v>
      </c>
      <c r="L3491" s="1" t="s">
        <v>114</v>
      </c>
      <c r="M3491" s="1" t="s">
        <v>125</v>
      </c>
      <c r="N3491" s="1">
        <v>1</v>
      </c>
      <c r="O3491" s="58"/>
      <c r="P3491" s="58">
        <v>259641.29</v>
      </c>
      <c r="Q3491" t="s">
        <v>118</v>
      </c>
      <c r="R3491" s="1" t="s">
        <v>158</v>
      </c>
    </row>
    <row r="3492" spans="3:18" x14ac:dyDescent="0.35">
      <c r="C3492" t="s">
        <v>53</v>
      </c>
      <c r="D3492" t="s">
        <v>24</v>
      </c>
      <c r="E3492" t="s">
        <v>50</v>
      </c>
      <c r="F3492" t="s">
        <v>46</v>
      </c>
      <c r="G3492" s="58">
        <v>3049334</v>
      </c>
      <c r="H3492" s="1" t="s">
        <v>47</v>
      </c>
      <c r="I3492" s="1" t="s">
        <v>119</v>
      </c>
      <c r="J3492" s="58">
        <v>24394672</v>
      </c>
      <c r="K3492" s="1" t="s">
        <v>106</v>
      </c>
      <c r="L3492" s="1" t="s">
        <v>109</v>
      </c>
      <c r="N3492" s="1">
        <v>1</v>
      </c>
      <c r="O3492" s="58"/>
      <c r="P3492" s="58">
        <v>1250226.94</v>
      </c>
      <c r="Q3492" t="s">
        <v>113</v>
      </c>
      <c r="R3492" s="1" t="s">
        <v>158</v>
      </c>
    </row>
    <row r="3493" spans="3:18" x14ac:dyDescent="0.35">
      <c r="C3493" t="s">
        <v>51</v>
      </c>
      <c r="D3493" t="s">
        <v>22</v>
      </c>
      <c r="E3493" t="s">
        <v>45</v>
      </c>
      <c r="F3493" t="s">
        <v>46</v>
      </c>
      <c r="G3493" s="58">
        <v>59169</v>
      </c>
      <c r="H3493" s="1" t="s">
        <v>47</v>
      </c>
      <c r="I3493" s="1" t="s">
        <v>119</v>
      </c>
      <c r="J3493" s="58">
        <v>532521</v>
      </c>
      <c r="K3493" s="1" t="s">
        <v>112</v>
      </c>
      <c r="N3493" s="1">
        <v>1</v>
      </c>
      <c r="O3493" s="58"/>
      <c r="P3493" s="58">
        <v>48518.58</v>
      </c>
      <c r="Q3493" t="s">
        <v>127</v>
      </c>
      <c r="R3493" s="1" t="s">
        <v>158</v>
      </c>
    </row>
    <row r="3494" spans="3:18" x14ac:dyDescent="0.35">
      <c r="C3494" t="s">
        <v>51</v>
      </c>
      <c r="D3494" t="s">
        <v>22</v>
      </c>
      <c r="E3494" t="s">
        <v>55</v>
      </c>
      <c r="F3494" t="s">
        <v>46</v>
      </c>
      <c r="G3494" s="58">
        <v>308962</v>
      </c>
      <c r="H3494" s="1" t="s">
        <v>59</v>
      </c>
      <c r="I3494" s="1" t="s">
        <v>108</v>
      </c>
      <c r="J3494" s="58">
        <v>10195746</v>
      </c>
      <c r="K3494" s="1" t="s">
        <v>106</v>
      </c>
      <c r="L3494" s="1" t="s">
        <v>114</v>
      </c>
      <c r="N3494" s="1">
        <v>1</v>
      </c>
      <c r="O3494" s="58"/>
      <c r="P3494" s="58">
        <v>188466.82</v>
      </c>
      <c r="Q3494" t="s">
        <v>118</v>
      </c>
      <c r="R3494" s="1" t="s">
        <v>158</v>
      </c>
    </row>
    <row r="3495" spans="3:18" x14ac:dyDescent="0.35">
      <c r="C3495" t="s">
        <v>51</v>
      </c>
      <c r="D3495" t="s">
        <v>22</v>
      </c>
      <c r="E3495" t="s">
        <v>50</v>
      </c>
      <c r="F3495" t="s">
        <v>46</v>
      </c>
      <c r="G3495" s="58">
        <v>347347</v>
      </c>
      <c r="H3495" s="1" t="s">
        <v>48</v>
      </c>
      <c r="I3495" s="1" t="s">
        <v>108</v>
      </c>
      <c r="J3495" s="58">
        <v>10073063</v>
      </c>
      <c r="K3495" s="1" t="s">
        <v>106</v>
      </c>
      <c r="L3495" s="1" t="s">
        <v>114</v>
      </c>
      <c r="M3495" s="1" t="s">
        <v>115</v>
      </c>
      <c r="N3495" s="1">
        <v>1</v>
      </c>
      <c r="O3495" s="58"/>
      <c r="P3495" s="58">
        <v>267457.19</v>
      </c>
      <c r="Q3495" t="s">
        <v>118</v>
      </c>
      <c r="R3495" s="1" t="s">
        <v>48</v>
      </c>
    </row>
    <row r="3496" spans="3:18" x14ac:dyDescent="0.35">
      <c r="C3496" t="s">
        <v>51</v>
      </c>
      <c r="D3496" t="s">
        <v>22</v>
      </c>
      <c r="E3496" t="s">
        <v>55</v>
      </c>
      <c r="F3496" t="s">
        <v>46</v>
      </c>
      <c r="G3496" s="58">
        <v>33515541</v>
      </c>
      <c r="H3496" s="1" t="s">
        <v>48</v>
      </c>
      <c r="I3496" s="1" t="s">
        <v>108</v>
      </c>
      <c r="J3496" s="58">
        <v>938435148</v>
      </c>
      <c r="K3496" s="1" t="s">
        <v>106</v>
      </c>
      <c r="L3496" s="1" t="s">
        <v>114</v>
      </c>
      <c r="M3496" s="1" t="s">
        <v>115</v>
      </c>
      <c r="N3496" s="1">
        <v>1</v>
      </c>
      <c r="O3496" s="58"/>
      <c r="P3496" s="58">
        <v>17092925.91</v>
      </c>
      <c r="Q3496" t="s">
        <v>113</v>
      </c>
      <c r="R3496" s="1" t="s">
        <v>48</v>
      </c>
    </row>
    <row r="3497" spans="3:18" x14ac:dyDescent="0.35">
      <c r="C3497" t="s">
        <v>51</v>
      </c>
      <c r="D3497" t="s">
        <v>24</v>
      </c>
      <c r="E3497" t="s">
        <v>62</v>
      </c>
      <c r="F3497" t="s">
        <v>64</v>
      </c>
      <c r="G3497" s="58">
        <v>322293</v>
      </c>
      <c r="H3497" s="1" t="s">
        <v>48</v>
      </c>
      <c r="I3497" s="1" t="s">
        <v>108</v>
      </c>
      <c r="J3497" s="58">
        <v>12247134</v>
      </c>
      <c r="K3497" s="1" t="s">
        <v>112</v>
      </c>
      <c r="N3497" s="1">
        <v>1</v>
      </c>
      <c r="O3497" s="58"/>
      <c r="P3497" s="58">
        <v>270726.12</v>
      </c>
      <c r="Q3497" t="s">
        <v>127</v>
      </c>
      <c r="R3497" s="1" t="s">
        <v>48</v>
      </c>
    </row>
    <row r="3498" spans="3:18" x14ac:dyDescent="0.35">
      <c r="C3498" t="s">
        <v>51</v>
      </c>
      <c r="D3498" t="s">
        <v>24</v>
      </c>
      <c r="E3498" t="s">
        <v>50</v>
      </c>
      <c r="F3498" t="s">
        <v>46</v>
      </c>
      <c r="G3498" s="58">
        <v>308156</v>
      </c>
      <c r="H3498" s="1" t="s">
        <v>48</v>
      </c>
      <c r="I3498" s="1" t="s">
        <v>111</v>
      </c>
      <c r="J3498" s="58">
        <v>5546808</v>
      </c>
      <c r="K3498" s="1" t="s">
        <v>106</v>
      </c>
      <c r="L3498" s="1" t="s">
        <v>120</v>
      </c>
      <c r="M3498" s="1" t="s">
        <v>121</v>
      </c>
      <c r="N3498" s="1">
        <v>1</v>
      </c>
      <c r="O3498" s="58"/>
      <c r="P3498" s="58">
        <v>212627.64</v>
      </c>
      <c r="Q3498" t="s">
        <v>118</v>
      </c>
      <c r="R3498" s="1" t="s">
        <v>48</v>
      </c>
    </row>
    <row r="3499" spans="3:18" x14ac:dyDescent="0.35">
      <c r="C3499" t="s">
        <v>51</v>
      </c>
      <c r="D3499" t="s">
        <v>22</v>
      </c>
      <c r="E3499" t="s">
        <v>49</v>
      </c>
      <c r="F3499" t="s">
        <v>46</v>
      </c>
      <c r="G3499" s="58">
        <v>189830344</v>
      </c>
      <c r="H3499" s="1" t="s">
        <v>48</v>
      </c>
      <c r="I3499" s="1" t="s">
        <v>108</v>
      </c>
      <c r="J3499" s="58">
        <v>5505079976</v>
      </c>
      <c r="K3499" s="1" t="s">
        <v>106</v>
      </c>
      <c r="L3499" s="1" t="s">
        <v>124</v>
      </c>
      <c r="M3499" s="1" t="s">
        <v>115</v>
      </c>
      <c r="N3499" s="1">
        <v>1</v>
      </c>
      <c r="O3499" s="58"/>
      <c r="P3499" s="58">
        <v>98711778.879999995</v>
      </c>
      <c r="Q3499" t="s">
        <v>113</v>
      </c>
      <c r="R3499" s="1" t="s">
        <v>158</v>
      </c>
    </row>
    <row r="3500" spans="3:18" x14ac:dyDescent="0.35">
      <c r="C3500" t="s">
        <v>51</v>
      </c>
      <c r="D3500" t="s">
        <v>92</v>
      </c>
      <c r="E3500" t="s">
        <v>55</v>
      </c>
      <c r="F3500" t="s">
        <v>46</v>
      </c>
      <c r="G3500" s="58">
        <v>270624</v>
      </c>
      <c r="H3500" s="1" t="s">
        <v>48</v>
      </c>
      <c r="I3500" s="1" t="s">
        <v>108</v>
      </c>
      <c r="J3500" s="58">
        <v>8118720</v>
      </c>
      <c r="K3500" s="1" t="s">
        <v>106</v>
      </c>
      <c r="L3500" s="1" t="s">
        <v>114</v>
      </c>
      <c r="M3500" s="1" t="s">
        <v>123</v>
      </c>
      <c r="N3500" s="1">
        <v>1</v>
      </c>
      <c r="O3500" s="58"/>
      <c r="P3500" s="58">
        <v>132605.76000000001</v>
      </c>
      <c r="Q3500" t="s">
        <v>113</v>
      </c>
      <c r="R3500" s="1" t="s">
        <v>48</v>
      </c>
    </row>
    <row r="3501" spans="3:18" x14ac:dyDescent="0.35">
      <c r="C3501" t="s">
        <v>51</v>
      </c>
      <c r="D3501" t="s">
        <v>91</v>
      </c>
      <c r="E3501" t="s">
        <v>49</v>
      </c>
      <c r="F3501" t="s">
        <v>46</v>
      </c>
      <c r="G3501" s="58">
        <v>87195</v>
      </c>
      <c r="H3501" s="1" t="s">
        <v>59</v>
      </c>
      <c r="I3501" s="1" t="s">
        <v>111</v>
      </c>
      <c r="J3501" s="58">
        <v>1482315</v>
      </c>
      <c r="K3501" s="1" t="s">
        <v>106</v>
      </c>
      <c r="L3501" s="1" t="s">
        <v>124</v>
      </c>
      <c r="N3501" s="1">
        <v>1</v>
      </c>
      <c r="O3501" s="58"/>
      <c r="P3501" s="58">
        <v>74987.7</v>
      </c>
      <c r="Q3501" t="s">
        <v>127</v>
      </c>
      <c r="R3501" s="1" t="s">
        <v>158</v>
      </c>
    </row>
    <row r="3502" spans="3:18" x14ac:dyDescent="0.35">
      <c r="C3502" t="s">
        <v>51</v>
      </c>
      <c r="D3502" t="s">
        <v>21</v>
      </c>
      <c r="E3502" t="s">
        <v>45</v>
      </c>
      <c r="F3502" t="s">
        <v>46</v>
      </c>
      <c r="G3502" s="58">
        <v>1754272</v>
      </c>
      <c r="H3502" s="1" t="s">
        <v>47</v>
      </c>
      <c r="I3502" s="1" t="s">
        <v>108</v>
      </c>
      <c r="J3502" s="58">
        <v>49119616</v>
      </c>
      <c r="K3502" s="1" t="s">
        <v>106</v>
      </c>
      <c r="L3502" s="1" t="s">
        <v>124</v>
      </c>
      <c r="N3502" s="1">
        <v>1</v>
      </c>
      <c r="O3502" s="58"/>
      <c r="P3502" s="58">
        <v>964849.6</v>
      </c>
      <c r="Q3502" t="s">
        <v>113</v>
      </c>
      <c r="R3502" s="1" t="s">
        <v>158</v>
      </c>
    </row>
    <row r="3503" spans="3:18" x14ac:dyDescent="0.35">
      <c r="C3503" t="s">
        <v>51</v>
      </c>
      <c r="D3503" t="s">
        <v>22</v>
      </c>
      <c r="E3503" t="s">
        <v>49</v>
      </c>
      <c r="F3503" t="s">
        <v>46</v>
      </c>
      <c r="G3503" s="58">
        <v>174492</v>
      </c>
      <c r="H3503" s="1" t="s">
        <v>54</v>
      </c>
      <c r="I3503" s="1" t="s">
        <v>111</v>
      </c>
      <c r="J3503" s="58">
        <v>2442888</v>
      </c>
      <c r="K3503" s="1" t="s">
        <v>106</v>
      </c>
      <c r="L3503" s="1" t="s">
        <v>116</v>
      </c>
      <c r="N3503" s="1">
        <v>1</v>
      </c>
      <c r="O3503" s="58"/>
      <c r="P3503" s="58">
        <v>78521.399999999994</v>
      </c>
      <c r="Q3503" t="s">
        <v>113</v>
      </c>
      <c r="R3503" s="1" t="s">
        <v>158</v>
      </c>
    </row>
    <row r="3504" spans="3:18" x14ac:dyDescent="0.35">
      <c r="C3504" t="s">
        <v>51</v>
      </c>
      <c r="D3504" t="s">
        <v>22</v>
      </c>
      <c r="E3504" t="s">
        <v>45</v>
      </c>
      <c r="F3504" t="s">
        <v>46</v>
      </c>
      <c r="G3504" s="58">
        <v>314160</v>
      </c>
      <c r="H3504" s="1" t="s">
        <v>48</v>
      </c>
      <c r="I3504" s="1" t="s">
        <v>108</v>
      </c>
      <c r="J3504" s="58">
        <v>8796480</v>
      </c>
      <c r="K3504" s="1" t="s">
        <v>106</v>
      </c>
      <c r="L3504" s="1" t="s">
        <v>124</v>
      </c>
      <c r="M3504" s="1" t="s">
        <v>126</v>
      </c>
      <c r="N3504" s="1">
        <v>1</v>
      </c>
      <c r="O3504" s="58"/>
      <c r="P3504" s="58">
        <v>163363.20000000001</v>
      </c>
      <c r="Q3504" t="s">
        <v>113</v>
      </c>
      <c r="R3504" s="1" t="s">
        <v>158</v>
      </c>
    </row>
    <row r="3505" spans="3:18" x14ac:dyDescent="0.35">
      <c r="C3505" t="s">
        <v>51</v>
      </c>
      <c r="D3505" t="s">
        <v>23</v>
      </c>
      <c r="E3505" t="s">
        <v>45</v>
      </c>
      <c r="F3505" t="s">
        <v>46</v>
      </c>
      <c r="G3505" s="58">
        <v>899911</v>
      </c>
      <c r="H3505" s="1" t="s">
        <v>59</v>
      </c>
      <c r="I3505" s="1" t="s">
        <v>111</v>
      </c>
      <c r="J3505" s="58">
        <v>13498665</v>
      </c>
      <c r="K3505" s="1" t="s">
        <v>112</v>
      </c>
      <c r="N3505" s="1">
        <v>1</v>
      </c>
      <c r="O3505" s="58"/>
      <c r="P3505" s="58">
        <v>458954.61</v>
      </c>
      <c r="Q3505" t="s">
        <v>113</v>
      </c>
      <c r="R3505" s="1" t="s">
        <v>158</v>
      </c>
    </row>
    <row r="3506" spans="3:18" x14ac:dyDescent="0.35">
      <c r="C3506" t="s">
        <v>53</v>
      </c>
      <c r="D3506" t="s">
        <v>92</v>
      </c>
      <c r="E3506" t="s">
        <v>49</v>
      </c>
      <c r="F3506" t="s">
        <v>46</v>
      </c>
      <c r="G3506" s="58">
        <v>330910</v>
      </c>
      <c r="H3506" s="1" t="s">
        <v>48</v>
      </c>
      <c r="I3506" s="1" t="s">
        <v>111</v>
      </c>
      <c r="J3506" s="58">
        <v>3640010</v>
      </c>
      <c r="K3506" s="1" t="s">
        <v>106</v>
      </c>
      <c r="L3506" s="1" t="s">
        <v>124</v>
      </c>
      <c r="M3506" s="1" t="s">
        <v>123</v>
      </c>
      <c r="N3506" s="1">
        <v>1</v>
      </c>
      <c r="O3506" s="58"/>
      <c r="P3506" s="58">
        <v>115818.5</v>
      </c>
      <c r="Q3506" t="s">
        <v>107</v>
      </c>
      <c r="R3506" s="1" t="s">
        <v>158</v>
      </c>
    </row>
    <row r="3507" spans="3:18" x14ac:dyDescent="0.35">
      <c r="C3507" t="s">
        <v>51</v>
      </c>
      <c r="D3507" t="s">
        <v>20</v>
      </c>
      <c r="E3507" t="s">
        <v>49</v>
      </c>
      <c r="F3507" t="s">
        <v>46</v>
      </c>
      <c r="G3507" s="58">
        <v>17182626</v>
      </c>
      <c r="H3507" s="1" t="s">
        <v>48</v>
      </c>
      <c r="I3507" s="1" t="s">
        <v>108</v>
      </c>
      <c r="J3507" s="58">
        <v>532661406</v>
      </c>
      <c r="K3507" s="1" t="s">
        <v>112</v>
      </c>
      <c r="N3507" s="1">
        <v>1</v>
      </c>
      <c r="O3507" s="58"/>
      <c r="P3507" s="58">
        <v>8763139.2599999998</v>
      </c>
      <c r="Q3507" t="s">
        <v>113</v>
      </c>
      <c r="R3507" s="1" t="s">
        <v>48</v>
      </c>
    </row>
    <row r="3508" spans="3:18" x14ac:dyDescent="0.35">
      <c r="C3508" t="s">
        <v>51</v>
      </c>
      <c r="D3508" t="s">
        <v>60</v>
      </c>
      <c r="E3508" t="s">
        <v>60</v>
      </c>
      <c r="F3508" t="s">
        <v>46</v>
      </c>
      <c r="G3508" s="58">
        <v>0</v>
      </c>
      <c r="H3508" s="1" t="s">
        <v>61</v>
      </c>
      <c r="I3508" s="1" t="s">
        <v>119</v>
      </c>
      <c r="J3508" s="58">
        <v>0</v>
      </c>
      <c r="K3508" s="1" t="s">
        <v>106</v>
      </c>
      <c r="N3508" s="1">
        <v>1</v>
      </c>
      <c r="O3508" s="58"/>
      <c r="P3508" s="58">
        <v>0</v>
      </c>
      <c r="Q3508" t="s">
        <v>110</v>
      </c>
    </row>
    <row r="3509" spans="3:18" x14ac:dyDescent="0.35">
      <c r="C3509" t="s">
        <v>51</v>
      </c>
      <c r="D3509" t="s">
        <v>24</v>
      </c>
      <c r="E3509" t="s">
        <v>50</v>
      </c>
      <c r="F3509" t="s">
        <v>46</v>
      </c>
      <c r="G3509" s="58">
        <v>619530</v>
      </c>
      <c r="H3509" s="1" t="s">
        <v>47</v>
      </c>
      <c r="I3509" s="1" t="s">
        <v>111</v>
      </c>
      <c r="J3509" s="58">
        <v>9912480</v>
      </c>
      <c r="K3509" s="1" t="s">
        <v>112</v>
      </c>
      <c r="N3509" s="1">
        <v>1</v>
      </c>
      <c r="O3509" s="58"/>
      <c r="P3509" s="58">
        <v>421280.4</v>
      </c>
      <c r="Q3509" t="s">
        <v>118</v>
      </c>
      <c r="R3509" s="1" t="s">
        <v>158</v>
      </c>
    </row>
    <row r="3510" spans="3:18" x14ac:dyDescent="0.35">
      <c r="C3510" t="s">
        <v>51</v>
      </c>
      <c r="D3510" t="s">
        <v>19</v>
      </c>
      <c r="E3510" t="s">
        <v>45</v>
      </c>
      <c r="F3510" t="s">
        <v>46</v>
      </c>
      <c r="G3510" s="58">
        <v>310290</v>
      </c>
      <c r="H3510" s="1" t="s">
        <v>48</v>
      </c>
      <c r="I3510" s="1" t="s">
        <v>108</v>
      </c>
      <c r="J3510" s="58">
        <v>11480730</v>
      </c>
      <c r="K3510" s="1" t="s">
        <v>106</v>
      </c>
      <c r="L3510" s="1" t="s">
        <v>120</v>
      </c>
      <c r="M3510" s="1" t="s">
        <v>122</v>
      </c>
      <c r="N3510" s="1">
        <v>1</v>
      </c>
      <c r="O3510" s="58"/>
      <c r="P3510" s="58">
        <v>313392.90000000002</v>
      </c>
      <c r="Q3510" t="s">
        <v>110</v>
      </c>
      <c r="R3510" s="1" t="s">
        <v>158</v>
      </c>
    </row>
    <row r="3511" spans="3:18" x14ac:dyDescent="0.35">
      <c r="C3511" t="s">
        <v>51</v>
      </c>
      <c r="D3511" t="s">
        <v>22</v>
      </c>
      <c r="E3511" t="s">
        <v>49</v>
      </c>
      <c r="F3511" t="s">
        <v>46</v>
      </c>
      <c r="G3511" s="58">
        <v>42783</v>
      </c>
      <c r="H3511" s="1" t="s">
        <v>48</v>
      </c>
      <c r="I3511" s="1" t="s">
        <v>119</v>
      </c>
      <c r="J3511" s="58">
        <v>299481</v>
      </c>
      <c r="K3511" s="1" t="s">
        <v>106</v>
      </c>
      <c r="L3511" s="1" t="s">
        <v>120</v>
      </c>
      <c r="M3511" s="1" t="s">
        <v>115</v>
      </c>
      <c r="N3511" s="1">
        <v>1</v>
      </c>
      <c r="O3511" s="58"/>
      <c r="P3511" s="58">
        <v>11979.24</v>
      </c>
      <c r="Q3511" t="s">
        <v>107</v>
      </c>
      <c r="R3511" s="1" t="s">
        <v>48</v>
      </c>
    </row>
    <row r="3512" spans="3:18" x14ac:dyDescent="0.35">
      <c r="C3512" t="s">
        <v>53</v>
      </c>
      <c r="D3512" t="s">
        <v>22</v>
      </c>
      <c r="E3512" t="s">
        <v>49</v>
      </c>
      <c r="F3512" t="s">
        <v>46</v>
      </c>
      <c r="G3512" s="58">
        <v>2203938</v>
      </c>
      <c r="H3512" s="1" t="s">
        <v>54</v>
      </c>
      <c r="I3512" s="1" t="s">
        <v>111</v>
      </c>
      <c r="J3512" s="58">
        <v>30855132</v>
      </c>
      <c r="K3512" s="1" t="s">
        <v>106</v>
      </c>
      <c r="L3512" s="1" t="s">
        <v>124</v>
      </c>
      <c r="N3512" s="1">
        <v>1</v>
      </c>
      <c r="O3512" s="58"/>
      <c r="P3512" s="58">
        <v>1190126.52</v>
      </c>
      <c r="Q3512" t="s">
        <v>113</v>
      </c>
      <c r="R3512" s="1" t="s">
        <v>158</v>
      </c>
    </row>
    <row r="3513" spans="3:18" x14ac:dyDescent="0.35">
      <c r="C3513" t="s">
        <v>51</v>
      </c>
      <c r="D3513" t="s">
        <v>22</v>
      </c>
      <c r="E3513" t="s">
        <v>45</v>
      </c>
      <c r="F3513" t="s">
        <v>46</v>
      </c>
      <c r="G3513" s="58">
        <v>92824</v>
      </c>
      <c r="H3513" s="1" t="s">
        <v>56</v>
      </c>
      <c r="I3513" s="1" t="s">
        <v>119</v>
      </c>
      <c r="J3513" s="58">
        <v>556944</v>
      </c>
      <c r="K3513" s="1" t="s">
        <v>106</v>
      </c>
      <c r="L3513" s="1" t="s">
        <v>124</v>
      </c>
      <c r="N3513" s="1">
        <v>1</v>
      </c>
      <c r="O3513" s="58"/>
      <c r="P3513" s="58">
        <v>25062.48</v>
      </c>
      <c r="Q3513" t="s">
        <v>107</v>
      </c>
      <c r="R3513" s="1" t="s">
        <v>158</v>
      </c>
    </row>
    <row r="3514" spans="3:18" x14ac:dyDescent="0.35">
      <c r="C3514" t="s">
        <v>51</v>
      </c>
      <c r="D3514" t="s">
        <v>22</v>
      </c>
      <c r="E3514" t="s">
        <v>45</v>
      </c>
      <c r="F3514" t="s">
        <v>46</v>
      </c>
      <c r="G3514" s="58">
        <v>6939401</v>
      </c>
      <c r="H3514" s="1" t="s">
        <v>59</v>
      </c>
      <c r="I3514" s="1" t="s">
        <v>119</v>
      </c>
      <c r="J3514" s="58">
        <v>55515208</v>
      </c>
      <c r="K3514" s="1" t="s">
        <v>106</v>
      </c>
      <c r="L3514" s="1" t="s">
        <v>120</v>
      </c>
      <c r="N3514" s="1">
        <v>1</v>
      </c>
      <c r="O3514" s="58"/>
      <c r="P3514" s="58">
        <v>3330912.48</v>
      </c>
      <c r="Q3514" t="s">
        <v>113</v>
      </c>
      <c r="R3514" s="1" t="s">
        <v>158</v>
      </c>
    </row>
    <row r="3515" spans="3:18" x14ac:dyDescent="0.35">
      <c r="C3515" t="s">
        <v>51</v>
      </c>
      <c r="D3515" t="s">
        <v>20</v>
      </c>
      <c r="E3515" t="s">
        <v>49</v>
      </c>
      <c r="F3515" t="s">
        <v>46</v>
      </c>
      <c r="G3515" s="58">
        <v>1186315</v>
      </c>
      <c r="H3515" s="1" t="s">
        <v>54</v>
      </c>
      <c r="I3515" s="1" t="s">
        <v>108</v>
      </c>
      <c r="J3515" s="58">
        <v>37962080</v>
      </c>
      <c r="K3515" s="1" t="s">
        <v>112</v>
      </c>
      <c r="N3515" s="1">
        <v>1</v>
      </c>
      <c r="O3515" s="58"/>
      <c r="P3515" s="58">
        <v>272852.45</v>
      </c>
      <c r="Q3515" t="s">
        <v>107</v>
      </c>
      <c r="R3515" s="1" t="s">
        <v>158</v>
      </c>
    </row>
    <row r="3516" spans="3:18" x14ac:dyDescent="0.35">
      <c r="C3516" t="s">
        <v>51</v>
      </c>
      <c r="D3516" t="s">
        <v>22</v>
      </c>
      <c r="E3516" t="s">
        <v>45</v>
      </c>
      <c r="F3516" t="s">
        <v>46</v>
      </c>
      <c r="G3516" s="58">
        <v>736824</v>
      </c>
      <c r="H3516" s="1" t="s">
        <v>56</v>
      </c>
      <c r="I3516" s="1" t="s">
        <v>108</v>
      </c>
      <c r="J3516" s="58">
        <v>19157424</v>
      </c>
      <c r="K3516" s="1" t="s">
        <v>106</v>
      </c>
      <c r="L3516" s="1" t="s">
        <v>124</v>
      </c>
      <c r="N3516" s="1">
        <v>1</v>
      </c>
      <c r="O3516" s="58"/>
      <c r="P3516" s="58">
        <v>361043.76</v>
      </c>
      <c r="Q3516" t="s">
        <v>113</v>
      </c>
      <c r="R3516" s="1" t="s">
        <v>158</v>
      </c>
    </row>
    <row r="3517" spans="3:18" x14ac:dyDescent="0.35">
      <c r="C3517" t="s">
        <v>51</v>
      </c>
      <c r="D3517" t="s">
        <v>19</v>
      </c>
      <c r="E3517" t="s">
        <v>49</v>
      </c>
      <c r="F3517" t="s">
        <v>46</v>
      </c>
      <c r="G3517" s="58">
        <v>1839721</v>
      </c>
      <c r="H3517" s="1" t="s">
        <v>48</v>
      </c>
      <c r="I3517" s="1" t="s">
        <v>108</v>
      </c>
      <c r="J3517" s="58">
        <v>57031351</v>
      </c>
      <c r="K3517" s="1" t="s">
        <v>106</v>
      </c>
      <c r="L3517" s="1" t="s">
        <v>120</v>
      </c>
      <c r="M3517" s="1" t="s">
        <v>115</v>
      </c>
      <c r="N3517" s="1">
        <v>1</v>
      </c>
      <c r="O3517" s="58"/>
      <c r="P3517" s="58">
        <v>846271.66</v>
      </c>
      <c r="Q3517" t="s">
        <v>113</v>
      </c>
      <c r="R3517" s="1" t="s">
        <v>158</v>
      </c>
    </row>
    <row r="3518" spans="3:18" x14ac:dyDescent="0.35">
      <c r="C3518" t="s">
        <v>51</v>
      </c>
      <c r="D3518" t="s">
        <v>22</v>
      </c>
      <c r="E3518" t="s">
        <v>45</v>
      </c>
      <c r="F3518" t="s">
        <v>46</v>
      </c>
      <c r="G3518" s="58">
        <v>507007</v>
      </c>
      <c r="H3518" s="1" t="s">
        <v>54</v>
      </c>
      <c r="I3518" s="1" t="s">
        <v>128</v>
      </c>
      <c r="J3518" s="58"/>
      <c r="K3518" s="1" t="s">
        <v>106</v>
      </c>
      <c r="L3518" s="1" t="s">
        <v>120</v>
      </c>
      <c r="N3518" s="1">
        <v>0</v>
      </c>
      <c r="O3518" s="58"/>
      <c r="P3518" s="58">
        <v>258573.57</v>
      </c>
      <c r="Q3518" t="s">
        <v>113</v>
      </c>
      <c r="R3518" s="1" t="s">
        <v>158</v>
      </c>
    </row>
    <row r="3519" spans="3:18" x14ac:dyDescent="0.35">
      <c r="C3519" t="s">
        <v>51</v>
      </c>
      <c r="D3519" t="s">
        <v>91</v>
      </c>
      <c r="E3519" t="s">
        <v>49</v>
      </c>
      <c r="F3519" t="s">
        <v>46</v>
      </c>
      <c r="G3519" s="58">
        <v>20801812</v>
      </c>
      <c r="H3519" s="1" t="s">
        <v>47</v>
      </c>
      <c r="I3519" s="1" t="s">
        <v>111</v>
      </c>
      <c r="J3519" s="58">
        <v>312027180</v>
      </c>
      <c r="K3519" s="1" t="s">
        <v>106</v>
      </c>
      <c r="L3519" s="1" t="s">
        <v>124</v>
      </c>
      <c r="N3519" s="1">
        <v>1</v>
      </c>
      <c r="O3519" s="58"/>
      <c r="P3519" s="58">
        <v>5616489.2400000002</v>
      </c>
      <c r="Q3519" t="s">
        <v>107</v>
      </c>
      <c r="R3519" s="1" t="s">
        <v>158</v>
      </c>
    </row>
    <row r="3520" spans="3:18" x14ac:dyDescent="0.35">
      <c r="C3520" t="s">
        <v>51</v>
      </c>
      <c r="D3520" t="s">
        <v>24</v>
      </c>
      <c r="E3520" t="s">
        <v>55</v>
      </c>
      <c r="F3520" t="s">
        <v>46</v>
      </c>
      <c r="G3520" s="58">
        <v>744216</v>
      </c>
      <c r="H3520" s="1" t="s">
        <v>47</v>
      </c>
      <c r="I3520" s="1" t="s">
        <v>111</v>
      </c>
      <c r="J3520" s="58">
        <v>12651672</v>
      </c>
      <c r="K3520" s="1" t="s">
        <v>106</v>
      </c>
      <c r="L3520" s="1" t="s">
        <v>120</v>
      </c>
      <c r="N3520" s="1">
        <v>1</v>
      </c>
      <c r="O3520" s="58"/>
      <c r="P3520" s="58">
        <v>513509.04</v>
      </c>
      <c r="Q3520" t="s">
        <v>118</v>
      </c>
      <c r="R3520" s="1" t="s">
        <v>158</v>
      </c>
    </row>
    <row r="3521" spans="3:18" x14ac:dyDescent="0.35">
      <c r="C3521" t="s">
        <v>51</v>
      </c>
      <c r="D3521" t="s">
        <v>20</v>
      </c>
      <c r="E3521" t="s">
        <v>49</v>
      </c>
      <c r="F3521" t="s">
        <v>46</v>
      </c>
      <c r="G3521" s="58">
        <v>7051285</v>
      </c>
      <c r="H3521" s="1" t="s">
        <v>48</v>
      </c>
      <c r="I3521" s="1" t="s">
        <v>108</v>
      </c>
      <c r="J3521" s="58">
        <v>204487265</v>
      </c>
      <c r="K3521" s="1" t="s">
        <v>112</v>
      </c>
      <c r="N3521" s="1">
        <v>1</v>
      </c>
      <c r="O3521" s="58"/>
      <c r="P3521" s="58">
        <v>2044872.65</v>
      </c>
      <c r="Q3521" t="s">
        <v>107</v>
      </c>
      <c r="R3521" s="1" t="s">
        <v>48</v>
      </c>
    </row>
    <row r="3522" spans="3:18" x14ac:dyDescent="0.35">
      <c r="C3522" t="s">
        <v>53</v>
      </c>
      <c r="D3522" t="s">
        <v>20</v>
      </c>
      <c r="E3522" t="s">
        <v>45</v>
      </c>
      <c r="F3522" t="s">
        <v>46</v>
      </c>
      <c r="G3522" s="58">
        <v>11181609</v>
      </c>
      <c r="H3522" s="1" t="s">
        <v>48</v>
      </c>
      <c r="I3522" s="1" t="s">
        <v>119</v>
      </c>
      <c r="J3522" s="58">
        <v>89452872</v>
      </c>
      <c r="K3522" s="1" t="s">
        <v>106</v>
      </c>
      <c r="L3522" s="1" t="s">
        <v>120</v>
      </c>
      <c r="M3522" s="1" t="s">
        <v>123</v>
      </c>
      <c r="N3522" s="1">
        <v>1</v>
      </c>
      <c r="O3522" s="58"/>
      <c r="P3522" s="58">
        <v>2795402.25</v>
      </c>
      <c r="Q3522" t="s">
        <v>107</v>
      </c>
      <c r="R3522" s="1" t="s">
        <v>158</v>
      </c>
    </row>
    <row r="3523" spans="3:18" x14ac:dyDescent="0.35">
      <c r="C3523" t="s">
        <v>51</v>
      </c>
      <c r="D3523" t="s">
        <v>92</v>
      </c>
      <c r="E3523" t="s">
        <v>49</v>
      </c>
      <c r="F3523" t="s">
        <v>46</v>
      </c>
      <c r="G3523" s="58">
        <v>603788347</v>
      </c>
      <c r="H3523" s="1" t="s">
        <v>48</v>
      </c>
      <c r="I3523" s="1" t="s">
        <v>108</v>
      </c>
      <c r="J3523" s="58">
        <v>19321227104</v>
      </c>
      <c r="K3523" s="1" t="s">
        <v>106</v>
      </c>
      <c r="L3523" s="1" t="s">
        <v>124</v>
      </c>
      <c r="M3523" s="1" t="s">
        <v>123</v>
      </c>
      <c r="N3523" s="1">
        <v>1</v>
      </c>
      <c r="O3523" s="58"/>
      <c r="P3523" s="58">
        <v>428689726.37</v>
      </c>
      <c r="Q3523" t="s">
        <v>118</v>
      </c>
      <c r="R3523" s="1" t="s">
        <v>158</v>
      </c>
    </row>
    <row r="3524" spans="3:18" x14ac:dyDescent="0.35">
      <c r="C3524" t="s">
        <v>51</v>
      </c>
      <c r="D3524" t="s">
        <v>24</v>
      </c>
      <c r="E3524" t="s">
        <v>50</v>
      </c>
      <c r="F3524" t="s">
        <v>46</v>
      </c>
      <c r="G3524" s="58">
        <v>671885</v>
      </c>
      <c r="H3524" s="1" t="s">
        <v>59</v>
      </c>
      <c r="I3524" s="1" t="s">
        <v>108</v>
      </c>
      <c r="J3524" s="58">
        <v>18812780</v>
      </c>
      <c r="K3524" s="1" t="s">
        <v>106</v>
      </c>
      <c r="L3524" s="1" t="s">
        <v>109</v>
      </c>
      <c r="N3524" s="1">
        <v>1</v>
      </c>
      <c r="O3524" s="58"/>
      <c r="P3524" s="58">
        <v>188127.8</v>
      </c>
      <c r="Q3524" t="s">
        <v>107</v>
      </c>
      <c r="R3524" s="1" t="s">
        <v>158</v>
      </c>
    </row>
    <row r="3525" spans="3:18" x14ac:dyDescent="0.35">
      <c r="C3525" t="s">
        <v>51</v>
      </c>
      <c r="D3525" t="s">
        <v>91</v>
      </c>
      <c r="E3525" t="s">
        <v>49</v>
      </c>
      <c r="F3525" t="s">
        <v>46</v>
      </c>
      <c r="G3525" s="58">
        <v>3927260</v>
      </c>
      <c r="H3525" s="1" t="s">
        <v>47</v>
      </c>
      <c r="I3525" s="1" t="s">
        <v>108</v>
      </c>
      <c r="J3525" s="58">
        <v>121745060</v>
      </c>
      <c r="K3525" s="1" t="s">
        <v>112</v>
      </c>
      <c r="N3525" s="1">
        <v>1</v>
      </c>
      <c r="O3525" s="58"/>
      <c r="P3525" s="58">
        <v>628361.6</v>
      </c>
      <c r="Q3525" t="s">
        <v>107</v>
      </c>
      <c r="R3525" s="1" t="s">
        <v>158</v>
      </c>
    </row>
    <row r="3526" spans="3:18" x14ac:dyDescent="0.35">
      <c r="C3526" t="s">
        <v>51</v>
      </c>
      <c r="D3526" t="s">
        <v>23</v>
      </c>
      <c r="E3526" t="s">
        <v>45</v>
      </c>
      <c r="F3526" t="s">
        <v>46</v>
      </c>
      <c r="G3526" s="58">
        <v>20762180</v>
      </c>
      <c r="H3526" s="1" t="s">
        <v>59</v>
      </c>
      <c r="I3526" s="1" t="s">
        <v>111</v>
      </c>
      <c r="J3526" s="58">
        <v>352957060</v>
      </c>
      <c r="K3526" s="1" t="s">
        <v>106</v>
      </c>
      <c r="L3526" s="1" t="s">
        <v>120</v>
      </c>
      <c r="N3526" s="1">
        <v>1</v>
      </c>
      <c r="O3526" s="58"/>
      <c r="P3526" s="58">
        <v>13910660.6</v>
      </c>
      <c r="Q3526" t="s">
        <v>118</v>
      </c>
      <c r="R3526" s="1" t="s">
        <v>158</v>
      </c>
    </row>
    <row r="3527" spans="3:18" x14ac:dyDescent="0.35">
      <c r="C3527" t="s">
        <v>51</v>
      </c>
      <c r="D3527" t="s">
        <v>22</v>
      </c>
      <c r="E3527" t="s">
        <v>55</v>
      </c>
      <c r="F3527" t="s">
        <v>46</v>
      </c>
      <c r="G3527" s="58">
        <v>1190481</v>
      </c>
      <c r="H3527" s="1" t="s">
        <v>47</v>
      </c>
      <c r="I3527" s="1" t="s">
        <v>108</v>
      </c>
      <c r="J3527" s="58">
        <v>34523949</v>
      </c>
      <c r="K3527" s="1" t="s">
        <v>106</v>
      </c>
      <c r="L3527" s="1" t="s">
        <v>114</v>
      </c>
      <c r="N3527" s="1">
        <v>1</v>
      </c>
      <c r="O3527" s="58"/>
      <c r="P3527" s="58">
        <v>380953.92</v>
      </c>
      <c r="Q3527" t="s">
        <v>107</v>
      </c>
      <c r="R3527" s="1" t="s">
        <v>158</v>
      </c>
    </row>
    <row r="3528" spans="3:18" x14ac:dyDescent="0.35">
      <c r="C3528" t="s">
        <v>53</v>
      </c>
      <c r="D3528" t="s">
        <v>24</v>
      </c>
      <c r="E3528" t="s">
        <v>55</v>
      </c>
      <c r="F3528" t="s">
        <v>46</v>
      </c>
      <c r="G3528" s="58">
        <v>121698</v>
      </c>
      <c r="H3528" s="1" t="s">
        <v>48</v>
      </c>
      <c r="I3528" s="1" t="s">
        <v>108</v>
      </c>
      <c r="J3528" s="58">
        <v>3285846</v>
      </c>
      <c r="K3528" s="1" t="s">
        <v>106</v>
      </c>
      <c r="L3528" s="1" t="s">
        <v>114</v>
      </c>
      <c r="M3528" s="1" t="s">
        <v>121</v>
      </c>
      <c r="N3528" s="1">
        <v>1</v>
      </c>
      <c r="O3528" s="58"/>
      <c r="P3528" s="58">
        <v>25556.58</v>
      </c>
      <c r="Q3528" t="s">
        <v>107</v>
      </c>
      <c r="R3528" s="1" t="s">
        <v>158</v>
      </c>
    </row>
    <row r="3529" spans="3:18" x14ac:dyDescent="0.35">
      <c r="C3529" t="s">
        <v>51</v>
      </c>
      <c r="D3529" t="s">
        <v>91</v>
      </c>
      <c r="E3529" t="s">
        <v>49</v>
      </c>
      <c r="F3529" t="s">
        <v>46</v>
      </c>
      <c r="G3529" s="58">
        <v>594303</v>
      </c>
      <c r="H3529" s="1" t="s">
        <v>59</v>
      </c>
      <c r="I3529" s="1" t="s">
        <v>119</v>
      </c>
      <c r="J3529" s="58">
        <v>4754424</v>
      </c>
      <c r="K3529" s="1" t="s">
        <v>112</v>
      </c>
      <c r="N3529" s="1">
        <v>1</v>
      </c>
      <c r="O3529" s="58"/>
      <c r="P3529" s="58">
        <v>225835.14</v>
      </c>
      <c r="Q3529" t="s">
        <v>107</v>
      </c>
      <c r="R3529" s="1" t="s">
        <v>158</v>
      </c>
    </row>
    <row r="3530" spans="3:18" x14ac:dyDescent="0.35">
      <c r="C3530" t="s">
        <v>53</v>
      </c>
      <c r="D3530" t="s">
        <v>20</v>
      </c>
      <c r="E3530" t="s">
        <v>45</v>
      </c>
      <c r="F3530" t="s">
        <v>46</v>
      </c>
      <c r="G3530" s="58">
        <v>19215872</v>
      </c>
      <c r="H3530" s="1" t="s">
        <v>59</v>
      </c>
      <c r="I3530" s="1" t="s">
        <v>119</v>
      </c>
      <c r="J3530" s="58">
        <v>153726976</v>
      </c>
      <c r="K3530" s="1" t="s">
        <v>106</v>
      </c>
      <c r="L3530" s="1" t="s">
        <v>120</v>
      </c>
      <c r="N3530" s="1">
        <v>1</v>
      </c>
      <c r="O3530" s="58"/>
      <c r="P3530" s="58">
        <v>9607936</v>
      </c>
      <c r="Q3530" t="s">
        <v>113</v>
      </c>
      <c r="R3530" s="1" t="s">
        <v>158</v>
      </c>
    </row>
    <row r="3531" spans="3:18" x14ac:dyDescent="0.35">
      <c r="C3531" t="s">
        <v>53</v>
      </c>
      <c r="D3531" t="s">
        <v>23</v>
      </c>
      <c r="E3531" t="s">
        <v>55</v>
      </c>
      <c r="F3531" t="s">
        <v>46</v>
      </c>
      <c r="G3531" s="58">
        <v>183400</v>
      </c>
      <c r="H3531" s="1" t="s">
        <v>54</v>
      </c>
      <c r="I3531" s="1" t="s">
        <v>111</v>
      </c>
      <c r="J3531" s="58">
        <v>2200800</v>
      </c>
      <c r="K3531" s="1" t="s">
        <v>106</v>
      </c>
      <c r="L3531" s="1" t="s">
        <v>114</v>
      </c>
      <c r="N3531" s="1">
        <v>1</v>
      </c>
      <c r="O3531" s="58"/>
      <c r="P3531" s="58">
        <v>247590</v>
      </c>
      <c r="Q3531" t="s">
        <v>110</v>
      </c>
      <c r="R3531" s="1" t="s">
        <v>158</v>
      </c>
    </row>
    <row r="3532" spans="3:18" x14ac:dyDescent="0.35">
      <c r="C3532" t="s">
        <v>53</v>
      </c>
      <c r="D3532" t="s">
        <v>20</v>
      </c>
      <c r="E3532" t="s">
        <v>45</v>
      </c>
      <c r="F3532" t="s">
        <v>46</v>
      </c>
      <c r="G3532" s="58">
        <v>5618260</v>
      </c>
      <c r="H3532" s="1" t="s">
        <v>54</v>
      </c>
      <c r="I3532" s="1" t="s">
        <v>105</v>
      </c>
      <c r="J3532" s="58">
        <v>11236520</v>
      </c>
      <c r="K3532" s="1" t="s">
        <v>106</v>
      </c>
      <c r="L3532" s="1" t="s">
        <v>120</v>
      </c>
      <c r="N3532" s="1">
        <v>1</v>
      </c>
      <c r="O3532" s="58"/>
      <c r="P3532" s="58">
        <v>955104.2</v>
      </c>
      <c r="Q3532" t="s">
        <v>107</v>
      </c>
      <c r="R3532" s="1" t="s">
        <v>158</v>
      </c>
    </row>
    <row r="3533" spans="3:18" x14ac:dyDescent="0.35">
      <c r="C3533" t="s">
        <v>53</v>
      </c>
      <c r="D3533" t="s">
        <v>24</v>
      </c>
      <c r="E3533" t="s">
        <v>50</v>
      </c>
      <c r="F3533" t="s">
        <v>46</v>
      </c>
      <c r="G3533" s="58">
        <v>400589</v>
      </c>
      <c r="H3533" s="1" t="s">
        <v>47</v>
      </c>
      <c r="I3533" s="1" t="s">
        <v>119</v>
      </c>
      <c r="J3533" s="58">
        <v>2403534</v>
      </c>
      <c r="K3533" s="1" t="s">
        <v>112</v>
      </c>
      <c r="N3533" s="1">
        <v>1</v>
      </c>
      <c r="O3533" s="58"/>
      <c r="P3533" s="58">
        <v>140206.15</v>
      </c>
      <c r="Q3533" t="s">
        <v>107</v>
      </c>
      <c r="R3533" s="1" t="s">
        <v>158</v>
      </c>
    </row>
    <row r="3534" spans="3:18" x14ac:dyDescent="0.35">
      <c r="C3534" t="s">
        <v>51</v>
      </c>
      <c r="D3534" t="s">
        <v>91</v>
      </c>
      <c r="E3534" t="s">
        <v>55</v>
      </c>
      <c r="F3534" t="s">
        <v>46</v>
      </c>
      <c r="G3534" s="58">
        <v>199779</v>
      </c>
      <c r="H3534" s="1" t="s">
        <v>48</v>
      </c>
      <c r="I3534" s="1" t="s">
        <v>108</v>
      </c>
      <c r="J3534" s="58">
        <v>5593812</v>
      </c>
      <c r="K3534" s="1" t="s">
        <v>106</v>
      </c>
      <c r="L3534" s="1" t="s">
        <v>120</v>
      </c>
      <c r="M3534" s="1" t="s">
        <v>122</v>
      </c>
      <c r="N3534" s="1">
        <v>1</v>
      </c>
      <c r="O3534" s="58"/>
      <c r="P3534" s="58">
        <v>107880.66</v>
      </c>
      <c r="Q3534" t="s">
        <v>113</v>
      </c>
      <c r="R3534" s="1" t="s">
        <v>158</v>
      </c>
    </row>
    <row r="3535" spans="3:18" x14ac:dyDescent="0.35">
      <c r="C3535" t="s">
        <v>51</v>
      </c>
      <c r="D3535" t="s">
        <v>91</v>
      </c>
      <c r="E3535" t="s">
        <v>55</v>
      </c>
      <c r="F3535" t="s">
        <v>46</v>
      </c>
      <c r="G3535" s="58">
        <v>535715</v>
      </c>
      <c r="H3535" s="1" t="s">
        <v>48</v>
      </c>
      <c r="I3535" s="1" t="s">
        <v>108</v>
      </c>
      <c r="J3535" s="58">
        <v>17142880</v>
      </c>
      <c r="K3535" s="1" t="s">
        <v>106</v>
      </c>
      <c r="L3535" s="1" t="s">
        <v>114</v>
      </c>
      <c r="M3535" s="1" t="s">
        <v>122</v>
      </c>
      <c r="N3535" s="1">
        <v>1</v>
      </c>
      <c r="O3535" s="58"/>
      <c r="P3535" s="58">
        <v>433929.15</v>
      </c>
      <c r="Q3535" t="s">
        <v>127</v>
      </c>
      <c r="R3535" s="1" t="s">
        <v>158</v>
      </c>
    </row>
    <row r="3536" spans="3:18" x14ac:dyDescent="0.35">
      <c r="C3536" t="s">
        <v>51</v>
      </c>
      <c r="D3536" t="s">
        <v>91</v>
      </c>
      <c r="E3536" t="s">
        <v>49</v>
      </c>
      <c r="F3536" t="s">
        <v>46</v>
      </c>
      <c r="G3536" s="58">
        <v>190497</v>
      </c>
      <c r="H3536" s="1" t="s">
        <v>48</v>
      </c>
      <c r="I3536" s="1" t="s">
        <v>111</v>
      </c>
      <c r="J3536" s="58">
        <v>2666958</v>
      </c>
      <c r="K3536" s="1" t="s">
        <v>106</v>
      </c>
      <c r="L3536" s="1" t="s">
        <v>120</v>
      </c>
      <c r="M3536" s="1" t="s">
        <v>115</v>
      </c>
      <c r="N3536" s="1">
        <v>1</v>
      </c>
      <c r="O3536" s="58"/>
      <c r="P3536" s="58">
        <v>57149.1</v>
      </c>
      <c r="Q3536" t="s">
        <v>107</v>
      </c>
      <c r="R3536" s="1" t="s">
        <v>158</v>
      </c>
    </row>
    <row r="3537" spans="3:18" x14ac:dyDescent="0.35">
      <c r="C3537" t="s">
        <v>51</v>
      </c>
      <c r="D3537" t="s">
        <v>23</v>
      </c>
      <c r="E3537" t="s">
        <v>45</v>
      </c>
      <c r="F3537" t="s">
        <v>46</v>
      </c>
      <c r="G3537" s="58">
        <v>24592056</v>
      </c>
      <c r="H3537" s="1" t="s">
        <v>54</v>
      </c>
      <c r="I3537" s="1" t="s">
        <v>111</v>
      </c>
      <c r="J3537" s="58">
        <v>418064952</v>
      </c>
      <c r="K3537" s="1" t="s">
        <v>106</v>
      </c>
      <c r="L3537" s="1" t="s">
        <v>120</v>
      </c>
      <c r="N3537" s="1">
        <v>1</v>
      </c>
      <c r="O3537" s="58"/>
      <c r="P3537" s="58">
        <v>12050107.439999999</v>
      </c>
      <c r="Q3537" t="s">
        <v>113</v>
      </c>
      <c r="R3537" s="1" t="s">
        <v>158</v>
      </c>
    </row>
    <row r="3538" spans="3:18" x14ac:dyDescent="0.35">
      <c r="C3538" t="s">
        <v>51</v>
      </c>
      <c r="D3538" t="s">
        <v>21</v>
      </c>
      <c r="E3538" t="s">
        <v>55</v>
      </c>
      <c r="F3538" t="s">
        <v>64</v>
      </c>
      <c r="G3538" s="58">
        <v>1179897</v>
      </c>
      <c r="H3538" s="1" t="s">
        <v>48</v>
      </c>
      <c r="I3538" s="1" t="s">
        <v>108</v>
      </c>
      <c r="J3538" s="58">
        <v>40116498</v>
      </c>
      <c r="K3538" s="1" t="s">
        <v>112</v>
      </c>
      <c r="N3538" s="1">
        <v>1</v>
      </c>
      <c r="O3538" s="58"/>
      <c r="P3538" s="58">
        <v>1002912.45</v>
      </c>
      <c r="Q3538" t="s">
        <v>127</v>
      </c>
      <c r="R3538" s="1" t="s">
        <v>48</v>
      </c>
    </row>
    <row r="3539" spans="3:18" x14ac:dyDescent="0.35">
      <c r="C3539" t="s">
        <v>51</v>
      </c>
      <c r="D3539" t="s">
        <v>19</v>
      </c>
      <c r="E3539" t="s">
        <v>49</v>
      </c>
      <c r="F3539" t="s">
        <v>46</v>
      </c>
      <c r="G3539" s="58">
        <v>3455219</v>
      </c>
      <c r="H3539" s="1" t="s">
        <v>59</v>
      </c>
      <c r="I3539" s="1" t="s">
        <v>108</v>
      </c>
      <c r="J3539" s="58">
        <v>103656570</v>
      </c>
      <c r="K3539" s="1" t="s">
        <v>112</v>
      </c>
      <c r="N3539" s="1">
        <v>1</v>
      </c>
      <c r="O3539" s="58"/>
      <c r="P3539" s="58">
        <v>1623952.93</v>
      </c>
      <c r="Q3539" t="s">
        <v>113</v>
      </c>
      <c r="R3539" s="1" t="s">
        <v>158</v>
      </c>
    </row>
    <row r="3540" spans="3:18" x14ac:dyDescent="0.35">
      <c r="C3540" t="s">
        <v>51</v>
      </c>
      <c r="D3540" t="s">
        <v>22</v>
      </c>
      <c r="E3540" t="s">
        <v>45</v>
      </c>
      <c r="F3540" t="s">
        <v>46</v>
      </c>
      <c r="G3540" s="58">
        <v>891751</v>
      </c>
      <c r="H3540" s="1" t="s">
        <v>47</v>
      </c>
      <c r="I3540" s="1" t="s">
        <v>105</v>
      </c>
      <c r="J3540" s="58">
        <v>1783502</v>
      </c>
      <c r="K3540" s="1" t="s">
        <v>106</v>
      </c>
      <c r="L3540" s="1" t="s">
        <v>114</v>
      </c>
      <c r="N3540" s="1">
        <v>1</v>
      </c>
      <c r="O3540" s="58"/>
      <c r="P3540" s="58">
        <v>80257.59</v>
      </c>
      <c r="Q3540" t="s">
        <v>107</v>
      </c>
      <c r="R3540" s="1" t="s">
        <v>158</v>
      </c>
    </row>
    <row r="3541" spans="3:18" x14ac:dyDescent="0.35">
      <c r="C3541" t="s">
        <v>51</v>
      </c>
      <c r="D3541" t="s">
        <v>91</v>
      </c>
      <c r="E3541" t="s">
        <v>49</v>
      </c>
      <c r="F3541" t="s">
        <v>46</v>
      </c>
      <c r="G3541" s="58">
        <v>741892</v>
      </c>
      <c r="H3541" s="1" t="s">
        <v>47</v>
      </c>
      <c r="I3541" s="1" t="s">
        <v>119</v>
      </c>
      <c r="J3541" s="58">
        <v>5193244</v>
      </c>
      <c r="K3541" s="1" t="s">
        <v>106</v>
      </c>
      <c r="L3541" s="1" t="s">
        <v>120</v>
      </c>
      <c r="N3541" s="1">
        <v>1</v>
      </c>
      <c r="O3541" s="58"/>
      <c r="P3541" s="58">
        <v>178054.08</v>
      </c>
      <c r="Q3541" t="s">
        <v>107</v>
      </c>
      <c r="R3541" s="1" t="s">
        <v>158</v>
      </c>
    </row>
    <row r="3542" spans="3:18" x14ac:dyDescent="0.35">
      <c r="C3542" t="s">
        <v>51</v>
      </c>
      <c r="D3542" t="s">
        <v>24</v>
      </c>
      <c r="E3542" t="s">
        <v>45</v>
      </c>
      <c r="F3542" t="s">
        <v>46</v>
      </c>
      <c r="G3542" s="58">
        <v>120459</v>
      </c>
      <c r="H3542" s="1" t="s">
        <v>54</v>
      </c>
      <c r="I3542" s="1" t="s">
        <v>108</v>
      </c>
      <c r="J3542" s="58">
        <v>3131934</v>
      </c>
      <c r="K3542" s="1" t="s">
        <v>112</v>
      </c>
      <c r="N3542" s="1">
        <v>1</v>
      </c>
      <c r="O3542" s="58"/>
      <c r="P3542" s="58">
        <v>31319.34</v>
      </c>
      <c r="Q3542" t="s">
        <v>107</v>
      </c>
      <c r="R3542" s="1" t="s">
        <v>158</v>
      </c>
    </row>
    <row r="3543" spans="3:18" x14ac:dyDescent="0.35">
      <c r="C3543" t="s">
        <v>51</v>
      </c>
      <c r="D3543" t="s">
        <v>21</v>
      </c>
      <c r="E3543" t="s">
        <v>45</v>
      </c>
      <c r="F3543" t="s">
        <v>46</v>
      </c>
      <c r="G3543" s="58">
        <v>63888</v>
      </c>
      <c r="H3543" s="1" t="s">
        <v>47</v>
      </c>
      <c r="I3543" s="1" t="s">
        <v>119</v>
      </c>
      <c r="J3543" s="58">
        <v>447216</v>
      </c>
      <c r="K3543" s="1" t="s">
        <v>106</v>
      </c>
      <c r="L3543" s="1" t="s">
        <v>124</v>
      </c>
      <c r="N3543" s="1">
        <v>1</v>
      </c>
      <c r="O3543" s="58"/>
      <c r="P3543" s="58">
        <v>40249.440000000002</v>
      </c>
      <c r="Q3543" t="s">
        <v>118</v>
      </c>
      <c r="R3543" s="1" t="s">
        <v>158</v>
      </c>
    </row>
    <row r="3544" spans="3:18" x14ac:dyDescent="0.35">
      <c r="C3544" t="s">
        <v>51</v>
      </c>
      <c r="D3544" t="s">
        <v>92</v>
      </c>
      <c r="E3544" t="s">
        <v>45</v>
      </c>
      <c r="F3544" t="s">
        <v>46</v>
      </c>
      <c r="G3544" s="58">
        <v>153413</v>
      </c>
      <c r="H3544" s="1" t="s">
        <v>48</v>
      </c>
      <c r="I3544" s="1" t="s">
        <v>111</v>
      </c>
      <c r="J3544" s="58">
        <v>2761434</v>
      </c>
      <c r="K3544" s="1" t="s">
        <v>112</v>
      </c>
      <c r="N3544" s="1">
        <v>1</v>
      </c>
      <c r="O3544" s="58"/>
      <c r="P3544" s="58">
        <v>61365.2</v>
      </c>
      <c r="Q3544" t="s">
        <v>113</v>
      </c>
      <c r="R3544" s="1" t="s">
        <v>158</v>
      </c>
    </row>
    <row r="3545" spans="3:18" x14ac:dyDescent="0.35">
      <c r="C3545" t="s">
        <v>51</v>
      </c>
      <c r="D3545" t="s">
        <v>23</v>
      </c>
      <c r="E3545" t="s">
        <v>52</v>
      </c>
      <c r="F3545" t="s">
        <v>46</v>
      </c>
      <c r="G3545" s="58">
        <v>2253931</v>
      </c>
      <c r="H3545" s="1" t="s">
        <v>48</v>
      </c>
      <c r="I3545" s="1" t="s">
        <v>108</v>
      </c>
      <c r="J3545" s="58">
        <v>74379723</v>
      </c>
      <c r="K3545" s="1" t="s">
        <v>106</v>
      </c>
      <c r="L3545" s="1" t="s">
        <v>120</v>
      </c>
      <c r="M3545" s="1" t="s">
        <v>125</v>
      </c>
      <c r="N3545" s="1">
        <v>1</v>
      </c>
      <c r="O3545" s="58"/>
      <c r="P3545" s="58">
        <v>1690448.25</v>
      </c>
      <c r="Q3545" t="s">
        <v>118</v>
      </c>
      <c r="R3545" s="1" t="s">
        <v>48</v>
      </c>
    </row>
    <row r="3546" spans="3:18" x14ac:dyDescent="0.35">
      <c r="C3546" t="s">
        <v>51</v>
      </c>
      <c r="D3546" t="s">
        <v>21</v>
      </c>
      <c r="E3546" t="s">
        <v>49</v>
      </c>
      <c r="F3546" t="s">
        <v>46</v>
      </c>
      <c r="G3546" s="58">
        <v>104934258</v>
      </c>
      <c r="H3546" s="1" t="s">
        <v>59</v>
      </c>
      <c r="I3546" s="1" t="s">
        <v>108</v>
      </c>
      <c r="J3546" s="58">
        <v>2728290708</v>
      </c>
      <c r="K3546" s="1" t="s">
        <v>106</v>
      </c>
      <c r="L3546" s="1" t="s">
        <v>124</v>
      </c>
      <c r="N3546" s="1">
        <v>1</v>
      </c>
      <c r="O3546" s="58"/>
      <c r="P3546" s="58">
        <v>29381592.239999998</v>
      </c>
      <c r="Q3546" t="s">
        <v>107</v>
      </c>
      <c r="R3546" s="1" t="s">
        <v>158</v>
      </c>
    </row>
    <row r="3547" spans="3:18" x14ac:dyDescent="0.35">
      <c r="C3547" t="s">
        <v>51</v>
      </c>
      <c r="D3547" t="s">
        <v>24</v>
      </c>
      <c r="E3547" t="s">
        <v>50</v>
      </c>
      <c r="F3547" t="s">
        <v>46</v>
      </c>
      <c r="G3547" s="58">
        <v>182525</v>
      </c>
      <c r="H3547" s="1" t="s">
        <v>47</v>
      </c>
      <c r="I3547" s="1" t="s">
        <v>111</v>
      </c>
      <c r="J3547" s="58">
        <v>3102925</v>
      </c>
      <c r="K3547" s="1" t="s">
        <v>112</v>
      </c>
      <c r="N3547" s="1">
        <v>1</v>
      </c>
      <c r="O3547" s="58"/>
      <c r="P3547" s="58">
        <v>51107</v>
      </c>
      <c r="Q3547" t="s">
        <v>107</v>
      </c>
      <c r="R3547" s="1" t="s">
        <v>158</v>
      </c>
    </row>
    <row r="3548" spans="3:18" x14ac:dyDescent="0.35">
      <c r="C3548" t="s">
        <v>51</v>
      </c>
      <c r="D3548" t="s">
        <v>92</v>
      </c>
      <c r="E3548" t="s">
        <v>49</v>
      </c>
      <c r="F3548" t="s">
        <v>46</v>
      </c>
      <c r="G3548" s="58">
        <v>66208</v>
      </c>
      <c r="H3548" s="1" t="s">
        <v>48</v>
      </c>
      <c r="I3548" s="1" t="s">
        <v>105</v>
      </c>
      <c r="J3548" s="58">
        <v>331040</v>
      </c>
      <c r="K3548" s="1" t="s">
        <v>112</v>
      </c>
      <c r="N3548" s="1">
        <v>1</v>
      </c>
      <c r="O3548" s="58"/>
      <c r="P3548" s="58">
        <v>40386.879999999997</v>
      </c>
      <c r="Q3548" t="s">
        <v>118</v>
      </c>
      <c r="R3548" s="1" t="s">
        <v>48</v>
      </c>
    </row>
    <row r="3549" spans="3:18" x14ac:dyDescent="0.35">
      <c r="C3549" t="s">
        <v>51</v>
      </c>
      <c r="D3549" t="s">
        <v>21</v>
      </c>
      <c r="E3549" t="s">
        <v>50</v>
      </c>
      <c r="F3549" t="s">
        <v>46</v>
      </c>
      <c r="G3549" s="58">
        <v>47451</v>
      </c>
      <c r="H3549" s="1" t="s">
        <v>48</v>
      </c>
      <c r="I3549" s="1" t="s">
        <v>111</v>
      </c>
      <c r="J3549" s="58">
        <v>569412</v>
      </c>
      <c r="K3549" s="1" t="s">
        <v>106</v>
      </c>
      <c r="L3549" s="1" t="s">
        <v>109</v>
      </c>
      <c r="M3549" s="1" t="s">
        <v>126</v>
      </c>
      <c r="N3549" s="1">
        <v>1</v>
      </c>
      <c r="O3549" s="58"/>
      <c r="P3549" s="58">
        <v>16133.34</v>
      </c>
      <c r="Q3549" t="s">
        <v>107</v>
      </c>
      <c r="R3549" s="1" t="s">
        <v>158</v>
      </c>
    </row>
    <row r="3550" spans="3:18" x14ac:dyDescent="0.35">
      <c r="C3550" t="s">
        <v>51</v>
      </c>
      <c r="D3550" t="s">
        <v>23</v>
      </c>
      <c r="E3550" t="s">
        <v>55</v>
      </c>
      <c r="F3550" t="s">
        <v>46</v>
      </c>
      <c r="G3550" s="58">
        <v>94803</v>
      </c>
      <c r="H3550" s="1" t="s">
        <v>54</v>
      </c>
      <c r="I3550" s="1" t="s">
        <v>111</v>
      </c>
      <c r="J3550" s="58">
        <v>1137636</v>
      </c>
      <c r="K3550" s="1" t="s">
        <v>112</v>
      </c>
      <c r="N3550" s="1">
        <v>1</v>
      </c>
      <c r="O3550" s="58"/>
      <c r="P3550" s="58">
        <v>75842.399999999994</v>
      </c>
      <c r="Q3550" t="s">
        <v>118</v>
      </c>
      <c r="R3550" s="1" t="s">
        <v>158</v>
      </c>
    </row>
    <row r="3551" spans="3:18" x14ac:dyDescent="0.35">
      <c r="C3551" t="s">
        <v>51</v>
      </c>
      <c r="D3551" t="s">
        <v>22</v>
      </c>
      <c r="E3551" t="s">
        <v>45</v>
      </c>
      <c r="F3551" t="s">
        <v>46</v>
      </c>
      <c r="G3551" s="58">
        <v>349431</v>
      </c>
      <c r="H3551" s="1" t="s">
        <v>54</v>
      </c>
      <c r="I3551" s="1" t="s">
        <v>111</v>
      </c>
      <c r="J3551" s="58">
        <v>6289758</v>
      </c>
      <c r="K3551" s="1" t="s">
        <v>112</v>
      </c>
      <c r="N3551" s="1">
        <v>1</v>
      </c>
      <c r="O3551" s="58"/>
      <c r="P3551" s="58">
        <v>174715.5</v>
      </c>
      <c r="Q3551" t="s">
        <v>113</v>
      </c>
      <c r="R3551" s="1" t="s">
        <v>158</v>
      </c>
    </row>
    <row r="3552" spans="3:18" x14ac:dyDescent="0.35">
      <c r="C3552" t="s">
        <v>51</v>
      </c>
      <c r="D3552" t="s">
        <v>23</v>
      </c>
      <c r="E3552" t="s">
        <v>45</v>
      </c>
      <c r="F3552" t="s">
        <v>46</v>
      </c>
      <c r="G3552" s="58">
        <v>135030</v>
      </c>
      <c r="H3552" s="1" t="s">
        <v>59</v>
      </c>
      <c r="I3552" s="1" t="s">
        <v>119</v>
      </c>
      <c r="J3552" s="58">
        <v>810180</v>
      </c>
      <c r="K3552" s="1" t="s">
        <v>106</v>
      </c>
      <c r="L3552" s="1" t="s">
        <v>124</v>
      </c>
      <c r="N3552" s="1">
        <v>1</v>
      </c>
      <c r="O3552" s="58"/>
      <c r="P3552" s="58">
        <v>41859.300000000003</v>
      </c>
      <c r="Q3552" t="s">
        <v>107</v>
      </c>
      <c r="R3552" s="1" t="s">
        <v>158</v>
      </c>
    </row>
    <row r="3553" spans="3:18" x14ac:dyDescent="0.35">
      <c r="C3553" t="s">
        <v>53</v>
      </c>
      <c r="D3553" t="s">
        <v>20</v>
      </c>
      <c r="E3553" t="s">
        <v>49</v>
      </c>
      <c r="F3553" t="s">
        <v>46</v>
      </c>
      <c r="G3553" s="58">
        <v>14142431</v>
      </c>
      <c r="H3553" s="1" t="s">
        <v>47</v>
      </c>
      <c r="I3553" s="1" t="s">
        <v>119</v>
      </c>
      <c r="J3553" s="58">
        <v>113139448</v>
      </c>
      <c r="K3553" s="1" t="s">
        <v>106</v>
      </c>
      <c r="L3553" s="1" t="s">
        <v>124</v>
      </c>
      <c r="N3553" s="1">
        <v>1</v>
      </c>
      <c r="O3553" s="58"/>
      <c r="P3553" s="58">
        <v>6929791.1900000004</v>
      </c>
      <c r="Q3553" t="s">
        <v>113</v>
      </c>
      <c r="R3553" s="1" t="s">
        <v>158</v>
      </c>
    </row>
    <row r="3554" spans="3:18" x14ac:dyDescent="0.35">
      <c r="C3554" t="s">
        <v>51</v>
      </c>
      <c r="D3554" t="s">
        <v>24</v>
      </c>
      <c r="E3554" t="s">
        <v>50</v>
      </c>
      <c r="F3554" t="s">
        <v>46</v>
      </c>
      <c r="G3554" s="58">
        <v>1048000</v>
      </c>
      <c r="H3554" s="1" t="s">
        <v>48</v>
      </c>
      <c r="I3554" s="1" t="s">
        <v>108</v>
      </c>
      <c r="J3554" s="58">
        <v>39824000</v>
      </c>
      <c r="K3554" s="1" t="s">
        <v>112</v>
      </c>
      <c r="N3554" s="1">
        <v>1</v>
      </c>
      <c r="O3554" s="58"/>
      <c r="P3554" s="58">
        <v>1048000</v>
      </c>
      <c r="Q3554" t="s">
        <v>110</v>
      </c>
      <c r="R3554" s="1" t="s">
        <v>48</v>
      </c>
    </row>
    <row r="3555" spans="3:18" x14ac:dyDescent="0.35">
      <c r="C3555" t="s">
        <v>53</v>
      </c>
      <c r="D3555" t="s">
        <v>21</v>
      </c>
      <c r="E3555" t="s">
        <v>45</v>
      </c>
      <c r="F3555" t="s">
        <v>46</v>
      </c>
      <c r="G3555" s="58">
        <v>2386922</v>
      </c>
      <c r="H3555" s="1" t="s">
        <v>47</v>
      </c>
      <c r="I3555" s="1" t="s">
        <v>105</v>
      </c>
      <c r="J3555" s="58">
        <v>0</v>
      </c>
      <c r="K3555" s="1" t="s">
        <v>112</v>
      </c>
      <c r="N3555" s="1">
        <v>1</v>
      </c>
      <c r="O3555" s="58"/>
      <c r="P3555" s="58">
        <v>763815.04</v>
      </c>
      <c r="Q3555" t="s">
        <v>107</v>
      </c>
      <c r="R3555" s="1" t="s">
        <v>158</v>
      </c>
    </row>
    <row r="3556" spans="3:18" x14ac:dyDescent="0.35">
      <c r="C3556" t="s">
        <v>51</v>
      </c>
      <c r="D3556" t="s">
        <v>21</v>
      </c>
      <c r="E3556" t="s">
        <v>45</v>
      </c>
      <c r="F3556" t="s">
        <v>46</v>
      </c>
      <c r="G3556" s="58">
        <v>332877</v>
      </c>
      <c r="H3556" s="1" t="s">
        <v>48</v>
      </c>
      <c r="I3556" s="1" t="s">
        <v>108</v>
      </c>
      <c r="J3556" s="58">
        <v>10319187</v>
      </c>
      <c r="K3556" s="1" t="s">
        <v>106</v>
      </c>
      <c r="L3556" s="1" t="s">
        <v>120</v>
      </c>
      <c r="M3556" s="1" t="s">
        <v>115</v>
      </c>
      <c r="N3556" s="1">
        <v>1</v>
      </c>
      <c r="O3556" s="58"/>
      <c r="P3556" s="58">
        <v>96534.33</v>
      </c>
      <c r="Q3556" t="s">
        <v>107</v>
      </c>
      <c r="R3556" s="1" t="s">
        <v>48</v>
      </c>
    </row>
    <row r="3557" spans="3:18" x14ac:dyDescent="0.35">
      <c r="C3557" t="s">
        <v>51</v>
      </c>
      <c r="D3557" t="s">
        <v>22</v>
      </c>
      <c r="E3557" t="s">
        <v>52</v>
      </c>
      <c r="F3557" t="s">
        <v>46</v>
      </c>
      <c r="G3557" s="58">
        <v>246510</v>
      </c>
      <c r="H3557" s="1" t="s">
        <v>48</v>
      </c>
      <c r="I3557" s="1" t="s">
        <v>108</v>
      </c>
      <c r="J3557" s="58">
        <v>9120870</v>
      </c>
      <c r="K3557" s="1" t="s">
        <v>106</v>
      </c>
      <c r="L3557" s="1" t="s">
        <v>124</v>
      </c>
      <c r="M3557" s="1" t="s">
        <v>115</v>
      </c>
      <c r="N3557" s="1">
        <v>1</v>
      </c>
      <c r="O3557" s="58"/>
      <c r="P3557" s="58">
        <v>152836.20000000001</v>
      </c>
      <c r="Q3557" t="s">
        <v>118</v>
      </c>
      <c r="R3557" s="1" t="s">
        <v>48</v>
      </c>
    </row>
    <row r="3558" spans="3:18" x14ac:dyDescent="0.35">
      <c r="C3558" t="s">
        <v>51</v>
      </c>
      <c r="D3558" t="s">
        <v>21</v>
      </c>
      <c r="E3558" t="s">
        <v>49</v>
      </c>
      <c r="F3558" t="s">
        <v>46</v>
      </c>
      <c r="G3558" s="58">
        <v>63888</v>
      </c>
      <c r="H3558" s="1" t="s">
        <v>59</v>
      </c>
      <c r="I3558" s="1" t="s">
        <v>105</v>
      </c>
      <c r="J3558" s="58">
        <v>255552</v>
      </c>
      <c r="K3558" s="1" t="s">
        <v>106</v>
      </c>
      <c r="L3558" s="1" t="s">
        <v>116</v>
      </c>
      <c r="N3558" s="1">
        <v>1</v>
      </c>
      <c r="O3558" s="58"/>
      <c r="P3558" s="58">
        <v>8305.44</v>
      </c>
      <c r="Q3558" t="s">
        <v>107</v>
      </c>
      <c r="R3558" s="1" t="s">
        <v>158</v>
      </c>
    </row>
    <row r="3559" spans="3:18" x14ac:dyDescent="0.35">
      <c r="C3559" t="s">
        <v>51</v>
      </c>
      <c r="D3559" t="s">
        <v>21</v>
      </c>
      <c r="E3559" t="s">
        <v>49</v>
      </c>
      <c r="F3559" t="s">
        <v>46</v>
      </c>
      <c r="G3559" s="58">
        <v>89417</v>
      </c>
      <c r="H3559" s="1" t="s">
        <v>54</v>
      </c>
      <c r="I3559" s="1" t="s">
        <v>105</v>
      </c>
      <c r="J3559" s="58">
        <v>268251</v>
      </c>
      <c r="K3559" s="1" t="s">
        <v>106</v>
      </c>
      <c r="L3559" s="1" t="s">
        <v>124</v>
      </c>
      <c r="N3559" s="1">
        <v>1</v>
      </c>
      <c r="O3559" s="58"/>
      <c r="P3559" s="58">
        <v>60803.56</v>
      </c>
      <c r="Q3559" t="s">
        <v>118</v>
      </c>
      <c r="R3559" s="1" t="s">
        <v>158</v>
      </c>
    </row>
    <row r="3560" spans="3:18" x14ac:dyDescent="0.35">
      <c r="C3560" t="s">
        <v>51</v>
      </c>
      <c r="D3560" t="s">
        <v>24</v>
      </c>
      <c r="E3560" t="s">
        <v>62</v>
      </c>
      <c r="F3560" t="s">
        <v>46</v>
      </c>
      <c r="G3560" s="58">
        <v>1656005</v>
      </c>
      <c r="H3560" s="1" t="s">
        <v>48</v>
      </c>
      <c r="I3560" s="1" t="s">
        <v>108</v>
      </c>
      <c r="J3560" s="58">
        <v>57960175</v>
      </c>
      <c r="K3560" s="1" t="s">
        <v>106</v>
      </c>
      <c r="L3560" s="1" t="s">
        <v>114</v>
      </c>
      <c r="M3560" s="1" t="s">
        <v>121</v>
      </c>
      <c r="N3560" s="1">
        <v>1</v>
      </c>
      <c r="O3560" s="58"/>
      <c r="P3560" s="58">
        <v>1357924.1</v>
      </c>
      <c r="Q3560" t="s">
        <v>127</v>
      </c>
      <c r="R3560" s="1" t="s">
        <v>48</v>
      </c>
    </row>
    <row r="3561" spans="3:18" x14ac:dyDescent="0.35">
      <c r="C3561" t="s">
        <v>51</v>
      </c>
      <c r="D3561" t="s">
        <v>92</v>
      </c>
      <c r="E3561" t="s">
        <v>49</v>
      </c>
      <c r="F3561" t="s">
        <v>46</v>
      </c>
      <c r="G3561" s="58">
        <v>62714</v>
      </c>
      <c r="H3561" s="1" t="s">
        <v>54</v>
      </c>
      <c r="I3561" s="1" t="s">
        <v>119</v>
      </c>
      <c r="J3561" s="58">
        <v>501712</v>
      </c>
      <c r="K3561" s="1" t="s">
        <v>106</v>
      </c>
      <c r="L3561" s="1" t="s">
        <v>124</v>
      </c>
      <c r="N3561" s="1">
        <v>1</v>
      </c>
      <c r="O3561" s="58"/>
      <c r="P3561" s="58">
        <v>43899.8</v>
      </c>
      <c r="Q3561" t="s">
        <v>118</v>
      </c>
      <c r="R3561" s="1" t="s">
        <v>158</v>
      </c>
    </row>
    <row r="3562" spans="3:18" x14ac:dyDescent="0.35">
      <c r="C3562" t="s">
        <v>51</v>
      </c>
      <c r="D3562" t="s">
        <v>19</v>
      </c>
      <c r="E3562" t="s">
        <v>49</v>
      </c>
      <c r="F3562" t="s">
        <v>46</v>
      </c>
      <c r="G3562" s="58">
        <v>296407</v>
      </c>
      <c r="H3562" s="1" t="s">
        <v>48</v>
      </c>
      <c r="I3562" s="1" t="s">
        <v>108</v>
      </c>
      <c r="J3562" s="58">
        <v>10374245</v>
      </c>
      <c r="K3562" s="1" t="s">
        <v>106</v>
      </c>
      <c r="L3562" s="1" t="s">
        <v>124</v>
      </c>
      <c r="M3562" s="1" t="s">
        <v>123</v>
      </c>
      <c r="N3562" s="1">
        <v>1</v>
      </c>
      <c r="O3562" s="58"/>
      <c r="P3562" s="58">
        <v>237125.6</v>
      </c>
      <c r="Q3562" t="s">
        <v>127</v>
      </c>
      <c r="R3562" s="1" t="s">
        <v>48</v>
      </c>
    </row>
    <row r="3563" spans="3:18" x14ac:dyDescent="0.35">
      <c r="C3563" t="s">
        <v>44</v>
      </c>
      <c r="D3563" t="s">
        <v>24</v>
      </c>
      <c r="E3563" t="s">
        <v>55</v>
      </c>
      <c r="F3563" t="s">
        <v>46</v>
      </c>
      <c r="G3563" s="58">
        <v>604181</v>
      </c>
      <c r="H3563" s="1" t="s">
        <v>47</v>
      </c>
      <c r="I3563" s="1" t="s">
        <v>108</v>
      </c>
      <c r="J3563" s="58"/>
      <c r="N3563" s="1">
        <v>0</v>
      </c>
      <c r="O3563" s="58"/>
      <c r="P3563" s="58"/>
      <c r="R3563" s="1" t="s">
        <v>158</v>
      </c>
    </row>
    <row r="3564" spans="3:18" x14ac:dyDescent="0.35">
      <c r="C3564" t="s">
        <v>51</v>
      </c>
      <c r="D3564" t="s">
        <v>23</v>
      </c>
      <c r="E3564" t="s">
        <v>55</v>
      </c>
      <c r="F3564" t="s">
        <v>46</v>
      </c>
      <c r="G3564" s="58">
        <v>804715</v>
      </c>
      <c r="H3564" s="1" t="s">
        <v>48</v>
      </c>
      <c r="I3564" s="1" t="s">
        <v>111</v>
      </c>
      <c r="J3564" s="58">
        <v>13680155</v>
      </c>
      <c r="K3564" s="1" t="s">
        <v>112</v>
      </c>
      <c r="N3564" s="1">
        <v>1</v>
      </c>
      <c r="O3564" s="58"/>
      <c r="P3564" s="58">
        <v>434546.1</v>
      </c>
      <c r="Q3564" t="s">
        <v>113</v>
      </c>
      <c r="R3564" s="1" t="s">
        <v>48</v>
      </c>
    </row>
    <row r="3565" spans="3:18" x14ac:dyDescent="0.35">
      <c r="C3565" t="s">
        <v>53</v>
      </c>
      <c r="D3565" t="s">
        <v>92</v>
      </c>
      <c r="E3565" t="s">
        <v>49</v>
      </c>
      <c r="F3565" t="s">
        <v>46</v>
      </c>
      <c r="G3565" s="58">
        <v>1001050</v>
      </c>
      <c r="H3565" s="1" t="s">
        <v>48</v>
      </c>
      <c r="I3565" s="1" t="s">
        <v>119</v>
      </c>
      <c r="J3565" s="58">
        <v>10010500</v>
      </c>
      <c r="K3565" s="1" t="s">
        <v>112</v>
      </c>
      <c r="N3565" s="1">
        <v>1</v>
      </c>
      <c r="O3565" s="58"/>
      <c r="P3565" s="58">
        <v>420441</v>
      </c>
      <c r="Q3565" t="s">
        <v>113</v>
      </c>
      <c r="R3565" s="1" t="s">
        <v>158</v>
      </c>
    </row>
    <row r="3566" spans="3:18" x14ac:dyDescent="0.35">
      <c r="C3566" t="s">
        <v>51</v>
      </c>
      <c r="D3566" t="s">
        <v>24</v>
      </c>
      <c r="E3566" t="s">
        <v>50</v>
      </c>
      <c r="F3566" t="s">
        <v>46</v>
      </c>
      <c r="G3566" s="58">
        <v>210142</v>
      </c>
      <c r="H3566" s="1" t="s">
        <v>48</v>
      </c>
      <c r="I3566" s="1" t="s">
        <v>108</v>
      </c>
      <c r="J3566" s="58">
        <v>5673834</v>
      </c>
      <c r="K3566" s="1" t="s">
        <v>106</v>
      </c>
      <c r="L3566" s="1" t="s">
        <v>114</v>
      </c>
      <c r="M3566" s="1" t="s">
        <v>121</v>
      </c>
      <c r="N3566" s="1">
        <v>1</v>
      </c>
      <c r="O3566" s="58"/>
      <c r="P3566" s="58">
        <v>176519.28</v>
      </c>
      <c r="Q3566" t="s">
        <v>127</v>
      </c>
      <c r="R3566" s="1" t="s">
        <v>158</v>
      </c>
    </row>
    <row r="3567" spans="3:18" x14ac:dyDescent="0.35">
      <c r="C3567" t="s">
        <v>51</v>
      </c>
      <c r="D3567" t="s">
        <v>24</v>
      </c>
      <c r="E3567" t="s">
        <v>49</v>
      </c>
      <c r="F3567" t="s">
        <v>46</v>
      </c>
      <c r="G3567" s="58">
        <v>149131</v>
      </c>
      <c r="H3567" s="1" t="s">
        <v>48</v>
      </c>
      <c r="I3567" s="1" t="s">
        <v>108</v>
      </c>
      <c r="J3567" s="58">
        <v>5219585</v>
      </c>
      <c r="K3567" s="1" t="s">
        <v>112</v>
      </c>
      <c r="N3567" s="1">
        <v>1</v>
      </c>
      <c r="O3567" s="58"/>
      <c r="P3567" s="58">
        <v>128252.66</v>
      </c>
      <c r="Q3567" t="s">
        <v>127</v>
      </c>
      <c r="R3567" s="1" t="s">
        <v>158</v>
      </c>
    </row>
    <row r="3568" spans="3:18" x14ac:dyDescent="0.35">
      <c r="C3568" t="s">
        <v>53</v>
      </c>
      <c r="D3568" t="s">
        <v>22</v>
      </c>
      <c r="E3568" t="s">
        <v>45</v>
      </c>
      <c r="F3568" t="s">
        <v>46</v>
      </c>
      <c r="G3568" s="58">
        <v>220000</v>
      </c>
      <c r="H3568" s="1" t="s">
        <v>59</v>
      </c>
      <c r="I3568" s="1" t="s">
        <v>128</v>
      </c>
      <c r="J3568" s="58"/>
      <c r="K3568" s="1" t="s">
        <v>106</v>
      </c>
      <c r="L3568" s="1" t="s">
        <v>120</v>
      </c>
      <c r="N3568" s="1">
        <v>0</v>
      </c>
      <c r="O3568" s="58"/>
      <c r="P3568" s="58">
        <v>222200</v>
      </c>
      <c r="Q3568" t="s">
        <v>110</v>
      </c>
      <c r="R3568" s="1" t="s">
        <v>158</v>
      </c>
    </row>
    <row r="3569" spans="3:18" x14ac:dyDescent="0.35">
      <c r="C3569" t="s">
        <v>51</v>
      </c>
      <c r="D3569" t="s">
        <v>22</v>
      </c>
      <c r="E3569" t="s">
        <v>55</v>
      </c>
      <c r="F3569" t="s">
        <v>64</v>
      </c>
      <c r="G3569" s="58">
        <v>197262</v>
      </c>
      <c r="H3569" s="1" t="s">
        <v>48</v>
      </c>
      <c r="I3569" s="1" t="s">
        <v>111</v>
      </c>
      <c r="J3569" s="58">
        <v>2564406</v>
      </c>
      <c r="K3569" s="1" t="s">
        <v>112</v>
      </c>
      <c r="N3569" s="1">
        <v>1</v>
      </c>
      <c r="O3569" s="58"/>
      <c r="P3569" s="58">
        <v>136110.78</v>
      </c>
      <c r="Q3569" t="s">
        <v>118</v>
      </c>
      <c r="R3569" s="1" t="s">
        <v>48</v>
      </c>
    </row>
    <row r="3570" spans="3:18" x14ac:dyDescent="0.35">
      <c r="C3570" t="s">
        <v>51</v>
      </c>
      <c r="D3570" t="s">
        <v>91</v>
      </c>
      <c r="E3570" t="s">
        <v>49</v>
      </c>
      <c r="F3570" t="s">
        <v>46</v>
      </c>
      <c r="G3570" s="58">
        <v>214621</v>
      </c>
      <c r="H3570" s="1" t="s">
        <v>48</v>
      </c>
      <c r="I3570" s="1" t="s">
        <v>108</v>
      </c>
      <c r="J3570" s="58">
        <v>7297114</v>
      </c>
      <c r="K3570" s="1" t="s">
        <v>106</v>
      </c>
      <c r="L3570" s="1" t="s">
        <v>114</v>
      </c>
      <c r="M3570" s="1" t="s">
        <v>121</v>
      </c>
      <c r="N3570" s="1">
        <v>1</v>
      </c>
      <c r="O3570" s="58"/>
      <c r="P3570" s="58">
        <v>87994.61</v>
      </c>
      <c r="Q3570" t="s">
        <v>113</v>
      </c>
      <c r="R3570" s="1" t="s">
        <v>158</v>
      </c>
    </row>
    <row r="3571" spans="3:18" x14ac:dyDescent="0.35">
      <c r="C3571" t="s">
        <v>51</v>
      </c>
      <c r="D3571" t="s">
        <v>21</v>
      </c>
      <c r="E3571" t="s">
        <v>45</v>
      </c>
      <c r="F3571" t="s">
        <v>46</v>
      </c>
      <c r="G3571" s="58">
        <v>288544</v>
      </c>
      <c r="H3571" s="1" t="s">
        <v>48</v>
      </c>
      <c r="I3571" s="1" t="s">
        <v>108</v>
      </c>
      <c r="J3571" s="58">
        <v>8079232</v>
      </c>
      <c r="K3571" s="1" t="s">
        <v>106</v>
      </c>
      <c r="L3571" s="1" t="s">
        <v>124</v>
      </c>
      <c r="M3571" s="1" t="s">
        <v>126</v>
      </c>
      <c r="N3571" s="1">
        <v>1</v>
      </c>
      <c r="O3571" s="58"/>
      <c r="P3571" s="58">
        <v>17312.64</v>
      </c>
      <c r="Q3571" t="s">
        <v>107</v>
      </c>
      <c r="R3571" s="1" t="s">
        <v>158</v>
      </c>
    </row>
    <row r="3572" spans="3:18" x14ac:dyDescent="0.35">
      <c r="C3572" t="s">
        <v>51</v>
      </c>
      <c r="D3572" t="s">
        <v>23</v>
      </c>
      <c r="E3572" t="s">
        <v>52</v>
      </c>
      <c r="F3572" t="s">
        <v>46</v>
      </c>
      <c r="G3572" s="58">
        <v>1269188</v>
      </c>
      <c r="H3572" s="1" t="s">
        <v>48</v>
      </c>
      <c r="I3572" s="1" t="s">
        <v>108</v>
      </c>
      <c r="J3572" s="58">
        <v>41883204</v>
      </c>
      <c r="K3572" s="1" t="s">
        <v>106</v>
      </c>
      <c r="L3572" s="1" t="s">
        <v>120</v>
      </c>
      <c r="M3572" s="1" t="s">
        <v>125</v>
      </c>
      <c r="N3572" s="1">
        <v>1</v>
      </c>
      <c r="O3572" s="58"/>
      <c r="P3572" s="58">
        <v>1053426.04</v>
      </c>
      <c r="Q3572" t="s">
        <v>127</v>
      </c>
      <c r="R3572" s="1" t="s">
        <v>48</v>
      </c>
    </row>
    <row r="3573" spans="3:18" x14ac:dyDescent="0.35">
      <c r="C3573" t="s">
        <v>51</v>
      </c>
      <c r="D3573" t="s">
        <v>23</v>
      </c>
      <c r="E3573" t="s">
        <v>49</v>
      </c>
      <c r="F3573" t="s">
        <v>46</v>
      </c>
      <c r="G3573" s="58">
        <v>7700990</v>
      </c>
      <c r="H3573" s="1" t="s">
        <v>47</v>
      </c>
      <c r="I3573" s="1" t="s">
        <v>119</v>
      </c>
      <c r="J3573" s="58">
        <v>53906930</v>
      </c>
      <c r="K3573" s="1" t="s">
        <v>106</v>
      </c>
      <c r="L3573" s="1" t="s">
        <v>124</v>
      </c>
      <c r="N3573" s="1">
        <v>1</v>
      </c>
      <c r="O3573" s="58"/>
      <c r="P3573" s="58">
        <v>1694217.8</v>
      </c>
      <c r="Q3573" t="s">
        <v>107</v>
      </c>
      <c r="R3573" s="1" t="s">
        <v>158</v>
      </c>
    </row>
    <row r="3574" spans="3:18" x14ac:dyDescent="0.35">
      <c r="C3574" t="s">
        <v>51</v>
      </c>
      <c r="D3574" t="s">
        <v>19</v>
      </c>
      <c r="E3574" t="s">
        <v>45</v>
      </c>
      <c r="F3574" t="s">
        <v>46</v>
      </c>
      <c r="G3574" s="58">
        <v>118878</v>
      </c>
      <c r="H3574" s="1" t="s">
        <v>48</v>
      </c>
      <c r="I3574" s="1" t="s">
        <v>111</v>
      </c>
      <c r="J3574" s="58">
        <v>2258682</v>
      </c>
      <c r="K3574" s="1" t="s">
        <v>112</v>
      </c>
      <c r="N3574" s="1">
        <v>1</v>
      </c>
      <c r="O3574" s="58"/>
      <c r="P3574" s="58">
        <v>60627.78</v>
      </c>
      <c r="Q3574" t="s">
        <v>113</v>
      </c>
      <c r="R3574" s="1" t="s">
        <v>158</v>
      </c>
    </row>
    <row r="3575" spans="3:18" x14ac:dyDescent="0.35">
      <c r="C3575" t="s">
        <v>51</v>
      </c>
      <c r="D3575" t="s">
        <v>21</v>
      </c>
      <c r="E3575" t="s">
        <v>49</v>
      </c>
      <c r="F3575" t="s">
        <v>46</v>
      </c>
      <c r="G3575" s="58">
        <v>229129</v>
      </c>
      <c r="H3575" s="1" t="s">
        <v>54</v>
      </c>
      <c r="I3575" s="1" t="s">
        <v>108</v>
      </c>
      <c r="J3575" s="58">
        <v>5728225</v>
      </c>
      <c r="K3575" s="1" t="s">
        <v>106</v>
      </c>
      <c r="L3575" s="1" t="s">
        <v>114</v>
      </c>
      <c r="N3575" s="1">
        <v>1</v>
      </c>
      <c r="O3575" s="58"/>
      <c r="P3575" s="58">
        <v>75612.570000000007</v>
      </c>
      <c r="Q3575" t="s">
        <v>107</v>
      </c>
      <c r="R3575" s="1" t="s">
        <v>158</v>
      </c>
    </row>
    <row r="3576" spans="3:18" x14ac:dyDescent="0.35">
      <c r="C3576" t="s">
        <v>51</v>
      </c>
      <c r="D3576" t="s">
        <v>22</v>
      </c>
      <c r="E3576" t="s">
        <v>55</v>
      </c>
      <c r="F3576" t="s">
        <v>46</v>
      </c>
      <c r="G3576" s="58">
        <v>161663</v>
      </c>
      <c r="H3576" s="1" t="s">
        <v>48</v>
      </c>
      <c r="I3576" s="1" t="s">
        <v>108</v>
      </c>
      <c r="J3576" s="58">
        <v>3718249</v>
      </c>
      <c r="K3576" s="1" t="s">
        <v>106</v>
      </c>
      <c r="L3576" s="1" t="s">
        <v>114</v>
      </c>
      <c r="M3576" s="1" t="s">
        <v>121</v>
      </c>
      <c r="N3576" s="1">
        <v>1</v>
      </c>
      <c r="O3576" s="58"/>
      <c r="P3576" s="58">
        <v>43649.01</v>
      </c>
      <c r="Q3576" t="s">
        <v>107</v>
      </c>
      <c r="R3576" s="1" t="s">
        <v>158</v>
      </c>
    </row>
    <row r="3577" spans="3:18" x14ac:dyDescent="0.35">
      <c r="C3577" t="s">
        <v>53</v>
      </c>
      <c r="D3577" t="s">
        <v>24</v>
      </c>
      <c r="E3577" t="s">
        <v>45</v>
      </c>
      <c r="F3577" t="s">
        <v>46</v>
      </c>
      <c r="G3577" s="58">
        <v>5151834</v>
      </c>
      <c r="H3577" s="1" t="s">
        <v>54</v>
      </c>
      <c r="I3577" s="1" t="s">
        <v>119</v>
      </c>
      <c r="J3577" s="58">
        <v>36062838</v>
      </c>
      <c r="K3577" s="1" t="s">
        <v>106</v>
      </c>
      <c r="L3577" s="1" t="s">
        <v>120</v>
      </c>
      <c r="N3577" s="1">
        <v>1</v>
      </c>
      <c r="O3577" s="58"/>
      <c r="P3577" s="58">
        <v>2318325.2999999998</v>
      </c>
      <c r="Q3577" t="s">
        <v>113</v>
      </c>
      <c r="R3577" s="1" t="s">
        <v>158</v>
      </c>
    </row>
    <row r="3578" spans="3:18" x14ac:dyDescent="0.35">
      <c r="C3578" t="s">
        <v>51</v>
      </c>
      <c r="D3578" t="s">
        <v>22</v>
      </c>
      <c r="E3578" t="s">
        <v>45</v>
      </c>
      <c r="F3578" t="s">
        <v>46</v>
      </c>
      <c r="G3578" s="58">
        <v>697209</v>
      </c>
      <c r="H3578" s="1" t="s">
        <v>59</v>
      </c>
      <c r="I3578" s="1" t="s">
        <v>119</v>
      </c>
      <c r="J3578" s="58">
        <v>5577672</v>
      </c>
      <c r="K3578" s="1" t="s">
        <v>112</v>
      </c>
      <c r="N3578" s="1">
        <v>1</v>
      </c>
      <c r="O3578" s="58"/>
      <c r="P3578" s="58">
        <v>188246.43</v>
      </c>
      <c r="Q3578" t="s">
        <v>107</v>
      </c>
      <c r="R3578" s="1" t="s">
        <v>158</v>
      </c>
    </row>
    <row r="3579" spans="3:18" x14ac:dyDescent="0.35">
      <c r="C3579" t="s">
        <v>51</v>
      </c>
      <c r="D3579" t="s">
        <v>21</v>
      </c>
      <c r="E3579" t="s">
        <v>49</v>
      </c>
      <c r="F3579" t="s">
        <v>46</v>
      </c>
      <c r="G3579" s="58">
        <v>6164853</v>
      </c>
      <c r="H3579" s="1" t="s">
        <v>47</v>
      </c>
      <c r="I3579" s="1" t="s">
        <v>119</v>
      </c>
      <c r="J3579" s="58">
        <v>43153971</v>
      </c>
      <c r="K3579" s="1" t="s">
        <v>106</v>
      </c>
      <c r="L3579" s="1" t="s">
        <v>124</v>
      </c>
      <c r="N3579" s="1">
        <v>1</v>
      </c>
      <c r="O3579" s="58"/>
      <c r="P3579" s="58">
        <v>5610016.2300000004</v>
      </c>
      <c r="Q3579" t="s">
        <v>127</v>
      </c>
      <c r="R3579" s="1" t="s">
        <v>158</v>
      </c>
    </row>
    <row r="3580" spans="3:18" x14ac:dyDescent="0.35">
      <c r="C3580" t="s">
        <v>53</v>
      </c>
      <c r="D3580" t="s">
        <v>21</v>
      </c>
      <c r="E3580" t="s">
        <v>55</v>
      </c>
      <c r="F3580" t="s">
        <v>46</v>
      </c>
      <c r="G3580" s="58">
        <v>349375</v>
      </c>
      <c r="H3580" s="1" t="s">
        <v>47</v>
      </c>
      <c r="I3580" s="1" t="s">
        <v>119</v>
      </c>
      <c r="J3580" s="58">
        <v>2795000</v>
      </c>
      <c r="K3580" s="1" t="s">
        <v>106</v>
      </c>
      <c r="L3580" s="1" t="s">
        <v>114</v>
      </c>
      <c r="N3580" s="1">
        <v>1</v>
      </c>
      <c r="O3580" s="58"/>
      <c r="P3580" s="58">
        <v>90837.5</v>
      </c>
      <c r="Q3580" t="s">
        <v>107</v>
      </c>
      <c r="R3580" s="1" t="s">
        <v>158</v>
      </c>
    </row>
    <row r="3581" spans="3:18" x14ac:dyDescent="0.35">
      <c r="C3581" t="s">
        <v>53</v>
      </c>
      <c r="D3581" t="s">
        <v>91</v>
      </c>
      <c r="E3581" t="s">
        <v>49</v>
      </c>
      <c r="F3581" t="s">
        <v>46</v>
      </c>
      <c r="G3581" s="58">
        <v>116819</v>
      </c>
      <c r="H3581" s="1" t="s">
        <v>47</v>
      </c>
      <c r="I3581" s="1" t="s">
        <v>111</v>
      </c>
      <c r="J3581" s="58">
        <v>1285009</v>
      </c>
      <c r="K3581" s="1" t="s">
        <v>106</v>
      </c>
      <c r="L3581" s="1" t="s">
        <v>124</v>
      </c>
      <c r="N3581" s="1">
        <v>1</v>
      </c>
      <c r="O3581" s="58"/>
      <c r="P3581" s="58">
        <v>110978.05</v>
      </c>
      <c r="Q3581" t="s">
        <v>127</v>
      </c>
      <c r="R3581" s="1" t="s">
        <v>158</v>
      </c>
    </row>
    <row r="3582" spans="3:18" x14ac:dyDescent="0.35">
      <c r="C3582" t="s">
        <v>51</v>
      </c>
      <c r="D3582" t="s">
        <v>25</v>
      </c>
      <c r="E3582" t="s">
        <v>50</v>
      </c>
      <c r="F3582" t="s">
        <v>46</v>
      </c>
      <c r="G3582" s="58">
        <v>1732</v>
      </c>
      <c r="H3582" s="1" t="s">
        <v>59</v>
      </c>
      <c r="I3582" s="1" t="s">
        <v>108</v>
      </c>
      <c r="J3582" s="58">
        <v>34640</v>
      </c>
      <c r="K3582" s="1" t="s">
        <v>106</v>
      </c>
      <c r="L3582" s="1" t="s">
        <v>109</v>
      </c>
      <c r="N3582" s="1">
        <v>1</v>
      </c>
      <c r="O3582" s="58"/>
      <c r="P3582" s="58">
        <v>17.32</v>
      </c>
      <c r="Q3582" t="s">
        <v>107</v>
      </c>
      <c r="R3582" s="1" t="s">
        <v>158</v>
      </c>
    </row>
    <row r="3583" spans="3:18" x14ac:dyDescent="0.35">
      <c r="C3583" t="s">
        <v>51</v>
      </c>
      <c r="D3583" t="s">
        <v>91</v>
      </c>
      <c r="E3583" t="s">
        <v>49</v>
      </c>
      <c r="F3583" t="s">
        <v>46</v>
      </c>
      <c r="G3583" s="58">
        <v>2563152</v>
      </c>
      <c r="H3583" s="1" t="s">
        <v>48</v>
      </c>
      <c r="I3583" s="1" t="s">
        <v>108</v>
      </c>
      <c r="J3583" s="58">
        <v>84584016</v>
      </c>
      <c r="K3583" s="1" t="s">
        <v>106</v>
      </c>
      <c r="L3583" s="1" t="s">
        <v>120</v>
      </c>
      <c r="M3583" s="1" t="s">
        <v>115</v>
      </c>
      <c r="N3583" s="1">
        <v>1</v>
      </c>
      <c r="O3583" s="58"/>
      <c r="P3583" s="58">
        <v>1742943.36</v>
      </c>
      <c r="Q3583" t="s">
        <v>118</v>
      </c>
      <c r="R3583" s="1" t="s">
        <v>158</v>
      </c>
    </row>
    <row r="3584" spans="3:18" x14ac:dyDescent="0.35">
      <c r="C3584" t="s">
        <v>51</v>
      </c>
      <c r="D3584" t="s">
        <v>21</v>
      </c>
      <c r="E3584" t="s">
        <v>49</v>
      </c>
      <c r="F3584" t="s">
        <v>46</v>
      </c>
      <c r="G3584" s="58">
        <v>103881152</v>
      </c>
      <c r="H3584" s="1" t="s">
        <v>54</v>
      </c>
      <c r="I3584" s="1" t="s">
        <v>111</v>
      </c>
      <c r="J3584" s="58">
        <v>1454336128</v>
      </c>
      <c r="K3584" s="1" t="s">
        <v>106</v>
      </c>
      <c r="L3584" s="1" t="s">
        <v>124</v>
      </c>
      <c r="N3584" s="1">
        <v>1</v>
      </c>
      <c r="O3584" s="58"/>
      <c r="P3584" s="58">
        <v>28047911.039999999</v>
      </c>
      <c r="Q3584" t="s">
        <v>107</v>
      </c>
      <c r="R3584" s="1" t="s">
        <v>158</v>
      </c>
    </row>
    <row r="3585" spans="3:18" x14ac:dyDescent="0.35">
      <c r="C3585" t="s">
        <v>53</v>
      </c>
      <c r="D3585" t="s">
        <v>21</v>
      </c>
      <c r="E3585" t="s">
        <v>45</v>
      </c>
      <c r="F3585" t="s">
        <v>46</v>
      </c>
      <c r="G3585" s="58">
        <v>25633490</v>
      </c>
      <c r="H3585" s="1" t="s">
        <v>47</v>
      </c>
      <c r="I3585" s="1" t="s">
        <v>105</v>
      </c>
      <c r="J3585" s="58">
        <v>102533960</v>
      </c>
      <c r="K3585" s="1" t="s">
        <v>106</v>
      </c>
      <c r="L3585" s="1" t="s">
        <v>120</v>
      </c>
      <c r="N3585" s="1">
        <v>1</v>
      </c>
      <c r="O3585" s="58"/>
      <c r="P3585" s="58">
        <v>17943443</v>
      </c>
      <c r="Q3585" t="s">
        <v>118</v>
      </c>
      <c r="R3585" s="1" t="s">
        <v>158</v>
      </c>
    </row>
    <row r="3586" spans="3:18" x14ac:dyDescent="0.35">
      <c r="C3586" t="s">
        <v>51</v>
      </c>
      <c r="D3586" t="s">
        <v>92</v>
      </c>
      <c r="E3586" t="s">
        <v>49</v>
      </c>
      <c r="F3586" t="s">
        <v>46</v>
      </c>
      <c r="G3586" s="58">
        <v>320017</v>
      </c>
      <c r="H3586" s="1" t="s">
        <v>48</v>
      </c>
      <c r="I3586" s="1" t="s">
        <v>111</v>
      </c>
      <c r="J3586" s="58">
        <v>3840204</v>
      </c>
      <c r="K3586" s="1" t="s">
        <v>106</v>
      </c>
      <c r="L3586" s="1" t="s">
        <v>124</v>
      </c>
      <c r="M3586" s="1" t="s">
        <v>126</v>
      </c>
      <c r="N3586" s="1">
        <v>1</v>
      </c>
      <c r="O3586" s="58"/>
      <c r="P3586" s="58">
        <v>64003.4</v>
      </c>
      <c r="Q3586" t="s">
        <v>107</v>
      </c>
      <c r="R3586" s="1" t="s">
        <v>48</v>
      </c>
    </row>
    <row r="3587" spans="3:18" x14ac:dyDescent="0.35">
      <c r="C3587" t="s">
        <v>51</v>
      </c>
      <c r="D3587" t="s">
        <v>23</v>
      </c>
      <c r="E3587" t="s">
        <v>45</v>
      </c>
      <c r="F3587" t="s">
        <v>64</v>
      </c>
      <c r="G3587" s="58">
        <v>1137976</v>
      </c>
      <c r="H3587" s="1" t="s">
        <v>48</v>
      </c>
      <c r="I3587" s="1" t="s">
        <v>108</v>
      </c>
      <c r="J3587" s="58">
        <v>37553208</v>
      </c>
      <c r="K3587" s="1" t="s">
        <v>106</v>
      </c>
      <c r="L3587" s="1" t="s">
        <v>120</v>
      </c>
      <c r="M3587" s="1" t="s">
        <v>125</v>
      </c>
      <c r="N3587" s="1">
        <v>1</v>
      </c>
      <c r="O3587" s="58"/>
      <c r="P3587" s="58">
        <v>694165.36</v>
      </c>
      <c r="Q3587" t="s">
        <v>118</v>
      </c>
      <c r="R3587" s="1" t="s">
        <v>158</v>
      </c>
    </row>
    <row r="3588" spans="3:18" x14ac:dyDescent="0.35">
      <c r="C3588" t="s">
        <v>53</v>
      </c>
      <c r="D3588" t="s">
        <v>23</v>
      </c>
      <c r="E3588" t="s">
        <v>55</v>
      </c>
      <c r="F3588" t="s">
        <v>46</v>
      </c>
      <c r="G3588" s="58">
        <v>1410951</v>
      </c>
      <c r="H3588" s="1" t="s">
        <v>48</v>
      </c>
      <c r="I3588" s="1" t="s">
        <v>105</v>
      </c>
      <c r="J3588" s="58">
        <v>4232853</v>
      </c>
      <c r="K3588" s="1" t="s">
        <v>106</v>
      </c>
      <c r="L3588" s="1" t="s">
        <v>114</v>
      </c>
      <c r="M3588" s="1" t="s">
        <v>125</v>
      </c>
      <c r="N3588" s="1">
        <v>1</v>
      </c>
      <c r="O3588" s="58"/>
      <c r="P3588" s="58">
        <v>437394.81</v>
      </c>
      <c r="Q3588" t="s">
        <v>107</v>
      </c>
      <c r="R3588" s="1" t="s">
        <v>158</v>
      </c>
    </row>
    <row r="3589" spans="3:18" x14ac:dyDescent="0.35">
      <c r="C3589" t="s">
        <v>51</v>
      </c>
      <c r="D3589" t="s">
        <v>92</v>
      </c>
      <c r="E3589" t="s">
        <v>45</v>
      </c>
      <c r="F3589" t="s">
        <v>46</v>
      </c>
      <c r="G3589" s="58">
        <v>185465</v>
      </c>
      <c r="H3589" s="1" t="s">
        <v>54</v>
      </c>
      <c r="I3589" s="1" t="s">
        <v>111</v>
      </c>
      <c r="J3589" s="58">
        <v>2967440</v>
      </c>
      <c r="K3589" s="1" t="s">
        <v>106</v>
      </c>
      <c r="L3589" s="1" t="s">
        <v>120</v>
      </c>
      <c r="N3589" s="1">
        <v>1</v>
      </c>
      <c r="O3589" s="58"/>
      <c r="P3589" s="58">
        <v>92732.5</v>
      </c>
      <c r="Q3589" t="s">
        <v>113</v>
      </c>
      <c r="R3589" s="1" t="s">
        <v>158</v>
      </c>
    </row>
    <row r="3590" spans="3:18" x14ac:dyDescent="0.35">
      <c r="C3590" t="s">
        <v>51</v>
      </c>
      <c r="D3590" t="s">
        <v>22</v>
      </c>
      <c r="E3590" t="s">
        <v>45</v>
      </c>
      <c r="F3590" t="s">
        <v>46</v>
      </c>
      <c r="G3590" s="58">
        <v>5223095</v>
      </c>
      <c r="H3590" s="1" t="s">
        <v>54</v>
      </c>
      <c r="I3590" s="1" t="s">
        <v>105</v>
      </c>
      <c r="J3590" s="58">
        <v>15669285</v>
      </c>
      <c r="K3590" s="1" t="s">
        <v>106</v>
      </c>
      <c r="L3590" s="1" t="s">
        <v>120</v>
      </c>
      <c r="N3590" s="1">
        <v>1</v>
      </c>
      <c r="O3590" s="58"/>
      <c r="P3590" s="58">
        <v>2454854.65</v>
      </c>
      <c r="Q3590" t="s">
        <v>113</v>
      </c>
      <c r="R3590" s="1" t="s">
        <v>158</v>
      </c>
    </row>
    <row r="3591" spans="3:18" x14ac:dyDescent="0.35">
      <c r="C3591" t="s">
        <v>53</v>
      </c>
      <c r="D3591" t="s">
        <v>19</v>
      </c>
      <c r="E3591" t="s">
        <v>49</v>
      </c>
      <c r="F3591" t="s">
        <v>46</v>
      </c>
      <c r="G3591" s="58">
        <v>357581</v>
      </c>
      <c r="H3591" s="1" t="s">
        <v>47</v>
      </c>
      <c r="I3591" s="1" t="s">
        <v>105</v>
      </c>
      <c r="J3591" s="58">
        <v>1787905</v>
      </c>
      <c r="K3591" s="1" t="s">
        <v>106</v>
      </c>
      <c r="L3591" s="1" t="s">
        <v>124</v>
      </c>
      <c r="N3591" s="1">
        <v>1</v>
      </c>
      <c r="O3591" s="58"/>
      <c r="P3591" s="58">
        <v>153759.82999999999</v>
      </c>
      <c r="Q3591" t="s">
        <v>113</v>
      </c>
      <c r="R3591" s="1" t="s">
        <v>158</v>
      </c>
    </row>
    <row r="3592" spans="3:18" x14ac:dyDescent="0.35">
      <c r="C3592" t="s">
        <v>51</v>
      </c>
      <c r="D3592" t="s">
        <v>25</v>
      </c>
      <c r="E3592" t="s">
        <v>55</v>
      </c>
      <c r="F3592" t="s">
        <v>46</v>
      </c>
      <c r="G3592" s="58">
        <v>2996774</v>
      </c>
      <c r="H3592" s="1" t="s">
        <v>54</v>
      </c>
      <c r="I3592" s="1" t="s">
        <v>108</v>
      </c>
      <c r="J3592" s="58">
        <v>98893542</v>
      </c>
      <c r="K3592" s="1" t="s">
        <v>106</v>
      </c>
      <c r="L3592" s="1" t="s">
        <v>114</v>
      </c>
      <c r="N3592" s="1">
        <v>1</v>
      </c>
      <c r="O3592" s="58"/>
      <c r="P3592" s="58">
        <v>2577225.64</v>
      </c>
      <c r="Q3592" t="s">
        <v>127</v>
      </c>
      <c r="R3592" s="1" t="s">
        <v>158</v>
      </c>
    </row>
    <row r="3593" spans="3:18" x14ac:dyDescent="0.35">
      <c r="C3593" t="s">
        <v>51</v>
      </c>
      <c r="D3593" t="s">
        <v>24</v>
      </c>
      <c r="E3593" t="s">
        <v>45</v>
      </c>
      <c r="F3593" t="s">
        <v>46</v>
      </c>
      <c r="G3593" s="58">
        <v>720843</v>
      </c>
      <c r="H3593" s="1" t="s">
        <v>59</v>
      </c>
      <c r="I3593" s="1" t="s">
        <v>105</v>
      </c>
      <c r="J3593" s="58">
        <v>2162529</v>
      </c>
      <c r="K3593" s="1" t="s">
        <v>106</v>
      </c>
      <c r="L3593" s="1" t="s">
        <v>120</v>
      </c>
      <c r="N3593" s="1">
        <v>1</v>
      </c>
      <c r="O3593" s="58"/>
      <c r="P3593" s="58">
        <v>86501.16</v>
      </c>
      <c r="Q3593" t="s">
        <v>107</v>
      </c>
      <c r="R3593" s="1" t="s">
        <v>158</v>
      </c>
    </row>
    <row r="3594" spans="3:18" x14ac:dyDescent="0.35">
      <c r="C3594" t="s">
        <v>51</v>
      </c>
      <c r="D3594" t="s">
        <v>23</v>
      </c>
      <c r="E3594" t="s">
        <v>55</v>
      </c>
      <c r="F3594" t="s">
        <v>46</v>
      </c>
      <c r="G3594" s="58">
        <v>3857434</v>
      </c>
      <c r="H3594" s="1" t="s">
        <v>54</v>
      </c>
      <c r="I3594" s="1" t="s">
        <v>111</v>
      </c>
      <c r="J3594" s="58">
        <v>65576378</v>
      </c>
      <c r="K3594" s="1" t="s">
        <v>106</v>
      </c>
      <c r="L3594" s="1" t="s">
        <v>114</v>
      </c>
      <c r="N3594" s="1">
        <v>1</v>
      </c>
      <c r="O3594" s="58"/>
      <c r="P3594" s="58">
        <v>2738778.14</v>
      </c>
      <c r="Q3594" t="s">
        <v>118</v>
      </c>
      <c r="R3594" s="1" t="s">
        <v>158</v>
      </c>
    </row>
    <row r="3595" spans="3:18" x14ac:dyDescent="0.35">
      <c r="C3595" t="s">
        <v>51</v>
      </c>
      <c r="D3595" t="s">
        <v>23</v>
      </c>
      <c r="E3595" t="s">
        <v>52</v>
      </c>
      <c r="F3595" t="s">
        <v>46</v>
      </c>
      <c r="G3595" s="58">
        <v>32491716</v>
      </c>
      <c r="H3595" s="1" t="s">
        <v>48</v>
      </c>
      <c r="I3595" s="1" t="s">
        <v>108</v>
      </c>
      <c r="J3595" s="58">
        <v>1039734912</v>
      </c>
      <c r="K3595" s="1" t="s">
        <v>106</v>
      </c>
      <c r="L3595" s="1" t="s">
        <v>130</v>
      </c>
      <c r="M3595" s="1" t="s">
        <v>125</v>
      </c>
      <c r="N3595" s="1">
        <v>1</v>
      </c>
      <c r="O3595" s="58"/>
      <c r="P3595" s="58">
        <v>23069118.359999999</v>
      </c>
      <c r="Q3595" t="s">
        <v>118</v>
      </c>
      <c r="R3595" s="1" t="s">
        <v>48</v>
      </c>
    </row>
    <row r="3596" spans="3:18" x14ac:dyDescent="0.35">
      <c r="C3596" t="s">
        <v>51</v>
      </c>
      <c r="D3596" t="s">
        <v>23</v>
      </c>
      <c r="E3596" t="s">
        <v>45</v>
      </c>
      <c r="F3596" t="s">
        <v>46</v>
      </c>
      <c r="G3596" s="58">
        <v>358422602</v>
      </c>
      <c r="H3596" s="1" t="s">
        <v>48</v>
      </c>
      <c r="I3596" s="1" t="s">
        <v>108</v>
      </c>
      <c r="J3596" s="58">
        <v>12186368468</v>
      </c>
      <c r="K3596" s="1" t="s">
        <v>106</v>
      </c>
      <c r="L3596" s="1" t="s">
        <v>120</v>
      </c>
      <c r="M3596" s="1" t="s">
        <v>125</v>
      </c>
      <c r="N3596" s="1">
        <v>1</v>
      </c>
      <c r="O3596" s="58"/>
      <c r="P3596" s="58">
        <v>293906533.63999999</v>
      </c>
      <c r="Q3596" t="s">
        <v>127</v>
      </c>
      <c r="R3596" s="1" t="s">
        <v>158</v>
      </c>
    </row>
    <row r="3597" spans="3:18" x14ac:dyDescent="0.35">
      <c r="C3597" t="s">
        <v>51</v>
      </c>
      <c r="D3597" t="s">
        <v>24</v>
      </c>
      <c r="E3597" t="s">
        <v>55</v>
      </c>
      <c r="F3597" t="s">
        <v>46</v>
      </c>
      <c r="G3597" s="58">
        <v>22106997</v>
      </c>
      <c r="H3597" s="1" t="s">
        <v>54</v>
      </c>
      <c r="I3597" s="1" t="s">
        <v>111</v>
      </c>
      <c r="J3597" s="58">
        <v>353711952</v>
      </c>
      <c r="K3597" s="1" t="s">
        <v>106</v>
      </c>
      <c r="L3597" s="1" t="s">
        <v>114</v>
      </c>
      <c r="N3597" s="1">
        <v>1</v>
      </c>
      <c r="O3597" s="58"/>
      <c r="P3597" s="58">
        <v>11053498.5</v>
      </c>
      <c r="Q3597" t="s">
        <v>113</v>
      </c>
      <c r="R3597" s="1" t="s">
        <v>158</v>
      </c>
    </row>
    <row r="3598" spans="3:18" x14ac:dyDescent="0.35">
      <c r="C3598" t="s">
        <v>51</v>
      </c>
      <c r="D3598" t="s">
        <v>19</v>
      </c>
      <c r="E3598" t="s">
        <v>49</v>
      </c>
      <c r="F3598" t="s">
        <v>46</v>
      </c>
      <c r="G3598" s="58">
        <v>300822</v>
      </c>
      <c r="H3598" s="1" t="s">
        <v>47</v>
      </c>
      <c r="I3598" s="1" t="s">
        <v>111</v>
      </c>
      <c r="J3598" s="58">
        <v>5113974</v>
      </c>
      <c r="K3598" s="1" t="s">
        <v>106</v>
      </c>
      <c r="L3598" s="1" t="s">
        <v>114</v>
      </c>
      <c r="N3598" s="1">
        <v>1</v>
      </c>
      <c r="O3598" s="58"/>
      <c r="P3598" s="58">
        <v>147402.78</v>
      </c>
      <c r="Q3598" t="s">
        <v>113</v>
      </c>
      <c r="R3598" s="1" t="s">
        <v>158</v>
      </c>
    </row>
    <row r="3599" spans="3:18" x14ac:dyDescent="0.35">
      <c r="C3599" t="s">
        <v>51</v>
      </c>
      <c r="D3599" t="s">
        <v>19</v>
      </c>
      <c r="E3599" t="s">
        <v>49</v>
      </c>
      <c r="F3599" t="s">
        <v>46</v>
      </c>
      <c r="G3599" s="58">
        <v>6003277</v>
      </c>
      <c r="H3599" s="1" t="s">
        <v>59</v>
      </c>
      <c r="I3599" s="1" t="s">
        <v>105</v>
      </c>
      <c r="J3599" s="58">
        <v>24013108</v>
      </c>
      <c r="K3599" s="1" t="s">
        <v>106</v>
      </c>
      <c r="L3599" s="1" t="s">
        <v>124</v>
      </c>
      <c r="N3599" s="1">
        <v>1</v>
      </c>
      <c r="O3599" s="58"/>
      <c r="P3599" s="58">
        <v>4802621.5999999996</v>
      </c>
      <c r="Q3599" t="s">
        <v>118</v>
      </c>
      <c r="R3599" s="1" t="s">
        <v>158</v>
      </c>
    </row>
    <row r="3600" spans="3:18" x14ac:dyDescent="0.35">
      <c r="C3600" t="s">
        <v>51</v>
      </c>
      <c r="D3600" t="s">
        <v>20</v>
      </c>
      <c r="E3600" t="s">
        <v>49</v>
      </c>
      <c r="F3600" t="s">
        <v>46</v>
      </c>
      <c r="G3600" s="58">
        <v>8451744</v>
      </c>
      <c r="H3600" s="1" t="s">
        <v>54</v>
      </c>
      <c r="I3600" s="1" t="s">
        <v>111</v>
      </c>
      <c r="J3600" s="58">
        <v>135227904</v>
      </c>
      <c r="K3600" s="1" t="s">
        <v>106</v>
      </c>
      <c r="L3600" s="1" t="s">
        <v>124</v>
      </c>
      <c r="N3600" s="1">
        <v>1</v>
      </c>
      <c r="O3600" s="58"/>
      <c r="P3600" s="58">
        <v>5662668.4800000004</v>
      </c>
      <c r="Q3600" t="s">
        <v>118</v>
      </c>
      <c r="R3600" s="1" t="s">
        <v>158</v>
      </c>
    </row>
    <row r="3601" spans="3:18" x14ac:dyDescent="0.35">
      <c r="C3601" t="s">
        <v>51</v>
      </c>
      <c r="D3601" t="s">
        <v>23</v>
      </c>
      <c r="E3601" t="s">
        <v>45</v>
      </c>
      <c r="F3601" t="s">
        <v>46</v>
      </c>
      <c r="G3601" s="58">
        <v>3068588</v>
      </c>
      <c r="H3601" s="1" t="s">
        <v>47</v>
      </c>
      <c r="I3601" s="1" t="s">
        <v>108</v>
      </c>
      <c r="J3601" s="58">
        <v>98194816</v>
      </c>
      <c r="K3601" s="1" t="s">
        <v>106</v>
      </c>
      <c r="L3601" s="1" t="s">
        <v>124</v>
      </c>
      <c r="N3601" s="1">
        <v>1</v>
      </c>
      <c r="O3601" s="58"/>
      <c r="P3601" s="58">
        <v>1994582.2</v>
      </c>
      <c r="Q3601" t="s">
        <v>118</v>
      </c>
      <c r="R3601" s="1" t="s">
        <v>158</v>
      </c>
    </row>
    <row r="3602" spans="3:18" x14ac:dyDescent="0.35">
      <c r="C3602" t="s">
        <v>51</v>
      </c>
      <c r="D3602" t="s">
        <v>20</v>
      </c>
      <c r="E3602" t="s">
        <v>49</v>
      </c>
      <c r="F3602" t="s">
        <v>46</v>
      </c>
      <c r="G3602" s="58">
        <v>11615110</v>
      </c>
      <c r="H3602" s="1" t="s">
        <v>48</v>
      </c>
      <c r="I3602" s="1" t="s">
        <v>105</v>
      </c>
      <c r="J3602" s="58">
        <v>34845330</v>
      </c>
      <c r="K3602" s="1" t="s">
        <v>106</v>
      </c>
      <c r="L3602" s="1" t="s">
        <v>124</v>
      </c>
      <c r="M3602" s="1" t="s">
        <v>123</v>
      </c>
      <c r="N3602" s="1">
        <v>1</v>
      </c>
      <c r="O3602" s="58"/>
      <c r="P3602" s="58">
        <v>1509964.3</v>
      </c>
      <c r="Q3602" t="s">
        <v>107</v>
      </c>
      <c r="R3602" s="1" t="s">
        <v>158</v>
      </c>
    </row>
    <row r="3603" spans="3:18" x14ac:dyDescent="0.35">
      <c r="C3603" t="s">
        <v>51</v>
      </c>
      <c r="D3603" t="s">
        <v>24</v>
      </c>
      <c r="E3603" t="s">
        <v>50</v>
      </c>
      <c r="F3603" t="s">
        <v>46</v>
      </c>
      <c r="G3603" s="58">
        <v>3161824</v>
      </c>
      <c r="H3603" s="1" t="s">
        <v>47</v>
      </c>
      <c r="I3603" s="1" t="s">
        <v>108</v>
      </c>
      <c r="J3603" s="58">
        <v>98016544</v>
      </c>
      <c r="K3603" s="1" t="s">
        <v>106</v>
      </c>
      <c r="L3603" s="1" t="s">
        <v>109</v>
      </c>
      <c r="N3603" s="1">
        <v>1</v>
      </c>
      <c r="O3603" s="58"/>
      <c r="P3603" s="58">
        <v>3920661.76</v>
      </c>
      <c r="Q3603" t="s">
        <v>110</v>
      </c>
      <c r="R3603" s="1" t="s">
        <v>158</v>
      </c>
    </row>
    <row r="3604" spans="3:18" x14ac:dyDescent="0.35">
      <c r="C3604" t="s">
        <v>51</v>
      </c>
      <c r="D3604" t="s">
        <v>23</v>
      </c>
      <c r="E3604" t="s">
        <v>50</v>
      </c>
      <c r="F3604" t="s">
        <v>64</v>
      </c>
      <c r="G3604" s="58">
        <v>1041870</v>
      </c>
      <c r="H3604" s="1" t="s">
        <v>48</v>
      </c>
      <c r="I3604" s="1" t="s">
        <v>108</v>
      </c>
      <c r="J3604" s="58">
        <v>37507320</v>
      </c>
      <c r="K3604" s="1" t="s">
        <v>112</v>
      </c>
      <c r="N3604" s="1">
        <v>1</v>
      </c>
      <c r="O3604" s="58"/>
      <c r="P3604" s="58">
        <v>843914.7</v>
      </c>
      <c r="Q3604" t="s">
        <v>127</v>
      </c>
      <c r="R3604" s="1" t="s">
        <v>48</v>
      </c>
    </row>
    <row r="3605" spans="3:18" x14ac:dyDescent="0.35">
      <c r="C3605" t="s">
        <v>51</v>
      </c>
      <c r="D3605" t="s">
        <v>92</v>
      </c>
      <c r="E3605" t="s">
        <v>49</v>
      </c>
      <c r="F3605" t="s">
        <v>46</v>
      </c>
      <c r="G3605" s="58">
        <v>85768899</v>
      </c>
      <c r="H3605" s="1" t="s">
        <v>47</v>
      </c>
      <c r="I3605" s="1" t="s">
        <v>108</v>
      </c>
      <c r="J3605" s="58">
        <v>2401529172</v>
      </c>
      <c r="K3605" s="1" t="s">
        <v>106</v>
      </c>
      <c r="L3605" s="1" t="s">
        <v>124</v>
      </c>
      <c r="N3605" s="1">
        <v>1</v>
      </c>
      <c r="O3605" s="58"/>
      <c r="P3605" s="58">
        <v>58322851.32</v>
      </c>
      <c r="Q3605" t="s">
        <v>118</v>
      </c>
      <c r="R3605" s="1" t="s">
        <v>158</v>
      </c>
    </row>
    <row r="3606" spans="3:18" x14ac:dyDescent="0.35">
      <c r="C3606" t="s">
        <v>51</v>
      </c>
      <c r="D3606" t="s">
        <v>21</v>
      </c>
      <c r="E3606" t="s">
        <v>49</v>
      </c>
      <c r="F3606" t="s">
        <v>46</v>
      </c>
      <c r="G3606" s="58">
        <v>5553756</v>
      </c>
      <c r="H3606" s="1" t="s">
        <v>47</v>
      </c>
      <c r="I3606" s="1" t="s">
        <v>119</v>
      </c>
      <c r="J3606" s="58">
        <v>38876292</v>
      </c>
      <c r="K3606" s="1" t="s">
        <v>106</v>
      </c>
      <c r="L3606" s="1" t="s">
        <v>120</v>
      </c>
      <c r="N3606" s="1">
        <v>1</v>
      </c>
      <c r="O3606" s="58"/>
      <c r="P3606" s="58">
        <v>1277363.8799999999</v>
      </c>
      <c r="Q3606" t="s">
        <v>107</v>
      </c>
      <c r="R3606" s="1" t="s">
        <v>158</v>
      </c>
    </row>
    <row r="3607" spans="3:18" x14ac:dyDescent="0.35">
      <c r="C3607" t="s">
        <v>51</v>
      </c>
      <c r="D3607" t="s">
        <v>25</v>
      </c>
      <c r="E3607" t="s">
        <v>45</v>
      </c>
      <c r="F3607" t="s">
        <v>46</v>
      </c>
      <c r="G3607" s="58">
        <v>1885493</v>
      </c>
      <c r="H3607" s="1" t="s">
        <v>47</v>
      </c>
      <c r="I3607" s="1" t="s">
        <v>108</v>
      </c>
      <c r="J3607" s="58">
        <v>58450283</v>
      </c>
      <c r="K3607" s="1" t="s">
        <v>106</v>
      </c>
      <c r="L3607" s="1" t="s">
        <v>120</v>
      </c>
      <c r="N3607" s="1">
        <v>1</v>
      </c>
      <c r="O3607" s="58"/>
      <c r="P3607" s="58">
        <v>1282135.24</v>
      </c>
      <c r="Q3607" t="s">
        <v>118</v>
      </c>
      <c r="R3607" s="1" t="s">
        <v>158</v>
      </c>
    </row>
    <row r="3608" spans="3:18" x14ac:dyDescent="0.35">
      <c r="C3608" t="s">
        <v>53</v>
      </c>
      <c r="D3608" t="s">
        <v>21</v>
      </c>
      <c r="E3608" t="s">
        <v>49</v>
      </c>
      <c r="F3608" t="s">
        <v>46</v>
      </c>
      <c r="G3608" s="58">
        <v>682000</v>
      </c>
      <c r="H3608" s="1" t="s">
        <v>54</v>
      </c>
      <c r="I3608" s="1" t="s">
        <v>105</v>
      </c>
      <c r="J3608" s="58">
        <v>2728000</v>
      </c>
      <c r="K3608" s="1" t="s">
        <v>106</v>
      </c>
      <c r="L3608" s="1" t="s">
        <v>124</v>
      </c>
      <c r="N3608" s="1">
        <v>1</v>
      </c>
      <c r="O3608" s="58"/>
      <c r="P3608" s="58">
        <v>1023000</v>
      </c>
      <c r="Q3608" t="s">
        <v>110</v>
      </c>
      <c r="R3608" s="1" t="s">
        <v>158</v>
      </c>
    </row>
    <row r="3609" spans="3:18" x14ac:dyDescent="0.35">
      <c r="C3609" t="s">
        <v>51</v>
      </c>
      <c r="D3609" t="s">
        <v>21</v>
      </c>
      <c r="E3609" t="s">
        <v>49</v>
      </c>
      <c r="F3609" t="s">
        <v>46</v>
      </c>
      <c r="G3609" s="58">
        <v>276257</v>
      </c>
      <c r="H3609" s="1" t="s">
        <v>58</v>
      </c>
      <c r="I3609" s="1" t="s">
        <v>108</v>
      </c>
      <c r="J3609" s="58">
        <v>5801397</v>
      </c>
      <c r="K3609" s="1" t="s">
        <v>106</v>
      </c>
      <c r="L3609" s="1" t="s">
        <v>124</v>
      </c>
      <c r="N3609" s="1">
        <v>1</v>
      </c>
      <c r="O3609" s="58"/>
      <c r="P3609" s="58">
        <v>157466.49</v>
      </c>
      <c r="Q3609" t="s">
        <v>113</v>
      </c>
      <c r="R3609" s="1" t="s">
        <v>158</v>
      </c>
    </row>
    <row r="3610" spans="3:18" x14ac:dyDescent="0.35">
      <c r="C3610" t="s">
        <v>51</v>
      </c>
      <c r="D3610" t="s">
        <v>92</v>
      </c>
      <c r="E3610" t="s">
        <v>49</v>
      </c>
      <c r="F3610" t="s">
        <v>46</v>
      </c>
      <c r="G3610" s="58">
        <v>233232</v>
      </c>
      <c r="H3610" s="1" t="s">
        <v>48</v>
      </c>
      <c r="I3610" s="1" t="s">
        <v>108</v>
      </c>
      <c r="J3610" s="58">
        <v>8163120</v>
      </c>
      <c r="K3610" s="1" t="s">
        <v>106</v>
      </c>
      <c r="L3610" s="1" t="s">
        <v>120</v>
      </c>
      <c r="M3610" s="1" t="s">
        <v>123</v>
      </c>
      <c r="N3610" s="1">
        <v>1</v>
      </c>
      <c r="O3610" s="58"/>
      <c r="P3610" s="58">
        <v>118948.32</v>
      </c>
      <c r="Q3610" t="s">
        <v>113</v>
      </c>
      <c r="R3610" s="1" t="s">
        <v>158</v>
      </c>
    </row>
    <row r="3611" spans="3:18" x14ac:dyDescent="0.35">
      <c r="C3611" t="s">
        <v>51</v>
      </c>
      <c r="D3611" t="s">
        <v>23</v>
      </c>
      <c r="E3611" t="s">
        <v>52</v>
      </c>
      <c r="F3611" t="s">
        <v>46</v>
      </c>
      <c r="G3611" s="58">
        <v>254558</v>
      </c>
      <c r="H3611" s="1" t="s">
        <v>48</v>
      </c>
      <c r="I3611" s="1" t="s">
        <v>111</v>
      </c>
      <c r="J3611" s="58">
        <v>4327486</v>
      </c>
      <c r="K3611" s="1" t="s">
        <v>112</v>
      </c>
      <c r="N3611" s="1">
        <v>1</v>
      </c>
      <c r="O3611" s="58"/>
      <c r="P3611" s="58">
        <v>56002.76</v>
      </c>
      <c r="Q3611" t="s">
        <v>107</v>
      </c>
      <c r="R3611" s="1" t="s">
        <v>48</v>
      </c>
    </row>
    <row r="3612" spans="3:18" x14ac:dyDescent="0.35">
      <c r="C3612" t="s">
        <v>51</v>
      </c>
      <c r="D3612" t="s">
        <v>23</v>
      </c>
      <c r="E3612" t="s">
        <v>50</v>
      </c>
      <c r="F3612" t="s">
        <v>46</v>
      </c>
      <c r="G3612" s="58">
        <v>114272</v>
      </c>
      <c r="H3612" s="1" t="s">
        <v>47</v>
      </c>
      <c r="I3612" s="1" t="s">
        <v>108</v>
      </c>
      <c r="J3612" s="58">
        <v>2856800</v>
      </c>
      <c r="K3612" s="1" t="s">
        <v>112</v>
      </c>
      <c r="N3612" s="1">
        <v>1</v>
      </c>
      <c r="O3612" s="58"/>
      <c r="P3612" s="58">
        <v>25139.84</v>
      </c>
      <c r="Q3612" t="s">
        <v>107</v>
      </c>
      <c r="R3612" s="1" t="s">
        <v>158</v>
      </c>
    </row>
    <row r="3613" spans="3:18" x14ac:dyDescent="0.35">
      <c r="C3613" t="s">
        <v>51</v>
      </c>
      <c r="D3613" t="s">
        <v>22</v>
      </c>
      <c r="E3613" t="s">
        <v>55</v>
      </c>
      <c r="F3613" t="s">
        <v>46</v>
      </c>
      <c r="G3613" s="58">
        <v>10057400</v>
      </c>
      <c r="H3613" s="1" t="s">
        <v>48</v>
      </c>
      <c r="I3613" s="1" t="s">
        <v>108</v>
      </c>
      <c r="J3613" s="58">
        <v>382181200</v>
      </c>
      <c r="K3613" s="1" t="s">
        <v>112</v>
      </c>
      <c r="N3613" s="1">
        <v>1</v>
      </c>
      <c r="O3613" s="58"/>
      <c r="P3613" s="58">
        <v>10057400</v>
      </c>
      <c r="Q3613" t="s">
        <v>110</v>
      </c>
      <c r="R3613" s="1" t="s">
        <v>48</v>
      </c>
    </row>
    <row r="3614" spans="3:18" x14ac:dyDescent="0.35">
      <c r="C3614" t="s">
        <v>51</v>
      </c>
      <c r="D3614" t="s">
        <v>22</v>
      </c>
      <c r="E3614" t="s">
        <v>55</v>
      </c>
      <c r="F3614" t="s">
        <v>46</v>
      </c>
      <c r="G3614" s="58">
        <v>1127388</v>
      </c>
      <c r="H3614" s="1" t="s">
        <v>48</v>
      </c>
      <c r="I3614" s="1" t="s">
        <v>111</v>
      </c>
      <c r="J3614" s="58">
        <v>18038208</v>
      </c>
      <c r="K3614" s="1" t="s">
        <v>112</v>
      </c>
      <c r="N3614" s="1">
        <v>1</v>
      </c>
      <c r="O3614" s="58"/>
      <c r="P3614" s="58">
        <v>270573.12</v>
      </c>
      <c r="Q3614" t="s">
        <v>107</v>
      </c>
      <c r="R3614" s="1" t="s">
        <v>48</v>
      </c>
    </row>
    <row r="3615" spans="3:18" x14ac:dyDescent="0.35">
      <c r="C3615" t="s">
        <v>51</v>
      </c>
      <c r="D3615" t="s">
        <v>19</v>
      </c>
      <c r="E3615" t="s">
        <v>49</v>
      </c>
      <c r="F3615" t="s">
        <v>46</v>
      </c>
      <c r="G3615" s="58">
        <v>260833</v>
      </c>
      <c r="H3615" s="1" t="s">
        <v>48</v>
      </c>
      <c r="I3615" s="1" t="s">
        <v>108</v>
      </c>
      <c r="J3615" s="58">
        <v>7824990</v>
      </c>
      <c r="K3615" s="1" t="s">
        <v>106</v>
      </c>
      <c r="L3615" s="1" t="s">
        <v>120</v>
      </c>
      <c r="M3615" s="1" t="s">
        <v>122</v>
      </c>
      <c r="N3615" s="1">
        <v>1</v>
      </c>
      <c r="O3615" s="58"/>
      <c r="P3615" s="58">
        <v>153891.47</v>
      </c>
      <c r="Q3615" t="s">
        <v>113</v>
      </c>
      <c r="R3615" s="1" t="s">
        <v>158</v>
      </c>
    </row>
    <row r="3616" spans="3:18" x14ac:dyDescent="0.35">
      <c r="C3616" t="s">
        <v>53</v>
      </c>
      <c r="D3616" t="s">
        <v>24</v>
      </c>
      <c r="E3616" t="s">
        <v>55</v>
      </c>
      <c r="F3616" t="s">
        <v>46</v>
      </c>
      <c r="G3616" s="58">
        <v>299667</v>
      </c>
      <c r="H3616" s="1" t="s">
        <v>54</v>
      </c>
      <c r="I3616" s="1" t="s">
        <v>111</v>
      </c>
      <c r="J3616" s="58">
        <v>4195338</v>
      </c>
      <c r="K3616" s="1" t="s">
        <v>106</v>
      </c>
      <c r="L3616" s="1" t="s">
        <v>120</v>
      </c>
      <c r="N3616" s="1">
        <v>1</v>
      </c>
      <c r="O3616" s="58"/>
      <c r="P3616" s="58">
        <v>218756.91</v>
      </c>
      <c r="Q3616" t="s">
        <v>118</v>
      </c>
      <c r="R3616" s="1" t="s">
        <v>158</v>
      </c>
    </row>
    <row r="3617" spans="3:18" x14ac:dyDescent="0.35">
      <c r="C3617" t="s">
        <v>51</v>
      </c>
      <c r="D3617" t="s">
        <v>92</v>
      </c>
      <c r="E3617" t="s">
        <v>49</v>
      </c>
      <c r="F3617" t="s">
        <v>46</v>
      </c>
      <c r="G3617" s="58">
        <v>1923262</v>
      </c>
      <c r="H3617" s="1" t="s">
        <v>56</v>
      </c>
      <c r="I3617" s="1" t="s">
        <v>108</v>
      </c>
      <c r="J3617" s="58">
        <v>61544384</v>
      </c>
      <c r="K3617" s="1" t="s">
        <v>112</v>
      </c>
      <c r="N3617" s="1">
        <v>1</v>
      </c>
      <c r="O3617" s="58"/>
      <c r="P3617" s="58">
        <v>1365516.02</v>
      </c>
      <c r="Q3617" t="s">
        <v>118</v>
      </c>
      <c r="R3617" s="1" t="s">
        <v>158</v>
      </c>
    </row>
    <row r="3618" spans="3:18" x14ac:dyDescent="0.35">
      <c r="C3618" t="s">
        <v>51</v>
      </c>
      <c r="D3618" t="s">
        <v>21</v>
      </c>
      <c r="E3618" t="s">
        <v>49</v>
      </c>
      <c r="F3618" t="s">
        <v>46</v>
      </c>
      <c r="G3618" s="58">
        <v>258888</v>
      </c>
      <c r="H3618" s="1" t="s">
        <v>48</v>
      </c>
      <c r="I3618" s="1" t="s">
        <v>108</v>
      </c>
      <c r="J3618" s="58">
        <v>7507752</v>
      </c>
      <c r="K3618" s="1" t="s">
        <v>106</v>
      </c>
      <c r="L3618" s="1" t="s">
        <v>116</v>
      </c>
      <c r="M3618" s="1" t="s">
        <v>129</v>
      </c>
      <c r="N3618" s="1">
        <v>1</v>
      </c>
      <c r="O3618" s="58"/>
      <c r="P3618" s="58">
        <v>62133.120000000003</v>
      </c>
      <c r="Q3618" t="s">
        <v>107</v>
      </c>
      <c r="R3618" s="1" t="s">
        <v>158</v>
      </c>
    </row>
    <row r="3619" spans="3:18" x14ac:dyDescent="0.35">
      <c r="C3619" t="s">
        <v>51</v>
      </c>
      <c r="D3619" t="s">
        <v>92</v>
      </c>
      <c r="E3619" t="s">
        <v>49</v>
      </c>
      <c r="F3619" t="s">
        <v>46</v>
      </c>
      <c r="G3619" s="58">
        <v>535245</v>
      </c>
      <c r="H3619" s="1" t="s">
        <v>59</v>
      </c>
      <c r="I3619" s="1" t="s">
        <v>111</v>
      </c>
      <c r="J3619" s="58">
        <v>6958185</v>
      </c>
      <c r="K3619" s="1" t="s">
        <v>112</v>
      </c>
      <c r="N3619" s="1">
        <v>1</v>
      </c>
      <c r="O3619" s="58"/>
      <c r="P3619" s="58">
        <v>139163.70000000001</v>
      </c>
      <c r="Q3619" t="s">
        <v>107</v>
      </c>
      <c r="R3619" s="1" t="s">
        <v>158</v>
      </c>
    </row>
    <row r="3620" spans="3:18" x14ac:dyDescent="0.35">
      <c r="C3620" t="s">
        <v>51</v>
      </c>
      <c r="D3620" t="s">
        <v>21</v>
      </c>
      <c r="E3620" t="s">
        <v>45</v>
      </c>
      <c r="F3620" t="s">
        <v>46</v>
      </c>
      <c r="G3620" s="58">
        <v>277688</v>
      </c>
      <c r="H3620" s="1" t="s">
        <v>48</v>
      </c>
      <c r="I3620" s="1" t="s">
        <v>119</v>
      </c>
      <c r="J3620" s="58">
        <v>2776880</v>
      </c>
      <c r="K3620" s="1" t="s">
        <v>112</v>
      </c>
      <c r="N3620" s="1">
        <v>1</v>
      </c>
      <c r="O3620" s="58"/>
      <c r="P3620" s="58">
        <v>88860.160000000003</v>
      </c>
      <c r="Q3620" t="s">
        <v>107</v>
      </c>
      <c r="R3620" s="1" t="s">
        <v>48</v>
      </c>
    </row>
    <row r="3621" spans="3:18" x14ac:dyDescent="0.35">
      <c r="C3621" t="s">
        <v>51</v>
      </c>
      <c r="D3621" t="s">
        <v>21</v>
      </c>
      <c r="E3621" t="s">
        <v>49</v>
      </c>
      <c r="F3621" t="s">
        <v>46</v>
      </c>
      <c r="G3621" s="58">
        <v>314391</v>
      </c>
      <c r="H3621" s="1" t="s">
        <v>58</v>
      </c>
      <c r="I3621" s="1" t="s">
        <v>111</v>
      </c>
      <c r="J3621" s="58">
        <v>4087083</v>
      </c>
      <c r="K3621" s="1" t="s">
        <v>106</v>
      </c>
      <c r="L3621" s="1" t="s">
        <v>124</v>
      </c>
      <c r="N3621" s="1">
        <v>1</v>
      </c>
      <c r="O3621" s="58"/>
      <c r="P3621" s="58">
        <v>0</v>
      </c>
      <c r="Q3621" t="s">
        <v>107</v>
      </c>
      <c r="R3621" s="1" t="s">
        <v>158</v>
      </c>
    </row>
    <row r="3622" spans="3:18" x14ac:dyDescent="0.35">
      <c r="C3622" t="s">
        <v>51</v>
      </c>
      <c r="D3622" t="s">
        <v>22</v>
      </c>
      <c r="E3622" t="s">
        <v>45</v>
      </c>
      <c r="F3622" t="s">
        <v>46</v>
      </c>
      <c r="G3622" s="58">
        <v>59732463</v>
      </c>
      <c r="H3622" s="1" t="s">
        <v>54</v>
      </c>
      <c r="I3622" s="1" t="s">
        <v>111</v>
      </c>
      <c r="J3622" s="58">
        <v>836254482</v>
      </c>
      <c r="K3622" s="1" t="s">
        <v>106</v>
      </c>
      <c r="L3622" s="1" t="s">
        <v>120</v>
      </c>
      <c r="N3622" s="1">
        <v>1</v>
      </c>
      <c r="O3622" s="58"/>
      <c r="P3622" s="58">
        <v>16127765.01</v>
      </c>
      <c r="Q3622" t="s">
        <v>107</v>
      </c>
      <c r="R3622" s="1" t="s">
        <v>158</v>
      </c>
    </row>
    <row r="3623" spans="3:18" x14ac:dyDescent="0.35">
      <c r="C3623" t="s">
        <v>51</v>
      </c>
      <c r="D3623" t="s">
        <v>91</v>
      </c>
      <c r="E3623" t="s">
        <v>45</v>
      </c>
      <c r="F3623" t="s">
        <v>46</v>
      </c>
      <c r="G3623" s="58">
        <v>23402571</v>
      </c>
      <c r="H3623" s="1" t="s">
        <v>48</v>
      </c>
      <c r="I3623" s="1" t="s">
        <v>108</v>
      </c>
      <c r="J3623" s="58">
        <v>748882272</v>
      </c>
      <c r="K3623" s="1" t="s">
        <v>106</v>
      </c>
      <c r="L3623" s="1" t="s">
        <v>120</v>
      </c>
      <c r="M3623" s="1" t="s">
        <v>122</v>
      </c>
      <c r="N3623" s="1">
        <v>1</v>
      </c>
      <c r="O3623" s="58"/>
      <c r="P3623" s="58">
        <v>16615825.41</v>
      </c>
      <c r="Q3623" t="s">
        <v>118</v>
      </c>
      <c r="R3623" s="1" t="s">
        <v>158</v>
      </c>
    </row>
    <row r="3624" spans="3:18" x14ac:dyDescent="0.35">
      <c r="C3624" t="s">
        <v>51</v>
      </c>
      <c r="D3624" t="s">
        <v>22</v>
      </c>
      <c r="E3624" t="s">
        <v>55</v>
      </c>
      <c r="F3624" t="s">
        <v>46</v>
      </c>
      <c r="G3624" s="58">
        <v>6639703</v>
      </c>
      <c r="H3624" s="1" t="s">
        <v>48</v>
      </c>
      <c r="I3624" s="1" t="s">
        <v>111</v>
      </c>
      <c r="J3624" s="58">
        <v>112874951</v>
      </c>
      <c r="K3624" s="1" t="s">
        <v>106</v>
      </c>
      <c r="L3624" s="1" t="s">
        <v>114</v>
      </c>
      <c r="M3624" s="1" t="s">
        <v>115</v>
      </c>
      <c r="N3624" s="1">
        <v>1</v>
      </c>
      <c r="O3624" s="58"/>
      <c r="P3624" s="58">
        <v>3319851.5</v>
      </c>
      <c r="Q3624" t="s">
        <v>113</v>
      </c>
      <c r="R3624" s="1" t="s">
        <v>48</v>
      </c>
    </row>
    <row r="3625" spans="3:18" x14ac:dyDescent="0.35">
      <c r="C3625" t="s">
        <v>53</v>
      </c>
      <c r="D3625" t="s">
        <v>92</v>
      </c>
      <c r="E3625" t="s">
        <v>55</v>
      </c>
      <c r="F3625" t="s">
        <v>46</v>
      </c>
      <c r="G3625" s="58">
        <v>378583</v>
      </c>
      <c r="H3625" s="1" t="s">
        <v>48</v>
      </c>
      <c r="I3625" s="1" t="s">
        <v>105</v>
      </c>
      <c r="J3625" s="58">
        <v>378583</v>
      </c>
      <c r="K3625" s="1" t="s">
        <v>106</v>
      </c>
      <c r="L3625" s="1" t="s">
        <v>114</v>
      </c>
      <c r="M3625" s="1" t="s">
        <v>123</v>
      </c>
      <c r="N3625" s="1">
        <v>1</v>
      </c>
      <c r="O3625" s="58"/>
      <c r="P3625" s="58">
        <v>11357.49</v>
      </c>
      <c r="Q3625" t="s">
        <v>107</v>
      </c>
      <c r="R3625" s="1" t="s">
        <v>158</v>
      </c>
    </row>
    <row r="3626" spans="3:18" x14ac:dyDescent="0.35">
      <c r="C3626" t="s">
        <v>53</v>
      </c>
      <c r="D3626" t="s">
        <v>20</v>
      </c>
      <c r="E3626" t="s">
        <v>45</v>
      </c>
      <c r="F3626" t="s">
        <v>46</v>
      </c>
      <c r="G3626" s="58">
        <v>5105834</v>
      </c>
      <c r="H3626" s="1" t="s">
        <v>56</v>
      </c>
      <c r="I3626" s="1" t="s">
        <v>105</v>
      </c>
      <c r="J3626" s="58">
        <v>20423336</v>
      </c>
      <c r="K3626" s="1" t="s">
        <v>106</v>
      </c>
      <c r="L3626" s="1" t="s">
        <v>120</v>
      </c>
      <c r="N3626" s="1">
        <v>1</v>
      </c>
      <c r="O3626" s="58"/>
      <c r="P3626" s="58">
        <v>1378575.18</v>
      </c>
      <c r="Q3626" t="s">
        <v>107</v>
      </c>
      <c r="R3626" s="1" t="s">
        <v>158</v>
      </c>
    </row>
    <row r="3627" spans="3:18" x14ac:dyDescent="0.35">
      <c r="C3627" t="s">
        <v>51</v>
      </c>
      <c r="D3627" t="s">
        <v>92</v>
      </c>
      <c r="E3627" t="s">
        <v>49</v>
      </c>
      <c r="F3627" t="s">
        <v>46</v>
      </c>
      <c r="G3627" s="58">
        <v>3799437</v>
      </c>
      <c r="H3627" s="1" t="s">
        <v>56</v>
      </c>
      <c r="I3627" s="1" t="s">
        <v>119</v>
      </c>
      <c r="J3627" s="58">
        <v>26596059</v>
      </c>
      <c r="K3627" s="1" t="s">
        <v>106</v>
      </c>
      <c r="L3627" s="1" t="s">
        <v>124</v>
      </c>
      <c r="N3627" s="1">
        <v>1</v>
      </c>
      <c r="O3627" s="58"/>
      <c r="P3627" s="58">
        <v>2469634.0499999998</v>
      </c>
      <c r="Q3627" t="s">
        <v>118</v>
      </c>
      <c r="R3627" s="1" t="s">
        <v>158</v>
      </c>
    </row>
    <row r="3628" spans="3:18" x14ac:dyDescent="0.35">
      <c r="C3628" t="s">
        <v>51</v>
      </c>
      <c r="D3628" t="s">
        <v>22</v>
      </c>
      <c r="E3628" t="s">
        <v>45</v>
      </c>
      <c r="F3628" t="s">
        <v>46</v>
      </c>
      <c r="G3628" s="58">
        <v>94799500</v>
      </c>
      <c r="H3628" s="1" t="s">
        <v>48</v>
      </c>
      <c r="I3628" s="1" t="s">
        <v>111</v>
      </c>
      <c r="J3628" s="58">
        <v>1611591500</v>
      </c>
      <c r="K3628" s="1" t="s">
        <v>106</v>
      </c>
      <c r="L3628" s="1" t="s">
        <v>120</v>
      </c>
      <c r="M3628" s="1" t="s">
        <v>115</v>
      </c>
      <c r="N3628" s="1">
        <v>1</v>
      </c>
      <c r="O3628" s="58"/>
      <c r="P3628" s="58">
        <v>64463660</v>
      </c>
      <c r="Q3628" t="s">
        <v>118</v>
      </c>
      <c r="R3628" s="1" t="s">
        <v>158</v>
      </c>
    </row>
    <row r="3629" spans="3:18" x14ac:dyDescent="0.35">
      <c r="C3629" t="s">
        <v>51</v>
      </c>
      <c r="D3629" t="s">
        <v>22</v>
      </c>
      <c r="E3629" t="s">
        <v>49</v>
      </c>
      <c r="F3629" t="s">
        <v>46</v>
      </c>
      <c r="G3629" s="58">
        <v>1056113</v>
      </c>
      <c r="H3629" s="1" t="s">
        <v>56</v>
      </c>
      <c r="I3629" s="1" t="s">
        <v>108</v>
      </c>
      <c r="J3629" s="58">
        <v>28515051</v>
      </c>
      <c r="K3629" s="1" t="s">
        <v>112</v>
      </c>
      <c r="N3629" s="1">
        <v>1</v>
      </c>
      <c r="O3629" s="58"/>
      <c r="P3629" s="58">
        <v>528056.5</v>
      </c>
      <c r="Q3629" t="s">
        <v>113</v>
      </c>
      <c r="R3629" s="1" t="s">
        <v>158</v>
      </c>
    </row>
    <row r="3630" spans="3:18" x14ac:dyDescent="0.35">
      <c r="C3630" t="s">
        <v>51</v>
      </c>
      <c r="D3630" t="s">
        <v>21</v>
      </c>
      <c r="E3630" t="s">
        <v>45</v>
      </c>
      <c r="F3630" t="s">
        <v>46</v>
      </c>
      <c r="G3630" s="58">
        <v>3109006</v>
      </c>
      <c r="H3630" s="1" t="s">
        <v>48</v>
      </c>
      <c r="I3630" s="1" t="s">
        <v>108</v>
      </c>
      <c r="J3630" s="58">
        <v>115033222</v>
      </c>
      <c r="K3630" s="1" t="s">
        <v>112</v>
      </c>
      <c r="N3630" s="1">
        <v>1</v>
      </c>
      <c r="O3630" s="58"/>
      <c r="P3630" s="58">
        <v>2704835.22</v>
      </c>
      <c r="Q3630" t="s">
        <v>127</v>
      </c>
      <c r="R3630" s="1" t="s">
        <v>158</v>
      </c>
    </row>
    <row r="3631" spans="3:18" x14ac:dyDescent="0.35">
      <c r="C3631" t="s">
        <v>51</v>
      </c>
      <c r="D3631" t="s">
        <v>21</v>
      </c>
      <c r="E3631" t="s">
        <v>45</v>
      </c>
      <c r="F3631" t="s">
        <v>46</v>
      </c>
      <c r="G3631" s="58">
        <v>465184</v>
      </c>
      <c r="H3631" s="1" t="s">
        <v>48</v>
      </c>
      <c r="I3631" s="1" t="s">
        <v>111</v>
      </c>
      <c r="J3631" s="58">
        <v>8373312</v>
      </c>
      <c r="K3631" s="1" t="s">
        <v>106</v>
      </c>
      <c r="L3631" s="1" t="s">
        <v>124</v>
      </c>
      <c r="M3631" s="1" t="s">
        <v>126</v>
      </c>
      <c r="N3631" s="1">
        <v>1</v>
      </c>
      <c r="O3631" s="58"/>
      <c r="P3631" s="58">
        <v>381450.88</v>
      </c>
      <c r="Q3631" t="s">
        <v>127</v>
      </c>
      <c r="R3631" s="1" t="s">
        <v>48</v>
      </c>
    </row>
    <row r="3632" spans="3:18" x14ac:dyDescent="0.35">
      <c r="C3632" t="s">
        <v>51</v>
      </c>
      <c r="D3632" t="s">
        <v>23</v>
      </c>
      <c r="E3632" t="s">
        <v>52</v>
      </c>
      <c r="F3632" t="s">
        <v>64</v>
      </c>
      <c r="G3632" s="58">
        <v>431040</v>
      </c>
      <c r="H3632" s="1" t="s">
        <v>48</v>
      </c>
      <c r="I3632" s="1" t="s">
        <v>108</v>
      </c>
      <c r="J3632" s="58">
        <v>14224320</v>
      </c>
      <c r="K3632" s="1" t="s">
        <v>112</v>
      </c>
      <c r="N3632" s="1">
        <v>1</v>
      </c>
      <c r="O3632" s="58"/>
      <c r="P3632" s="58">
        <v>310348.79999999999</v>
      </c>
      <c r="Q3632" t="s">
        <v>118</v>
      </c>
      <c r="R3632" s="1" t="s">
        <v>48</v>
      </c>
    </row>
    <row r="3633" spans="3:18" x14ac:dyDescent="0.35">
      <c r="C3633" t="s">
        <v>51</v>
      </c>
      <c r="D3633" t="s">
        <v>24</v>
      </c>
      <c r="E3633" t="s">
        <v>62</v>
      </c>
      <c r="F3633" t="s">
        <v>46</v>
      </c>
      <c r="G3633" s="58">
        <v>84117</v>
      </c>
      <c r="H3633" s="1" t="s">
        <v>48</v>
      </c>
      <c r="I3633" s="1" t="s">
        <v>108</v>
      </c>
      <c r="J3633" s="58">
        <v>2187042</v>
      </c>
      <c r="K3633" s="1" t="s">
        <v>106</v>
      </c>
      <c r="L3633" s="1" t="s">
        <v>120</v>
      </c>
      <c r="M3633" s="1" t="s">
        <v>121</v>
      </c>
      <c r="N3633" s="1">
        <v>1</v>
      </c>
      <c r="O3633" s="58"/>
      <c r="P3633" s="58">
        <v>78228.81</v>
      </c>
      <c r="Q3633" t="s">
        <v>127</v>
      </c>
      <c r="R3633" s="1" t="s">
        <v>48</v>
      </c>
    </row>
    <row r="3634" spans="3:18" x14ac:dyDescent="0.35">
      <c r="C3634" t="s">
        <v>53</v>
      </c>
      <c r="D3634" t="s">
        <v>92</v>
      </c>
      <c r="E3634" t="s">
        <v>49</v>
      </c>
      <c r="F3634" t="s">
        <v>46</v>
      </c>
      <c r="G3634" s="58">
        <v>90288</v>
      </c>
      <c r="H3634" s="1" t="s">
        <v>59</v>
      </c>
      <c r="I3634" s="1" t="s">
        <v>119</v>
      </c>
      <c r="J3634" s="58">
        <v>812592</v>
      </c>
      <c r="K3634" s="1" t="s">
        <v>106</v>
      </c>
      <c r="L3634" s="1" t="s">
        <v>124</v>
      </c>
      <c r="N3634" s="1">
        <v>1</v>
      </c>
      <c r="O3634" s="58"/>
      <c r="P3634" s="58">
        <v>57784.32</v>
      </c>
      <c r="Q3634" t="s">
        <v>118</v>
      </c>
      <c r="R3634" s="1" t="s">
        <v>158</v>
      </c>
    </row>
    <row r="3635" spans="3:18" x14ac:dyDescent="0.35">
      <c r="C3635" t="s">
        <v>53</v>
      </c>
      <c r="D3635" t="s">
        <v>23</v>
      </c>
      <c r="E3635" t="s">
        <v>45</v>
      </c>
      <c r="F3635" t="s">
        <v>46</v>
      </c>
      <c r="G3635" s="58">
        <v>1408515</v>
      </c>
      <c r="H3635" s="1" t="s">
        <v>47</v>
      </c>
      <c r="I3635" s="1" t="s">
        <v>119</v>
      </c>
      <c r="J3635" s="58">
        <v>9859605</v>
      </c>
      <c r="K3635" s="1" t="s">
        <v>106</v>
      </c>
      <c r="L3635" s="1" t="s">
        <v>120</v>
      </c>
      <c r="N3635" s="1">
        <v>1</v>
      </c>
      <c r="O3635" s="58"/>
      <c r="P3635" s="58">
        <v>690172.35</v>
      </c>
      <c r="Q3635" t="s">
        <v>113</v>
      </c>
      <c r="R3635" s="1" t="s">
        <v>158</v>
      </c>
    </row>
    <row r="3636" spans="3:18" x14ac:dyDescent="0.35">
      <c r="C3636" t="s">
        <v>51</v>
      </c>
      <c r="D3636" t="s">
        <v>91</v>
      </c>
      <c r="E3636" t="s">
        <v>49</v>
      </c>
      <c r="F3636" t="s">
        <v>46</v>
      </c>
      <c r="G3636" s="58">
        <v>628158</v>
      </c>
      <c r="H3636" s="1" t="s">
        <v>48</v>
      </c>
      <c r="I3636" s="1" t="s">
        <v>108</v>
      </c>
      <c r="J3636" s="58">
        <v>18844740</v>
      </c>
      <c r="K3636" s="1" t="s">
        <v>106</v>
      </c>
      <c r="L3636" s="1" t="s">
        <v>124</v>
      </c>
      <c r="M3636" s="1" t="s">
        <v>126</v>
      </c>
      <c r="N3636" s="1">
        <v>1</v>
      </c>
      <c r="O3636" s="58"/>
      <c r="P3636" s="58">
        <v>301515.84000000003</v>
      </c>
      <c r="Q3636" t="s">
        <v>113</v>
      </c>
      <c r="R3636" s="1" t="s">
        <v>158</v>
      </c>
    </row>
    <row r="3637" spans="3:18" x14ac:dyDescent="0.35">
      <c r="C3637" t="s">
        <v>51</v>
      </c>
      <c r="D3637" t="s">
        <v>22</v>
      </c>
      <c r="E3637" t="s">
        <v>49</v>
      </c>
      <c r="F3637" t="s">
        <v>46</v>
      </c>
      <c r="G3637" s="58">
        <v>505276</v>
      </c>
      <c r="H3637" s="1" t="s">
        <v>48</v>
      </c>
      <c r="I3637" s="1" t="s">
        <v>111</v>
      </c>
      <c r="J3637" s="58">
        <v>8084416</v>
      </c>
      <c r="K3637" s="1" t="s">
        <v>112</v>
      </c>
      <c r="N3637" s="1">
        <v>1</v>
      </c>
      <c r="O3637" s="58"/>
      <c r="P3637" s="58">
        <v>424431.84</v>
      </c>
      <c r="Q3637" t="s">
        <v>127</v>
      </c>
      <c r="R3637" s="1" t="s">
        <v>48</v>
      </c>
    </row>
    <row r="3638" spans="3:18" x14ac:dyDescent="0.35">
      <c r="C3638" t="s">
        <v>51</v>
      </c>
      <c r="D3638" t="s">
        <v>19</v>
      </c>
      <c r="E3638" t="s">
        <v>49</v>
      </c>
      <c r="F3638" t="s">
        <v>46</v>
      </c>
      <c r="G3638" s="58">
        <v>399686</v>
      </c>
      <c r="H3638" s="1" t="s">
        <v>48</v>
      </c>
      <c r="I3638" s="1" t="s">
        <v>108</v>
      </c>
      <c r="J3638" s="58">
        <v>10391836</v>
      </c>
      <c r="K3638" s="1" t="s">
        <v>106</v>
      </c>
      <c r="L3638" s="1" t="s">
        <v>124</v>
      </c>
      <c r="M3638" s="1" t="s">
        <v>123</v>
      </c>
      <c r="N3638" s="1">
        <v>1</v>
      </c>
      <c r="O3638" s="58"/>
      <c r="P3638" s="58">
        <v>147883.82</v>
      </c>
      <c r="Q3638" t="s">
        <v>107</v>
      </c>
      <c r="R3638" s="1" t="s">
        <v>158</v>
      </c>
    </row>
    <row r="3639" spans="3:18" x14ac:dyDescent="0.35">
      <c r="C3639" t="s">
        <v>51</v>
      </c>
      <c r="D3639" t="s">
        <v>23</v>
      </c>
      <c r="E3639" t="s">
        <v>55</v>
      </c>
      <c r="F3639" t="s">
        <v>46</v>
      </c>
      <c r="G3639" s="58">
        <v>995881</v>
      </c>
      <c r="H3639" s="1" t="s">
        <v>47</v>
      </c>
      <c r="I3639" s="1" t="s">
        <v>105</v>
      </c>
      <c r="J3639" s="58">
        <v>2987643</v>
      </c>
      <c r="K3639" s="1" t="s">
        <v>106</v>
      </c>
      <c r="L3639" s="1" t="s">
        <v>120</v>
      </c>
      <c r="N3639" s="1">
        <v>1</v>
      </c>
      <c r="O3639" s="58"/>
      <c r="P3639" s="58">
        <v>139423.34</v>
      </c>
      <c r="Q3639" t="s">
        <v>107</v>
      </c>
      <c r="R3639" s="1" t="s">
        <v>158</v>
      </c>
    </row>
    <row r="3640" spans="3:18" x14ac:dyDescent="0.35">
      <c r="C3640" t="s">
        <v>51</v>
      </c>
      <c r="D3640" t="s">
        <v>91</v>
      </c>
      <c r="E3640" t="s">
        <v>49</v>
      </c>
      <c r="F3640" t="s">
        <v>46</v>
      </c>
      <c r="G3640" s="58">
        <v>2230020</v>
      </c>
      <c r="H3640" s="1" t="s">
        <v>48</v>
      </c>
      <c r="I3640" s="1" t="s">
        <v>108</v>
      </c>
      <c r="J3640" s="58">
        <v>84740760</v>
      </c>
      <c r="K3640" s="1" t="s">
        <v>112</v>
      </c>
      <c r="N3640" s="1">
        <v>1</v>
      </c>
      <c r="O3640" s="58"/>
      <c r="P3640" s="58">
        <v>2230020</v>
      </c>
      <c r="Q3640" t="s">
        <v>110</v>
      </c>
      <c r="R3640" s="1" t="s">
        <v>48</v>
      </c>
    </row>
    <row r="3641" spans="3:18" x14ac:dyDescent="0.35">
      <c r="C3641" t="s">
        <v>51</v>
      </c>
      <c r="D3641" t="s">
        <v>23</v>
      </c>
      <c r="E3641" t="s">
        <v>49</v>
      </c>
      <c r="F3641" t="s">
        <v>46</v>
      </c>
      <c r="G3641" s="58">
        <v>3625492</v>
      </c>
      <c r="H3641" s="1" t="s">
        <v>48</v>
      </c>
      <c r="I3641" s="1" t="s">
        <v>111</v>
      </c>
      <c r="J3641" s="58">
        <v>54382380</v>
      </c>
      <c r="K3641" s="1" t="s">
        <v>106</v>
      </c>
      <c r="L3641" s="1" t="s">
        <v>124</v>
      </c>
      <c r="M3641" s="1" t="s">
        <v>125</v>
      </c>
      <c r="N3641" s="1">
        <v>1</v>
      </c>
      <c r="O3641" s="58"/>
      <c r="P3641" s="58">
        <v>1015137.76</v>
      </c>
      <c r="Q3641" t="s">
        <v>107</v>
      </c>
      <c r="R3641" s="1" t="s">
        <v>158</v>
      </c>
    </row>
    <row r="3642" spans="3:18" x14ac:dyDescent="0.35">
      <c r="C3642" t="s">
        <v>51</v>
      </c>
      <c r="D3642" t="s">
        <v>23</v>
      </c>
      <c r="E3642" t="s">
        <v>49</v>
      </c>
      <c r="F3642" t="s">
        <v>46</v>
      </c>
      <c r="G3642" s="58">
        <v>378798</v>
      </c>
      <c r="H3642" s="1" t="s">
        <v>47</v>
      </c>
      <c r="I3642" s="1" t="s">
        <v>108</v>
      </c>
      <c r="J3642" s="58">
        <v>12121536</v>
      </c>
      <c r="K3642" s="1" t="s">
        <v>106</v>
      </c>
      <c r="L3642" s="1" t="s">
        <v>124</v>
      </c>
      <c r="N3642" s="1">
        <v>1</v>
      </c>
      <c r="O3642" s="58"/>
      <c r="P3642" s="58">
        <v>477285.48</v>
      </c>
      <c r="Q3642" t="s">
        <v>110</v>
      </c>
      <c r="R3642" s="1" t="s">
        <v>158</v>
      </c>
    </row>
    <row r="3643" spans="3:18" x14ac:dyDescent="0.35">
      <c r="C3643" t="s">
        <v>51</v>
      </c>
      <c r="D3643" t="s">
        <v>25</v>
      </c>
      <c r="E3643" t="s">
        <v>45</v>
      </c>
      <c r="F3643" t="s">
        <v>46</v>
      </c>
      <c r="G3643" s="58">
        <v>207363</v>
      </c>
      <c r="H3643" s="1" t="s">
        <v>59</v>
      </c>
      <c r="I3643" s="1" t="s">
        <v>119</v>
      </c>
      <c r="J3643" s="58">
        <v>1451541</v>
      </c>
      <c r="K3643" s="1" t="s">
        <v>106</v>
      </c>
      <c r="L3643" s="1" t="s">
        <v>120</v>
      </c>
      <c r="N3643" s="1">
        <v>1</v>
      </c>
      <c r="O3643" s="58"/>
      <c r="P3643" s="58">
        <v>43546.23</v>
      </c>
      <c r="Q3643" t="s">
        <v>107</v>
      </c>
      <c r="R3643" s="1" t="s">
        <v>158</v>
      </c>
    </row>
    <row r="3644" spans="3:18" x14ac:dyDescent="0.35">
      <c r="C3644" t="s">
        <v>51</v>
      </c>
      <c r="D3644" t="s">
        <v>23</v>
      </c>
      <c r="E3644" t="s">
        <v>45</v>
      </c>
      <c r="F3644" t="s">
        <v>46</v>
      </c>
      <c r="G3644" s="58">
        <v>314039</v>
      </c>
      <c r="H3644" s="1" t="s">
        <v>48</v>
      </c>
      <c r="I3644" s="1" t="s">
        <v>105</v>
      </c>
      <c r="J3644" s="58">
        <v>1570195</v>
      </c>
      <c r="K3644" s="1" t="s">
        <v>112</v>
      </c>
      <c r="N3644" s="1">
        <v>1</v>
      </c>
      <c r="O3644" s="58"/>
      <c r="P3644" s="58">
        <v>157019.5</v>
      </c>
      <c r="Q3644" t="s">
        <v>113</v>
      </c>
      <c r="R3644" s="1" t="s">
        <v>158</v>
      </c>
    </row>
    <row r="3645" spans="3:18" x14ac:dyDescent="0.35">
      <c r="C3645" t="s">
        <v>51</v>
      </c>
      <c r="D3645" t="s">
        <v>22</v>
      </c>
      <c r="E3645" t="s">
        <v>49</v>
      </c>
      <c r="F3645" t="s">
        <v>46</v>
      </c>
      <c r="G3645" s="58">
        <v>443600</v>
      </c>
      <c r="H3645" s="1" t="s">
        <v>54</v>
      </c>
      <c r="I3645" s="1" t="s">
        <v>105</v>
      </c>
      <c r="J3645" s="58"/>
      <c r="K3645" s="1" t="s">
        <v>106</v>
      </c>
      <c r="L3645" s="1" t="s">
        <v>124</v>
      </c>
      <c r="N3645" s="1">
        <v>0</v>
      </c>
      <c r="O3645" s="58"/>
      <c r="P3645" s="58">
        <v>510140</v>
      </c>
      <c r="Q3645" t="s">
        <v>110</v>
      </c>
      <c r="R3645" s="1" t="s">
        <v>158</v>
      </c>
    </row>
    <row r="3646" spans="3:18" x14ac:dyDescent="0.35">
      <c r="C3646" t="s">
        <v>51</v>
      </c>
      <c r="D3646" t="s">
        <v>22</v>
      </c>
      <c r="E3646" t="s">
        <v>55</v>
      </c>
      <c r="F3646" t="s">
        <v>46</v>
      </c>
      <c r="G3646" s="58">
        <v>16308882</v>
      </c>
      <c r="H3646" s="1" t="s">
        <v>48</v>
      </c>
      <c r="I3646" s="1" t="s">
        <v>108</v>
      </c>
      <c r="J3646" s="58">
        <v>456648696</v>
      </c>
      <c r="K3646" s="1" t="s">
        <v>106</v>
      </c>
      <c r="L3646" s="1" t="s">
        <v>114</v>
      </c>
      <c r="M3646" s="1" t="s">
        <v>115</v>
      </c>
      <c r="N3646" s="1">
        <v>1</v>
      </c>
      <c r="O3646" s="58"/>
      <c r="P3646" s="58">
        <v>4566486.96</v>
      </c>
      <c r="Q3646" t="s">
        <v>107</v>
      </c>
      <c r="R3646" s="1" t="s">
        <v>48</v>
      </c>
    </row>
    <row r="3647" spans="3:18" x14ac:dyDescent="0.35">
      <c r="C3647" t="s">
        <v>51</v>
      </c>
      <c r="D3647" t="s">
        <v>21</v>
      </c>
      <c r="E3647" t="s">
        <v>49</v>
      </c>
      <c r="F3647" t="s">
        <v>46</v>
      </c>
      <c r="G3647" s="58">
        <v>9702656</v>
      </c>
      <c r="H3647" s="1" t="s">
        <v>48</v>
      </c>
      <c r="I3647" s="1" t="s">
        <v>108</v>
      </c>
      <c r="J3647" s="58">
        <v>291079680</v>
      </c>
      <c r="K3647" s="1" t="s">
        <v>112</v>
      </c>
      <c r="N3647" s="1">
        <v>1</v>
      </c>
      <c r="O3647" s="58"/>
      <c r="P3647" s="58">
        <v>2813770.24</v>
      </c>
      <c r="Q3647" t="s">
        <v>107</v>
      </c>
      <c r="R3647" s="1" t="s">
        <v>158</v>
      </c>
    </row>
    <row r="3648" spans="3:18" x14ac:dyDescent="0.35">
      <c r="C3648" t="s">
        <v>51</v>
      </c>
      <c r="D3648" t="s">
        <v>20</v>
      </c>
      <c r="E3648" t="s">
        <v>49</v>
      </c>
      <c r="F3648" t="s">
        <v>46</v>
      </c>
      <c r="G3648" s="58">
        <v>1014458</v>
      </c>
      <c r="H3648" s="1" t="s">
        <v>47</v>
      </c>
      <c r="I3648" s="1" t="s">
        <v>111</v>
      </c>
      <c r="J3648" s="58">
        <v>17245786</v>
      </c>
      <c r="K3648" s="1" t="s">
        <v>106</v>
      </c>
      <c r="L3648" s="1" t="s">
        <v>120</v>
      </c>
      <c r="N3648" s="1">
        <v>1</v>
      </c>
      <c r="O3648" s="58"/>
      <c r="P3648" s="58">
        <v>497084.42</v>
      </c>
      <c r="Q3648" t="s">
        <v>113</v>
      </c>
      <c r="R3648" s="1" t="s">
        <v>158</v>
      </c>
    </row>
    <row r="3649" spans="3:18" x14ac:dyDescent="0.35">
      <c r="C3649" t="s">
        <v>51</v>
      </c>
      <c r="D3649" t="s">
        <v>22</v>
      </c>
      <c r="E3649" t="s">
        <v>45</v>
      </c>
      <c r="F3649" t="s">
        <v>46</v>
      </c>
      <c r="G3649" s="58">
        <v>27472</v>
      </c>
      <c r="H3649" s="1" t="s">
        <v>54</v>
      </c>
      <c r="I3649" s="1" t="s">
        <v>119</v>
      </c>
      <c r="J3649" s="58">
        <v>219776</v>
      </c>
      <c r="K3649" s="1" t="s">
        <v>106</v>
      </c>
      <c r="L3649" s="1" t="s">
        <v>120</v>
      </c>
      <c r="N3649" s="1">
        <v>1</v>
      </c>
      <c r="O3649" s="58"/>
      <c r="P3649" s="58">
        <v>34614.720000000001</v>
      </c>
      <c r="Q3649" t="s">
        <v>110</v>
      </c>
      <c r="R3649" s="1" t="s">
        <v>158</v>
      </c>
    </row>
    <row r="3650" spans="3:18" x14ac:dyDescent="0.35">
      <c r="C3650" t="s">
        <v>53</v>
      </c>
      <c r="D3650" t="s">
        <v>22</v>
      </c>
      <c r="E3650" t="s">
        <v>45</v>
      </c>
      <c r="F3650" t="s">
        <v>46</v>
      </c>
      <c r="G3650" s="58">
        <v>2324280</v>
      </c>
      <c r="H3650" s="1" t="s">
        <v>56</v>
      </c>
      <c r="I3650" s="1" t="s">
        <v>119</v>
      </c>
      <c r="J3650" s="58">
        <v>18594240</v>
      </c>
      <c r="K3650" s="1" t="s">
        <v>106</v>
      </c>
      <c r="L3650" s="1" t="s">
        <v>120</v>
      </c>
      <c r="N3650" s="1">
        <v>1</v>
      </c>
      <c r="O3650" s="58"/>
      <c r="P3650" s="58">
        <v>1185382.8</v>
      </c>
      <c r="Q3650" t="s">
        <v>113</v>
      </c>
      <c r="R3650" s="1" t="s">
        <v>158</v>
      </c>
    </row>
    <row r="3651" spans="3:18" x14ac:dyDescent="0.35">
      <c r="C3651" t="s">
        <v>51</v>
      </c>
      <c r="D3651" t="s">
        <v>22</v>
      </c>
      <c r="E3651" t="s">
        <v>50</v>
      </c>
      <c r="F3651" t="s">
        <v>46</v>
      </c>
      <c r="G3651" s="58">
        <v>262225</v>
      </c>
      <c r="H3651" s="1" t="s">
        <v>48</v>
      </c>
      <c r="I3651" s="1" t="s">
        <v>111</v>
      </c>
      <c r="J3651" s="58">
        <v>3933375</v>
      </c>
      <c r="K3651" s="1" t="s">
        <v>106</v>
      </c>
      <c r="L3651" s="1" t="s">
        <v>124</v>
      </c>
      <c r="M3651" s="1" t="s">
        <v>115</v>
      </c>
      <c r="N3651" s="1">
        <v>1</v>
      </c>
      <c r="O3651" s="58"/>
      <c r="P3651" s="58">
        <v>89156.5</v>
      </c>
      <c r="Q3651" t="s">
        <v>107</v>
      </c>
      <c r="R3651" s="1" t="s">
        <v>48</v>
      </c>
    </row>
    <row r="3652" spans="3:18" x14ac:dyDescent="0.35">
      <c r="C3652" t="s">
        <v>51</v>
      </c>
      <c r="D3652" t="s">
        <v>24</v>
      </c>
      <c r="E3652" t="s">
        <v>55</v>
      </c>
      <c r="F3652" t="s">
        <v>46</v>
      </c>
      <c r="G3652" s="58">
        <v>585497</v>
      </c>
      <c r="H3652" s="1" t="s">
        <v>59</v>
      </c>
      <c r="I3652" s="1" t="s">
        <v>111</v>
      </c>
      <c r="J3652" s="58">
        <v>8782455</v>
      </c>
      <c r="K3652" s="1" t="s">
        <v>112</v>
      </c>
      <c r="N3652" s="1">
        <v>1</v>
      </c>
      <c r="O3652" s="58"/>
      <c r="P3652" s="58">
        <v>409847.9</v>
      </c>
      <c r="Q3652" t="s">
        <v>118</v>
      </c>
      <c r="R3652" s="1" t="s">
        <v>158</v>
      </c>
    </row>
    <row r="3653" spans="3:18" x14ac:dyDescent="0.35">
      <c r="C3653" t="s">
        <v>51</v>
      </c>
      <c r="D3653" t="s">
        <v>23</v>
      </c>
      <c r="E3653" t="s">
        <v>45</v>
      </c>
      <c r="F3653" t="s">
        <v>46</v>
      </c>
      <c r="G3653" s="58">
        <v>8828561</v>
      </c>
      <c r="H3653" s="1" t="s">
        <v>48</v>
      </c>
      <c r="I3653" s="1" t="s">
        <v>108</v>
      </c>
      <c r="J3653" s="58">
        <v>273685391</v>
      </c>
      <c r="K3653" s="1" t="s">
        <v>112</v>
      </c>
      <c r="N3653" s="1">
        <v>1</v>
      </c>
      <c r="O3653" s="58"/>
      <c r="P3653" s="58">
        <v>4502566.1100000003</v>
      </c>
      <c r="Q3653" t="s">
        <v>113</v>
      </c>
      <c r="R3653" s="1" t="s">
        <v>158</v>
      </c>
    </row>
    <row r="3654" spans="3:18" x14ac:dyDescent="0.35">
      <c r="C3654" t="s">
        <v>51</v>
      </c>
      <c r="D3654" t="s">
        <v>21</v>
      </c>
      <c r="E3654" t="s">
        <v>45</v>
      </c>
      <c r="F3654" t="s">
        <v>46</v>
      </c>
      <c r="G3654" s="58">
        <v>901757</v>
      </c>
      <c r="H3654" s="1" t="s">
        <v>48</v>
      </c>
      <c r="I3654" s="1" t="s">
        <v>108</v>
      </c>
      <c r="J3654" s="58">
        <v>33365009</v>
      </c>
      <c r="K3654" s="1" t="s">
        <v>106</v>
      </c>
      <c r="L3654" s="1" t="s">
        <v>114</v>
      </c>
      <c r="M3654" s="1" t="s">
        <v>126</v>
      </c>
      <c r="N3654" s="1">
        <v>1</v>
      </c>
      <c r="O3654" s="58"/>
      <c r="P3654" s="58">
        <v>676317.75</v>
      </c>
      <c r="Q3654" t="s">
        <v>118</v>
      </c>
      <c r="R3654" s="1" t="s">
        <v>48</v>
      </c>
    </row>
    <row r="3655" spans="3:18" x14ac:dyDescent="0.35">
      <c r="C3655" t="s">
        <v>51</v>
      </c>
      <c r="D3655" t="s">
        <v>20</v>
      </c>
      <c r="E3655" t="s">
        <v>49</v>
      </c>
      <c r="F3655" t="s">
        <v>46</v>
      </c>
      <c r="G3655" s="58">
        <v>1634477</v>
      </c>
      <c r="H3655" s="1" t="s">
        <v>56</v>
      </c>
      <c r="I3655" s="1" t="s">
        <v>105</v>
      </c>
      <c r="J3655" s="58">
        <v>4903431</v>
      </c>
      <c r="K3655" s="1" t="s">
        <v>112</v>
      </c>
      <c r="N3655" s="1">
        <v>1</v>
      </c>
      <c r="O3655" s="58"/>
      <c r="P3655" s="58">
        <v>490343.1</v>
      </c>
      <c r="Q3655" t="s">
        <v>107</v>
      </c>
      <c r="R3655" s="1" t="s">
        <v>158</v>
      </c>
    </row>
    <row r="3656" spans="3:18" x14ac:dyDescent="0.35">
      <c r="C3656" t="s">
        <v>51</v>
      </c>
      <c r="D3656" t="s">
        <v>21</v>
      </c>
      <c r="E3656" t="s">
        <v>45</v>
      </c>
      <c r="F3656" t="s">
        <v>46</v>
      </c>
      <c r="G3656" s="58">
        <v>44773</v>
      </c>
      <c r="H3656" s="1" t="s">
        <v>59</v>
      </c>
      <c r="I3656" s="1" t="s">
        <v>111</v>
      </c>
      <c r="J3656" s="58">
        <v>492503</v>
      </c>
      <c r="K3656" s="1" t="s">
        <v>106</v>
      </c>
      <c r="L3656" s="1" t="s">
        <v>114</v>
      </c>
      <c r="N3656" s="1">
        <v>1</v>
      </c>
      <c r="O3656" s="58"/>
      <c r="P3656" s="58">
        <v>12088.71</v>
      </c>
      <c r="Q3656" t="s">
        <v>107</v>
      </c>
      <c r="R3656" s="1" t="s">
        <v>158</v>
      </c>
    </row>
    <row r="3657" spans="3:18" x14ac:dyDescent="0.35">
      <c r="C3657" t="s">
        <v>51</v>
      </c>
      <c r="D3657" t="s">
        <v>22</v>
      </c>
      <c r="E3657" t="s">
        <v>45</v>
      </c>
      <c r="F3657" t="s">
        <v>46</v>
      </c>
      <c r="G3657" s="58">
        <v>178292</v>
      </c>
      <c r="H3657" s="1" t="s">
        <v>56</v>
      </c>
      <c r="I3657" s="1" t="s">
        <v>119</v>
      </c>
      <c r="J3657" s="58">
        <v>1426336</v>
      </c>
      <c r="K3657" s="1" t="s">
        <v>106</v>
      </c>
      <c r="L3657" s="1" t="s">
        <v>116</v>
      </c>
      <c r="N3657" s="1">
        <v>1</v>
      </c>
      <c r="O3657" s="58"/>
      <c r="P3657" s="58">
        <v>32092.560000000001</v>
      </c>
      <c r="Q3657" t="s">
        <v>107</v>
      </c>
      <c r="R3657" s="1" t="s">
        <v>158</v>
      </c>
    </row>
    <row r="3658" spans="3:18" x14ac:dyDescent="0.35">
      <c r="C3658" t="s">
        <v>51</v>
      </c>
      <c r="D3658" t="s">
        <v>20</v>
      </c>
      <c r="E3658" t="s">
        <v>49</v>
      </c>
      <c r="F3658" t="s">
        <v>46</v>
      </c>
      <c r="G3658" s="58">
        <v>864121</v>
      </c>
      <c r="H3658" s="1" t="s">
        <v>48</v>
      </c>
      <c r="I3658" s="1" t="s">
        <v>119</v>
      </c>
      <c r="J3658" s="58">
        <v>7777089</v>
      </c>
      <c r="K3658" s="1" t="s">
        <v>106</v>
      </c>
      <c r="L3658" s="1" t="s">
        <v>124</v>
      </c>
      <c r="M3658" s="1" t="s">
        <v>123</v>
      </c>
      <c r="N3658" s="1">
        <v>1</v>
      </c>
      <c r="O3658" s="58"/>
      <c r="P3658" s="58">
        <v>561678.65</v>
      </c>
      <c r="Q3658" t="s">
        <v>118</v>
      </c>
      <c r="R3658" s="1" t="s">
        <v>158</v>
      </c>
    </row>
    <row r="3659" spans="3:18" x14ac:dyDescent="0.35">
      <c r="C3659" t="s">
        <v>51</v>
      </c>
      <c r="D3659" t="s">
        <v>20</v>
      </c>
      <c r="E3659" t="s">
        <v>45</v>
      </c>
      <c r="F3659" t="s">
        <v>46</v>
      </c>
      <c r="G3659" s="58">
        <v>1117881</v>
      </c>
      <c r="H3659" s="1" t="s">
        <v>48</v>
      </c>
      <c r="I3659" s="1" t="s">
        <v>111</v>
      </c>
      <c r="J3659" s="58">
        <v>16768215</v>
      </c>
      <c r="K3659" s="1" t="s">
        <v>106</v>
      </c>
      <c r="L3659" s="1" t="s">
        <v>120</v>
      </c>
      <c r="M3659" s="1" t="s">
        <v>123</v>
      </c>
      <c r="N3659" s="1">
        <v>1</v>
      </c>
      <c r="O3659" s="58"/>
      <c r="P3659" s="58">
        <v>558940.5</v>
      </c>
      <c r="Q3659" t="s">
        <v>113</v>
      </c>
      <c r="R3659" s="1" t="s">
        <v>48</v>
      </c>
    </row>
    <row r="3660" spans="3:18" x14ac:dyDescent="0.35">
      <c r="C3660" t="s">
        <v>51</v>
      </c>
      <c r="D3660" t="s">
        <v>20</v>
      </c>
      <c r="E3660" t="s">
        <v>49</v>
      </c>
      <c r="F3660" t="s">
        <v>46</v>
      </c>
      <c r="G3660" s="58">
        <v>124486</v>
      </c>
      <c r="H3660" s="1" t="s">
        <v>47</v>
      </c>
      <c r="I3660" s="1" t="s">
        <v>111</v>
      </c>
      <c r="J3660" s="58">
        <v>2116262</v>
      </c>
      <c r="K3660" s="1" t="s">
        <v>106</v>
      </c>
      <c r="L3660" s="1" t="s">
        <v>114</v>
      </c>
      <c r="N3660" s="1">
        <v>1</v>
      </c>
      <c r="O3660" s="58"/>
      <c r="P3660" s="58">
        <v>82160.759999999995</v>
      </c>
      <c r="Q3660" t="s">
        <v>118</v>
      </c>
      <c r="R3660" s="1" t="s">
        <v>158</v>
      </c>
    </row>
    <row r="3661" spans="3:18" x14ac:dyDescent="0.35">
      <c r="C3661" t="s">
        <v>51</v>
      </c>
      <c r="D3661" t="s">
        <v>91</v>
      </c>
      <c r="E3661" t="s">
        <v>49</v>
      </c>
      <c r="F3661" t="s">
        <v>46</v>
      </c>
      <c r="G3661" s="58">
        <v>71873377</v>
      </c>
      <c r="H3661" s="1" t="s">
        <v>48</v>
      </c>
      <c r="I3661" s="1" t="s">
        <v>108</v>
      </c>
      <c r="J3661" s="58">
        <v>2443694818</v>
      </c>
      <c r="K3661" s="1" t="s">
        <v>112</v>
      </c>
      <c r="N3661" s="1">
        <v>1</v>
      </c>
      <c r="O3661" s="58"/>
      <c r="P3661" s="58">
        <v>51030097.670000002</v>
      </c>
      <c r="Q3661" t="s">
        <v>118</v>
      </c>
      <c r="R3661" s="1" t="s">
        <v>48</v>
      </c>
    </row>
    <row r="3662" spans="3:18" x14ac:dyDescent="0.35">
      <c r="C3662" t="s">
        <v>51</v>
      </c>
      <c r="D3662" t="s">
        <v>92</v>
      </c>
      <c r="E3662" t="s">
        <v>45</v>
      </c>
      <c r="F3662" t="s">
        <v>46</v>
      </c>
      <c r="G3662" s="58">
        <v>3078994</v>
      </c>
      <c r="H3662" s="1" t="s">
        <v>47</v>
      </c>
      <c r="I3662" s="1" t="s">
        <v>108</v>
      </c>
      <c r="J3662" s="58">
        <v>89290826</v>
      </c>
      <c r="K3662" s="1" t="s">
        <v>106</v>
      </c>
      <c r="L3662" s="1" t="s">
        <v>120</v>
      </c>
      <c r="N3662" s="1">
        <v>1</v>
      </c>
      <c r="O3662" s="58"/>
      <c r="P3662" s="58">
        <v>2124505.86</v>
      </c>
      <c r="Q3662" t="s">
        <v>118</v>
      </c>
      <c r="R3662" s="1" t="s">
        <v>158</v>
      </c>
    </row>
    <row r="3663" spans="3:18" x14ac:dyDescent="0.35">
      <c r="C3663" t="s">
        <v>51</v>
      </c>
      <c r="D3663" t="s">
        <v>22</v>
      </c>
      <c r="E3663" t="s">
        <v>45</v>
      </c>
      <c r="F3663" t="s">
        <v>46</v>
      </c>
      <c r="G3663" s="58">
        <v>146292</v>
      </c>
      <c r="H3663" s="1" t="s">
        <v>48</v>
      </c>
      <c r="I3663" s="1" t="s">
        <v>111</v>
      </c>
      <c r="J3663" s="58">
        <v>2779548</v>
      </c>
      <c r="K3663" s="1" t="s">
        <v>106</v>
      </c>
      <c r="L3663" s="1" t="s">
        <v>120</v>
      </c>
      <c r="M3663" s="1" t="s">
        <v>126</v>
      </c>
      <c r="N3663" s="1">
        <v>1</v>
      </c>
      <c r="O3663" s="58"/>
      <c r="P3663" s="58">
        <v>58516.800000000003</v>
      </c>
      <c r="Q3663" t="s">
        <v>107</v>
      </c>
      <c r="R3663" s="1" t="s">
        <v>48</v>
      </c>
    </row>
    <row r="3664" spans="3:18" x14ac:dyDescent="0.35">
      <c r="C3664" t="s">
        <v>53</v>
      </c>
      <c r="D3664" t="s">
        <v>21</v>
      </c>
      <c r="E3664" t="s">
        <v>55</v>
      </c>
      <c r="F3664" t="s">
        <v>46</v>
      </c>
      <c r="G3664" s="58">
        <v>76476</v>
      </c>
      <c r="H3664" s="1" t="s">
        <v>54</v>
      </c>
      <c r="I3664" s="1" t="s">
        <v>111</v>
      </c>
      <c r="J3664" s="58">
        <v>1453044</v>
      </c>
      <c r="K3664" s="1" t="s">
        <v>106</v>
      </c>
      <c r="L3664" s="1" t="s">
        <v>114</v>
      </c>
      <c r="N3664" s="1">
        <v>1</v>
      </c>
      <c r="O3664" s="58"/>
      <c r="P3664" s="58">
        <v>41297.040000000001</v>
      </c>
      <c r="Q3664" t="s">
        <v>113</v>
      </c>
      <c r="R3664" s="1" t="s">
        <v>158</v>
      </c>
    </row>
    <row r="3665" spans="3:18" x14ac:dyDescent="0.35">
      <c r="C3665" t="s">
        <v>51</v>
      </c>
      <c r="D3665" t="s">
        <v>23</v>
      </c>
      <c r="E3665" t="s">
        <v>55</v>
      </c>
      <c r="F3665" t="s">
        <v>46</v>
      </c>
      <c r="G3665" s="58">
        <v>814602</v>
      </c>
      <c r="H3665" s="1" t="s">
        <v>48</v>
      </c>
      <c r="I3665" s="1" t="s">
        <v>111</v>
      </c>
      <c r="J3665" s="58">
        <v>9775224</v>
      </c>
      <c r="K3665" s="1" t="s">
        <v>112</v>
      </c>
      <c r="N3665" s="1">
        <v>1</v>
      </c>
      <c r="O3665" s="58"/>
      <c r="P3665" s="58">
        <v>496907.22</v>
      </c>
      <c r="Q3665" t="s">
        <v>118</v>
      </c>
      <c r="R3665" s="1" t="s">
        <v>158</v>
      </c>
    </row>
    <row r="3666" spans="3:18" x14ac:dyDescent="0.35">
      <c r="C3666" t="s">
        <v>51</v>
      </c>
      <c r="D3666" t="s">
        <v>22</v>
      </c>
      <c r="E3666" t="s">
        <v>49</v>
      </c>
      <c r="F3666" t="s">
        <v>46</v>
      </c>
      <c r="G3666" s="58">
        <v>118864</v>
      </c>
      <c r="H3666" s="1" t="s">
        <v>48</v>
      </c>
      <c r="I3666" s="1" t="s">
        <v>111</v>
      </c>
      <c r="J3666" s="58">
        <v>2139552</v>
      </c>
      <c r="K3666" s="1" t="s">
        <v>112</v>
      </c>
      <c r="N3666" s="1">
        <v>1</v>
      </c>
      <c r="O3666" s="58"/>
      <c r="P3666" s="58">
        <v>38036.480000000003</v>
      </c>
      <c r="Q3666" t="s">
        <v>107</v>
      </c>
      <c r="R3666" s="1" t="s">
        <v>48</v>
      </c>
    </row>
    <row r="3667" spans="3:18" x14ac:dyDescent="0.35">
      <c r="C3667" t="s">
        <v>51</v>
      </c>
      <c r="D3667" t="s">
        <v>22</v>
      </c>
      <c r="E3667" t="s">
        <v>45</v>
      </c>
      <c r="F3667" t="s">
        <v>64</v>
      </c>
      <c r="G3667" s="58">
        <v>410405</v>
      </c>
      <c r="H3667" s="1" t="s">
        <v>47</v>
      </c>
      <c r="I3667" s="1" t="s">
        <v>108</v>
      </c>
      <c r="J3667" s="58">
        <v>14364175</v>
      </c>
      <c r="K3667" s="1" t="s">
        <v>106</v>
      </c>
      <c r="L3667" s="1" t="s">
        <v>120</v>
      </c>
      <c r="N3667" s="1">
        <v>1</v>
      </c>
      <c r="O3667" s="58"/>
      <c r="P3667" s="58">
        <v>246243</v>
      </c>
      <c r="Q3667" t="s">
        <v>113</v>
      </c>
      <c r="R3667" s="1" t="s">
        <v>158</v>
      </c>
    </row>
    <row r="3668" spans="3:18" x14ac:dyDescent="0.35">
      <c r="C3668" t="s">
        <v>51</v>
      </c>
      <c r="D3668" t="s">
        <v>23</v>
      </c>
      <c r="E3668" t="s">
        <v>49</v>
      </c>
      <c r="F3668" t="s">
        <v>46</v>
      </c>
      <c r="G3668" s="58">
        <v>416830</v>
      </c>
      <c r="H3668" s="1" t="s">
        <v>59</v>
      </c>
      <c r="I3668" s="1" t="s">
        <v>119</v>
      </c>
      <c r="J3668" s="58">
        <v>2917810</v>
      </c>
      <c r="K3668" s="1" t="s">
        <v>106</v>
      </c>
      <c r="L3668" s="1" t="s">
        <v>124</v>
      </c>
      <c r="N3668" s="1">
        <v>1</v>
      </c>
      <c r="O3668" s="58"/>
      <c r="P3668" s="58">
        <v>87534.3</v>
      </c>
      <c r="Q3668" t="s">
        <v>107</v>
      </c>
      <c r="R3668" s="1" t="s">
        <v>158</v>
      </c>
    </row>
    <row r="3669" spans="3:18" x14ac:dyDescent="0.35">
      <c r="C3669" t="s">
        <v>51</v>
      </c>
      <c r="D3669" t="s">
        <v>24</v>
      </c>
      <c r="E3669" t="s">
        <v>50</v>
      </c>
      <c r="F3669" t="s">
        <v>46</v>
      </c>
      <c r="G3669" s="58">
        <v>2128396</v>
      </c>
      <c r="H3669" s="1" t="s">
        <v>54</v>
      </c>
      <c r="I3669" s="1" t="s">
        <v>111</v>
      </c>
      <c r="J3669" s="58">
        <v>27669148</v>
      </c>
      <c r="K3669" s="1" t="s">
        <v>106</v>
      </c>
      <c r="L3669" s="1" t="s">
        <v>109</v>
      </c>
      <c r="N3669" s="1">
        <v>1</v>
      </c>
      <c r="O3669" s="58"/>
      <c r="P3669" s="58">
        <v>574666.92000000004</v>
      </c>
      <c r="Q3669" t="s">
        <v>107</v>
      </c>
      <c r="R3669" s="1" t="s">
        <v>158</v>
      </c>
    </row>
    <row r="3670" spans="3:18" x14ac:dyDescent="0.35">
      <c r="C3670" t="s">
        <v>51</v>
      </c>
      <c r="D3670" t="s">
        <v>24</v>
      </c>
      <c r="E3670" t="s">
        <v>52</v>
      </c>
      <c r="F3670" t="s">
        <v>46</v>
      </c>
      <c r="G3670" s="58">
        <v>254519</v>
      </c>
      <c r="H3670" s="1" t="s">
        <v>48</v>
      </c>
      <c r="I3670" s="1" t="s">
        <v>111</v>
      </c>
      <c r="J3670" s="58">
        <v>4581342</v>
      </c>
      <c r="K3670" s="1" t="s">
        <v>106</v>
      </c>
      <c r="L3670" s="1" t="s">
        <v>114</v>
      </c>
      <c r="M3670" s="1" t="s">
        <v>121</v>
      </c>
      <c r="N3670" s="1">
        <v>1</v>
      </c>
      <c r="O3670" s="58"/>
      <c r="P3670" s="58">
        <v>147621.01999999999</v>
      </c>
      <c r="Q3670" t="s">
        <v>113</v>
      </c>
      <c r="R3670" s="1" t="s">
        <v>48</v>
      </c>
    </row>
    <row r="3671" spans="3:18" x14ac:dyDescent="0.35">
      <c r="C3671" t="s">
        <v>51</v>
      </c>
      <c r="D3671" t="s">
        <v>91</v>
      </c>
      <c r="E3671" t="s">
        <v>49</v>
      </c>
      <c r="F3671" t="s">
        <v>46</v>
      </c>
      <c r="G3671" s="58">
        <v>379262</v>
      </c>
      <c r="H3671" s="1" t="s">
        <v>59</v>
      </c>
      <c r="I3671" s="1" t="s">
        <v>108</v>
      </c>
      <c r="J3671" s="58">
        <v>13274170</v>
      </c>
      <c r="K3671" s="1" t="s">
        <v>106</v>
      </c>
      <c r="L3671" s="1" t="s">
        <v>114</v>
      </c>
      <c r="N3671" s="1">
        <v>1</v>
      </c>
      <c r="O3671" s="58"/>
      <c r="P3671" s="58">
        <v>307202.21999999997</v>
      </c>
      <c r="Q3671" t="s">
        <v>127</v>
      </c>
      <c r="R3671" s="1" t="s">
        <v>158</v>
      </c>
    </row>
    <row r="3672" spans="3:18" x14ac:dyDescent="0.35">
      <c r="C3672" t="s">
        <v>51</v>
      </c>
      <c r="D3672" t="s">
        <v>23</v>
      </c>
      <c r="E3672" t="s">
        <v>49</v>
      </c>
      <c r="F3672" t="s">
        <v>46</v>
      </c>
      <c r="G3672" s="58">
        <v>90000</v>
      </c>
      <c r="H3672" s="1" t="s">
        <v>48</v>
      </c>
      <c r="I3672" s="1" t="s">
        <v>108</v>
      </c>
      <c r="J3672" s="58">
        <v>2880000</v>
      </c>
      <c r="K3672" s="1" t="s">
        <v>106</v>
      </c>
      <c r="L3672" s="1" t="s">
        <v>124</v>
      </c>
      <c r="M3672" s="1" t="s">
        <v>126</v>
      </c>
      <c r="N3672" s="1">
        <v>1</v>
      </c>
      <c r="O3672" s="58"/>
      <c r="P3672" s="58">
        <v>117000</v>
      </c>
      <c r="Q3672" t="s">
        <v>110</v>
      </c>
      <c r="R3672" s="1" t="s">
        <v>48</v>
      </c>
    </row>
    <row r="3673" spans="3:18" x14ac:dyDescent="0.35">
      <c r="C3673" t="s">
        <v>51</v>
      </c>
      <c r="D3673" t="s">
        <v>24</v>
      </c>
      <c r="E3673" t="s">
        <v>45</v>
      </c>
      <c r="F3673" t="s">
        <v>46</v>
      </c>
      <c r="G3673" s="58">
        <v>282449</v>
      </c>
      <c r="H3673" s="1" t="s">
        <v>47</v>
      </c>
      <c r="I3673" s="1" t="s">
        <v>108</v>
      </c>
      <c r="J3673" s="58">
        <v>5931429</v>
      </c>
      <c r="K3673" s="1" t="s">
        <v>106</v>
      </c>
      <c r="L3673" s="1" t="s">
        <v>124</v>
      </c>
      <c r="N3673" s="1">
        <v>1</v>
      </c>
      <c r="O3673" s="58"/>
      <c r="P3673" s="58">
        <v>129926.54</v>
      </c>
      <c r="Q3673" t="s">
        <v>113</v>
      </c>
      <c r="R3673" s="1" t="s">
        <v>158</v>
      </c>
    </row>
    <row r="3674" spans="3:18" x14ac:dyDescent="0.35">
      <c r="C3674" t="s">
        <v>53</v>
      </c>
      <c r="D3674" t="s">
        <v>21</v>
      </c>
      <c r="E3674" t="s">
        <v>49</v>
      </c>
      <c r="F3674" t="s">
        <v>46</v>
      </c>
      <c r="G3674" s="58">
        <v>19787634</v>
      </c>
      <c r="H3674" s="1" t="s">
        <v>54</v>
      </c>
      <c r="I3674" s="1" t="s">
        <v>119</v>
      </c>
      <c r="J3674" s="58">
        <v>138513438</v>
      </c>
      <c r="K3674" s="1" t="s">
        <v>106</v>
      </c>
      <c r="L3674" s="1" t="s">
        <v>124</v>
      </c>
      <c r="N3674" s="1">
        <v>1</v>
      </c>
      <c r="O3674" s="58"/>
      <c r="P3674" s="58">
        <v>9498064.3200000003</v>
      </c>
      <c r="Q3674" t="s">
        <v>113</v>
      </c>
      <c r="R3674" s="1" t="s">
        <v>158</v>
      </c>
    </row>
    <row r="3675" spans="3:18" x14ac:dyDescent="0.35">
      <c r="C3675" t="s">
        <v>51</v>
      </c>
      <c r="D3675" t="s">
        <v>20</v>
      </c>
      <c r="E3675" t="s">
        <v>49</v>
      </c>
      <c r="F3675" t="s">
        <v>46</v>
      </c>
      <c r="G3675" s="58">
        <v>116753427</v>
      </c>
      <c r="H3675" s="1" t="s">
        <v>47</v>
      </c>
      <c r="I3675" s="1" t="s">
        <v>108</v>
      </c>
      <c r="J3675" s="58">
        <v>3385849383</v>
      </c>
      <c r="K3675" s="1" t="s">
        <v>106</v>
      </c>
      <c r="L3675" s="1" t="s">
        <v>124</v>
      </c>
      <c r="N3675" s="1">
        <v>1</v>
      </c>
      <c r="O3675" s="58"/>
      <c r="P3675" s="58">
        <v>80559864.629999995</v>
      </c>
      <c r="Q3675" t="s">
        <v>118</v>
      </c>
      <c r="R3675" s="1" t="s">
        <v>158</v>
      </c>
    </row>
    <row r="3676" spans="3:18" x14ac:dyDescent="0.35">
      <c r="C3676" t="s">
        <v>53</v>
      </c>
      <c r="D3676" t="s">
        <v>21</v>
      </c>
      <c r="E3676" t="s">
        <v>45</v>
      </c>
      <c r="F3676" t="s">
        <v>46</v>
      </c>
      <c r="G3676" s="58">
        <v>634425</v>
      </c>
      <c r="H3676" s="1" t="s">
        <v>47</v>
      </c>
      <c r="I3676" s="1" t="s">
        <v>105</v>
      </c>
      <c r="J3676" s="58"/>
      <c r="K3676" s="1" t="s">
        <v>106</v>
      </c>
      <c r="L3676" s="1" t="s">
        <v>120</v>
      </c>
      <c r="N3676" s="1">
        <v>0</v>
      </c>
      <c r="O3676" s="58"/>
      <c r="P3676" s="58">
        <v>279147</v>
      </c>
      <c r="Q3676" t="s">
        <v>113</v>
      </c>
      <c r="R3676" s="1" t="s">
        <v>158</v>
      </c>
    </row>
    <row r="3677" spans="3:18" x14ac:dyDescent="0.35">
      <c r="C3677" t="s">
        <v>53</v>
      </c>
      <c r="D3677" t="s">
        <v>20</v>
      </c>
      <c r="E3677" t="s">
        <v>45</v>
      </c>
      <c r="F3677" t="s">
        <v>46</v>
      </c>
      <c r="G3677" s="58">
        <v>400560</v>
      </c>
      <c r="H3677" s="1" t="s">
        <v>56</v>
      </c>
      <c r="I3677" s="1" t="s">
        <v>128</v>
      </c>
      <c r="J3677" s="58"/>
      <c r="K3677" s="1" t="s">
        <v>106</v>
      </c>
      <c r="L3677" s="1" t="s">
        <v>120</v>
      </c>
      <c r="N3677" s="1">
        <v>0</v>
      </c>
      <c r="O3677" s="58"/>
      <c r="P3677" s="58">
        <v>196274.4</v>
      </c>
      <c r="Q3677" t="s">
        <v>113</v>
      </c>
      <c r="R3677" s="1" t="s">
        <v>158</v>
      </c>
    </row>
    <row r="3678" spans="3:18" x14ac:dyDescent="0.35">
      <c r="C3678" t="s">
        <v>51</v>
      </c>
      <c r="D3678" t="s">
        <v>24</v>
      </c>
      <c r="E3678" t="s">
        <v>50</v>
      </c>
      <c r="F3678" t="s">
        <v>46</v>
      </c>
      <c r="G3678" s="58">
        <v>777683</v>
      </c>
      <c r="H3678" s="1" t="s">
        <v>48</v>
      </c>
      <c r="I3678" s="1" t="s">
        <v>105</v>
      </c>
      <c r="J3678" s="58">
        <v>3110732</v>
      </c>
      <c r="K3678" s="1" t="s">
        <v>106</v>
      </c>
      <c r="L3678" s="1" t="s">
        <v>109</v>
      </c>
      <c r="M3678" s="1" t="s">
        <v>121</v>
      </c>
      <c r="N3678" s="1">
        <v>1</v>
      </c>
      <c r="O3678" s="58"/>
      <c r="P3678" s="58">
        <v>139982.94</v>
      </c>
      <c r="Q3678" t="s">
        <v>107</v>
      </c>
      <c r="R3678" s="1" t="s">
        <v>158</v>
      </c>
    </row>
    <row r="3679" spans="3:18" x14ac:dyDescent="0.35">
      <c r="C3679" t="s">
        <v>53</v>
      </c>
      <c r="D3679" t="s">
        <v>22</v>
      </c>
      <c r="E3679" t="s">
        <v>55</v>
      </c>
      <c r="F3679" t="s">
        <v>46</v>
      </c>
      <c r="G3679" s="58">
        <v>1647972</v>
      </c>
      <c r="H3679" s="1" t="s">
        <v>54</v>
      </c>
      <c r="I3679" s="1" t="s">
        <v>105</v>
      </c>
      <c r="J3679" s="58">
        <v>3295944</v>
      </c>
      <c r="K3679" s="1" t="s">
        <v>106</v>
      </c>
      <c r="L3679" s="1" t="s">
        <v>114</v>
      </c>
      <c r="N3679" s="1">
        <v>1</v>
      </c>
      <c r="O3679" s="58"/>
      <c r="P3679" s="58">
        <v>346074.12</v>
      </c>
      <c r="Q3679" t="s">
        <v>107</v>
      </c>
      <c r="R3679" s="1" t="s">
        <v>158</v>
      </c>
    </row>
    <row r="3680" spans="3:18" x14ac:dyDescent="0.35">
      <c r="C3680" t="s">
        <v>53</v>
      </c>
      <c r="D3680" t="s">
        <v>21</v>
      </c>
      <c r="E3680" t="s">
        <v>45</v>
      </c>
      <c r="F3680" t="s">
        <v>46</v>
      </c>
      <c r="G3680" s="58">
        <v>599600</v>
      </c>
      <c r="H3680" s="1" t="s">
        <v>54</v>
      </c>
      <c r="I3680" s="1" t="s">
        <v>111</v>
      </c>
      <c r="J3680" s="58">
        <v>8994000</v>
      </c>
      <c r="K3680" s="1" t="s">
        <v>106</v>
      </c>
      <c r="L3680" s="1" t="s">
        <v>120</v>
      </c>
      <c r="N3680" s="1">
        <v>1</v>
      </c>
      <c r="O3680" s="58"/>
      <c r="P3680" s="58">
        <v>869420</v>
      </c>
      <c r="Q3680" t="s">
        <v>110</v>
      </c>
      <c r="R3680" s="1" t="s">
        <v>158</v>
      </c>
    </row>
    <row r="3681" spans="3:18" x14ac:dyDescent="0.35">
      <c r="C3681" t="s">
        <v>51</v>
      </c>
      <c r="D3681" t="s">
        <v>22</v>
      </c>
      <c r="E3681" t="s">
        <v>45</v>
      </c>
      <c r="F3681" t="s">
        <v>46</v>
      </c>
      <c r="G3681" s="58">
        <v>6520643</v>
      </c>
      <c r="H3681" s="1" t="s">
        <v>47</v>
      </c>
      <c r="I3681" s="1" t="s">
        <v>108</v>
      </c>
      <c r="J3681" s="58">
        <v>176057361</v>
      </c>
      <c r="K3681" s="1" t="s">
        <v>106</v>
      </c>
      <c r="L3681" s="1" t="s">
        <v>114</v>
      </c>
      <c r="N3681" s="1">
        <v>1</v>
      </c>
      <c r="O3681" s="58"/>
      <c r="P3681" s="58">
        <v>4434037.24</v>
      </c>
      <c r="Q3681" t="s">
        <v>118</v>
      </c>
      <c r="R3681" s="1" t="s">
        <v>158</v>
      </c>
    </row>
    <row r="3682" spans="3:18" x14ac:dyDescent="0.35">
      <c r="C3682" t="s">
        <v>51</v>
      </c>
      <c r="D3682" t="s">
        <v>19</v>
      </c>
      <c r="E3682" t="s">
        <v>49</v>
      </c>
      <c r="F3682" t="s">
        <v>46</v>
      </c>
      <c r="G3682" s="58">
        <v>181616</v>
      </c>
      <c r="H3682" s="1" t="s">
        <v>48</v>
      </c>
      <c r="I3682" s="1" t="s">
        <v>108</v>
      </c>
      <c r="J3682" s="58">
        <v>4540400</v>
      </c>
      <c r="K3682" s="1" t="s">
        <v>106</v>
      </c>
      <c r="L3682" s="1" t="s">
        <v>120</v>
      </c>
      <c r="M3682" s="1" t="s">
        <v>125</v>
      </c>
      <c r="N3682" s="1">
        <v>1</v>
      </c>
      <c r="O3682" s="58"/>
      <c r="P3682" s="58">
        <v>52668.639999999999</v>
      </c>
      <c r="Q3682" t="s">
        <v>107</v>
      </c>
      <c r="R3682" s="1" t="s">
        <v>48</v>
      </c>
    </row>
    <row r="3683" spans="3:18" x14ac:dyDescent="0.35">
      <c r="C3683" t="s">
        <v>51</v>
      </c>
      <c r="D3683" t="s">
        <v>22</v>
      </c>
      <c r="E3683" t="s">
        <v>45</v>
      </c>
      <c r="F3683" t="s">
        <v>46</v>
      </c>
      <c r="G3683" s="58">
        <v>723435</v>
      </c>
      <c r="H3683" s="1" t="s">
        <v>54</v>
      </c>
      <c r="I3683" s="1" t="s">
        <v>108</v>
      </c>
      <c r="J3683" s="58">
        <v>21703050</v>
      </c>
      <c r="K3683" s="1" t="s">
        <v>112</v>
      </c>
      <c r="N3683" s="1">
        <v>1</v>
      </c>
      <c r="O3683" s="58"/>
      <c r="P3683" s="58">
        <v>607685.4</v>
      </c>
      <c r="Q3683" t="s">
        <v>127</v>
      </c>
      <c r="R3683" s="1" t="s">
        <v>158</v>
      </c>
    </row>
    <row r="3684" spans="3:18" x14ac:dyDescent="0.35">
      <c r="C3684" t="s">
        <v>53</v>
      </c>
      <c r="D3684" t="s">
        <v>23</v>
      </c>
      <c r="E3684" t="s">
        <v>49</v>
      </c>
      <c r="F3684" t="s">
        <v>46</v>
      </c>
      <c r="G3684" s="58">
        <v>93</v>
      </c>
      <c r="H3684" s="1" t="s">
        <v>47</v>
      </c>
      <c r="I3684" s="1" t="s">
        <v>105</v>
      </c>
      <c r="J3684" s="58"/>
      <c r="K3684" s="1" t="s">
        <v>106</v>
      </c>
      <c r="L3684" s="1" t="s">
        <v>124</v>
      </c>
      <c r="N3684" s="1">
        <v>0</v>
      </c>
      <c r="O3684" s="58"/>
      <c r="P3684" s="58">
        <v>62.31</v>
      </c>
      <c r="Q3684" t="s">
        <v>118</v>
      </c>
      <c r="R3684" s="1" t="s">
        <v>158</v>
      </c>
    </row>
    <row r="3685" spans="3:18" x14ac:dyDescent="0.35">
      <c r="C3685" t="s">
        <v>51</v>
      </c>
      <c r="D3685" t="s">
        <v>22</v>
      </c>
      <c r="E3685" t="s">
        <v>50</v>
      </c>
      <c r="F3685" t="s">
        <v>46</v>
      </c>
      <c r="G3685" s="58">
        <v>235014</v>
      </c>
      <c r="H3685" s="1" t="s">
        <v>48</v>
      </c>
      <c r="I3685" s="1" t="s">
        <v>108</v>
      </c>
      <c r="J3685" s="58">
        <v>9165546</v>
      </c>
      <c r="K3685" s="1" t="s">
        <v>106</v>
      </c>
      <c r="L3685" s="1" t="s">
        <v>124</v>
      </c>
      <c r="M3685" s="1" t="s">
        <v>115</v>
      </c>
      <c r="N3685" s="1">
        <v>1</v>
      </c>
      <c r="O3685" s="58"/>
      <c r="P3685" s="58">
        <v>188011.2</v>
      </c>
      <c r="Q3685" t="s">
        <v>127</v>
      </c>
      <c r="R3685" s="1" t="s">
        <v>48</v>
      </c>
    </row>
    <row r="3686" spans="3:18" x14ac:dyDescent="0.35">
      <c r="C3686" t="s">
        <v>51</v>
      </c>
      <c r="D3686" t="s">
        <v>21</v>
      </c>
      <c r="E3686" t="s">
        <v>49</v>
      </c>
      <c r="F3686" t="s">
        <v>64</v>
      </c>
      <c r="G3686" s="58">
        <v>3096164</v>
      </c>
      <c r="H3686" s="1" t="s">
        <v>48</v>
      </c>
      <c r="I3686" s="1" t="s">
        <v>108</v>
      </c>
      <c r="J3686" s="58">
        <v>105269576</v>
      </c>
      <c r="K3686" s="1" t="s">
        <v>112</v>
      </c>
      <c r="N3686" s="1">
        <v>1</v>
      </c>
      <c r="O3686" s="58"/>
      <c r="P3686" s="58">
        <v>2569816.12</v>
      </c>
      <c r="Q3686" t="s">
        <v>127</v>
      </c>
      <c r="R3686" s="1" t="s">
        <v>48</v>
      </c>
    </row>
    <row r="3687" spans="3:18" x14ac:dyDescent="0.35">
      <c r="C3687" t="s">
        <v>51</v>
      </c>
      <c r="D3687" t="s">
        <v>23</v>
      </c>
      <c r="E3687" t="s">
        <v>62</v>
      </c>
      <c r="F3687" t="s">
        <v>46</v>
      </c>
      <c r="G3687" s="58">
        <v>170120</v>
      </c>
      <c r="H3687" s="1" t="s">
        <v>48</v>
      </c>
      <c r="I3687" s="1" t="s">
        <v>111</v>
      </c>
      <c r="J3687" s="58">
        <v>2892040</v>
      </c>
      <c r="K3687" s="1" t="s">
        <v>112</v>
      </c>
      <c r="N3687" s="1">
        <v>1</v>
      </c>
      <c r="O3687" s="58"/>
      <c r="P3687" s="58">
        <v>56139.6</v>
      </c>
      <c r="Q3687" t="s">
        <v>107</v>
      </c>
      <c r="R3687" s="1" t="s">
        <v>48</v>
      </c>
    </row>
    <row r="3688" spans="3:18" x14ac:dyDescent="0.35">
      <c r="C3688" t="s">
        <v>51</v>
      </c>
      <c r="D3688" t="s">
        <v>22</v>
      </c>
      <c r="E3688" t="s">
        <v>52</v>
      </c>
      <c r="F3688" t="s">
        <v>46</v>
      </c>
      <c r="G3688" s="58">
        <v>1155387</v>
      </c>
      <c r="H3688" s="1" t="s">
        <v>48</v>
      </c>
      <c r="I3688" s="1" t="s">
        <v>108</v>
      </c>
      <c r="J3688" s="58">
        <v>35816997</v>
      </c>
      <c r="K3688" s="1" t="s">
        <v>106</v>
      </c>
      <c r="L3688" s="1" t="s">
        <v>130</v>
      </c>
      <c r="M3688" s="1" t="s">
        <v>115</v>
      </c>
      <c r="N3688" s="1">
        <v>1</v>
      </c>
      <c r="O3688" s="58"/>
      <c r="P3688" s="58">
        <v>358169.97</v>
      </c>
      <c r="Q3688" t="s">
        <v>107</v>
      </c>
      <c r="R3688" s="1" t="s">
        <v>48</v>
      </c>
    </row>
    <row r="3689" spans="3:18" x14ac:dyDescent="0.35">
      <c r="C3689" t="s">
        <v>51</v>
      </c>
      <c r="D3689" t="s">
        <v>21</v>
      </c>
      <c r="E3689" t="s">
        <v>49</v>
      </c>
      <c r="F3689" t="s">
        <v>46</v>
      </c>
      <c r="G3689" s="58">
        <v>268997303</v>
      </c>
      <c r="H3689" s="1" t="s">
        <v>47</v>
      </c>
      <c r="I3689" s="1" t="s">
        <v>111</v>
      </c>
      <c r="J3689" s="58">
        <v>4034959545</v>
      </c>
      <c r="K3689" s="1" t="s">
        <v>106</v>
      </c>
      <c r="L3689" s="1" t="s">
        <v>124</v>
      </c>
      <c r="N3689" s="1">
        <v>1</v>
      </c>
      <c r="O3689" s="58"/>
      <c r="P3689" s="58">
        <v>72629271.810000002</v>
      </c>
      <c r="Q3689" t="s">
        <v>107</v>
      </c>
      <c r="R3689" s="1" t="s">
        <v>158</v>
      </c>
    </row>
    <row r="3690" spans="3:18" x14ac:dyDescent="0.35">
      <c r="C3690" t="s">
        <v>51</v>
      </c>
      <c r="D3690" t="s">
        <v>23</v>
      </c>
      <c r="E3690" t="s">
        <v>45</v>
      </c>
      <c r="F3690" t="s">
        <v>46</v>
      </c>
      <c r="G3690" s="58">
        <v>242945</v>
      </c>
      <c r="H3690" s="1" t="s">
        <v>59</v>
      </c>
      <c r="I3690" s="1" t="s">
        <v>111</v>
      </c>
      <c r="J3690" s="58">
        <v>4130065</v>
      </c>
      <c r="K3690" s="1" t="s">
        <v>112</v>
      </c>
      <c r="N3690" s="1">
        <v>1</v>
      </c>
      <c r="O3690" s="58"/>
      <c r="P3690" s="58">
        <v>194356</v>
      </c>
      <c r="Q3690" t="s">
        <v>127</v>
      </c>
      <c r="R3690" s="1" t="s">
        <v>158</v>
      </c>
    </row>
    <row r="3691" spans="3:18" x14ac:dyDescent="0.35">
      <c r="C3691" t="s">
        <v>51</v>
      </c>
      <c r="D3691" t="s">
        <v>91</v>
      </c>
      <c r="E3691" t="s">
        <v>45</v>
      </c>
      <c r="F3691" t="s">
        <v>46</v>
      </c>
      <c r="G3691" s="58">
        <v>3085705</v>
      </c>
      <c r="H3691" s="1" t="s">
        <v>48</v>
      </c>
      <c r="I3691" s="1" t="s">
        <v>105</v>
      </c>
      <c r="J3691" s="58">
        <v>9257115</v>
      </c>
      <c r="K3691" s="1" t="s">
        <v>106</v>
      </c>
      <c r="L3691" s="1" t="s">
        <v>120</v>
      </c>
      <c r="M3691" s="1" t="s">
        <v>122</v>
      </c>
      <c r="N3691" s="1">
        <v>1</v>
      </c>
      <c r="O3691" s="58"/>
      <c r="P3691" s="58">
        <v>647998.05000000005</v>
      </c>
      <c r="Q3691" t="s">
        <v>107</v>
      </c>
      <c r="R3691" s="1" t="s">
        <v>158</v>
      </c>
    </row>
    <row r="3692" spans="3:18" x14ac:dyDescent="0.35">
      <c r="C3692" t="s">
        <v>53</v>
      </c>
      <c r="D3692" t="s">
        <v>23</v>
      </c>
      <c r="E3692" t="s">
        <v>45</v>
      </c>
      <c r="F3692" t="s">
        <v>46</v>
      </c>
      <c r="G3692" s="58">
        <v>1264373</v>
      </c>
      <c r="H3692" s="1" t="s">
        <v>56</v>
      </c>
      <c r="I3692" s="1" t="s">
        <v>111</v>
      </c>
      <c r="J3692" s="58">
        <v>15172476</v>
      </c>
      <c r="K3692" s="1" t="s">
        <v>106</v>
      </c>
      <c r="L3692" s="1" t="s">
        <v>120</v>
      </c>
      <c r="N3692" s="1">
        <v>1</v>
      </c>
      <c r="O3692" s="58"/>
      <c r="P3692" s="58">
        <v>885061.1</v>
      </c>
      <c r="Q3692" t="s">
        <v>118</v>
      </c>
      <c r="R3692" s="1" t="s">
        <v>158</v>
      </c>
    </row>
    <row r="3693" spans="3:18" x14ac:dyDescent="0.35">
      <c r="C3693" t="s">
        <v>53</v>
      </c>
      <c r="D3693" t="s">
        <v>24</v>
      </c>
      <c r="E3693" t="s">
        <v>55</v>
      </c>
      <c r="F3693" t="s">
        <v>46</v>
      </c>
      <c r="G3693" s="58">
        <v>692052</v>
      </c>
      <c r="H3693" s="1" t="s">
        <v>47</v>
      </c>
      <c r="I3693" s="1" t="s">
        <v>111</v>
      </c>
      <c r="J3693" s="58">
        <v>8304624</v>
      </c>
      <c r="K3693" s="1" t="s">
        <v>112</v>
      </c>
      <c r="N3693" s="1">
        <v>1</v>
      </c>
      <c r="O3693" s="58"/>
      <c r="P3693" s="58">
        <v>491356.92</v>
      </c>
      <c r="Q3693" t="s">
        <v>118</v>
      </c>
      <c r="R3693" s="1" t="s">
        <v>158</v>
      </c>
    </row>
    <row r="3694" spans="3:18" x14ac:dyDescent="0.35">
      <c r="C3694" t="s">
        <v>51</v>
      </c>
      <c r="D3694" t="s">
        <v>92</v>
      </c>
      <c r="E3694" t="s">
        <v>49</v>
      </c>
      <c r="F3694" t="s">
        <v>46</v>
      </c>
      <c r="G3694" s="58">
        <v>4353954</v>
      </c>
      <c r="H3694" s="1" t="s">
        <v>48</v>
      </c>
      <c r="I3694" s="1" t="s">
        <v>111</v>
      </c>
      <c r="J3694" s="58">
        <v>74017218</v>
      </c>
      <c r="K3694" s="1" t="s">
        <v>106</v>
      </c>
      <c r="L3694" s="1" t="s">
        <v>124</v>
      </c>
      <c r="M3694" s="1" t="s">
        <v>123</v>
      </c>
      <c r="N3694" s="1">
        <v>1</v>
      </c>
      <c r="O3694" s="58"/>
      <c r="P3694" s="58">
        <v>2873609.64</v>
      </c>
      <c r="Q3694" t="s">
        <v>118</v>
      </c>
      <c r="R3694" s="1" t="s">
        <v>48</v>
      </c>
    </row>
    <row r="3695" spans="3:18" x14ac:dyDescent="0.35">
      <c r="C3695" t="s">
        <v>53</v>
      </c>
      <c r="D3695" t="s">
        <v>23</v>
      </c>
      <c r="E3695" t="s">
        <v>49</v>
      </c>
      <c r="F3695" t="s">
        <v>46</v>
      </c>
      <c r="G3695" s="58">
        <v>3402034</v>
      </c>
      <c r="H3695" s="1" t="s">
        <v>54</v>
      </c>
      <c r="I3695" s="1" t="s">
        <v>119</v>
      </c>
      <c r="J3695" s="58">
        <v>23814238</v>
      </c>
      <c r="K3695" s="1" t="s">
        <v>106</v>
      </c>
      <c r="L3695" s="1" t="s">
        <v>124</v>
      </c>
      <c r="N3695" s="1">
        <v>1</v>
      </c>
      <c r="O3695" s="58"/>
      <c r="P3695" s="58">
        <v>204122.04</v>
      </c>
      <c r="Q3695" t="s">
        <v>107</v>
      </c>
      <c r="R3695" s="1" t="s">
        <v>158</v>
      </c>
    </row>
    <row r="3696" spans="3:18" x14ac:dyDescent="0.35">
      <c r="C3696" t="s">
        <v>51</v>
      </c>
      <c r="D3696" t="s">
        <v>91</v>
      </c>
      <c r="E3696" t="s">
        <v>49</v>
      </c>
      <c r="F3696" t="s">
        <v>64</v>
      </c>
      <c r="G3696" s="58">
        <v>40156</v>
      </c>
      <c r="H3696" s="1" t="s">
        <v>48</v>
      </c>
      <c r="I3696" s="1" t="s">
        <v>119</v>
      </c>
      <c r="J3696" s="58">
        <v>240936</v>
      </c>
      <c r="K3696" s="1" t="s">
        <v>112</v>
      </c>
      <c r="N3696" s="1">
        <v>1</v>
      </c>
      <c r="O3696" s="58"/>
      <c r="P3696" s="58">
        <v>4015.6</v>
      </c>
      <c r="Q3696" t="s">
        <v>107</v>
      </c>
      <c r="R3696" s="1" t="s">
        <v>48</v>
      </c>
    </row>
    <row r="3697" spans="3:18" x14ac:dyDescent="0.35">
      <c r="C3697" t="s">
        <v>51</v>
      </c>
      <c r="D3697" t="s">
        <v>21</v>
      </c>
      <c r="E3697" t="s">
        <v>55</v>
      </c>
      <c r="F3697" t="s">
        <v>46</v>
      </c>
      <c r="G3697" s="58">
        <v>285755</v>
      </c>
      <c r="H3697" s="1" t="s">
        <v>48</v>
      </c>
      <c r="I3697" s="1" t="s">
        <v>119</v>
      </c>
      <c r="J3697" s="58">
        <v>2000285</v>
      </c>
      <c r="K3697" s="1" t="s">
        <v>106</v>
      </c>
      <c r="L3697" s="1" t="s">
        <v>114</v>
      </c>
      <c r="M3697" s="1" t="s">
        <v>126</v>
      </c>
      <c r="N3697" s="1">
        <v>1</v>
      </c>
      <c r="O3697" s="58"/>
      <c r="P3697" s="58">
        <v>125732.2</v>
      </c>
      <c r="Q3697" t="s">
        <v>113</v>
      </c>
      <c r="R3697" s="1" t="s">
        <v>48</v>
      </c>
    </row>
    <row r="3698" spans="3:18" x14ac:dyDescent="0.35">
      <c r="C3698" t="s">
        <v>53</v>
      </c>
      <c r="D3698" t="s">
        <v>22</v>
      </c>
      <c r="E3698" t="s">
        <v>45</v>
      </c>
      <c r="F3698" t="s">
        <v>46</v>
      </c>
      <c r="G3698" s="58">
        <v>8268150</v>
      </c>
      <c r="H3698" s="1" t="s">
        <v>54</v>
      </c>
      <c r="I3698" s="1" t="s">
        <v>119</v>
      </c>
      <c r="J3698" s="58">
        <v>49608900</v>
      </c>
      <c r="K3698" s="1" t="s">
        <v>106</v>
      </c>
      <c r="L3698" s="1" t="s">
        <v>120</v>
      </c>
      <c r="N3698" s="1">
        <v>1</v>
      </c>
      <c r="O3698" s="58"/>
      <c r="P3698" s="58">
        <v>5622342</v>
      </c>
      <c r="Q3698" t="s">
        <v>118</v>
      </c>
      <c r="R3698" s="1" t="s">
        <v>158</v>
      </c>
    </row>
    <row r="3699" spans="3:18" x14ac:dyDescent="0.35">
      <c r="C3699" t="s">
        <v>53</v>
      </c>
      <c r="D3699" t="s">
        <v>24</v>
      </c>
      <c r="E3699" t="s">
        <v>49</v>
      </c>
      <c r="F3699" t="s">
        <v>46</v>
      </c>
      <c r="G3699" s="58">
        <v>1400725</v>
      </c>
      <c r="H3699" s="1" t="s">
        <v>48</v>
      </c>
      <c r="I3699" s="1" t="s">
        <v>105</v>
      </c>
      <c r="J3699" s="58">
        <v>1400725</v>
      </c>
      <c r="K3699" s="1" t="s">
        <v>106</v>
      </c>
      <c r="L3699" s="1" t="s">
        <v>124</v>
      </c>
      <c r="M3699" s="1" t="s">
        <v>121</v>
      </c>
      <c r="N3699" s="1">
        <v>1</v>
      </c>
      <c r="O3699" s="58"/>
      <c r="P3699" s="58">
        <v>630326.25</v>
      </c>
      <c r="Q3699" t="s">
        <v>113</v>
      </c>
      <c r="R3699" s="1" t="s">
        <v>158</v>
      </c>
    </row>
    <row r="3700" spans="3:18" x14ac:dyDescent="0.35">
      <c r="C3700" t="s">
        <v>51</v>
      </c>
      <c r="D3700" t="s">
        <v>91</v>
      </c>
      <c r="E3700" t="s">
        <v>49</v>
      </c>
      <c r="F3700" t="s">
        <v>46</v>
      </c>
      <c r="G3700" s="58">
        <v>4657572</v>
      </c>
      <c r="H3700" s="1" t="s">
        <v>48</v>
      </c>
      <c r="I3700" s="1" t="s">
        <v>119</v>
      </c>
      <c r="J3700" s="58">
        <v>37260576</v>
      </c>
      <c r="K3700" s="1" t="s">
        <v>106</v>
      </c>
      <c r="L3700" s="1" t="s">
        <v>124</v>
      </c>
      <c r="M3700" s="1" t="s">
        <v>122</v>
      </c>
      <c r="N3700" s="1">
        <v>1</v>
      </c>
      <c r="O3700" s="58"/>
      <c r="P3700" s="58">
        <v>1071241.56</v>
      </c>
      <c r="Q3700" t="s">
        <v>107</v>
      </c>
      <c r="R3700" s="1" t="s">
        <v>158</v>
      </c>
    </row>
    <row r="3701" spans="3:18" x14ac:dyDescent="0.35">
      <c r="C3701" t="s">
        <v>51</v>
      </c>
      <c r="D3701" t="s">
        <v>22</v>
      </c>
      <c r="E3701" t="s">
        <v>45</v>
      </c>
      <c r="F3701" t="s">
        <v>46</v>
      </c>
      <c r="G3701" s="58">
        <v>178131</v>
      </c>
      <c r="H3701" s="1" t="s">
        <v>58</v>
      </c>
      <c r="I3701" s="1" t="s">
        <v>108</v>
      </c>
      <c r="J3701" s="58">
        <v>3740751</v>
      </c>
      <c r="K3701" s="1" t="s">
        <v>106</v>
      </c>
      <c r="L3701" s="1" t="s">
        <v>120</v>
      </c>
      <c r="N3701" s="1">
        <v>1</v>
      </c>
      <c r="O3701" s="58"/>
      <c r="P3701" s="58">
        <v>99753.36</v>
      </c>
      <c r="Q3701" t="s">
        <v>113</v>
      </c>
      <c r="R3701" s="1" t="s">
        <v>158</v>
      </c>
    </row>
    <row r="3702" spans="3:18" x14ac:dyDescent="0.35">
      <c r="C3702" t="s">
        <v>51</v>
      </c>
      <c r="D3702" t="s">
        <v>19</v>
      </c>
      <c r="E3702" t="s">
        <v>49</v>
      </c>
      <c r="F3702" t="s">
        <v>46</v>
      </c>
      <c r="G3702" s="58">
        <v>880949</v>
      </c>
      <c r="H3702" s="1" t="s">
        <v>59</v>
      </c>
      <c r="I3702" s="1" t="s">
        <v>111</v>
      </c>
      <c r="J3702" s="58">
        <v>16738031</v>
      </c>
      <c r="K3702" s="1" t="s">
        <v>112</v>
      </c>
      <c r="N3702" s="1">
        <v>1</v>
      </c>
      <c r="O3702" s="58"/>
      <c r="P3702" s="58">
        <v>405236.54</v>
      </c>
      <c r="Q3702" t="s">
        <v>113</v>
      </c>
      <c r="R3702" s="1" t="s">
        <v>158</v>
      </c>
    </row>
    <row r="3703" spans="3:18" x14ac:dyDescent="0.35">
      <c r="C3703" t="s">
        <v>51</v>
      </c>
      <c r="D3703" t="s">
        <v>23</v>
      </c>
      <c r="E3703" t="s">
        <v>55</v>
      </c>
      <c r="F3703" t="s">
        <v>46</v>
      </c>
      <c r="G3703" s="58">
        <v>646081</v>
      </c>
      <c r="H3703" s="1" t="s">
        <v>48</v>
      </c>
      <c r="I3703" s="1" t="s">
        <v>108</v>
      </c>
      <c r="J3703" s="58">
        <v>21966754</v>
      </c>
      <c r="K3703" s="1" t="s">
        <v>112</v>
      </c>
      <c r="N3703" s="1">
        <v>1</v>
      </c>
      <c r="O3703" s="58"/>
      <c r="P3703" s="58">
        <v>148598.63</v>
      </c>
      <c r="Q3703" t="s">
        <v>107</v>
      </c>
      <c r="R3703" s="1" t="s">
        <v>158</v>
      </c>
    </row>
    <row r="3704" spans="3:18" x14ac:dyDescent="0.35">
      <c r="C3704" t="s">
        <v>53</v>
      </c>
      <c r="D3704" t="s">
        <v>20</v>
      </c>
      <c r="E3704" t="s">
        <v>49</v>
      </c>
      <c r="F3704" t="s">
        <v>46</v>
      </c>
      <c r="G3704" s="58">
        <v>280000</v>
      </c>
      <c r="H3704" s="1" t="s">
        <v>47</v>
      </c>
      <c r="I3704" s="1" t="s">
        <v>105</v>
      </c>
      <c r="J3704" s="58">
        <v>1120000</v>
      </c>
      <c r="K3704" s="1" t="s">
        <v>106</v>
      </c>
      <c r="L3704" s="1" t="s">
        <v>124</v>
      </c>
      <c r="N3704" s="1">
        <v>1</v>
      </c>
      <c r="O3704" s="58"/>
      <c r="P3704" s="58">
        <v>406000</v>
      </c>
      <c r="Q3704" t="s">
        <v>110</v>
      </c>
      <c r="R3704" s="1" t="s">
        <v>158</v>
      </c>
    </row>
    <row r="3705" spans="3:18" x14ac:dyDescent="0.35">
      <c r="C3705" t="s">
        <v>51</v>
      </c>
      <c r="D3705" t="s">
        <v>22</v>
      </c>
      <c r="E3705" t="s">
        <v>49</v>
      </c>
      <c r="F3705" t="s">
        <v>46</v>
      </c>
      <c r="G3705" s="58">
        <v>120287</v>
      </c>
      <c r="H3705" s="1" t="s">
        <v>48</v>
      </c>
      <c r="I3705" s="1" t="s">
        <v>108</v>
      </c>
      <c r="J3705" s="58">
        <v>3368036</v>
      </c>
      <c r="K3705" s="1" t="s">
        <v>106</v>
      </c>
      <c r="L3705" s="1" t="s">
        <v>124</v>
      </c>
      <c r="M3705" s="1" t="s">
        <v>126</v>
      </c>
      <c r="N3705" s="1">
        <v>1</v>
      </c>
      <c r="O3705" s="58"/>
      <c r="P3705" s="58">
        <v>25260.27</v>
      </c>
      <c r="Q3705" t="s">
        <v>107</v>
      </c>
      <c r="R3705" s="1" t="s">
        <v>48</v>
      </c>
    </row>
    <row r="3706" spans="3:18" x14ac:dyDescent="0.35">
      <c r="C3706" t="s">
        <v>51</v>
      </c>
      <c r="D3706" t="s">
        <v>20</v>
      </c>
      <c r="E3706" t="s">
        <v>49</v>
      </c>
      <c r="F3706" t="s">
        <v>46</v>
      </c>
      <c r="G3706" s="58">
        <v>294433</v>
      </c>
      <c r="H3706" s="1" t="s">
        <v>48</v>
      </c>
      <c r="I3706" s="1" t="s">
        <v>119</v>
      </c>
      <c r="J3706" s="58">
        <v>2944330</v>
      </c>
      <c r="K3706" s="1" t="s">
        <v>106</v>
      </c>
      <c r="L3706" s="1" t="s">
        <v>124</v>
      </c>
      <c r="M3706" s="1" t="s">
        <v>126</v>
      </c>
      <c r="N3706" s="1">
        <v>1</v>
      </c>
      <c r="O3706" s="58"/>
      <c r="P3706" s="58">
        <v>123661.86</v>
      </c>
      <c r="Q3706" t="s">
        <v>113</v>
      </c>
      <c r="R3706" s="1" t="s">
        <v>48</v>
      </c>
    </row>
    <row r="3707" spans="3:18" x14ac:dyDescent="0.35">
      <c r="C3707" t="s">
        <v>51</v>
      </c>
      <c r="D3707" t="s">
        <v>24</v>
      </c>
      <c r="E3707" t="s">
        <v>55</v>
      </c>
      <c r="F3707" t="s">
        <v>46</v>
      </c>
      <c r="G3707" s="58">
        <v>3400346</v>
      </c>
      <c r="H3707" s="1" t="s">
        <v>59</v>
      </c>
      <c r="I3707" s="1" t="s">
        <v>105</v>
      </c>
      <c r="J3707" s="58">
        <v>10201038</v>
      </c>
      <c r="K3707" s="1" t="s">
        <v>106</v>
      </c>
      <c r="L3707" s="1" t="s">
        <v>114</v>
      </c>
      <c r="N3707" s="1">
        <v>1</v>
      </c>
      <c r="O3707" s="58"/>
      <c r="P3707" s="58">
        <v>442044.98</v>
      </c>
      <c r="Q3707" t="s">
        <v>107</v>
      </c>
      <c r="R3707" s="1" t="s">
        <v>158</v>
      </c>
    </row>
    <row r="3708" spans="3:18" x14ac:dyDescent="0.35">
      <c r="C3708" t="s">
        <v>51</v>
      </c>
      <c r="D3708" t="s">
        <v>24</v>
      </c>
      <c r="E3708" t="s">
        <v>50</v>
      </c>
      <c r="F3708" t="s">
        <v>46</v>
      </c>
      <c r="G3708" s="58">
        <v>548585</v>
      </c>
      <c r="H3708" s="1" t="s">
        <v>56</v>
      </c>
      <c r="I3708" s="1" t="s">
        <v>108</v>
      </c>
      <c r="J3708" s="58">
        <v>13714625</v>
      </c>
      <c r="K3708" s="1" t="s">
        <v>106</v>
      </c>
      <c r="L3708" s="1" t="s">
        <v>109</v>
      </c>
      <c r="N3708" s="1">
        <v>1</v>
      </c>
      <c r="O3708" s="58"/>
      <c r="P3708" s="58">
        <v>307207.59999999998</v>
      </c>
      <c r="Q3708" t="s">
        <v>113</v>
      </c>
      <c r="R3708" s="1" t="s">
        <v>158</v>
      </c>
    </row>
    <row r="3709" spans="3:18" x14ac:dyDescent="0.35">
      <c r="C3709" t="s">
        <v>51</v>
      </c>
      <c r="D3709" t="s">
        <v>19</v>
      </c>
      <c r="E3709" t="s">
        <v>49</v>
      </c>
      <c r="F3709" t="s">
        <v>46</v>
      </c>
      <c r="G3709" s="58">
        <v>41630</v>
      </c>
      <c r="H3709" s="1" t="s">
        <v>48</v>
      </c>
      <c r="I3709" s="1" t="s">
        <v>119</v>
      </c>
      <c r="J3709" s="58">
        <v>374670</v>
      </c>
      <c r="K3709" s="1" t="s">
        <v>106</v>
      </c>
      <c r="L3709" s="1" t="s">
        <v>124</v>
      </c>
      <c r="M3709" s="1" t="s">
        <v>123</v>
      </c>
      <c r="N3709" s="1">
        <v>1</v>
      </c>
      <c r="O3709" s="58"/>
      <c r="P3709" s="58">
        <v>4995.6000000000004</v>
      </c>
      <c r="Q3709" t="s">
        <v>107</v>
      </c>
      <c r="R3709" s="1" t="s">
        <v>48</v>
      </c>
    </row>
    <row r="3710" spans="3:18" x14ac:dyDescent="0.35">
      <c r="C3710" t="s">
        <v>51</v>
      </c>
      <c r="D3710" t="s">
        <v>24</v>
      </c>
      <c r="E3710" t="s">
        <v>55</v>
      </c>
      <c r="F3710" t="s">
        <v>64</v>
      </c>
      <c r="G3710" s="58">
        <v>82196</v>
      </c>
      <c r="H3710" s="1" t="s">
        <v>48</v>
      </c>
      <c r="I3710" s="1" t="s">
        <v>111</v>
      </c>
      <c r="J3710" s="58">
        <v>1561724</v>
      </c>
      <c r="K3710" s="1" t="s">
        <v>112</v>
      </c>
      <c r="N3710" s="1">
        <v>1</v>
      </c>
      <c r="O3710" s="58"/>
      <c r="P3710" s="58">
        <v>8219.6</v>
      </c>
      <c r="Q3710" t="s">
        <v>107</v>
      </c>
      <c r="R3710" s="1" t="s">
        <v>158</v>
      </c>
    </row>
    <row r="3711" spans="3:18" x14ac:dyDescent="0.35">
      <c r="C3711" t="s">
        <v>53</v>
      </c>
      <c r="D3711" t="s">
        <v>23</v>
      </c>
      <c r="E3711" t="s">
        <v>55</v>
      </c>
      <c r="F3711" t="s">
        <v>46</v>
      </c>
      <c r="G3711" s="58">
        <v>55656</v>
      </c>
      <c r="H3711" s="1" t="s">
        <v>47</v>
      </c>
      <c r="I3711" s="1" t="s">
        <v>105</v>
      </c>
      <c r="J3711" s="58">
        <v>55656</v>
      </c>
      <c r="K3711" s="1" t="s">
        <v>106</v>
      </c>
      <c r="L3711" s="1" t="s">
        <v>124</v>
      </c>
      <c r="N3711" s="1">
        <v>1</v>
      </c>
      <c r="O3711" s="58"/>
      <c r="P3711" s="58">
        <v>1113.1199999999999</v>
      </c>
      <c r="Q3711" t="s">
        <v>107</v>
      </c>
      <c r="R3711" s="1" t="s">
        <v>158</v>
      </c>
    </row>
    <row r="3712" spans="3:18" x14ac:dyDescent="0.35">
      <c r="C3712" t="s">
        <v>51</v>
      </c>
      <c r="D3712" t="s">
        <v>22</v>
      </c>
      <c r="E3712" t="s">
        <v>45</v>
      </c>
      <c r="F3712" t="s">
        <v>46</v>
      </c>
      <c r="G3712" s="58">
        <v>678318361</v>
      </c>
      <c r="H3712" s="1" t="s">
        <v>48</v>
      </c>
      <c r="I3712" s="1" t="s">
        <v>108</v>
      </c>
      <c r="J3712" s="58">
        <v>19671232469</v>
      </c>
      <c r="K3712" s="1" t="s">
        <v>106</v>
      </c>
      <c r="L3712" s="1" t="s">
        <v>120</v>
      </c>
      <c r="M3712" s="1" t="s">
        <v>115</v>
      </c>
      <c r="N3712" s="1">
        <v>1</v>
      </c>
      <c r="O3712" s="58"/>
      <c r="P3712" s="58">
        <v>352725547.72000003</v>
      </c>
      <c r="Q3712" t="s">
        <v>113</v>
      </c>
      <c r="R3712" s="1" t="s">
        <v>158</v>
      </c>
    </row>
    <row r="3713" spans="3:18" x14ac:dyDescent="0.35">
      <c r="C3713" t="s">
        <v>51</v>
      </c>
      <c r="D3713" t="s">
        <v>20</v>
      </c>
      <c r="E3713" t="s">
        <v>49</v>
      </c>
      <c r="F3713" t="s">
        <v>46</v>
      </c>
      <c r="G3713" s="58">
        <v>68464</v>
      </c>
      <c r="H3713" s="1" t="s">
        <v>48</v>
      </c>
      <c r="I3713" s="1" t="s">
        <v>119</v>
      </c>
      <c r="J3713" s="58">
        <v>684640</v>
      </c>
      <c r="K3713" s="1" t="s">
        <v>106</v>
      </c>
      <c r="L3713" s="1" t="s">
        <v>124</v>
      </c>
      <c r="M3713" s="1" t="s">
        <v>126</v>
      </c>
      <c r="N3713" s="1">
        <v>1</v>
      </c>
      <c r="O3713" s="58"/>
      <c r="P3713" s="58">
        <v>8900.32</v>
      </c>
      <c r="Q3713" t="s">
        <v>107</v>
      </c>
      <c r="R3713" s="1" t="s">
        <v>48</v>
      </c>
    </row>
    <row r="3714" spans="3:18" x14ac:dyDescent="0.35">
      <c r="C3714" t="s">
        <v>53</v>
      </c>
      <c r="D3714" t="s">
        <v>91</v>
      </c>
      <c r="E3714" t="s">
        <v>45</v>
      </c>
      <c r="F3714" t="s">
        <v>46</v>
      </c>
      <c r="G3714" s="58">
        <v>371561</v>
      </c>
      <c r="H3714" s="1" t="s">
        <v>54</v>
      </c>
      <c r="I3714" s="1" t="s">
        <v>119</v>
      </c>
      <c r="J3714" s="58">
        <v>2229366</v>
      </c>
      <c r="K3714" s="1" t="s">
        <v>106</v>
      </c>
      <c r="L3714" s="1" t="s">
        <v>120</v>
      </c>
      <c r="N3714" s="1">
        <v>1</v>
      </c>
      <c r="O3714" s="58"/>
      <c r="P3714" s="58">
        <v>167202.45000000001</v>
      </c>
      <c r="Q3714" t="s">
        <v>113</v>
      </c>
      <c r="R3714" s="1" t="s">
        <v>158</v>
      </c>
    </row>
    <row r="3715" spans="3:18" x14ac:dyDescent="0.35">
      <c r="C3715" t="s">
        <v>53</v>
      </c>
      <c r="D3715" t="s">
        <v>21</v>
      </c>
      <c r="E3715" t="s">
        <v>45</v>
      </c>
      <c r="F3715" t="s">
        <v>46</v>
      </c>
      <c r="G3715" s="58">
        <v>28402</v>
      </c>
      <c r="H3715" s="1" t="s">
        <v>56</v>
      </c>
      <c r="I3715" s="1" t="s">
        <v>108</v>
      </c>
      <c r="J3715" s="58">
        <v>596442</v>
      </c>
      <c r="K3715" s="1" t="s">
        <v>106</v>
      </c>
      <c r="L3715" s="1" t="s">
        <v>120</v>
      </c>
      <c r="N3715" s="1">
        <v>1</v>
      </c>
      <c r="O3715" s="58"/>
      <c r="P3715" s="58">
        <v>25277.78</v>
      </c>
      <c r="Q3715" t="s">
        <v>127</v>
      </c>
      <c r="R3715" s="1" t="s">
        <v>158</v>
      </c>
    </row>
    <row r="3716" spans="3:18" x14ac:dyDescent="0.35">
      <c r="C3716" t="s">
        <v>51</v>
      </c>
      <c r="D3716" t="s">
        <v>25</v>
      </c>
      <c r="E3716" t="s">
        <v>50</v>
      </c>
      <c r="F3716" t="s">
        <v>46</v>
      </c>
      <c r="G3716" s="58">
        <v>164357</v>
      </c>
      <c r="H3716" s="1" t="s">
        <v>47</v>
      </c>
      <c r="I3716" s="1" t="s">
        <v>108</v>
      </c>
      <c r="J3716" s="58">
        <v>6574280</v>
      </c>
      <c r="K3716" s="1" t="s">
        <v>112</v>
      </c>
      <c r="N3716" s="1">
        <v>1</v>
      </c>
      <c r="O3716" s="58"/>
      <c r="P3716" s="58">
        <v>111762.76</v>
      </c>
      <c r="Q3716" t="s">
        <v>118</v>
      </c>
      <c r="R3716" s="1" t="s">
        <v>158</v>
      </c>
    </row>
    <row r="3717" spans="3:18" x14ac:dyDescent="0.35">
      <c r="C3717" t="s">
        <v>51</v>
      </c>
      <c r="D3717" t="s">
        <v>21</v>
      </c>
      <c r="E3717" t="s">
        <v>49</v>
      </c>
      <c r="F3717" t="s">
        <v>46</v>
      </c>
      <c r="G3717" s="58">
        <v>39174712</v>
      </c>
      <c r="H3717" s="1" t="s">
        <v>48</v>
      </c>
      <c r="I3717" s="1" t="s">
        <v>108</v>
      </c>
      <c r="J3717" s="58">
        <v>1410289632</v>
      </c>
      <c r="K3717" s="1" t="s">
        <v>106</v>
      </c>
      <c r="L3717" s="1" t="s">
        <v>124</v>
      </c>
      <c r="M3717" s="1" t="s">
        <v>126</v>
      </c>
      <c r="N3717" s="1">
        <v>1</v>
      </c>
      <c r="O3717" s="58"/>
      <c r="P3717" s="58">
        <v>32515010.960000001</v>
      </c>
      <c r="Q3717" t="s">
        <v>127</v>
      </c>
      <c r="R3717" s="1" t="s">
        <v>48</v>
      </c>
    </row>
    <row r="3718" spans="3:18" x14ac:dyDescent="0.35">
      <c r="C3718" t="s">
        <v>51</v>
      </c>
      <c r="D3718" t="s">
        <v>24</v>
      </c>
      <c r="E3718" t="s">
        <v>62</v>
      </c>
      <c r="F3718" t="s">
        <v>64</v>
      </c>
      <c r="G3718" s="58">
        <v>61831</v>
      </c>
      <c r="H3718" s="1" t="s">
        <v>48</v>
      </c>
      <c r="I3718" s="1" t="s">
        <v>119</v>
      </c>
      <c r="J3718" s="58">
        <v>618310</v>
      </c>
      <c r="K3718" s="1" t="s">
        <v>106</v>
      </c>
      <c r="L3718" s="1" t="s">
        <v>131</v>
      </c>
      <c r="M3718" s="1" t="s">
        <v>121</v>
      </c>
      <c r="N3718" s="1">
        <v>1</v>
      </c>
      <c r="O3718" s="58"/>
      <c r="P3718" s="58">
        <v>41426.769999999997</v>
      </c>
      <c r="Q3718" t="s">
        <v>118</v>
      </c>
      <c r="R3718" s="1" t="s">
        <v>48</v>
      </c>
    </row>
    <row r="3719" spans="3:18" x14ac:dyDescent="0.35">
      <c r="C3719" t="s">
        <v>51</v>
      </c>
      <c r="D3719" t="s">
        <v>21</v>
      </c>
      <c r="E3719" t="s">
        <v>45</v>
      </c>
      <c r="F3719" t="s">
        <v>46</v>
      </c>
      <c r="G3719" s="58">
        <v>97252829</v>
      </c>
      <c r="H3719" s="1" t="s">
        <v>48</v>
      </c>
      <c r="I3719" s="1" t="s">
        <v>108</v>
      </c>
      <c r="J3719" s="58">
        <v>3403849015</v>
      </c>
      <c r="K3719" s="1" t="s">
        <v>112</v>
      </c>
      <c r="N3719" s="1">
        <v>1</v>
      </c>
      <c r="O3719" s="58"/>
      <c r="P3719" s="58">
        <v>70022036.879999995</v>
      </c>
      <c r="Q3719" t="s">
        <v>118</v>
      </c>
      <c r="R3719" s="1" t="s">
        <v>48</v>
      </c>
    </row>
    <row r="3720" spans="3:18" x14ac:dyDescent="0.35">
      <c r="C3720" t="s">
        <v>53</v>
      </c>
      <c r="D3720" t="s">
        <v>21</v>
      </c>
      <c r="E3720" t="s">
        <v>45</v>
      </c>
      <c r="F3720" t="s">
        <v>46</v>
      </c>
      <c r="G3720" s="58">
        <v>189826</v>
      </c>
      <c r="H3720" s="1" t="s">
        <v>56</v>
      </c>
      <c r="I3720" s="1" t="s">
        <v>111</v>
      </c>
      <c r="J3720" s="58">
        <v>2088086</v>
      </c>
      <c r="K3720" s="1" t="s">
        <v>106</v>
      </c>
      <c r="L3720" s="1" t="s">
        <v>120</v>
      </c>
      <c r="N3720" s="1">
        <v>1</v>
      </c>
      <c r="O3720" s="58"/>
      <c r="P3720" s="58">
        <v>161352.1</v>
      </c>
      <c r="Q3720" t="s">
        <v>127</v>
      </c>
      <c r="R3720" s="1" t="s">
        <v>158</v>
      </c>
    </row>
    <row r="3721" spans="3:18" x14ac:dyDescent="0.35">
      <c r="C3721" t="s">
        <v>51</v>
      </c>
      <c r="D3721" t="s">
        <v>24</v>
      </c>
      <c r="E3721" t="s">
        <v>45</v>
      </c>
      <c r="F3721" t="s">
        <v>46</v>
      </c>
      <c r="G3721" s="58">
        <v>905785</v>
      </c>
      <c r="H3721" s="1" t="s">
        <v>59</v>
      </c>
      <c r="I3721" s="1" t="s">
        <v>111</v>
      </c>
      <c r="J3721" s="58">
        <v>15398345</v>
      </c>
      <c r="K3721" s="1" t="s">
        <v>106</v>
      </c>
      <c r="L3721" s="1" t="s">
        <v>120</v>
      </c>
      <c r="N3721" s="1">
        <v>1</v>
      </c>
      <c r="O3721" s="58"/>
      <c r="P3721" s="58">
        <v>597818.1</v>
      </c>
      <c r="Q3721" t="s">
        <v>118</v>
      </c>
      <c r="R3721" s="1" t="s">
        <v>158</v>
      </c>
    </row>
    <row r="3722" spans="3:18" x14ac:dyDescent="0.35">
      <c r="C3722" t="s">
        <v>51</v>
      </c>
      <c r="D3722" t="s">
        <v>92</v>
      </c>
      <c r="E3722" t="s">
        <v>49</v>
      </c>
      <c r="F3722" t="s">
        <v>46</v>
      </c>
      <c r="G3722" s="58">
        <v>2310572</v>
      </c>
      <c r="H3722" s="1" t="s">
        <v>56</v>
      </c>
      <c r="I3722" s="1" t="s">
        <v>119</v>
      </c>
      <c r="J3722" s="58">
        <v>18484576</v>
      </c>
      <c r="K3722" s="1" t="s">
        <v>106</v>
      </c>
      <c r="L3722" s="1" t="s">
        <v>124</v>
      </c>
      <c r="N3722" s="1">
        <v>1</v>
      </c>
      <c r="O3722" s="58"/>
      <c r="P3722" s="58">
        <v>1155286</v>
      </c>
      <c r="Q3722" t="s">
        <v>113</v>
      </c>
      <c r="R3722" s="1" t="s">
        <v>158</v>
      </c>
    </row>
    <row r="3723" spans="3:18" x14ac:dyDescent="0.35">
      <c r="C3723" t="s">
        <v>51</v>
      </c>
      <c r="D3723" t="s">
        <v>20</v>
      </c>
      <c r="E3723" t="s">
        <v>49</v>
      </c>
      <c r="F3723" t="s">
        <v>46</v>
      </c>
      <c r="G3723" s="58">
        <v>933520</v>
      </c>
      <c r="H3723" s="1" t="s">
        <v>48</v>
      </c>
      <c r="I3723" s="1" t="s">
        <v>108</v>
      </c>
      <c r="J3723" s="58">
        <v>29872640</v>
      </c>
      <c r="K3723" s="1" t="s">
        <v>106</v>
      </c>
      <c r="L3723" s="1" t="s">
        <v>120</v>
      </c>
      <c r="M3723" s="1" t="s">
        <v>125</v>
      </c>
      <c r="N3723" s="1">
        <v>1</v>
      </c>
      <c r="O3723" s="58"/>
      <c r="P3723" s="58">
        <v>662799.19999999995</v>
      </c>
      <c r="Q3723" t="s">
        <v>118</v>
      </c>
      <c r="R3723" s="1" t="s">
        <v>48</v>
      </c>
    </row>
    <row r="3724" spans="3:18" x14ac:dyDescent="0.35">
      <c r="C3724" t="s">
        <v>51</v>
      </c>
      <c r="D3724" t="s">
        <v>92</v>
      </c>
      <c r="E3724" t="s">
        <v>49</v>
      </c>
      <c r="F3724" t="s">
        <v>46</v>
      </c>
      <c r="G3724" s="58">
        <v>2857265</v>
      </c>
      <c r="H3724" s="1" t="s">
        <v>56</v>
      </c>
      <c r="I3724" s="1" t="s">
        <v>108</v>
      </c>
      <c r="J3724" s="58">
        <v>77146155</v>
      </c>
      <c r="K3724" s="1" t="s">
        <v>112</v>
      </c>
      <c r="N3724" s="1">
        <v>1</v>
      </c>
      <c r="O3724" s="58"/>
      <c r="P3724" s="58">
        <v>1342914.55</v>
      </c>
      <c r="Q3724" t="s">
        <v>113</v>
      </c>
      <c r="R3724" s="1" t="s">
        <v>158</v>
      </c>
    </row>
    <row r="3725" spans="3:18" x14ac:dyDescent="0.35">
      <c r="C3725" t="s">
        <v>51</v>
      </c>
      <c r="D3725" t="s">
        <v>91</v>
      </c>
      <c r="E3725" t="s">
        <v>49</v>
      </c>
      <c r="F3725" t="s">
        <v>46</v>
      </c>
      <c r="G3725" s="58">
        <v>442575</v>
      </c>
      <c r="H3725" s="1" t="s">
        <v>56</v>
      </c>
      <c r="I3725" s="1" t="s">
        <v>119</v>
      </c>
      <c r="J3725" s="58">
        <v>3540600</v>
      </c>
      <c r="K3725" s="1" t="s">
        <v>106</v>
      </c>
      <c r="L3725" s="1" t="s">
        <v>124</v>
      </c>
      <c r="N3725" s="1">
        <v>1</v>
      </c>
      <c r="O3725" s="58"/>
      <c r="P3725" s="58">
        <v>137198.25</v>
      </c>
      <c r="Q3725" t="s">
        <v>107</v>
      </c>
      <c r="R3725" s="1" t="s">
        <v>158</v>
      </c>
    </row>
    <row r="3726" spans="3:18" x14ac:dyDescent="0.35">
      <c r="C3726" t="s">
        <v>51</v>
      </c>
      <c r="D3726" t="s">
        <v>24</v>
      </c>
      <c r="E3726" t="s">
        <v>55</v>
      </c>
      <c r="F3726" t="s">
        <v>46</v>
      </c>
      <c r="G3726" s="58">
        <v>1812591</v>
      </c>
      <c r="H3726" s="1" t="s">
        <v>56</v>
      </c>
      <c r="I3726" s="1" t="s">
        <v>108</v>
      </c>
      <c r="J3726" s="58">
        <v>52565139</v>
      </c>
      <c r="K3726" s="1" t="s">
        <v>112</v>
      </c>
      <c r="N3726" s="1">
        <v>1</v>
      </c>
      <c r="O3726" s="58"/>
      <c r="P3726" s="58">
        <v>1305065.52</v>
      </c>
      <c r="Q3726" t="s">
        <v>118</v>
      </c>
      <c r="R3726" s="1" t="s">
        <v>158</v>
      </c>
    </row>
    <row r="3727" spans="3:18" x14ac:dyDescent="0.35">
      <c r="C3727" t="s">
        <v>51</v>
      </c>
      <c r="D3727" t="s">
        <v>23</v>
      </c>
      <c r="E3727" t="s">
        <v>62</v>
      </c>
      <c r="F3727" t="s">
        <v>46</v>
      </c>
      <c r="G3727" s="58">
        <v>564716</v>
      </c>
      <c r="H3727" s="1" t="s">
        <v>48</v>
      </c>
      <c r="I3727" s="1" t="s">
        <v>108</v>
      </c>
      <c r="J3727" s="58">
        <v>19765060</v>
      </c>
      <c r="K3727" s="1" t="s">
        <v>106</v>
      </c>
      <c r="L3727" s="1" t="s">
        <v>131</v>
      </c>
      <c r="M3727" s="1" t="s">
        <v>125</v>
      </c>
      <c r="N3727" s="1">
        <v>1</v>
      </c>
      <c r="O3727" s="58"/>
      <c r="P3727" s="58">
        <v>666364.88</v>
      </c>
      <c r="Q3727" t="s">
        <v>110</v>
      </c>
      <c r="R3727" s="1" t="s">
        <v>48</v>
      </c>
    </row>
    <row r="3728" spans="3:18" x14ac:dyDescent="0.35">
      <c r="C3728" t="s">
        <v>53</v>
      </c>
      <c r="D3728" t="s">
        <v>19</v>
      </c>
      <c r="E3728" t="s">
        <v>55</v>
      </c>
      <c r="F3728" t="s">
        <v>46</v>
      </c>
      <c r="G3728" s="58">
        <v>111200</v>
      </c>
      <c r="H3728" s="1" t="s">
        <v>54</v>
      </c>
      <c r="I3728" s="1" t="s">
        <v>111</v>
      </c>
      <c r="J3728" s="58">
        <v>1334400</v>
      </c>
      <c r="K3728" s="1" t="s">
        <v>106</v>
      </c>
      <c r="L3728" s="1" t="s">
        <v>114</v>
      </c>
      <c r="N3728" s="1">
        <v>1</v>
      </c>
      <c r="O3728" s="58"/>
      <c r="P3728" s="58">
        <v>74504</v>
      </c>
      <c r="Q3728" t="s">
        <v>118</v>
      </c>
      <c r="R3728" s="1" t="s">
        <v>158</v>
      </c>
    </row>
    <row r="3729" spans="3:18" x14ac:dyDescent="0.35">
      <c r="C3729" t="s">
        <v>51</v>
      </c>
      <c r="D3729" t="s">
        <v>21</v>
      </c>
      <c r="E3729" t="s">
        <v>45</v>
      </c>
      <c r="F3729" t="s">
        <v>46</v>
      </c>
      <c r="G3729" s="58">
        <v>11382086</v>
      </c>
      <c r="H3729" s="1" t="s">
        <v>54</v>
      </c>
      <c r="I3729" s="1" t="s">
        <v>108</v>
      </c>
      <c r="J3729" s="58">
        <v>318698408</v>
      </c>
      <c r="K3729" s="1" t="s">
        <v>106</v>
      </c>
      <c r="L3729" s="1" t="s">
        <v>120</v>
      </c>
      <c r="N3729" s="1">
        <v>1</v>
      </c>
      <c r="O3729" s="58"/>
      <c r="P3729" s="58">
        <v>7739818.4800000004</v>
      </c>
      <c r="Q3729" t="s">
        <v>118</v>
      </c>
      <c r="R3729" s="1" t="s">
        <v>158</v>
      </c>
    </row>
    <row r="3730" spans="3:18" x14ac:dyDescent="0.35">
      <c r="C3730" t="s">
        <v>51</v>
      </c>
      <c r="D3730" t="s">
        <v>21</v>
      </c>
      <c r="E3730" t="s">
        <v>45</v>
      </c>
      <c r="F3730" t="s">
        <v>46</v>
      </c>
      <c r="G3730" s="58">
        <v>386569</v>
      </c>
      <c r="H3730" s="1" t="s">
        <v>48</v>
      </c>
      <c r="I3730" s="1" t="s">
        <v>111</v>
      </c>
      <c r="J3730" s="58">
        <v>5025397</v>
      </c>
      <c r="K3730" s="1" t="s">
        <v>112</v>
      </c>
      <c r="N3730" s="1">
        <v>1</v>
      </c>
      <c r="O3730" s="58"/>
      <c r="P3730" s="58">
        <v>85045.18</v>
      </c>
      <c r="Q3730" t="s">
        <v>107</v>
      </c>
      <c r="R3730" s="1" t="s">
        <v>158</v>
      </c>
    </row>
    <row r="3731" spans="3:18" x14ac:dyDescent="0.35">
      <c r="C3731" t="s">
        <v>51</v>
      </c>
      <c r="D3731" t="s">
        <v>19</v>
      </c>
      <c r="E3731" t="s">
        <v>49</v>
      </c>
      <c r="F3731" t="s">
        <v>46</v>
      </c>
      <c r="G3731" s="58">
        <v>387185</v>
      </c>
      <c r="H3731" s="1" t="s">
        <v>48</v>
      </c>
      <c r="I3731" s="1" t="s">
        <v>111</v>
      </c>
      <c r="J3731" s="58">
        <v>7743700</v>
      </c>
      <c r="K3731" s="1" t="s">
        <v>106</v>
      </c>
      <c r="L3731" s="1" t="s">
        <v>124</v>
      </c>
      <c r="M3731" s="1" t="s">
        <v>126</v>
      </c>
      <c r="N3731" s="1">
        <v>1</v>
      </c>
      <c r="O3731" s="58"/>
      <c r="P3731" s="58">
        <v>166489.54999999999</v>
      </c>
      <c r="Q3731" t="s">
        <v>113</v>
      </c>
      <c r="R3731" s="1" t="s">
        <v>158</v>
      </c>
    </row>
    <row r="3732" spans="3:18" x14ac:dyDescent="0.35">
      <c r="C3732" t="s">
        <v>51</v>
      </c>
      <c r="D3732" t="s">
        <v>21</v>
      </c>
      <c r="E3732" t="s">
        <v>45</v>
      </c>
      <c r="F3732" t="s">
        <v>46</v>
      </c>
      <c r="G3732" s="58">
        <v>103346362</v>
      </c>
      <c r="H3732" s="1" t="s">
        <v>48</v>
      </c>
      <c r="I3732" s="1" t="s">
        <v>108</v>
      </c>
      <c r="J3732" s="58">
        <v>2997044498</v>
      </c>
      <c r="K3732" s="1" t="s">
        <v>106</v>
      </c>
      <c r="L3732" s="1" t="s">
        <v>120</v>
      </c>
      <c r="M3732" s="1" t="s">
        <v>126</v>
      </c>
      <c r="N3732" s="1">
        <v>1</v>
      </c>
      <c r="O3732" s="58"/>
      <c r="P3732" s="58">
        <v>53740108.240000002</v>
      </c>
      <c r="Q3732" t="s">
        <v>113</v>
      </c>
      <c r="R3732" s="1" t="s">
        <v>158</v>
      </c>
    </row>
    <row r="3733" spans="3:18" x14ac:dyDescent="0.35">
      <c r="C3733" t="s">
        <v>53</v>
      </c>
      <c r="D3733" t="s">
        <v>24</v>
      </c>
      <c r="E3733" t="s">
        <v>55</v>
      </c>
      <c r="F3733" t="s">
        <v>46</v>
      </c>
      <c r="G3733" s="58">
        <v>4464378</v>
      </c>
      <c r="H3733" s="1" t="s">
        <v>54</v>
      </c>
      <c r="I3733" s="1" t="s">
        <v>119</v>
      </c>
      <c r="J3733" s="58">
        <v>31250646</v>
      </c>
      <c r="K3733" s="1" t="s">
        <v>106</v>
      </c>
      <c r="L3733" s="1" t="s">
        <v>114</v>
      </c>
      <c r="N3733" s="1">
        <v>1</v>
      </c>
      <c r="O3733" s="58"/>
      <c r="P3733" s="58">
        <v>2991133.26</v>
      </c>
      <c r="Q3733" t="s">
        <v>118</v>
      </c>
      <c r="R3733" s="1" t="s">
        <v>158</v>
      </c>
    </row>
    <row r="3734" spans="3:18" x14ac:dyDescent="0.35">
      <c r="C3734" t="s">
        <v>51</v>
      </c>
      <c r="D3734" t="s">
        <v>22</v>
      </c>
      <c r="E3734" t="s">
        <v>45</v>
      </c>
      <c r="F3734" t="s">
        <v>46</v>
      </c>
      <c r="G3734" s="58">
        <v>2626088</v>
      </c>
      <c r="H3734" s="1" t="s">
        <v>56</v>
      </c>
      <c r="I3734" s="1" t="s">
        <v>108</v>
      </c>
      <c r="J3734" s="58">
        <v>73530464</v>
      </c>
      <c r="K3734" s="1" t="s">
        <v>106</v>
      </c>
      <c r="L3734" s="1" t="s">
        <v>120</v>
      </c>
      <c r="N3734" s="1">
        <v>1</v>
      </c>
      <c r="O3734" s="58"/>
      <c r="P3734" s="58">
        <v>3046262.08</v>
      </c>
      <c r="Q3734" t="s">
        <v>110</v>
      </c>
      <c r="R3734" s="1" t="s">
        <v>158</v>
      </c>
    </row>
    <row r="3735" spans="3:18" x14ac:dyDescent="0.35">
      <c r="C3735" t="s">
        <v>51</v>
      </c>
      <c r="D3735" t="s">
        <v>92</v>
      </c>
      <c r="E3735" t="s">
        <v>49</v>
      </c>
      <c r="F3735" t="s">
        <v>46</v>
      </c>
      <c r="G3735" s="58">
        <v>129200</v>
      </c>
      <c r="H3735" s="1" t="s">
        <v>48</v>
      </c>
      <c r="I3735" s="1" t="s">
        <v>111</v>
      </c>
      <c r="J3735" s="58">
        <v>1808800</v>
      </c>
      <c r="K3735" s="1" t="s">
        <v>106</v>
      </c>
      <c r="L3735" s="1" t="s">
        <v>124</v>
      </c>
      <c r="M3735" s="1" t="s">
        <v>123</v>
      </c>
      <c r="N3735" s="1">
        <v>1</v>
      </c>
      <c r="O3735" s="58"/>
      <c r="P3735" s="58">
        <v>164084</v>
      </c>
      <c r="Q3735" t="s">
        <v>110</v>
      </c>
      <c r="R3735" s="1" t="s">
        <v>158</v>
      </c>
    </row>
    <row r="3736" spans="3:18" x14ac:dyDescent="0.35">
      <c r="C3736" t="s">
        <v>51</v>
      </c>
      <c r="D3736" t="s">
        <v>24</v>
      </c>
      <c r="E3736" t="s">
        <v>52</v>
      </c>
      <c r="F3736" t="s">
        <v>46</v>
      </c>
      <c r="G3736" s="58">
        <v>208539</v>
      </c>
      <c r="H3736" s="1" t="s">
        <v>48</v>
      </c>
      <c r="I3736" s="1" t="s">
        <v>111</v>
      </c>
      <c r="J3736" s="58">
        <v>3128085</v>
      </c>
      <c r="K3736" s="1" t="s">
        <v>112</v>
      </c>
      <c r="N3736" s="1">
        <v>1</v>
      </c>
      <c r="O3736" s="58"/>
      <c r="P3736" s="58">
        <v>152233.47</v>
      </c>
      <c r="Q3736" t="s">
        <v>118</v>
      </c>
      <c r="R3736" s="1" t="s">
        <v>48</v>
      </c>
    </row>
    <row r="3737" spans="3:18" x14ac:dyDescent="0.35">
      <c r="C3737" t="s">
        <v>51</v>
      </c>
      <c r="D3737" t="s">
        <v>92</v>
      </c>
      <c r="E3737" t="s">
        <v>49</v>
      </c>
      <c r="F3737" t="s">
        <v>46</v>
      </c>
      <c r="G3737" s="58">
        <v>3063561</v>
      </c>
      <c r="H3737" s="1" t="s">
        <v>56</v>
      </c>
      <c r="I3737" s="1" t="s">
        <v>105</v>
      </c>
      <c r="J3737" s="58">
        <v>9190683</v>
      </c>
      <c r="K3737" s="1" t="s">
        <v>106</v>
      </c>
      <c r="L3737" s="1" t="s">
        <v>124</v>
      </c>
      <c r="N3737" s="1">
        <v>1</v>
      </c>
      <c r="O3737" s="58"/>
      <c r="P3737" s="58">
        <v>428898.54</v>
      </c>
      <c r="Q3737" t="s">
        <v>107</v>
      </c>
      <c r="R3737" s="1" t="s">
        <v>158</v>
      </c>
    </row>
    <row r="3738" spans="3:18" x14ac:dyDescent="0.35">
      <c r="C3738" t="s">
        <v>51</v>
      </c>
      <c r="D3738" t="s">
        <v>25</v>
      </c>
      <c r="E3738" t="s">
        <v>55</v>
      </c>
      <c r="F3738" t="s">
        <v>46</v>
      </c>
      <c r="G3738" s="58">
        <v>13111</v>
      </c>
      <c r="H3738" s="1" t="s">
        <v>54</v>
      </c>
      <c r="I3738" s="1" t="s">
        <v>105</v>
      </c>
      <c r="J3738" s="58"/>
      <c r="K3738" s="1" t="s">
        <v>106</v>
      </c>
      <c r="L3738" s="1" t="s">
        <v>114</v>
      </c>
      <c r="N3738" s="1">
        <v>0</v>
      </c>
      <c r="O3738" s="58"/>
      <c r="P3738" s="58">
        <v>262.22000000000003</v>
      </c>
      <c r="Q3738" t="s">
        <v>107</v>
      </c>
      <c r="R3738" s="1" t="s">
        <v>158</v>
      </c>
    </row>
    <row r="3739" spans="3:18" x14ac:dyDescent="0.35">
      <c r="C3739" t="s">
        <v>51</v>
      </c>
      <c r="D3739" t="s">
        <v>23</v>
      </c>
      <c r="E3739" t="s">
        <v>55</v>
      </c>
      <c r="F3739" t="s">
        <v>46</v>
      </c>
      <c r="G3739" s="58">
        <v>520701</v>
      </c>
      <c r="H3739" s="1" t="s">
        <v>47</v>
      </c>
      <c r="I3739" s="1" t="s">
        <v>111</v>
      </c>
      <c r="J3739" s="58">
        <v>6769113</v>
      </c>
      <c r="K3739" s="1" t="s">
        <v>106</v>
      </c>
      <c r="L3739" s="1" t="s">
        <v>124</v>
      </c>
      <c r="N3739" s="1">
        <v>1</v>
      </c>
      <c r="O3739" s="58"/>
      <c r="P3739" s="58">
        <v>156210.29999999999</v>
      </c>
      <c r="Q3739" t="s">
        <v>107</v>
      </c>
      <c r="R3739" s="1" t="s">
        <v>158</v>
      </c>
    </row>
    <row r="3740" spans="3:18" x14ac:dyDescent="0.35">
      <c r="C3740" t="s">
        <v>51</v>
      </c>
      <c r="D3740" t="s">
        <v>23</v>
      </c>
      <c r="E3740" t="s">
        <v>45</v>
      </c>
      <c r="F3740" t="s">
        <v>46</v>
      </c>
      <c r="G3740" s="58">
        <v>807803</v>
      </c>
      <c r="H3740" s="1" t="s">
        <v>48</v>
      </c>
      <c r="I3740" s="1" t="s">
        <v>111</v>
      </c>
      <c r="J3740" s="58">
        <v>16156060</v>
      </c>
      <c r="K3740" s="1" t="s">
        <v>112</v>
      </c>
      <c r="N3740" s="1">
        <v>1</v>
      </c>
      <c r="O3740" s="58"/>
      <c r="P3740" s="58">
        <v>557384.06999999995</v>
      </c>
      <c r="Q3740" t="s">
        <v>118</v>
      </c>
      <c r="R3740" s="1" t="s">
        <v>48</v>
      </c>
    </row>
    <row r="3741" spans="3:18" x14ac:dyDescent="0.35">
      <c r="C3741" t="s">
        <v>51</v>
      </c>
      <c r="D3741" t="s">
        <v>92</v>
      </c>
      <c r="E3741" t="s">
        <v>49</v>
      </c>
      <c r="F3741" t="s">
        <v>46</v>
      </c>
      <c r="G3741" s="58">
        <v>289071</v>
      </c>
      <c r="H3741" s="1" t="s">
        <v>48</v>
      </c>
      <c r="I3741" s="1" t="s">
        <v>111</v>
      </c>
      <c r="J3741" s="58">
        <v>4914207</v>
      </c>
      <c r="K3741" s="1" t="s">
        <v>106</v>
      </c>
      <c r="L3741" s="1" t="s">
        <v>120</v>
      </c>
      <c r="M3741" s="1" t="s">
        <v>125</v>
      </c>
      <c r="N3741" s="1">
        <v>1</v>
      </c>
      <c r="O3741" s="58"/>
      <c r="P3741" s="58">
        <v>153207.63</v>
      </c>
      <c r="Q3741" t="s">
        <v>113</v>
      </c>
      <c r="R3741" s="1" t="s">
        <v>48</v>
      </c>
    </row>
    <row r="3742" spans="3:18" x14ac:dyDescent="0.35">
      <c r="C3742" t="s">
        <v>53</v>
      </c>
      <c r="D3742" t="s">
        <v>21</v>
      </c>
      <c r="E3742" t="s">
        <v>45</v>
      </c>
      <c r="F3742" t="s">
        <v>46</v>
      </c>
      <c r="G3742" s="58">
        <v>286874</v>
      </c>
      <c r="H3742" s="1" t="s">
        <v>47</v>
      </c>
      <c r="I3742" s="1" t="s">
        <v>108</v>
      </c>
      <c r="J3742" s="58">
        <v>7745598</v>
      </c>
      <c r="K3742" s="1" t="s">
        <v>106</v>
      </c>
      <c r="L3742" s="1" t="s">
        <v>120</v>
      </c>
      <c r="N3742" s="1">
        <v>1</v>
      </c>
      <c r="O3742" s="58"/>
      <c r="P3742" s="58">
        <v>341380.06</v>
      </c>
      <c r="Q3742" t="s">
        <v>110</v>
      </c>
      <c r="R3742" s="1" t="s">
        <v>158</v>
      </c>
    </row>
    <row r="3743" spans="3:18" x14ac:dyDescent="0.35">
      <c r="C3743" t="s">
        <v>53</v>
      </c>
      <c r="D3743" t="s">
        <v>21</v>
      </c>
      <c r="E3743" t="s">
        <v>45</v>
      </c>
      <c r="F3743" t="s">
        <v>46</v>
      </c>
      <c r="G3743" s="58">
        <v>192755</v>
      </c>
      <c r="H3743" s="1" t="s">
        <v>54</v>
      </c>
      <c r="I3743" s="1" t="s">
        <v>108</v>
      </c>
      <c r="J3743" s="58">
        <v>4047855</v>
      </c>
      <c r="K3743" s="1" t="s">
        <v>106</v>
      </c>
      <c r="L3743" s="1" t="s">
        <v>120</v>
      </c>
      <c r="N3743" s="1">
        <v>1</v>
      </c>
      <c r="O3743" s="58"/>
      <c r="P3743" s="58">
        <v>121435.65</v>
      </c>
      <c r="Q3743" t="s">
        <v>118</v>
      </c>
      <c r="R3743" s="1" t="s">
        <v>158</v>
      </c>
    </row>
    <row r="3744" spans="3:18" x14ac:dyDescent="0.35">
      <c r="C3744" t="s">
        <v>51</v>
      </c>
      <c r="D3744" t="s">
        <v>21</v>
      </c>
      <c r="E3744" t="s">
        <v>52</v>
      </c>
      <c r="F3744" t="s">
        <v>46</v>
      </c>
      <c r="G3744" s="58">
        <v>486959</v>
      </c>
      <c r="H3744" s="1" t="s">
        <v>48</v>
      </c>
      <c r="I3744" s="1" t="s">
        <v>108</v>
      </c>
      <c r="J3744" s="58">
        <v>15095729</v>
      </c>
      <c r="K3744" s="1" t="s">
        <v>106</v>
      </c>
      <c r="L3744" s="1" t="s">
        <v>130</v>
      </c>
      <c r="M3744" s="1" t="s">
        <v>126</v>
      </c>
      <c r="N3744" s="1">
        <v>1</v>
      </c>
      <c r="O3744" s="58"/>
      <c r="P3744" s="58">
        <v>370088.84</v>
      </c>
      <c r="Q3744" t="s">
        <v>118</v>
      </c>
      <c r="R3744" s="1" t="s">
        <v>48</v>
      </c>
    </row>
    <row r="3745" spans="3:18" x14ac:dyDescent="0.35">
      <c r="C3745" t="s">
        <v>51</v>
      </c>
      <c r="D3745" t="s">
        <v>92</v>
      </c>
      <c r="E3745" t="s">
        <v>49</v>
      </c>
      <c r="F3745" t="s">
        <v>46</v>
      </c>
      <c r="G3745" s="58">
        <v>1648845</v>
      </c>
      <c r="H3745" s="1" t="s">
        <v>54</v>
      </c>
      <c r="I3745" s="1" t="s">
        <v>111</v>
      </c>
      <c r="J3745" s="58">
        <v>26381520</v>
      </c>
      <c r="K3745" s="1" t="s">
        <v>106</v>
      </c>
      <c r="L3745" s="1" t="s">
        <v>124</v>
      </c>
      <c r="N3745" s="1">
        <v>1</v>
      </c>
      <c r="O3745" s="58"/>
      <c r="P3745" s="58">
        <v>1401518.25</v>
      </c>
      <c r="Q3745" t="s">
        <v>127</v>
      </c>
      <c r="R3745" s="1" t="s">
        <v>158</v>
      </c>
    </row>
    <row r="3746" spans="3:18" x14ac:dyDescent="0.35">
      <c r="C3746" t="s">
        <v>51</v>
      </c>
      <c r="D3746" t="s">
        <v>91</v>
      </c>
      <c r="E3746" t="s">
        <v>49</v>
      </c>
      <c r="F3746" t="s">
        <v>64</v>
      </c>
      <c r="G3746" s="58">
        <v>180435</v>
      </c>
      <c r="H3746" s="1" t="s">
        <v>47</v>
      </c>
      <c r="I3746" s="1" t="s">
        <v>108</v>
      </c>
      <c r="J3746" s="58">
        <v>6676095</v>
      </c>
      <c r="K3746" s="1" t="s">
        <v>106</v>
      </c>
      <c r="L3746" s="1" t="s">
        <v>114</v>
      </c>
      <c r="N3746" s="1">
        <v>1</v>
      </c>
      <c r="O3746" s="58"/>
      <c r="P3746" s="58">
        <v>59543.55</v>
      </c>
      <c r="Q3746" t="s">
        <v>107</v>
      </c>
      <c r="R3746" s="1" t="s">
        <v>158</v>
      </c>
    </row>
    <row r="3747" spans="3:18" x14ac:dyDescent="0.35">
      <c r="C3747" t="s">
        <v>53</v>
      </c>
      <c r="D3747" t="s">
        <v>20</v>
      </c>
      <c r="E3747" t="s">
        <v>45</v>
      </c>
      <c r="F3747" t="s">
        <v>46</v>
      </c>
      <c r="G3747" s="58">
        <v>108263</v>
      </c>
      <c r="H3747" s="1" t="s">
        <v>59</v>
      </c>
      <c r="I3747" s="1" t="s">
        <v>128</v>
      </c>
      <c r="J3747" s="58"/>
      <c r="K3747" s="1" t="s">
        <v>106</v>
      </c>
      <c r="L3747" s="1" t="s">
        <v>120</v>
      </c>
      <c r="N3747" s="1">
        <v>0</v>
      </c>
      <c r="O3747" s="58"/>
      <c r="P3747" s="58">
        <v>49800.98</v>
      </c>
      <c r="Q3747" t="s">
        <v>113</v>
      </c>
      <c r="R3747" s="1" t="s">
        <v>158</v>
      </c>
    </row>
    <row r="3748" spans="3:18" x14ac:dyDescent="0.35">
      <c r="C3748" t="s">
        <v>51</v>
      </c>
      <c r="D3748" t="s">
        <v>24</v>
      </c>
      <c r="E3748" t="s">
        <v>62</v>
      </c>
      <c r="F3748" t="s">
        <v>46</v>
      </c>
      <c r="G3748" s="58">
        <v>6296866</v>
      </c>
      <c r="H3748" s="1" t="s">
        <v>48</v>
      </c>
      <c r="I3748" s="1" t="s">
        <v>111</v>
      </c>
      <c r="J3748" s="58">
        <v>94452990</v>
      </c>
      <c r="K3748" s="1" t="s">
        <v>106</v>
      </c>
      <c r="L3748" s="1" t="s">
        <v>131</v>
      </c>
      <c r="M3748" s="1" t="s">
        <v>121</v>
      </c>
      <c r="N3748" s="1">
        <v>1</v>
      </c>
      <c r="O3748" s="58"/>
      <c r="P3748" s="58">
        <v>3274370.32</v>
      </c>
      <c r="Q3748" t="s">
        <v>113</v>
      </c>
      <c r="R3748" s="1" t="s">
        <v>48</v>
      </c>
    </row>
    <row r="3749" spans="3:18" x14ac:dyDescent="0.35">
      <c r="C3749" t="s">
        <v>51</v>
      </c>
      <c r="D3749" t="s">
        <v>22</v>
      </c>
      <c r="E3749" t="s">
        <v>45</v>
      </c>
      <c r="F3749" t="s">
        <v>46</v>
      </c>
      <c r="G3749" s="58">
        <v>0</v>
      </c>
      <c r="H3749" s="1" t="s">
        <v>56</v>
      </c>
      <c r="I3749" s="1" t="s">
        <v>105</v>
      </c>
      <c r="J3749" s="58">
        <v>0</v>
      </c>
      <c r="K3749" s="1" t="s">
        <v>106</v>
      </c>
      <c r="L3749" s="1" t="s">
        <v>120</v>
      </c>
      <c r="N3749" s="1">
        <v>1</v>
      </c>
      <c r="O3749" s="58"/>
      <c r="P3749" s="58">
        <v>0</v>
      </c>
      <c r="Q3749" t="s">
        <v>110</v>
      </c>
      <c r="R3749" s="1" t="s">
        <v>158</v>
      </c>
    </row>
    <row r="3750" spans="3:18" x14ac:dyDescent="0.35">
      <c r="C3750" t="s">
        <v>53</v>
      </c>
      <c r="D3750" t="s">
        <v>21</v>
      </c>
      <c r="E3750" t="s">
        <v>49</v>
      </c>
      <c r="F3750" t="s">
        <v>46</v>
      </c>
      <c r="G3750" s="58">
        <v>5690374</v>
      </c>
      <c r="H3750" s="1" t="s">
        <v>47</v>
      </c>
      <c r="I3750" s="1" t="s">
        <v>119</v>
      </c>
      <c r="J3750" s="58">
        <v>45522992</v>
      </c>
      <c r="K3750" s="1" t="s">
        <v>106</v>
      </c>
      <c r="L3750" s="1" t="s">
        <v>124</v>
      </c>
      <c r="N3750" s="1">
        <v>1</v>
      </c>
      <c r="O3750" s="58"/>
      <c r="P3750" s="58">
        <v>2788283.26</v>
      </c>
      <c r="Q3750" t="s">
        <v>113</v>
      </c>
      <c r="R3750" s="1" t="s">
        <v>158</v>
      </c>
    </row>
    <row r="3751" spans="3:18" x14ac:dyDescent="0.35">
      <c r="C3751" t="s">
        <v>51</v>
      </c>
      <c r="D3751" t="s">
        <v>24</v>
      </c>
      <c r="E3751" t="s">
        <v>55</v>
      </c>
      <c r="F3751" t="s">
        <v>46</v>
      </c>
      <c r="G3751" s="58">
        <v>17168794</v>
      </c>
      <c r="H3751" s="1" t="s">
        <v>48</v>
      </c>
      <c r="I3751" s="1" t="s">
        <v>111</v>
      </c>
      <c r="J3751" s="58">
        <v>257531910</v>
      </c>
      <c r="K3751" s="1" t="s">
        <v>106</v>
      </c>
      <c r="L3751" s="1" t="s">
        <v>114</v>
      </c>
      <c r="M3751" s="1" t="s">
        <v>121</v>
      </c>
      <c r="N3751" s="1">
        <v>1</v>
      </c>
      <c r="O3751" s="58"/>
      <c r="P3751" s="58">
        <v>4807262.32</v>
      </c>
      <c r="Q3751" t="s">
        <v>107</v>
      </c>
      <c r="R3751" s="1" t="s">
        <v>158</v>
      </c>
    </row>
    <row r="3752" spans="3:18" x14ac:dyDescent="0.35">
      <c r="C3752" t="s">
        <v>51</v>
      </c>
      <c r="D3752" t="s">
        <v>21</v>
      </c>
      <c r="E3752" t="s">
        <v>49</v>
      </c>
      <c r="F3752" t="s">
        <v>64</v>
      </c>
      <c r="G3752" s="58">
        <v>116135</v>
      </c>
      <c r="H3752" s="1" t="s">
        <v>54</v>
      </c>
      <c r="I3752" s="1" t="s">
        <v>111</v>
      </c>
      <c r="J3752" s="58">
        <v>2090430</v>
      </c>
      <c r="K3752" s="1" t="s">
        <v>112</v>
      </c>
      <c r="N3752" s="1">
        <v>1</v>
      </c>
      <c r="O3752" s="58"/>
      <c r="P3752" s="58">
        <v>48776.7</v>
      </c>
      <c r="Q3752" t="s">
        <v>113</v>
      </c>
      <c r="R3752" s="1" t="s">
        <v>158</v>
      </c>
    </row>
    <row r="3753" spans="3:18" x14ac:dyDescent="0.35">
      <c r="C3753" t="s">
        <v>51</v>
      </c>
      <c r="D3753" t="s">
        <v>24</v>
      </c>
      <c r="E3753" t="s">
        <v>50</v>
      </c>
      <c r="F3753" t="s">
        <v>46</v>
      </c>
      <c r="G3753" s="58">
        <v>1365117</v>
      </c>
      <c r="H3753" s="1" t="s">
        <v>48</v>
      </c>
      <c r="I3753" s="1" t="s">
        <v>111</v>
      </c>
      <c r="J3753" s="58">
        <v>21841872</v>
      </c>
      <c r="K3753" s="1" t="s">
        <v>106</v>
      </c>
      <c r="L3753" s="1" t="s">
        <v>109</v>
      </c>
      <c r="M3753" s="1" t="s">
        <v>121</v>
      </c>
      <c r="N3753" s="1">
        <v>1</v>
      </c>
      <c r="O3753" s="58"/>
      <c r="P3753" s="58">
        <v>723512.01</v>
      </c>
      <c r="Q3753" t="s">
        <v>113</v>
      </c>
      <c r="R3753" s="1" t="s">
        <v>48</v>
      </c>
    </row>
    <row r="3754" spans="3:18" x14ac:dyDescent="0.35">
      <c r="C3754" t="s">
        <v>53</v>
      </c>
      <c r="D3754" t="s">
        <v>92</v>
      </c>
      <c r="E3754" t="s">
        <v>49</v>
      </c>
      <c r="F3754" t="s">
        <v>46</v>
      </c>
      <c r="G3754" s="58">
        <v>30233</v>
      </c>
      <c r="H3754" s="1" t="s">
        <v>59</v>
      </c>
      <c r="I3754" s="1" t="s">
        <v>108</v>
      </c>
      <c r="J3754" s="58">
        <v>695359</v>
      </c>
      <c r="K3754" s="1" t="s">
        <v>106</v>
      </c>
      <c r="L3754" s="1" t="s">
        <v>124</v>
      </c>
      <c r="N3754" s="1">
        <v>1</v>
      </c>
      <c r="O3754" s="58"/>
      <c r="P3754" s="58">
        <v>2418.64</v>
      </c>
      <c r="Q3754" t="s">
        <v>107</v>
      </c>
      <c r="R3754" s="1" t="s">
        <v>158</v>
      </c>
    </row>
    <row r="3755" spans="3:18" x14ac:dyDescent="0.35">
      <c r="C3755" t="s">
        <v>51</v>
      </c>
      <c r="D3755" t="s">
        <v>23</v>
      </c>
      <c r="E3755" t="s">
        <v>49</v>
      </c>
      <c r="F3755" t="s">
        <v>46</v>
      </c>
      <c r="G3755" s="58">
        <v>582118</v>
      </c>
      <c r="H3755" s="1" t="s">
        <v>59</v>
      </c>
      <c r="I3755" s="1" t="s">
        <v>108</v>
      </c>
      <c r="J3755" s="58">
        <v>16299304</v>
      </c>
      <c r="K3755" s="1" t="s">
        <v>112</v>
      </c>
      <c r="N3755" s="1">
        <v>1</v>
      </c>
      <c r="O3755" s="58"/>
      <c r="P3755" s="58">
        <v>308522.53999999998</v>
      </c>
      <c r="Q3755" t="s">
        <v>113</v>
      </c>
      <c r="R3755" s="1" t="s">
        <v>158</v>
      </c>
    </row>
    <row r="3756" spans="3:18" x14ac:dyDescent="0.35">
      <c r="C3756" t="s">
        <v>51</v>
      </c>
      <c r="D3756" t="s">
        <v>91</v>
      </c>
      <c r="E3756" t="s">
        <v>49</v>
      </c>
      <c r="F3756" t="s">
        <v>46</v>
      </c>
      <c r="G3756" s="58">
        <v>204805</v>
      </c>
      <c r="H3756" s="1" t="s">
        <v>54</v>
      </c>
      <c r="I3756" s="1" t="s">
        <v>119</v>
      </c>
      <c r="J3756" s="58">
        <v>1638440</v>
      </c>
      <c r="K3756" s="1" t="s">
        <v>106</v>
      </c>
      <c r="L3756" s="1" t="s">
        <v>124</v>
      </c>
      <c r="N3756" s="1">
        <v>1</v>
      </c>
      <c r="O3756" s="58"/>
      <c r="P3756" s="58">
        <v>92162.25</v>
      </c>
      <c r="Q3756" t="s">
        <v>113</v>
      </c>
      <c r="R3756" s="1" t="s">
        <v>158</v>
      </c>
    </row>
    <row r="3757" spans="3:18" x14ac:dyDescent="0.35">
      <c r="C3757" t="s">
        <v>53</v>
      </c>
      <c r="D3757" t="s">
        <v>92</v>
      </c>
      <c r="E3757" t="s">
        <v>49</v>
      </c>
      <c r="F3757" t="s">
        <v>46</v>
      </c>
      <c r="G3757" s="58">
        <v>6478179</v>
      </c>
      <c r="H3757" s="1" t="s">
        <v>59</v>
      </c>
      <c r="I3757" s="1" t="s">
        <v>119</v>
      </c>
      <c r="J3757" s="58">
        <v>58303611</v>
      </c>
      <c r="K3757" s="1" t="s">
        <v>106</v>
      </c>
      <c r="L3757" s="1" t="s">
        <v>124</v>
      </c>
      <c r="N3757" s="1">
        <v>1</v>
      </c>
      <c r="O3757" s="58"/>
      <c r="P3757" s="58">
        <v>2850398.76</v>
      </c>
      <c r="Q3757" t="s">
        <v>113</v>
      </c>
      <c r="R3757" s="1" t="s">
        <v>158</v>
      </c>
    </row>
    <row r="3758" spans="3:18" x14ac:dyDescent="0.35">
      <c r="C3758" t="s">
        <v>53</v>
      </c>
      <c r="D3758" t="s">
        <v>92</v>
      </c>
      <c r="E3758" t="s">
        <v>45</v>
      </c>
      <c r="F3758" t="s">
        <v>46</v>
      </c>
      <c r="G3758" s="58">
        <v>1032589</v>
      </c>
      <c r="H3758" s="1" t="s">
        <v>54</v>
      </c>
      <c r="I3758" s="1" t="s">
        <v>111</v>
      </c>
      <c r="J3758" s="58">
        <v>15488835</v>
      </c>
      <c r="K3758" s="1" t="s">
        <v>112</v>
      </c>
      <c r="N3758" s="1">
        <v>1</v>
      </c>
      <c r="O3758" s="58"/>
      <c r="P3758" s="58">
        <v>619553.4</v>
      </c>
      <c r="Q3758" t="s">
        <v>113</v>
      </c>
      <c r="R3758" s="1" t="s">
        <v>158</v>
      </c>
    </row>
    <row r="3759" spans="3:18" x14ac:dyDescent="0.35">
      <c r="C3759" t="s">
        <v>51</v>
      </c>
      <c r="D3759" t="s">
        <v>19</v>
      </c>
      <c r="E3759" t="s">
        <v>49</v>
      </c>
      <c r="F3759" t="s">
        <v>46</v>
      </c>
      <c r="G3759" s="58">
        <v>1636778</v>
      </c>
      <c r="H3759" s="1" t="s">
        <v>47</v>
      </c>
      <c r="I3759" s="1" t="s">
        <v>108</v>
      </c>
      <c r="J3759" s="58">
        <v>47466562</v>
      </c>
      <c r="K3759" s="1" t="s">
        <v>106</v>
      </c>
      <c r="L3759" s="1" t="s">
        <v>120</v>
      </c>
      <c r="N3759" s="1">
        <v>1</v>
      </c>
      <c r="O3759" s="58"/>
      <c r="P3759" s="58">
        <v>343723.38</v>
      </c>
      <c r="Q3759" t="s">
        <v>107</v>
      </c>
      <c r="R3759" s="1" t="s">
        <v>158</v>
      </c>
    </row>
    <row r="3760" spans="3:18" x14ac:dyDescent="0.35">
      <c r="C3760" t="s">
        <v>51</v>
      </c>
      <c r="D3760" t="s">
        <v>21</v>
      </c>
      <c r="E3760" t="s">
        <v>55</v>
      </c>
      <c r="F3760" t="s">
        <v>46</v>
      </c>
      <c r="G3760" s="58">
        <v>24757</v>
      </c>
      <c r="H3760" s="1" t="s">
        <v>48</v>
      </c>
      <c r="I3760" s="1" t="s">
        <v>111</v>
      </c>
      <c r="J3760" s="58">
        <v>445626</v>
      </c>
      <c r="K3760" s="1" t="s">
        <v>106</v>
      </c>
      <c r="L3760" s="1" t="s">
        <v>120</v>
      </c>
      <c r="M3760" s="1" t="s">
        <v>125</v>
      </c>
      <c r="N3760" s="1">
        <v>1</v>
      </c>
      <c r="O3760" s="58"/>
      <c r="P3760" s="58">
        <v>4951.3999999999996</v>
      </c>
      <c r="Q3760" t="s">
        <v>107</v>
      </c>
      <c r="R3760" s="1" t="s">
        <v>48</v>
      </c>
    </row>
    <row r="3761" spans="3:18" x14ac:dyDescent="0.35">
      <c r="C3761" t="s">
        <v>53</v>
      </c>
      <c r="D3761" t="s">
        <v>22</v>
      </c>
      <c r="E3761" t="s">
        <v>45</v>
      </c>
      <c r="F3761" t="s">
        <v>46</v>
      </c>
      <c r="G3761" s="58">
        <v>90847</v>
      </c>
      <c r="H3761" s="1" t="s">
        <v>54</v>
      </c>
      <c r="I3761" s="1" t="s">
        <v>111</v>
      </c>
      <c r="J3761" s="58">
        <v>1635246</v>
      </c>
      <c r="K3761" s="1" t="s">
        <v>106</v>
      </c>
      <c r="L3761" s="1" t="s">
        <v>120</v>
      </c>
      <c r="N3761" s="1">
        <v>1</v>
      </c>
      <c r="O3761" s="58"/>
      <c r="P3761" s="58">
        <v>89030.06</v>
      </c>
      <c r="Q3761" t="s">
        <v>127</v>
      </c>
      <c r="R3761" s="1" t="s">
        <v>158</v>
      </c>
    </row>
    <row r="3762" spans="3:18" x14ac:dyDescent="0.35">
      <c r="C3762" t="s">
        <v>51</v>
      </c>
      <c r="D3762" t="s">
        <v>24</v>
      </c>
      <c r="E3762" t="s">
        <v>62</v>
      </c>
      <c r="F3762" t="s">
        <v>46</v>
      </c>
      <c r="G3762" s="58">
        <v>1126618</v>
      </c>
      <c r="H3762" s="1" t="s">
        <v>48</v>
      </c>
      <c r="I3762" s="1" t="s">
        <v>119</v>
      </c>
      <c r="J3762" s="58">
        <v>9012944</v>
      </c>
      <c r="K3762" s="1" t="s">
        <v>106</v>
      </c>
      <c r="L3762" s="1" t="s">
        <v>131</v>
      </c>
      <c r="M3762" s="1" t="s">
        <v>121</v>
      </c>
      <c r="N3762" s="1">
        <v>1</v>
      </c>
      <c r="O3762" s="58"/>
      <c r="P3762" s="58">
        <v>270388.32</v>
      </c>
      <c r="Q3762" t="s">
        <v>107</v>
      </c>
      <c r="R3762" s="1" t="s">
        <v>48</v>
      </c>
    </row>
    <row r="3763" spans="3:18" x14ac:dyDescent="0.35">
      <c r="C3763" t="s">
        <v>51</v>
      </c>
      <c r="D3763" t="s">
        <v>24</v>
      </c>
      <c r="E3763" t="s">
        <v>50</v>
      </c>
      <c r="F3763" t="s">
        <v>46</v>
      </c>
      <c r="G3763" s="58">
        <v>268126</v>
      </c>
      <c r="H3763" s="1" t="s">
        <v>48</v>
      </c>
      <c r="I3763" s="1" t="s">
        <v>108</v>
      </c>
      <c r="J3763" s="58">
        <v>7775654</v>
      </c>
      <c r="K3763" s="1" t="s">
        <v>106</v>
      </c>
      <c r="L3763" s="1" t="s">
        <v>120</v>
      </c>
      <c r="M3763" s="1" t="s">
        <v>121</v>
      </c>
      <c r="N3763" s="1">
        <v>1</v>
      </c>
      <c r="O3763" s="58"/>
      <c r="P3763" s="58">
        <v>101887.88</v>
      </c>
      <c r="Q3763" t="s">
        <v>107</v>
      </c>
      <c r="R3763" s="1" t="s">
        <v>48</v>
      </c>
    </row>
    <row r="3764" spans="3:18" x14ac:dyDescent="0.35">
      <c r="C3764" t="s">
        <v>51</v>
      </c>
      <c r="D3764" t="s">
        <v>21</v>
      </c>
      <c r="E3764" t="s">
        <v>49</v>
      </c>
      <c r="F3764" t="s">
        <v>46</v>
      </c>
      <c r="G3764" s="58">
        <v>266486</v>
      </c>
      <c r="H3764" s="1" t="s">
        <v>54</v>
      </c>
      <c r="I3764" s="1" t="s">
        <v>119</v>
      </c>
      <c r="J3764" s="58">
        <v>2131888</v>
      </c>
      <c r="K3764" s="1" t="s">
        <v>106</v>
      </c>
      <c r="L3764" s="1" t="s">
        <v>120</v>
      </c>
      <c r="N3764" s="1">
        <v>1</v>
      </c>
      <c r="O3764" s="58"/>
      <c r="P3764" s="58">
        <v>58626.92</v>
      </c>
      <c r="Q3764" t="s">
        <v>107</v>
      </c>
      <c r="R3764" s="1" t="s">
        <v>158</v>
      </c>
    </row>
    <row r="3765" spans="3:18" x14ac:dyDescent="0.35">
      <c r="C3765" t="s">
        <v>51</v>
      </c>
      <c r="D3765" t="s">
        <v>24</v>
      </c>
      <c r="E3765" t="s">
        <v>50</v>
      </c>
      <c r="F3765" t="s">
        <v>46</v>
      </c>
      <c r="G3765" s="58">
        <v>1693498</v>
      </c>
      <c r="H3765" s="1" t="s">
        <v>48</v>
      </c>
      <c r="I3765" s="1" t="s">
        <v>108</v>
      </c>
      <c r="J3765" s="58">
        <v>55885434</v>
      </c>
      <c r="K3765" s="1" t="s">
        <v>112</v>
      </c>
      <c r="N3765" s="1">
        <v>1</v>
      </c>
      <c r="O3765" s="58"/>
      <c r="P3765" s="58">
        <v>1202383.58</v>
      </c>
      <c r="Q3765" t="s">
        <v>118</v>
      </c>
      <c r="R3765" s="1" t="s">
        <v>158</v>
      </c>
    </row>
    <row r="3766" spans="3:18" x14ac:dyDescent="0.35">
      <c r="C3766" t="s">
        <v>51</v>
      </c>
      <c r="D3766" t="s">
        <v>21</v>
      </c>
      <c r="E3766" t="s">
        <v>49</v>
      </c>
      <c r="F3766" t="s">
        <v>46</v>
      </c>
      <c r="G3766" s="58">
        <v>456372</v>
      </c>
      <c r="H3766" s="1" t="s">
        <v>56</v>
      </c>
      <c r="I3766" s="1" t="s">
        <v>111</v>
      </c>
      <c r="J3766" s="58">
        <v>7301952</v>
      </c>
      <c r="K3766" s="1" t="s">
        <v>106</v>
      </c>
      <c r="L3766" s="1" t="s">
        <v>116</v>
      </c>
      <c r="N3766" s="1">
        <v>1</v>
      </c>
      <c r="O3766" s="58"/>
      <c r="P3766" s="58">
        <v>127784.16</v>
      </c>
      <c r="Q3766" t="s">
        <v>107</v>
      </c>
      <c r="R3766" s="1" t="s">
        <v>158</v>
      </c>
    </row>
    <row r="3767" spans="3:18" x14ac:dyDescent="0.35">
      <c r="C3767" t="s">
        <v>51</v>
      </c>
      <c r="D3767" t="s">
        <v>21</v>
      </c>
      <c r="E3767" t="s">
        <v>45</v>
      </c>
      <c r="F3767" t="s">
        <v>46</v>
      </c>
      <c r="G3767" s="58">
        <v>2080664</v>
      </c>
      <c r="H3767" s="1" t="s">
        <v>48</v>
      </c>
      <c r="I3767" s="1" t="s">
        <v>108</v>
      </c>
      <c r="J3767" s="58">
        <v>68661912</v>
      </c>
      <c r="K3767" s="1" t="s">
        <v>106</v>
      </c>
      <c r="L3767" s="1" t="s">
        <v>124</v>
      </c>
      <c r="M3767" s="1" t="s">
        <v>126</v>
      </c>
      <c r="N3767" s="1">
        <v>1</v>
      </c>
      <c r="O3767" s="58"/>
      <c r="P3767" s="58">
        <v>1394044.88</v>
      </c>
      <c r="Q3767" t="s">
        <v>118</v>
      </c>
      <c r="R3767" s="1" t="s">
        <v>158</v>
      </c>
    </row>
    <row r="3768" spans="3:18" x14ac:dyDescent="0.35">
      <c r="C3768" t="s">
        <v>51</v>
      </c>
      <c r="D3768" t="s">
        <v>21</v>
      </c>
      <c r="E3768" t="s">
        <v>45</v>
      </c>
      <c r="F3768" t="s">
        <v>46</v>
      </c>
      <c r="G3768" s="58">
        <v>32513807</v>
      </c>
      <c r="H3768" s="1" t="s">
        <v>48</v>
      </c>
      <c r="I3768" s="1" t="s">
        <v>108</v>
      </c>
      <c r="J3768" s="58">
        <v>1040441824</v>
      </c>
      <c r="K3768" s="1" t="s">
        <v>106</v>
      </c>
      <c r="L3768" s="1" t="s">
        <v>124</v>
      </c>
      <c r="M3768" s="1" t="s">
        <v>126</v>
      </c>
      <c r="N3768" s="1">
        <v>1</v>
      </c>
      <c r="O3768" s="58"/>
      <c r="P3768" s="58">
        <v>23084802.969999999</v>
      </c>
      <c r="Q3768" t="s">
        <v>118</v>
      </c>
      <c r="R3768" s="1" t="s">
        <v>48</v>
      </c>
    </row>
    <row r="3769" spans="3:18" x14ac:dyDescent="0.35">
      <c r="C3769" t="s">
        <v>53</v>
      </c>
      <c r="D3769" t="s">
        <v>19</v>
      </c>
      <c r="E3769" t="s">
        <v>49</v>
      </c>
      <c r="F3769" t="s">
        <v>46</v>
      </c>
      <c r="G3769" s="58">
        <v>225803</v>
      </c>
      <c r="H3769" s="1" t="s">
        <v>56</v>
      </c>
      <c r="I3769" s="1" t="s">
        <v>105</v>
      </c>
      <c r="J3769" s="58">
        <v>1129015</v>
      </c>
      <c r="K3769" s="1" t="s">
        <v>106</v>
      </c>
      <c r="L3769" s="1" t="s">
        <v>124</v>
      </c>
      <c r="N3769" s="1">
        <v>1</v>
      </c>
      <c r="O3769" s="58"/>
      <c r="P3769" s="58">
        <v>72256.960000000006</v>
      </c>
      <c r="Q3769" t="s">
        <v>107</v>
      </c>
      <c r="R3769" s="1" t="s">
        <v>158</v>
      </c>
    </row>
    <row r="3770" spans="3:18" x14ac:dyDescent="0.35">
      <c r="C3770" t="s">
        <v>53</v>
      </c>
      <c r="D3770" t="s">
        <v>21</v>
      </c>
      <c r="E3770" t="s">
        <v>45</v>
      </c>
      <c r="F3770" t="s">
        <v>46</v>
      </c>
      <c r="G3770" s="58">
        <v>986463</v>
      </c>
      <c r="H3770" s="1" t="s">
        <v>54</v>
      </c>
      <c r="I3770" s="1" t="s">
        <v>128</v>
      </c>
      <c r="J3770" s="58"/>
      <c r="K3770" s="1" t="s">
        <v>106</v>
      </c>
      <c r="L3770" s="1" t="s">
        <v>120</v>
      </c>
      <c r="N3770" s="1">
        <v>0</v>
      </c>
      <c r="O3770" s="58"/>
      <c r="P3770" s="58">
        <v>19729.259999999998</v>
      </c>
      <c r="Q3770" t="s">
        <v>107</v>
      </c>
      <c r="R3770" s="1" t="s">
        <v>158</v>
      </c>
    </row>
    <row r="3771" spans="3:18" x14ac:dyDescent="0.35">
      <c r="C3771" t="s">
        <v>51</v>
      </c>
      <c r="D3771" t="s">
        <v>91</v>
      </c>
      <c r="E3771" t="s">
        <v>49</v>
      </c>
      <c r="F3771" t="s">
        <v>46</v>
      </c>
      <c r="G3771" s="58">
        <v>2170323</v>
      </c>
      <c r="H3771" s="1" t="s">
        <v>48</v>
      </c>
      <c r="I3771" s="1" t="s">
        <v>108</v>
      </c>
      <c r="J3771" s="58">
        <v>71620659</v>
      </c>
      <c r="K3771" s="1" t="s">
        <v>112</v>
      </c>
      <c r="N3771" s="1">
        <v>1</v>
      </c>
      <c r="O3771" s="58"/>
      <c r="P3771" s="58">
        <v>1562632.56</v>
      </c>
      <c r="Q3771" t="s">
        <v>118</v>
      </c>
      <c r="R3771" s="1" t="s">
        <v>158</v>
      </c>
    </row>
    <row r="3772" spans="3:18" x14ac:dyDescent="0.35">
      <c r="C3772" t="s">
        <v>53</v>
      </c>
      <c r="D3772" t="s">
        <v>20</v>
      </c>
      <c r="E3772" t="s">
        <v>55</v>
      </c>
      <c r="F3772" t="s">
        <v>46</v>
      </c>
      <c r="G3772" s="58">
        <v>668215</v>
      </c>
      <c r="H3772" s="1" t="s">
        <v>48</v>
      </c>
      <c r="I3772" s="1" t="s">
        <v>119</v>
      </c>
      <c r="J3772" s="58">
        <v>4009290</v>
      </c>
      <c r="K3772" s="1" t="s">
        <v>106</v>
      </c>
      <c r="L3772" s="1" t="s">
        <v>114</v>
      </c>
      <c r="M3772" s="1" t="s">
        <v>123</v>
      </c>
      <c r="N3772" s="1">
        <v>1</v>
      </c>
      <c r="O3772" s="58"/>
      <c r="P3772" s="58">
        <v>200464.5</v>
      </c>
      <c r="Q3772" t="s">
        <v>107</v>
      </c>
      <c r="R3772" s="1" t="s">
        <v>158</v>
      </c>
    </row>
    <row r="3773" spans="3:18" x14ac:dyDescent="0.35">
      <c r="C3773" t="s">
        <v>51</v>
      </c>
      <c r="D3773" t="s">
        <v>91</v>
      </c>
      <c r="E3773" t="s">
        <v>49</v>
      </c>
      <c r="F3773" t="s">
        <v>46</v>
      </c>
      <c r="G3773" s="58">
        <v>121742</v>
      </c>
      <c r="H3773" s="1" t="s">
        <v>54</v>
      </c>
      <c r="I3773" s="1" t="s">
        <v>108</v>
      </c>
      <c r="J3773" s="58">
        <v>3895744</v>
      </c>
      <c r="K3773" s="1" t="s">
        <v>106</v>
      </c>
      <c r="L3773" s="1" t="s">
        <v>124</v>
      </c>
      <c r="N3773" s="1">
        <v>1</v>
      </c>
      <c r="O3773" s="58"/>
      <c r="P3773" s="58">
        <v>136351.04000000001</v>
      </c>
      <c r="Q3773" t="s">
        <v>110</v>
      </c>
      <c r="R3773" s="1" t="s">
        <v>158</v>
      </c>
    </row>
    <row r="3774" spans="3:18" x14ac:dyDescent="0.35">
      <c r="C3774" t="s">
        <v>51</v>
      </c>
      <c r="D3774" t="s">
        <v>19</v>
      </c>
      <c r="E3774" t="s">
        <v>49</v>
      </c>
      <c r="F3774" t="s">
        <v>46</v>
      </c>
      <c r="G3774" s="58">
        <v>53797550</v>
      </c>
      <c r="H3774" s="1" t="s">
        <v>48</v>
      </c>
      <c r="I3774" s="1" t="s">
        <v>111</v>
      </c>
      <c r="J3774" s="58">
        <v>860760800</v>
      </c>
      <c r="K3774" s="1" t="s">
        <v>106</v>
      </c>
      <c r="L3774" s="1" t="s">
        <v>124</v>
      </c>
      <c r="M3774" s="1" t="s">
        <v>122</v>
      </c>
      <c r="N3774" s="1">
        <v>1</v>
      </c>
      <c r="O3774" s="58"/>
      <c r="P3774" s="58">
        <v>13449387.5</v>
      </c>
      <c r="Q3774" t="s">
        <v>107</v>
      </c>
      <c r="R3774" s="1" t="s">
        <v>158</v>
      </c>
    </row>
    <row r="3775" spans="3:18" x14ac:dyDescent="0.35">
      <c r="C3775" t="s">
        <v>51</v>
      </c>
      <c r="D3775" t="s">
        <v>20</v>
      </c>
      <c r="E3775" t="s">
        <v>49</v>
      </c>
      <c r="F3775" t="s">
        <v>46</v>
      </c>
      <c r="G3775" s="58">
        <v>45044849</v>
      </c>
      <c r="H3775" s="1" t="s">
        <v>47</v>
      </c>
      <c r="I3775" s="1" t="s">
        <v>111</v>
      </c>
      <c r="J3775" s="58">
        <v>630627886</v>
      </c>
      <c r="K3775" s="1" t="s">
        <v>106</v>
      </c>
      <c r="L3775" s="1" t="s">
        <v>124</v>
      </c>
      <c r="N3775" s="1">
        <v>1</v>
      </c>
      <c r="O3775" s="58"/>
      <c r="P3775" s="58">
        <v>11711660.74</v>
      </c>
      <c r="Q3775" t="s">
        <v>107</v>
      </c>
      <c r="R3775" s="1" t="s">
        <v>158</v>
      </c>
    </row>
    <row r="3776" spans="3:18" x14ac:dyDescent="0.35">
      <c r="C3776" t="s">
        <v>51</v>
      </c>
      <c r="D3776" t="s">
        <v>21</v>
      </c>
      <c r="E3776" t="s">
        <v>49</v>
      </c>
      <c r="F3776" t="s">
        <v>64</v>
      </c>
      <c r="G3776" s="58">
        <v>145969</v>
      </c>
      <c r="H3776" s="1" t="s">
        <v>47</v>
      </c>
      <c r="I3776" s="1" t="s">
        <v>119</v>
      </c>
      <c r="J3776" s="58">
        <v>875814</v>
      </c>
      <c r="K3776" s="1" t="s">
        <v>106</v>
      </c>
      <c r="L3776" s="1" t="s">
        <v>124</v>
      </c>
      <c r="N3776" s="1">
        <v>1</v>
      </c>
      <c r="O3776" s="58"/>
      <c r="P3776" s="58">
        <v>29193.8</v>
      </c>
      <c r="Q3776" t="s">
        <v>107</v>
      </c>
      <c r="R3776" s="1" t="s">
        <v>158</v>
      </c>
    </row>
    <row r="3777" spans="3:18" x14ac:dyDescent="0.35">
      <c r="C3777" t="s">
        <v>51</v>
      </c>
      <c r="D3777" t="s">
        <v>22</v>
      </c>
      <c r="E3777" t="s">
        <v>45</v>
      </c>
      <c r="F3777" t="s">
        <v>46</v>
      </c>
      <c r="G3777" s="58">
        <v>25838481</v>
      </c>
      <c r="H3777" s="1" t="s">
        <v>56</v>
      </c>
      <c r="I3777" s="1" t="s">
        <v>105</v>
      </c>
      <c r="J3777" s="58">
        <v>77515443</v>
      </c>
      <c r="K3777" s="1" t="s">
        <v>106</v>
      </c>
      <c r="L3777" s="1" t="s">
        <v>120</v>
      </c>
      <c r="N3777" s="1">
        <v>1</v>
      </c>
      <c r="O3777" s="58"/>
      <c r="P3777" s="58">
        <v>3359002.53</v>
      </c>
      <c r="Q3777" t="s">
        <v>107</v>
      </c>
      <c r="R3777" s="1" t="s">
        <v>158</v>
      </c>
    </row>
    <row r="3778" spans="3:18" x14ac:dyDescent="0.35">
      <c r="C3778" t="s">
        <v>51</v>
      </c>
      <c r="D3778" t="s">
        <v>23</v>
      </c>
      <c r="E3778" t="s">
        <v>45</v>
      </c>
      <c r="F3778" t="s">
        <v>46</v>
      </c>
      <c r="G3778" s="58">
        <v>6145</v>
      </c>
      <c r="H3778" s="1" t="s">
        <v>59</v>
      </c>
      <c r="I3778" s="1" t="s">
        <v>105</v>
      </c>
      <c r="J3778" s="58">
        <v>30725</v>
      </c>
      <c r="K3778" s="1" t="s">
        <v>106</v>
      </c>
      <c r="L3778" s="1" t="s">
        <v>120</v>
      </c>
      <c r="N3778" s="1">
        <v>1</v>
      </c>
      <c r="O3778" s="58"/>
      <c r="P3778" s="58">
        <v>4731.6499999999996</v>
      </c>
      <c r="Q3778" t="s">
        <v>118</v>
      </c>
      <c r="R3778" s="1" t="s">
        <v>158</v>
      </c>
    </row>
    <row r="3779" spans="3:18" x14ac:dyDescent="0.35">
      <c r="C3779" t="s">
        <v>51</v>
      </c>
      <c r="D3779" t="s">
        <v>23</v>
      </c>
      <c r="E3779" t="s">
        <v>45</v>
      </c>
      <c r="F3779" t="s">
        <v>46</v>
      </c>
      <c r="G3779" s="58">
        <v>5139763</v>
      </c>
      <c r="H3779" s="1" t="s">
        <v>48</v>
      </c>
      <c r="I3779" s="1" t="s">
        <v>105</v>
      </c>
      <c r="J3779" s="58">
        <v>15419289</v>
      </c>
      <c r="K3779" s="1" t="s">
        <v>106</v>
      </c>
      <c r="L3779" s="1" t="s">
        <v>120</v>
      </c>
      <c r="M3779" s="1" t="s">
        <v>125</v>
      </c>
      <c r="N3779" s="1">
        <v>1</v>
      </c>
      <c r="O3779" s="58"/>
      <c r="P3779" s="58">
        <v>719566.82</v>
      </c>
      <c r="Q3779" t="s">
        <v>107</v>
      </c>
      <c r="R3779" s="1" t="s">
        <v>158</v>
      </c>
    </row>
    <row r="3780" spans="3:18" x14ac:dyDescent="0.35">
      <c r="C3780" t="s">
        <v>51</v>
      </c>
      <c r="D3780" t="s">
        <v>23</v>
      </c>
      <c r="E3780" t="s">
        <v>55</v>
      </c>
      <c r="F3780" t="s">
        <v>46</v>
      </c>
      <c r="G3780" s="58">
        <v>2711110</v>
      </c>
      <c r="H3780" s="1" t="s">
        <v>47</v>
      </c>
      <c r="I3780" s="1" t="s">
        <v>108</v>
      </c>
      <c r="J3780" s="58">
        <v>81333300</v>
      </c>
      <c r="K3780" s="1" t="s">
        <v>106</v>
      </c>
      <c r="L3780" s="1" t="s">
        <v>120</v>
      </c>
      <c r="N3780" s="1">
        <v>1</v>
      </c>
      <c r="O3780" s="58"/>
      <c r="P3780" s="58">
        <v>2304443.5</v>
      </c>
      <c r="Q3780" t="s">
        <v>127</v>
      </c>
      <c r="R3780" s="1" t="s">
        <v>158</v>
      </c>
    </row>
    <row r="3781" spans="3:18" x14ac:dyDescent="0.35">
      <c r="C3781" t="s">
        <v>51</v>
      </c>
      <c r="D3781" t="s">
        <v>19</v>
      </c>
      <c r="E3781" t="s">
        <v>49</v>
      </c>
      <c r="F3781" t="s">
        <v>46</v>
      </c>
      <c r="G3781" s="58">
        <v>820155</v>
      </c>
      <c r="H3781" s="1" t="s">
        <v>48</v>
      </c>
      <c r="I3781" s="1" t="s">
        <v>108</v>
      </c>
      <c r="J3781" s="58">
        <v>26244960</v>
      </c>
      <c r="K3781" s="1" t="s">
        <v>106</v>
      </c>
      <c r="L3781" s="1" t="s">
        <v>120</v>
      </c>
      <c r="M3781" s="1" t="s">
        <v>125</v>
      </c>
      <c r="N3781" s="1">
        <v>1</v>
      </c>
      <c r="O3781" s="58"/>
      <c r="P3781" s="58">
        <v>475689.9</v>
      </c>
      <c r="Q3781" t="s">
        <v>113</v>
      </c>
      <c r="R3781" s="1" t="s">
        <v>158</v>
      </c>
    </row>
    <row r="3782" spans="3:18" x14ac:dyDescent="0.35">
      <c r="C3782" t="s">
        <v>51</v>
      </c>
      <c r="D3782" t="s">
        <v>21</v>
      </c>
      <c r="E3782" t="s">
        <v>45</v>
      </c>
      <c r="F3782" t="s">
        <v>46</v>
      </c>
      <c r="G3782" s="58">
        <v>1415757</v>
      </c>
      <c r="H3782" s="1" t="s">
        <v>48</v>
      </c>
      <c r="I3782" s="1" t="s">
        <v>108</v>
      </c>
      <c r="J3782" s="58">
        <v>38225439</v>
      </c>
      <c r="K3782" s="1" t="s">
        <v>112</v>
      </c>
      <c r="N3782" s="1">
        <v>1</v>
      </c>
      <c r="O3782" s="58"/>
      <c r="P3782" s="58">
        <v>410569.53</v>
      </c>
      <c r="Q3782" t="s">
        <v>107</v>
      </c>
      <c r="R3782" s="1" t="s">
        <v>158</v>
      </c>
    </row>
    <row r="3783" spans="3:18" x14ac:dyDescent="0.35">
      <c r="C3783" t="s">
        <v>53</v>
      </c>
      <c r="D3783" t="s">
        <v>21</v>
      </c>
      <c r="E3783" t="s">
        <v>45</v>
      </c>
      <c r="F3783" t="s">
        <v>46</v>
      </c>
      <c r="G3783" s="58">
        <v>165243732</v>
      </c>
      <c r="H3783" s="1" t="s">
        <v>47</v>
      </c>
      <c r="I3783" s="1" t="s">
        <v>105</v>
      </c>
      <c r="J3783" s="58">
        <v>330487464</v>
      </c>
      <c r="K3783" s="1" t="s">
        <v>106</v>
      </c>
      <c r="L3783" s="1" t="s">
        <v>120</v>
      </c>
      <c r="N3783" s="1">
        <v>1</v>
      </c>
      <c r="O3783" s="58"/>
      <c r="P3783" s="58">
        <v>29743871.760000002</v>
      </c>
      <c r="Q3783" t="s">
        <v>107</v>
      </c>
      <c r="R3783" s="1" t="s">
        <v>158</v>
      </c>
    </row>
    <row r="3784" spans="3:18" x14ac:dyDescent="0.35">
      <c r="C3784" t="s">
        <v>51</v>
      </c>
      <c r="D3784" t="s">
        <v>19</v>
      </c>
      <c r="E3784" t="s">
        <v>45</v>
      </c>
      <c r="F3784" t="s">
        <v>46</v>
      </c>
      <c r="G3784" s="58">
        <v>760283</v>
      </c>
      <c r="H3784" s="1" t="s">
        <v>48</v>
      </c>
      <c r="I3784" s="1" t="s">
        <v>111</v>
      </c>
      <c r="J3784" s="58">
        <v>12164528</v>
      </c>
      <c r="K3784" s="1" t="s">
        <v>106</v>
      </c>
      <c r="L3784" s="1" t="s">
        <v>124</v>
      </c>
      <c r="M3784" s="1" t="s">
        <v>122</v>
      </c>
      <c r="N3784" s="1">
        <v>1</v>
      </c>
      <c r="O3784" s="58"/>
      <c r="P3784" s="58">
        <v>433361.31</v>
      </c>
      <c r="Q3784" t="s">
        <v>113</v>
      </c>
      <c r="R3784" s="1" t="s">
        <v>158</v>
      </c>
    </row>
    <row r="3785" spans="3:18" x14ac:dyDescent="0.35">
      <c r="C3785" t="s">
        <v>51</v>
      </c>
      <c r="D3785" t="s">
        <v>24</v>
      </c>
      <c r="E3785" t="s">
        <v>45</v>
      </c>
      <c r="F3785" t="s">
        <v>46</v>
      </c>
      <c r="G3785" s="58">
        <v>7988470</v>
      </c>
      <c r="H3785" s="1" t="s">
        <v>54</v>
      </c>
      <c r="I3785" s="1" t="s">
        <v>108</v>
      </c>
      <c r="J3785" s="58">
        <v>231665630</v>
      </c>
      <c r="K3785" s="1" t="s">
        <v>106</v>
      </c>
      <c r="L3785" s="1" t="s">
        <v>120</v>
      </c>
      <c r="N3785" s="1">
        <v>1</v>
      </c>
      <c r="O3785" s="58"/>
      <c r="P3785" s="58">
        <v>5591929</v>
      </c>
      <c r="Q3785" t="s">
        <v>118</v>
      </c>
      <c r="R3785" s="1" t="s">
        <v>158</v>
      </c>
    </row>
    <row r="3786" spans="3:18" x14ac:dyDescent="0.35">
      <c r="C3786" t="s">
        <v>53</v>
      </c>
      <c r="D3786" t="s">
        <v>21</v>
      </c>
      <c r="E3786" t="s">
        <v>55</v>
      </c>
      <c r="F3786" t="s">
        <v>46</v>
      </c>
      <c r="G3786" s="58">
        <v>169549</v>
      </c>
      <c r="H3786" s="1" t="s">
        <v>54</v>
      </c>
      <c r="I3786" s="1" t="s">
        <v>119</v>
      </c>
      <c r="J3786" s="58">
        <v>1186843</v>
      </c>
      <c r="K3786" s="1" t="s">
        <v>106</v>
      </c>
      <c r="L3786" s="1" t="s">
        <v>114</v>
      </c>
      <c r="N3786" s="1">
        <v>1</v>
      </c>
      <c r="O3786" s="58"/>
      <c r="P3786" s="58">
        <v>127161.75</v>
      </c>
      <c r="Q3786" t="s">
        <v>118</v>
      </c>
      <c r="R3786" s="1" t="s">
        <v>158</v>
      </c>
    </row>
    <row r="3787" spans="3:18" x14ac:dyDescent="0.35">
      <c r="C3787" t="s">
        <v>51</v>
      </c>
      <c r="D3787" t="s">
        <v>21</v>
      </c>
      <c r="E3787" t="s">
        <v>45</v>
      </c>
      <c r="F3787" t="s">
        <v>46</v>
      </c>
      <c r="G3787" s="58">
        <v>1112113</v>
      </c>
      <c r="H3787" s="1" t="s">
        <v>56</v>
      </c>
      <c r="I3787" s="1" t="s">
        <v>119</v>
      </c>
      <c r="J3787" s="58">
        <v>8896904</v>
      </c>
      <c r="K3787" s="1" t="s">
        <v>106</v>
      </c>
      <c r="L3787" s="1" t="s">
        <v>120</v>
      </c>
      <c r="N3787" s="1">
        <v>1</v>
      </c>
      <c r="O3787" s="58"/>
      <c r="P3787" s="58">
        <v>311391.64</v>
      </c>
      <c r="Q3787" t="s">
        <v>107</v>
      </c>
      <c r="R3787" s="1" t="s">
        <v>158</v>
      </c>
    </row>
    <row r="3788" spans="3:18" x14ac:dyDescent="0.35">
      <c r="C3788" t="s">
        <v>51</v>
      </c>
      <c r="D3788" t="s">
        <v>23</v>
      </c>
      <c r="E3788" t="s">
        <v>52</v>
      </c>
      <c r="F3788" t="s">
        <v>64</v>
      </c>
      <c r="G3788" s="58">
        <v>179964</v>
      </c>
      <c r="H3788" s="1" t="s">
        <v>48</v>
      </c>
      <c r="I3788" s="1" t="s">
        <v>108</v>
      </c>
      <c r="J3788" s="58">
        <v>7198560</v>
      </c>
      <c r="K3788" s="1" t="s">
        <v>112</v>
      </c>
      <c r="N3788" s="1">
        <v>1</v>
      </c>
      <c r="O3788" s="58"/>
      <c r="P3788" s="58">
        <v>98980.2</v>
      </c>
      <c r="Q3788" t="s">
        <v>113</v>
      </c>
      <c r="R3788" s="1" t="s">
        <v>48</v>
      </c>
    </row>
    <row r="3789" spans="3:18" x14ac:dyDescent="0.35">
      <c r="C3789" t="s">
        <v>51</v>
      </c>
      <c r="D3789" t="s">
        <v>24</v>
      </c>
      <c r="E3789" t="s">
        <v>55</v>
      </c>
      <c r="F3789" t="s">
        <v>46</v>
      </c>
      <c r="G3789" s="58">
        <v>11624847</v>
      </c>
      <c r="H3789" s="1" t="s">
        <v>47</v>
      </c>
      <c r="I3789" s="1" t="s">
        <v>108</v>
      </c>
      <c r="J3789" s="58">
        <v>371995104</v>
      </c>
      <c r="K3789" s="1" t="s">
        <v>112</v>
      </c>
      <c r="N3789" s="1">
        <v>1</v>
      </c>
      <c r="O3789" s="58"/>
      <c r="P3789" s="58">
        <v>2324969.4</v>
      </c>
      <c r="Q3789" t="s">
        <v>107</v>
      </c>
      <c r="R3789" s="1" t="s">
        <v>158</v>
      </c>
    </row>
    <row r="3790" spans="3:18" x14ac:dyDescent="0.35">
      <c r="C3790" t="s">
        <v>44</v>
      </c>
      <c r="D3790" t="s">
        <v>91</v>
      </c>
      <c r="E3790" t="s">
        <v>49</v>
      </c>
      <c r="F3790" t="s">
        <v>46</v>
      </c>
      <c r="G3790" s="58">
        <v>259639</v>
      </c>
      <c r="H3790" s="1" t="s">
        <v>54</v>
      </c>
      <c r="I3790" s="1" t="s">
        <v>108</v>
      </c>
      <c r="J3790" s="58"/>
      <c r="N3790" s="1">
        <v>0</v>
      </c>
      <c r="O3790" s="58"/>
      <c r="P3790" s="58"/>
      <c r="R3790" s="1" t="s">
        <v>158</v>
      </c>
    </row>
    <row r="3791" spans="3:18" x14ac:dyDescent="0.35">
      <c r="C3791" t="s">
        <v>51</v>
      </c>
      <c r="D3791" t="s">
        <v>22</v>
      </c>
      <c r="E3791" t="s">
        <v>45</v>
      </c>
      <c r="F3791" t="s">
        <v>46</v>
      </c>
      <c r="G3791" s="58">
        <v>7036713</v>
      </c>
      <c r="H3791" s="1" t="s">
        <v>48</v>
      </c>
      <c r="I3791" s="1" t="s">
        <v>111</v>
      </c>
      <c r="J3791" s="58">
        <v>105550695</v>
      </c>
      <c r="K3791" s="1" t="s">
        <v>106</v>
      </c>
      <c r="L3791" s="1" t="s">
        <v>120</v>
      </c>
      <c r="M3791" s="1" t="s">
        <v>115</v>
      </c>
      <c r="N3791" s="1">
        <v>1</v>
      </c>
      <c r="O3791" s="58"/>
      <c r="P3791" s="58">
        <v>1829545.38</v>
      </c>
      <c r="Q3791" t="s">
        <v>107</v>
      </c>
      <c r="R3791" s="1" t="s">
        <v>48</v>
      </c>
    </row>
    <row r="3792" spans="3:18" x14ac:dyDescent="0.35">
      <c r="C3792" t="s">
        <v>51</v>
      </c>
      <c r="D3792" t="s">
        <v>23</v>
      </c>
      <c r="E3792" t="s">
        <v>49</v>
      </c>
      <c r="F3792" t="s">
        <v>46</v>
      </c>
      <c r="G3792" s="58">
        <v>1848436</v>
      </c>
      <c r="H3792" s="1" t="s">
        <v>48</v>
      </c>
      <c r="I3792" s="1" t="s">
        <v>119</v>
      </c>
      <c r="J3792" s="58">
        <v>14787488</v>
      </c>
      <c r="K3792" s="1" t="s">
        <v>106</v>
      </c>
      <c r="L3792" s="1" t="s">
        <v>124</v>
      </c>
      <c r="M3792" s="1" t="s">
        <v>125</v>
      </c>
      <c r="N3792" s="1">
        <v>1</v>
      </c>
      <c r="O3792" s="58"/>
      <c r="P3792" s="58">
        <v>443624.64</v>
      </c>
      <c r="Q3792" t="s">
        <v>107</v>
      </c>
      <c r="R3792" s="1" t="s">
        <v>158</v>
      </c>
    </row>
    <row r="3793" spans="3:18" x14ac:dyDescent="0.35">
      <c r="C3793" t="s">
        <v>53</v>
      </c>
      <c r="D3793" t="s">
        <v>92</v>
      </c>
      <c r="E3793" t="s">
        <v>45</v>
      </c>
      <c r="F3793" t="s">
        <v>46</v>
      </c>
      <c r="G3793" s="58">
        <v>91287</v>
      </c>
      <c r="H3793" s="1" t="s">
        <v>54</v>
      </c>
      <c r="I3793" s="1" t="s">
        <v>119</v>
      </c>
      <c r="J3793" s="58">
        <v>730296</v>
      </c>
      <c r="K3793" s="1" t="s">
        <v>106</v>
      </c>
      <c r="L3793" s="1" t="s">
        <v>120</v>
      </c>
      <c r="N3793" s="1">
        <v>1</v>
      </c>
      <c r="O3793" s="58"/>
      <c r="P3793" s="58">
        <v>57510.81</v>
      </c>
      <c r="Q3793" t="s">
        <v>118</v>
      </c>
      <c r="R3793" s="1" t="s">
        <v>158</v>
      </c>
    </row>
    <row r="3794" spans="3:18" x14ac:dyDescent="0.35">
      <c r="C3794" t="s">
        <v>51</v>
      </c>
      <c r="D3794" t="s">
        <v>24</v>
      </c>
      <c r="E3794" t="s">
        <v>62</v>
      </c>
      <c r="F3794" t="s">
        <v>64</v>
      </c>
      <c r="G3794" s="58">
        <v>1589471</v>
      </c>
      <c r="H3794" s="1" t="s">
        <v>48</v>
      </c>
      <c r="I3794" s="1" t="s">
        <v>108</v>
      </c>
      <c r="J3794" s="58">
        <v>52452543</v>
      </c>
      <c r="K3794" s="1" t="s">
        <v>112</v>
      </c>
      <c r="N3794" s="1">
        <v>1</v>
      </c>
      <c r="O3794" s="58"/>
      <c r="P3794" s="58">
        <v>1112629.7</v>
      </c>
      <c r="Q3794" t="s">
        <v>118</v>
      </c>
      <c r="R3794" s="1" t="s">
        <v>48</v>
      </c>
    </row>
    <row r="3795" spans="3:18" x14ac:dyDescent="0.35">
      <c r="C3795" t="s">
        <v>51</v>
      </c>
      <c r="D3795" t="s">
        <v>23</v>
      </c>
      <c r="E3795" t="s">
        <v>49</v>
      </c>
      <c r="F3795" t="s">
        <v>46</v>
      </c>
      <c r="G3795" s="58">
        <v>632549</v>
      </c>
      <c r="H3795" s="1" t="s">
        <v>48</v>
      </c>
      <c r="I3795" s="1" t="s">
        <v>105</v>
      </c>
      <c r="J3795" s="58">
        <v>1897647</v>
      </c>
      <c r="K3795" s="1" t="s">
        <v>106</v>
      </c>
      <c r="L3795" s="1" t="s">
        <v>124</v>
      </c>
      <c r="M3795" s="1" t="s">
        <v>125</v>
      </c>
      <c r="N3795" s="1">
        <v>1</v>
      </c>
      <c r="O3795" s="58"/>
      <c r="P3795" s="58">
        <v>94882.35</v>
      </c>
      <c r="Q3795" t="s">
        <v>107</v>
      </c>
      <c r="R3795" s="1" t="s">
        <v>158</v>
      </c>
    </row>
    <row r="3796" spans="3:18" x14ac:dyDescent="0.35">
      <c r="C3796" t="s">
        <v>51</v>
      </c>
      <c r="D3796" t="s">
        <v>19</v>
      </c>
      <c r="E3796" t="s">
        <v>49</v>
      </c>
      <c r="F3796" t="s">
        <v>46</v>
      </c>
      <c r="G3796" s="58">
        <v>268234</v>
      </c>
      <c r="H3796" s="1" t="s">
        <v>47</v>
      </c>
      <c r="I3796" s="1" t="s">
        <v>108</v>
      </c>
      <c r="J3796" s="58">
        <v>5901148</v>
      </c>
      <c r="K3796" s="1" t="s">
        <v>106</v>
      </c>
      <c r="L3796" s="1" t="s">
        <v>109</v>
      </c>
      <c r="N3796" s="1">
        <v>1</v>
      </c>
      <c r="O3796" s="58"/>
      <c r="P3796" s="58">
        <v>206540.18</v>
      </c>
      <c r="Q3796" t="s">
        <v>118</v>
      </c>
      <c r="R3796" s="1" t="s">
        <v>158</v>
      </c>
    </row>
    <row r="3797" spans="3:18" x14ac:dyDescent="0.35">
      <c r="C3797" t="s">
        <v>53</v>
      </c>
      <c r="D3797" t="s">
        <v>92</v>
      </c>
      <c r="E3797" t="s">
        <v>45</v>
      </c>
      <c r="F3797" t="s">
        <v>46</v>
      </c>
      <c r="G3797" s="58">
        <v>35211</v>
      </c>
      <c r="H3797" s="1" t="s">
        <v>59</v>
      </c>
      <c r="I3797" s="1" t="s">
        <v>111</v>
      </c>
      <c r="J3797" s="58">
        <v>422532</v>
      </c>
      <c r="K3797" s="1" t="s">
        <v>112</v>
      </c>
      <c r="N3797" s="1">
        <v>1</v>
      </c>
      <c r="O3797" s="58"/>
      <c r="P3797" s="58">
        <v>18661.830000000002</v>
      </c>
      <c r="Q3797" t="s">
        <v>113</v>
      </c>
      <c r="R3797" s="1" t="s">
        <v>158</v>
      </c>
    </row>
    <row r="3798" spans="3:18" x14ac:dyDescent="0.35">
      <c r="C3798" t="s">
        <v>51</v>
      </c>
      <c r="D3798" t="s">
        <v>23</v>
      </c>
      <c r="E3798" t="s">
        <v>52</v>
      </c>
      <c r="F3798" t="s">
        <v>46</v>
      </c>
      <c r="G3798" s="58">
        <v>98503</v>
      </c>
      <c r="H3798" s="1" t="s">
        <v>48</v>
      </c>
      <c r="I3798" s="1" t="s">
        <v>108</v>
      </c>
      <c r="J3798" s="58">
        <v>2265569</v>
      </c>
      <c r="K3798" s="1" t="s">
        <v>106</v>
      </c>
      <c r="L3798" s="1" t="s">
        <v>109</v>
      </c>
      <c r="M3798" s="1" t="s">
        <v>125</v>
      </c>
      <c r="N3798" s="1">
        <v>1</v>
      </c>
      <c r="O3798" s="58"/>
      <c r="P3798" s="58">
        <v>56146.71</v>
      </c>
      <c r="Q3798" t="s">
        <v>113</v>
      </c>
      <c r="R3798" s="1" t="s">
        <v>48</v>
      </c>
    </row>
    <row r="3799" spans="3:18" x14ac:dyDescent="0.35">
      <c r="C3799" t="s">
        <v>51</v>
      </c>
      <c r="D3799" t="s">
        <v>21</v>
      </c>
      <c r="E3799" t="s">
        <v>49</v>
      </c>
      <c r="F3799" t="s">
        <v>46</v>
      </c>
      <c r="G3799" s="58">
        <v>129000</v>
      </c>
      <c r="H3799" s="1" t="s">
        <v>54</v>
      </c>
      <c r="I3799" s="1" t="s">
        <v>111</v>
      </c>
      <c r="J3799" s="58">
        <v>2451000</v>
      </c>
      <c r="K3799" s="1" t="s">
        <v>106</v>
      </c>
      <c r="L3799" s="1" t="s">
        <v>124</v>
      </c>
      <c r="N3799" s="1">
        <v>1</v>
      </c>
      <c r="O3799" s="58"/>
      <c r="P3799" s="58">
        <v>144480</v>
      </c>
      <c r="Q3799" t="s">
        <v>110</v>
      </c>
      <c r="R3799" s="1" t="s">
        <v>158</v>
      </c>
    </row>
    <row r="3800" spans="3:18" x14ac:dyDescent="0.35">
      <c r="C3800" t="s">
        <v>51</v>
      </c>
      <c r="D3800" t="s">
        <v>21</v>
      </c>
      <c r="E3800" t="s">
        <v>55</v>
      </c>
      <c r="F3800" t="s">
        <v>46</v>
      </c>
      <c r="G3800" s="58">
        <v>1312265</v>
      </c>
      <c r="H3800" s="1" t="s">
        <v>48</v>
      </c>
      <c r="I3800" s="1" t="s">
        <v>111</v>
      </c>
      <c r="J3800" s="58">
        <v>20996240</v>
      </c>
      <c r="K3800" s="1" t="s">
        <v>106</v>
      </c>
      <c r="L3800" s="1" t="s">
        <v>114</v>
      </c>
      <c r="M3800" s="1" t="s">
        <v>126</v>
      </c>
      <c r="N3800" s="1">
        <v>1</v>
      </c>
      <c r="O3800" s="58"/>
      <c r="P3800" s="58">
        <v>643009.85</v>
      </c>
      <c r="Q3800" t="s">
        <v>113</v>
      </c>
      <c r="R3800" s="1" t="s">
        <v>158</v>
      </c>
    </row>
    <row r="3801" spans="3:18" x14ac:dyDescent="0.35">
      <c r="C3801" t="s">
        <v>51</v>
      </c>
      <c r="D3801" t="s">
        <v>19</v>
      </c>
      <c r="E3801" t="s">
        <v>49</v>
      </c>
      <c r="F3801" t="s">
        <v>46</v>
      </c>
      <c r="G3801" s="58">
        <v>317661</v>
      </c>
      <c r="H3801" s="1" t="s">
        <v>48</v>
      </c>
      <c r="I3801" s="1" t="s">
        <v>111</v>
      </c>
      <c r="J3801" s="58">
        <v>4764915</v>
      </c>
      <c r="K3801" s="1" t="s">
        <v>106</v>
      </c>
      <c r="L3801" s="1" t="s">
        <v>120</v>
      </c>
      <c r="M3801" s="1" t="s">
        <v>122</v>
      </c>
      <c r="N3801" s="1">
        <v>1</v>
      </c>
      <c r="O3801" s="58"/>
      <c r="P3801" s="58">
        <v>165183.72</v>
      </c>
      <c r="Q3801" t="s">
        <v>113</v>
      </c>
      <c r="R3801" s="1" t="s">
        <v>158</v>
      </c>
    </row>
    <row r="3802" spans="3:18" x14ac:dyDescent="0.35">
      <c r="C3802" t="s">
        <v>51</v>
      </c>
      <c r="D3802" t="s">
        <v>21</v>
      </c>
      <c r="E3802" t="s">
        <v>49</v>
      </c>
      <c r="F3802" t="s">
        <v>64</v>
      </c>
      <c r="G3802" s="58">
        <v>374639</v>
      </c>
      <c r="H3802" s="1" t="s">
        <v>48</v>
      </c>
      <c r="I3802" s="1" t="s">
        <v>111</v>
      </c>
      <c r="J3802" s="58">
        <v>6743502</v>
      </c>
      <c r="K3802" s="1" t="s">
        <v>112</v>
      </c>
      <c r="N3802" s="1">
        <v>1</v>
      </c>
      <c r="O3802" s="58"/>
      <c r="P3802" s="58">
        <v>198558.67</v>
      </c>
      <c r="Q3802" t="s">
        <v>113</v>
      </c>
      <c r="R3802" s="1" t="s">
        <v>158</v>
      </c>
    </row>
    <row r="3803" spans="3:18" x14ac:dyDescent="0.35">
      <c r="C3803" t="s">
        <v>51</v>
      </c>
      <c r="D3803" t="s">
        <v>21</v>
      </c>
      <c r="E3803" t="s">
        <v>55</v>
      </c>
      <c r="F3803" t="s">
        <v>46</v>
      </c>
      <c r="G3803" s="58">
        <v>70067</v>
      </c>
      <c r="H3803" s="1" t="s">
        <v>48</v>
      </c>
      <c r="I3803" s="1" t="s">
        <v>108</v>
      </c>
      <c r="J3803" s="58">
        <v>2382278</v>
      </c>
      <c r="K3803" s="1" t="s">
        <v>112</v>
      </c>
      <c r="N3803" s="1">
        <v>1</v>
      </c>
      <c r="O3803" s="58"/>
      <c r="P3803" s="58">
        <v>39938.19</v>
      </c>
      <c r="Q3803" t="s">
        <v>113</v>
      </c>
      <c r="R3803" s="1" t="s">
        <v>158</v>
      </c>
    </row>
    <row r="3804" spans="3:18" x14ac:dyDescent="0.35">
      <c r="C3804" t="s">
        <v>51</v>
      </c>
      <c r="D3804" t="s">
        <v>22</v>
      </c>
      <c r="E3804" t="s">
        <v>45</v>
      </c>
      <c r="F3804" t="s">
        <v>46</v>
      </c>
      <c r="G3804" s="58">
        <v>2829168</v>
      </c>
      <c r="H3804" s="1" t="s">
        <v>47</v>
      </c>
      <c r="I3804" s="1" t="s">
        <v>111</v>
      </c>
      <c r="J3804" s="58">
        <v>48095856</v>
      </c>
      <c r="K3804" s="1" t="s">
        <v>112</v>
      </c>
      <c r="N3804" s="1">
        <v>1</v>
      </c>
      <c r="O3804" s="58"/>
      <c r="P3804" s="58">
        <v>1358000.64</v>
      </c>
      <c r="Q3804" t="s">
        <v>113</v>
      </c>
      <c r="R3804" s="1" t="s">
        <v>158</v>
      </c>
    </row>
    <row r="3805" spans="3:18" x14ac:dyDescent="0.35">
      <c r="C3805" t="s">
        <v>51</v>
      </c>
      <c r="D3805" t="s">
        <v>92</v>
      </c>
      <c r="E3805" t="s">
        <v>49</v>
      </c>
      <c r="F3805" t="s">
        <v>46</v>
      </c>
      <c r="G3805" s="58">
        <v>423253</v>
      </c>
      <c r="H3805" s="1" t="s">
        <v>48</v>
      </c>
      <c r="I3805" s="1" t="s">
        <v>111</v>
      </c>
      <c r="J3805" s="58">
        <v>7195301</v>
      </c>
      <c r="K3805" s="1" t="s">
        <v>106</v>
      </c>
      <c r="L3805" s="1" t="s">
        <v>114</v>
      </c>
      <c r="M3805" s="1" t="s">
        <v>123</v>
      </c>
      <c r="N3805" s="1">
        <v>1</v>
      </c>
      <c r="O3805" s="58"/>
      <c r="P3805" s="58">
        <v>253951.8</v>
      </c>
      <c r="Q3805" t="s">
        <v>118</v>
      </c>
      <c r="R3805" s="1" t="s">
        <v>48</v>
      </c>
    </row>
    <row r="3806" spans="3:18" x14ac:dyDescent="0.35">
      <c r="C3806" t="s">
        <v>51</v>
      </c>
      <c r="D3806" t="s">
        <v>24</v>
      </c>
      <c r="E3806" t="s">
        <v>55</v>
      </c>
      <c r="F3806" t="s">
        <v>46</v>
      </c>
      <c r="G3806" s="58">
        <v>714106</v>
      </c>
      <c r="H3806" s="1" t="s">
        <v>59</v>
      </c>
      <c r="I3806" s="1" t="s">
        <v>108</v>
      </c>
      <c r="J3806" s="58">
        <v>22137286</v>
      </c>
      <c r="K3806" s="1" t="s">
        <v>106</v>
      </c>
      <c r="L3806" s="1" t="s">
        <v>124</v>
      </c>
      <c r="N3806" s="1">
        <v>1</v>
      </c>
      <c r="O3806" s="58"/>
      <c r="P3806" s="58">
        <v>471309.96</v>
      </c>
      <c r="Q3806" t="s">
        <v>118</v>
      </c>
      <c r="R3806" s="1" t="s">
        <v>158</v>
      </c>
    </row>
    <row r="3807" spans="3:18" x14ac:dyDescent="0.35">
      <c r="C3807" t="s">
        <v>51</v>
      </c>
      <c r="D3807" t="s">
        <v>23</v>
      </c>
      <c r="E3807" t="s">
        <v>45</v>
      </c>
      <c r="F3807" t="s">
        <v>46</v>
      </c>
      <c r="G3807" s="58">
        <v>18218439</v>
      </c>
      <c r="H3807" s="1" t="s">
        <v>48</v>
      </c>
      <c r="I3807" s="1" t="s">
        <v>119</v>
      </c>
      <c r="J3807" s="58">
        <v>127529073</v>
      </c>
      <c r="K3807" s="1" t="s">
        <v>106</v>
      </c>
      <c r="L3807" s="1" t="s">
        <v>120</v>
      </c>
      <c r="M3807" s="1" t="s">
        <v>125</v>
      </c>
      <c r="N3807" s="1">
        <v>1</v>
      </c>
      <c r="O3807" s="58"/>
      <c r="P3807" s="58">
        <v>4190240.97</v>
      </c>
      <c r="Q3807" t="s">
        <v>107</v>
      </c>
      <c r="R3807" s="1" t="s">
        <v>158</v>
      </c>
    </row>
    <row r="3808" spans="3:18" x14ac:dyDescent="0.35">
      <c r="C3808" t="s">
        <v>51</v>
      </c>
      <c r="D3808" t="s">
        <v>20</v>
      </c>
      <c r="E3808" t="s">
        <v>49</v>
      </c>
      <c r="F3808" t="s">
        <v>46</v>
      </c>
      <c r="G3808" s="58">
        <v>3373853</v>
      </c>
      <c r="H3808" s="1" t="s">
        <v>47</v>
      </c>
      <c r="I3808" s="1" t="s">
        <v>108</v>
      </c>
      <c r="J3808" s="58">
        <v>104589443</v>
      </c>
      <c r="K3808" s="1" t="s">
        <v>112</v>
      </c>
      <c r="N3808" s="1">
        <v>1</v>
      </c>
      <c r="O3808" s="58"/>
      <c r="P3808" s="58">
        <v>1619449.44</v>
      </c>
      <c r="Q3808" t="s">
        <v>113</v>
      </c>
      <c r="R3808" s="1" t="s">
        <v>158</v>
      </c>
    </row>
    <row r="3809" spans="3:18" x14ac:dyDescent="0.35">
      <c r="C3809" t="s">
        <v>51</v>
      </c>
      <c r="D3809" t="s">
        <v>21</v>
      </c>
      <c r="E3809" t="s">
        <v>45</v>
      </c>
      <c r="F3809" t="s">
        <v>46</v>
      </c>
      <c r="G3809" s="58">
        <v>359196</v>
      </c>
      <c r="H3809" s="1" t="s">
        <v>54</v>
      </c>
      <c r="I3809" s="1" t="s">
        <v>119</v>
      </c>
      <c r="J3809" s="58">
        <v>3232764</v>
      </c>
      <c r="K3809" s="1" t="s">
        <v>106</v>
      </c>
      <c r="L3809" s="1" t="s">
        <v>120</v>
      </c>
      <c r="N3809" s="1">
        <v>1</v>
      </c>
      <c r="O3809" s="58"/>
      <c r="P3809" s="58">
        <v>168822.12</v>
      </c>
      <c r="Q3809" t="s">
        <v>113</v>
      </c>
      <c r="R3809" s="1" t="s">
        <v>158</v>
      </c>
    </row>
    <row r="3810" spans="3:18" x14ac:dyDescent="0.35">
      <c r="C3810" t="s">
        <v>53</v>
      </c>
      <c r="D3810" t="s">
        <v>23</v>
      </c>
      <c r="E3810" t="s">
        <v>45</v>
      </c>
      <c r="F3810" t="s">
        <v>46</v>
      </c>
      <c r="G3810" s="58">
        <v>40075</v>
      </c>
      <c r="H3810" s="1" t="s">
        <v>54</v>
      </c>
      <c r="I3810" s="1" t="s">
        <v>108</v>
      </c>
      <c r="J3810" s="58">
        <v>1202250</v>
      </c>
      <c r="K3810" s="1" t="s">
        <v>112</v>
      </c>
      <c r="N3810" s="1">
        <v>1</v>
      </c>
      <c r="O3810" s="58"/>
      <c r="P3810" s="58">
        <v>8015</v>
      </c>
      <c r="Q3810" t="s">
        <v>107</v>
      </c>
      <c r="R3810" s="1" t="s">
        <v>158</v>
      </c>
    </row>
    <row r="3811" spans="3:18" x14ac:dyDescent="0.35">
      <c r="C3811" t="s">
        <v>51</v>
      </c>
      <c r="D3811" t="s">
        <v>19</v>
      </c>
      <c r="E3811" t="s">
        <v>49</v>
      </c>
      <c r="F3811" t="s">
        <v>46</v>
      </c>
      <c r="G3811" s="58">
        <v>46625288</v>
      </c>
      <c r="H3811" s="1" t="s">
        <v>48</v>
      </c>
      <c r="I3811" s="1" t="s">
        <v>108</v>
      </c>
      <c r="J3811" s="58">
        <v>1631885080</v>
      </c>
      <c r="K3811" s="1" t="s">
        <v>106</v>
      </c>
      <c r="L3811" s="1" t="s">
        <v>124</v>
      </c>
      <c r="M3811" s="1" t="s">
        <v>122</v>
      </c>
      <c r="N3811" s="1">
        <v>1</v>
      </c>
      <c r="O3811" s="58"/>
      <c r="P3811" s="58">
        <v>38698989.039999999</v>
      </c>
      <c r="Q3811" t="s">
        <v>127</v>
      </c>
      <c r="R3811" s="1" t="s">
        <v>48</v>
      </c>
    </row>
    <row r="3812" spans="3:18" x14ac:dyDescent="0.35">
      <c r="C3812" t="s">
        <v>51</v>
      </c>
      <c r="D3812" t="s">
        <v>21</v>
      </c>
      <c r="E3812" t="s">
        <v>45</v>
      </c>
      <c r="F3812" t="s">
        <v>46</v>
      </c>
      <c r="G3812" s="58">
        <v>335114</v>
      </c>
      <c r="H3812" s="1" t="s">
        <v>48</v>
      </c>
      <c r="I3812" s="1" t="s">
        <v>111</v>
      </c>
      <c r="J3812" s="58">
        <v>6032052</v>
      </c>
      <c r="K3812" s="1" t="s">
        <v>112</v>
      </c>
      <c r="N3812" s="1">
        <v>1</v>
      </c>
      <c r="O3812" s="58"/>
      <c r="P3812" s="58">
        <v>234579.8</v>
      </c>
      <c r="Q3812" t="s">
        <v>118</v>
      </c>
      <c r="R3812" s="1" t="s">
        <v>158</v>
      </c>
    </row>
    <row r="3813" spans="3:18" x14ac:dyDescent="0.35">
      <c r="C3813" t="s">
        <v>51</v>
      </c>
      <c r="D3813" t="s">
        <v>19</v>
      </c>
      <c r="E3813" t="s">
        <v>45</v>
      </c>
      <c r="F3813" t="s">
        <v>46</v>
      </c>
      <c r="G3813" s="58">
        <v>1011397</v>
      </c>
      <c r="H3813" s="1" t="s">
        <v>48</v>
      </c>
      <c r="I3813" s="1" t="s">
        <v>105</v>
      </c>
      <c r="J3813" s="58">
        <v>1011397</v>
      </c>
      <c r="K3813" s="1" t="s">
        <v>106</v>
      </c>
      <c r="L3813" s="1" t="s">
        <v>120</v>
      </c>
      <c r="M3813" s="1" t="s">
        <v>122</v>
      </c>
      <c r="N3813" s="1">
        <v>1</v>
      </c>
      <c r="O3813" s="58"/>
      <c r="P3813" s="58">
        <v>485470.56</v>
      </c>
      <c r="Q3813" t="s">
        <v>113</v>
      </c>
      <c r="R3813" s="1" t="s">
        <v>158</v>
      </c>
    </row>
    <row r="3814" spans="3:18" x14ac:dyDescent="0.35">
      <c r="C3814" t="s">
        <v>51</v>
      </c>
      <c r="D3814" t="s">
        <v>92</v>
      </c>
      <c r="E3814" t="s">
        <v>45</v>
      </c>
      <c r="F3814" t="s">
        <v>64</v>
      </c>
      <c r="G3814" s="58">
        <v>666099</v>
      </c>
      <c r="H3814" s="1" t="s">
        <v>48</v>
      </c>
      <c r="I3814" s="1" t="s">
        <v>111</v>
      </c>
      <c r="J3814" s="58">
        <v>8659287</v>
      </c>
      <c r="K3814" s="1" t="s">
        <v>112</v>
      </c>
      <c r="N3814" s="1">
        <v>1</v>
      </c>
      <c r="O3814" s="58"/>
      <c r="P3814" s="58">
        <v>459608.31</v>
      </c>
      <c r="Q3814" t="s">
        <v>118</v>
      </c>
      <c r="R3814" s="1" t="s">
        <v>48</v>
      </c>
    </row>
    <row r="3815" spans="3:18" x14ac:dyDescent="0.35">
      <c r="C3815" t="s">
        <v>51</v>
      </c>
      <c r="D3815" t="s">
        <v>92</v>
      </c>
      <c r="E3815" t="s">
        <v>49</v>
      </c>
      <c r="F3815" t="s">
        <v>46</v>
      </c>
      <c r="G3815" s="58">
        <v>39351031</v>
      </c>
      <c r="H3815" s="1" t="s">
        <v>48</v>
      </c>
      <c r="I3815" s="1" t="s">
        <v>108</v>
      </c>
      <c r="J3815" s="58">
        <v>1101828868</v>
      </c>
      <c r="K3815" s="1" t="s">
        <v>106</v>
      </c>
      <c r="L3815" s="1" t="s">
        <v>124</v>
      </c>
      <c r="M3815" s="1" t="s">
        <v>123</v>
      </c>
      <c r="N3815" s="1">
        <v>1</v>
      </c>
      <c r="O3815" s="58"/>
      <c r="P3815" s="58">
        <v>20069025.809999999</v>
      </c>
      <c r="Q3815" t="s">
        <v>113</v>
      </c>
      <c r="R3815" s="1" t="s">
        <v>48</v>
      </c>
    </row>
    <row r="3816" spans="3:18" x14ac:dyDescent="0.35">
      <c r="C3816" t="s">
        <v>51</v>
      </c>
      <c r="D3816" t="s">
        <v>92</v>
      </c>
      <c r="E3816" t="s">
        <v>49</v>
      </c>
      <c r="F3816" t="s">
        <v>46</v>
      </c>
      <c r="G3816" s="58">
        <v>22764387</v>
      </c>
      <c r="H3816" s="1" t="s">
        <v>48</v>
      </c>
      <c r="I3816" s="1" t="s">
        <v>119</v>
      </c>
      <c r="J3816" s="58">
        <v>182115096</v>
      </c>
      <c r="K3816" s="1" t="s">
        <v>106</v>
      </c>
      <c r="L3816" s="1" t="s">
        <v>124</v>
      </c>
      <c r="M3816" s="1" t="s">
        <v>123</v>
      </c>
      <c r="N3816" s="1">
        <v>1</v>
      </c>
      <c r="O3816" s="58"/>
      <c r="P3816" s="58">
        <v>10243974.15</v>
      </c>
      <c r="Q3816" t="s">
        <v>113</v>
      </c>
      <c r="R3816" s="1" t="s">
        <v>158</v>
      </c>
    </row>
    <row r="3817" spans="3:18" x14ac:dyDescent="0.35">
      <c r="C3817" t="s">
        <v>51</v>
      </c>
      <c r="D3817" t="s">
        <v>22</v>
      </c>
      <c r="E3817" t="s">
        <v>49</v>
      </c>
      <c r="F3817" t="s">
        <v>46</v>
      </c>
      <c r="G3817" s="58">
        <v>29943389</v>
      </c>
      <c r="H3817" s="1" t="s">
        <v>47</v>
      </c>
      <c r="I3817" s="1" t="s">
        <v>111</v>
      </c>
      <c r="J3817" s="58">
        <v>479094224</v>
      </c>
      <c r="K3817" s="1" t="s">
        <v>106</v>
      </c>
      <c r="L3817" s="1" t="s">
        <v>124</v>
      </c>
      <c r="N3817" s="1">
        <v>1</v>
      </c>
      <c r="O3817" s="58"/>
      <c r="P3817" s="58">
        <v>14372826.720000001</v>
      </c>
      <c r="Q3817" t="s">
        <v>113</v>
      </c>
      <c r="R3817" s="1" t="s">
        <v>158</v>
      </c>
    </row>
    <row r="3818" spans="3:18" x14ac:dyDescent="0.35">
      <c r="C3818" t="s">
        <v>53</v>
      </c>
      <c r="D3818" t="s">
        <v>20</v>
      </c>
      <c r="E3818" t="s">
        <v>45</v>
      </c>
      <c r="F3818" t="s">
        <v>46</v>
      </c>
      <c r="G3818" s="58">
        <v>318324</v>
      </c>
      <c r="H3818" s="1" t="s">
        <v>56</v>
      </c>
      <c r="I3818" s="1" t="s">
        <v>119</v>
      </c>
      <c r="J3818" s="58">
        <v>2228268</v>
      </c>
      <c r="K3818" s="1" t="s">
        <v>106</v>
      </c>
      <c r="L3818" s="1" t="s">
        <v>120</v>
      </c>
      <c r="N3818" s="1">
        <v>1</v>
      </c>
      <c r="O3818" s="58"/>
      <c r="P3818" s="58">
        <v>85947.48</v>
      </c>
      <c r="Q3818" t="s">
        <v>107</v>
      </c>
      <c r="R3818" s="1" t="s">
        <v>158</v>
      </c>
    </row>
    <row r="3819" spans="3:18" x14ac:dyDescent="0.35">
      <c r="C3819" t="s">
        <v>51</v>
      </c>
      <c r="D3819" t="s">
        <v>92</v>
      </c>
      <c r="E3819" t="s">
        <v>49</v>
      </c>
      <c r="F3819" t="s">
        <v>46</v>
      </c>
      <c r="G3819" s="58">
        <v>137330</v>
      </c>
      <c r="H3819" s="1" t="s">
        <v>47</v>
      </c>
      <c r="I3819" s="1" t="s">
        <v>108</v>
      </c>
      <c r="J3819" s="58">
        <v>4257230</v>
      </c>
      <c r="K3819" s="1" t="s">
        <v>106</v>
      </c>
      <c r="L3819" s="1" t="s">
        <v>114</v>
      </c>
      <c r="N3819" s="1">
        <v>1</v>
      </c>
      <c r="O3819" s="58"/>
      <c r="P3819" s="58">
        <v>105744.1</v>
      </c>
      <c r="Q3819" t="s">
        <v>118</v>
      </c>
      <c r="R3819" s="1" t="s">
        <v>158</v>
      </c>
    </row>
    <row r="3820" spans="3:18" x14ac:dyDescent="0.35">
      <c r="C3820" t="s">
        <v>51</v>
      </c>
      <c r="D3820" t="s">
        <v>23</v>
      </c>
      <c r="E3820" t="s">
        <v>55</v>
      </c>
      <c r="F3820" t="s">
        <v>46</v>
      </c>
      <c r="G3820" s="58">
        <v>29612212</v>
      </c>
      <c r="H3820" s="1" t="s">
        <v>54</v>
      </c>
      <c r="I3820" s="1" t="s">
        <v>108</v>
      </c>
      <c r="J3820" s="58">
        <v>829141936</v>
      </c>
      <c r="K3820" s="1" t="s">
        <v>106</v>
      </c>
      <c r="L3820" s="1" t="s">
        <v>114</v>
      </c>
      <c r="N3820" s="1">
        <v>1</v>
      </c>
      <c r="O3820" s="58"/>
      <c r="P3820" s="58">
        <v>20432426.280000001</v>
      </c>
      <c r="Q3820" t="s">
        <v>118</v>
      </c>
      <c r="R3820" s="1" t="s">
        <v>158</v>
      </c>
    </row>
    <row r="3821" spans="3:18" x14ac:dyDescent="0.35">
      <c r="C3821" t="s">
        <v>51</v>
      </c>
      <c r="D3821" t="s">
        <v>22</v>
      </c>
      <c r="E3821" t="s">
        <v>50</v>
      </c>
      <c r="F3821" t="s">
        <v>46</v>
      </c>
      <c r="G3821" s="58">
        <v>3239610</v>
      </c>
      <c r="H3821" s="1" t="s">
        <v>48</v>
      </c>
      <c r="I3821" s="1" t="s">
        <v>111</v>
      </c>
      <c r="J3821" s="58">
        <v>51833760</v>
      </c>
      <c r="K3821" s="1" t="s">
        <v>106</v>
      </c>
      <c r="L3821" s="1" t="s">
        <v>109</v>
      </c>
      <c r="M3821" s="1" t="s">
        <v>115</v>
      </c>
      <c r="N3821" s="1">
        <v>1</v>
      </c>
      <c r="O3821" s="58"/>
      <c r="P3821" s="58">
        <v>1587408.9</v>
      </c>
      <c r="Q3821" t="s">
        <v>113</v>
      </c>
      <c r="R3821" s="1" t="s">
        <v>48</v>
      </c>
    </row>
    <row r="3822" spans="3:18" x14ac:dyDescent="0.35">
      <c r="C3822" t="s">
        <v>51</v>
      </c>
      <c r="D3822" t="s">
        <v>60</v>
      </c>
      <c r="E3822" t="s">
        <v>60</v>
      </c>
      <c r="F3822" t="s">
        <v>46</v>
      </c>
      <c r="G3822" s="58">
        <v>131715</v>
      </c>
      <c r="H3822" s="1" t="s">
        <v>90</v>
      </c>
      <c r="I3822" s="1" t="s">
        <v>108</v>
      </c>
      <c r="J3822" s="58">
        <v>3688020</v>
      </c>
      <c r="K3822" s="1" t="s">
        <v>106</v>
      </c>
      <c r="N3822" s="1">
        <v>1</v>
      </c>
      <c r="O3822" s="58"/>
      <c r="P3822" s="58">
        <v>0</v>
      </c>
      <c r="Q3822" t="s">
        <v>107</v>
      </c>
      <c r="R3822" s="1" t="s">
        <v>90</v>
      </c>
    </row>
    <row r="3823" spans="3:18" x14ac:dyDescent="0.35">
      <c r="C3823" t="s">
        <v>51</v>
      </c>
      <c r="D3823" t="s">
        <v>24</v>
      </c>
      <c r="E3823" t="s">
        <v>45</v>
      </c>
      <c r="F3823" t="s">
        <v>46</v>
      </c>
      <c r="G3823" s="58">
        <v>24938456</v>
      </c>
      <c r="H3823" s="1" t="s">
        <v>48</v>
      </c>
      <c r="I3823" s="1" t="s">
        <v>108</v>
      </c>
      <c r="J3823" s="58">
        <v>723215224</v>
      </c>
      <c r="K3823" s="1" t="s">
        <v>106</v>
      </c>
      <c r="L3823" s="1" t="s">
        <v>120</v>
      </c>
      <c r="M3823" s="1" t="s">
        <v>121</v>
      </c>
      <c r="N3823" s="1">
        <v>1</v>
      </c>
      <c r="O3823" s="58"/>
      <c r="P3823" s="58">
        <v>7232152.2400000002</v>
      </c>
      <c r="Q3823" t="s">
        <v>107</v>
      </c>
      <c r="R3823" s="1" t="s">
        <v>158</v>
      </c>
    </row>
    <row r="3824" spans="3:18" x14ac:dyDescent="0.35">
      <c r="C3824" t="s">
        <v>51</v>
      </c>
      <c r="D3824" t="s">
        <v>19</v>
      </c>
      <c r="E3824" t="s">
        <v>49</v>
      </c>
      <c r="F3824" t="s">
        <v>46</v>
      </c>
      <c r="G3824" s="58">
        <v>1203327</v>
      </c>
      <c r="H3824" s="1" t="s">
        <v>59</v>
      </c>
      <c r="I3824" s="1" t="s">
        <v>108</v>
      </c>
      <c r="J3824" s="58">
        <v>36099810</v>
      </c>
      <c r="K3824" s="1" t="s">
        <v>106</v>
      </c>
      <c r="L3824" s="1" t="s">
        <v>120</v>
      </c>
      <c r="N3824" s="1">
        <v>1</v>
      </c>
      <c r="O3824" s="58"/>
      <c r="P3824" s="58">
        <v>541497.15</v>
      </c>
      <c r="Q3824" t="s">
        <v>113</v>
      </c>
      <c r="R3824" s="1" t="s">
        <v>158</v>
      </c>
    </row>
    <row r="3825" spans="3:18" x14ac:dyDescent="0.35">
      <c r="C3825" t="s">
        <v>51</v>
      </c>
      <c r="D3825" t="s">
        <v>25</v>
      </c>
      <c r="E3825" t="s">
        <v>50</v>
      </c>
      <c r="F3825" t="s">
        <v>46</v>
      </c>
      <c r="G3825" s="58">
        <v>158864</v>
      </c>
      <c r="H3825" s="1" t="s">
        <v>48</v>
      </c>
      <c r="I3825" s="1" t="s">
        <v>108</v>
      </c>
      <c r="J3825" s="58">
        <v>3812736</v>
      </c>
      <c r="K3825" s="1" t="s">
        <v>106</v>
      </c>
      <c r="L3825" s="1" t="s">
        <v>109</v>
      </c>
      <c r="M3825" s="1" t="s">
        <v>117</v>
      </c>
      <c r="N3825" s="1">
        <v>1</v>
      </c>
      <c r="O3825" s="58"/>
      <c r="P3825" s="58">
        <v>65134.239999999998</v>
      </c>
      <c r="Q3825" t="s">
        <v>113</v>
      </c>
      <c r="R3825" s="1" t="s">
        <v>158</v>
      </c>
    </row>
    <row r="3826" spans="3:18" x14ac:dyDescent="0.35">
      <c r="C3826" t="s">
        <v>51</v>
      </c>
      <c r="D3826" t="s">
        <v>23</v>
      </c>
      <c r="E3826" t="s">
        <v>45</v>
      </c>
      <c r="F3826" t="s">
        <v>46</v>
      </c>
      <c r="G3826" s="58">
        <v>3935295</v>
      </c>
      <c r="H3826" s="1" t="s">
        <v>48</v>
      </c>
      <c r="I3826" s="1" t="s">
        <v>111</v>
      </c>
      <c r="J3826" s="58">
        <v>66900015</v>
      </c>
      <c r="K3826" s="1" t="s">
        <v>106</v>
      </c>
      <c r="L3826" s="1" t="s">
        <v>120</v>
      </c>
      <c r="M3826" s="1" t="s">
        <v>125</v>
      </c>
      <c r="N3826" s="1">
        <v>1</v>
      </c>
      <c r="O3826" s="58"/>
      <c r="P3826" s="58">
        <v>3266294.85</v>
      </c>
      <c r="Q3826" t="s">
        <v>127</v>
      </c>
      <c r="R3826" s="1" t="s">
        <v>158</v>
      </c>
    </row>
    <row r="3827" spans="3:18" x14ac:dyDescent="0.35">
      <c r="C3827" t="s">
        <v>51</v>
      </c>
      <c r="D3827" t="s">
        <v>23</v>
      </c>
      <c r="E3827" t="s">
        <v>55</v>
      </c>
      <c r="F3827" t="s">
        <v>46</v>
      </c>
      <c r="G3827" s="58">
        <v>212772</v>
      </c>
      <c r="H3827" s="1" t="s">
        <v>54</v>
      </c>
      <c r="I3827" s="1" t="s">
        <v>108</v>
      </c>
      <c r="J3827" s="58">
        <v>5532072</v>
      </c>
      <c r="K3827" s="1" t="s">
        <v>106</v>
      </c>
      <c r="L3827" s="1" t="s">
        <v>120</v>
      </c>
      <c r="N3827" s="1">
        <v>1</v>
      </c>
      <c r="O3827" s="58"/>
      <c r="P3827" s="58">
        <v>123407.76</v>
      </c>
      <c r="Q3827" t="s">
        <v>113</v>
      </c>
      <c r="R3827" s="1" t="s">
        <v>158</v>
      </c>
    </row>
    <row r="3828" spans="3:18" x14ac:dyDescent="0.35">
      <c r="C3828" t="s">
        <v>51</v>
      </c>
      <c r="D3828" t="s">
        <v>25</v>
      </c>
      <c r="E3828" t="s">
        <v>45</v>
      </c>
      <c r="F3828" t="s">
        <v>46</v>
      </c>
      <c r="G3828" s="58">
        <v>1561981</v>
      </c>
      <c r="H3828" s="1" t="s">
        <v>47</v>
      </c>
      <c r="I3828" s="1" t="s">
        <v>108</v>
      </c>
      <c r="J3828" s="58">
        <v>40611506</v>
      </c>
      <c r="K3828" s="1" t="s">
        <v>106</v>
      </c>
      <c r="L3828" s="1" t="s">
        <v>124</v>
      </c>
      <c r="N3828" s="1">
        <v>1</v>
      </c>
      <c r="O3828" s="58"/>
      <c r="P3828" s="58">
        <v>796610.31</v>
      </c>
      <c r="Q3828" t="s">
        <v>113</v>
      </c>
      <c r="R3828" s="1" t="s">
        <v>158</v>
      </c>
    </row>
    <row r="3829" spans="3:18" x14ac:dyDescent="0.35">
      <c r="C3829" t="s">
        <v>51</v>
      </c>
      <c r="D3829" t="s">
        <v>20</v>
      </c>
      <c r="E3829" t="s">
        <v>49</v>
      </c>
      <c r="F3829" t="s">
        <v>46</v>
      </c>
      <c r="G3829" s="58">
        <v>276296647</v>
      </c>
      <c r="H3829" s="1" t="s">
        <v>48</v>
      </c>
      <c r="I3829" s="1" t="s">
        <v>108</v>
      </c>
      <c r="J3829" s="58">
        <v>8288899410</v>
      </c>
      <c r="K3829" s="1" t="s">
        <v>106</v>
      </c>
      <c r="L3829" s="1" t="s">
        <v>124</v>
      </c>
      <c r="M3829" s="1" t="s">
        <v>123</v>
      </c>
      <c r="N3829" s="1">
        <v>1</v>
      </c>
      <c r="O3829" s="58"/>
      <c r="P3829" s="58">
        <v>140911289.97</v>
      </c>
      <c r="Q3829" t="s">
        <v>113</v>
      </c>
      <c r="R3829" s="1" t="s">
        <v>158</v>
      </c>
    </row>
    <row r="3830" spans="3:18" x14ac:dyDescent="0.35">
      <c r="C3830" t="s">
        <v>51</v>
      </c>
      <c r="D3830" t="s">
        <v>22</v>
      </c>
      <c r="E3830" t="s">
        <v>49</v>
      </c>
      <c r="F3830" t="s">
        <v>46</v>
      </c>
      <c r="G3830" s="58">
        <v>70000</v>
      </c>
      <c r="H3830" s="1" t="s">
        <v>47</v>
      </c>
      <c r="I3830" s="1" t="s">
        <v>128</v>
      </c>
      <c r="J3830" s="58"/>
      <c r="K3830" s="1" t="s">
        <v>106</v>
      </c>
      <c r="L3830" s="1" t="s">
        <v>124</v>
      </c>
      <c r="N3830" s="1">
        <v>0</v>
      </c>
      <c r="O3830" s="58"/>
      <c r="P3830" s="58">
        <v>2800</v>
      </c>
      <c r="Q3830" t="s">
        <v>107</v>
      </c>
      <c r="R3830" s="1" t="s">
        <v>158</v>
      </c>
    </row>
    <row r="3831" spans="3:18" x14ac:dyDescent="0.35">
      <c r="C3831" t="s">
        <v>51</v>
      </c>
      <c r="D3831" t="s">
        <v>23</v>
      </c>
      <c r="E3831" t="s">
        <v>45</v>
      </c>
      <c r="F3831" t="s">
        <v>46</v>
      </c>
      <c r="G3831" s="58">
        <v>290329</v>
      </c>
      <c r="H3831" s="1" t="s">
        <v>48</v>
      </c>
      <c r="I3831" s="1" t="s">
        <v>108</v>
      </c>
      <c r="J3831" s="58">
        <v>11322831</v>
      </c>
      <c r="K3831" s="1" t="s">
        <v>106</v>
      </c>
      <c r="L3831" s="1" t="s">
        <v>116</v>
      </c>
      <c r="M3831" s="1" t="s">
        <v>129</v>
      </c>
      <c r="N3831" s="1">
        <v>1</v>
      </c>
      <c r="O3831" s="58"/>
      <c r="P3831" s="58">
        <v>240973.07</v>
      </c>
      <c r="Q3831" t="s">
        <v>127</v>
      </c>
      <c r="R3831" s="1" t="s">
        <v>158</v>
      </c>
    </row>
    <row r="3832" spans="3:18" x14ac:dyDescent="0.35">
      <c r="C3832" t="s">
        <v>51</v>
      </c>
      <c r="D3832" t="s">
        <v>20</v>
      </c>
      <c r="E3832" t="s">
        <v>45</v>
      </c>
      <c r="F3832" t="s">
        <v>46</v>
      </c>
      <c r="G3832" s="58">
        <v>4486582</v>
      </c>
      <c r="H3832" s="1" t="s">
        <v>48</v>
      </c>
      <c r="I3832" s="1" t="s">
        <v>108</v>
      </c>
      <c r="J3832" s="58">
        <v>157030370</v>
      </c>
      <c r="K3832" s="1" t="s">
        <v>106</v>
      </c>
      <c r="L3832" s="1" t="s">
        <v>120</v>
      </c>
      <c r="M3832" s="1" t="s">
        <v>123</v>
      </c>
      <c r="N3832" s="1">
        <v>1</v>
      </c>
      <c r="O3832" s="58"/>
      <c r="P3832" s="58">
        <v>3768728.88</v>
      </c>
      <c r="Q3832" t="s">
        <v>127</v>
      </c>
      <c r="R3832" s="1" t="s">
        <v>158</v>
      </c>
    </row>
    <row r="3833" spans="3:18" x14ac:dyDescent="0.35">
      <c r="C3833" t="s">
        <v>53</v>
      </c>
      <c r="D3833" t="s">
        <v>21</v>
      </c>
      <c r="E3833" t="s">
        <v>45</v>
      </c>
      <c r="F3833" t="s">
        <v>46</v>
      </c>
      <c r="G3833" s="58">
        <v>70637</v>
      </c>
      <c r="H3833" s="1" t="s">
        <v>56</v>
      </c>
      <c r="I3833" s="1" t="s">
        <v>108</v>
      </c>
      <c r="J3833" s="58">
        <v>1483377</v>
      </c>
      <c r="K3833" s="1" t="s">
        <v>106</v>
      </c>
      <c r="L3833" s="1" t="s">
        <v>120</v>
      </c>
      <c r="N3833" s="1">
        <v>1</v>
      </c>
      <c r="O3833" s="58"/>
      <c r="P3833" s="58">
        <v>54390.49</v>
      </c>
      <c r="Q3833" t="s">
        <v>118</v>
      </c>
      <c r="R3833" s="1" t="s">
        <v>158</v>
      </c>
    </row>
    <row r="3834" spans="3:18" x14ac:dyDescent="0.35">
      <c r="C3834" t="s">
        <v>51</v>
      </c>
      <c r="D3834" t="s">
        <v>20</v>
      </c>
      <c r="E3834" t="s">
        <v>49</v>
      </c>
      <c r="F3834" t="s">
        <v>46</v>
      </c>
      <c r="G3834" s="58">
        <v>395913</v>
      </c>
      <c r="H3834" s="1" t="s">
        <v>47</v>
      </c>
      <c r="I3834" s="1" t="s">
        <v>111</v>
      </c>
      <c r="J3834" s="58">
        <v>6730521</v>
      </c>
      <c r="K3834" s="1" t="s">
        <v>106</v>
      </c>
      <c r="L3834" s="1" t="s">
        <v>114</v>
      </c>
      <c r="N3834" s="1">
        <v>1</v>
      </c>
      <c r="O3834" s="58"/>
      <c r="P3834" s="58">
        <v>193997.37</v>
      </c>
      <c r="Q3834" t="s">
        <v>113</v>
      </c>
      <c r="R3834" s="1" t="s">
        <v>158</v>
      </c>
    </row>
    <row r="3835" spans="3:18" x14ac:dyDescent="0.35">
      <c r="C3835" t="s">
        <v>51</v>
      </c>
      <c r="D3835" t="s">
        <v>91</v>
      </c>
      <c r="E3835" t="s">
        <v>49</v>
      </c>
      <c r="F3835" t="s">
        <v>46</v>
      </c>
      <c r="G3835" s="58">
        <v>43628</v>
      </c>
      <c r="H3835" s="1" t="s">
        <v>48</v>
      </c>
      <c r="I3835" s="1" t="s">
        <v>119</v>
      </c>
      <c r="J3835" s="58">
        <v>305396</v>
      </c>
      <c r="K3835" s="1" t="s">
        <v>112</v>
      </c>
      <c r="N3835" s="1">
        <v>1</v>
      </c>
      <c r="O3835" s="58"/>
      <c r="P3835" s="58">
        <v>18760.04</v>
      </c>
      <c r="Q3835" t="s">
        <v>113</v>
      </c>
      <c r="R3835" s="1" t="s">
        <v>48</v>
      </c>
    </row>
    <row r="3836" spans="3:18" x14ac:dyDescent="0.35">
      <c r="C3836" t="s">
        <v>51</v>
      </c>
      <c r="D3836" t="s">
        <v>91</v>
      </c>
      <c r="E3836" t="s">
        <v>52</v>
      </c>
      <c r="F3836" t="s">
        <v>46</v>
      </c>
      <c r="G3836" s="58">
        <v>505161</v>
      </c>
      <c r="H3836" s="1" t="s">
        <v>48</v>
      </c>
      <c r="I3836" s="1" t="s">
        <v>108</v>
      </c>
      <c r="J3836" s="58">
        <v>16165152</v>
      </c>
      <c r="K3836" s="1" t="s">
        <v>106</v>
      </c>
      <c r="L3836" s="1" t="s">
        <v>130</v>
      </c>
      <c r="M3836" s="1" t="s">
        <v>122</v>
      </c>
      <c r="N3836" s="1">
        <v>1</v>
      </c>
      <c r="O3836" s="58"/>
      <c r="P3836" s="58">
        <v>399077.19</v>
      </c>
      <c r="Q3836" t="s">
        <v>118</v>
      </c>
      <c r="R3836" s="1" t="s">
        <v>48</v>
      </c>
    </row>
    <row r="3837" spans="3:18" x14ac:dyDescent="0.35">
      <c r="C3837" t="s">
        <v>51</v>
      </c>
      <c r="D3837" t="s">
        <v>24</v>
      </c>
      <c r="E3837" t="s">
        <v>45</v>
      </c>
      <c r="F3837" t="s">
        <v>46</v>
      </c>
      <c r="G3837" s="58">
        <v>173186</v>
      </c>
      <c r="H3837" s="1" t="s">
        <v>59</v>
      </c>
      <c r="I3837" s="1" t="s">
        <v>108</v>
      </c>
      <c r="J3837" s="58">
        <v>5195580</v>
      </c>
      <c r="K3837" s="1" t="s">
        <v>106</v>
      </c>
      <c r="L3837" s="1" t="s">
        <v>120</v>
      </c>
      <c r="N3837" s="1">
        <v>1</v>
      </c>
      <c r="O3837" s="58"/>
      <c r="P3837" s="58">
        <v>142012.51999999999</v>
      </c>
      <c r="Q3837" t="s">
        <v>127</v>
      </c>
      <c r="R3837" s="1" t="s">
        <v>158</v>
      </c>
    </row>
    <row r="3838" spans="3:18" x14ac:dyDescent="0.35">
      <c r="C3838" t="s">
        <v>51</v>
      </c>
      <c r="D3838" t="s">
        <v>24</v>
      </c>
      <c r="E3838" t="s">
        <v>49</v>
      </c>
      <c r="F3838" t="s">
        <v>46</v>
      </c>
      <c r="G3838" s="58">
        <v>398624</v>
      </c>
      <c r="H3838" s="1" t="s">
        <v>48</v>
      </c>
      <c r="I3838" s="1" t="s">
        <v>108</v>
      </c>
      <c r="J3838" s="58">
        <v>12755968</v>
      </c>
      <c r="K3838" s="1" t="s">
        <v>106</v>
      </c>
      <c r="L3838" s="1" t="s">
        <v>114</v>
      </c>
      <c r="M3838" s="1" t="s">
        <v>121</v>
      </c>
      <c r="N3838" s="1">
        <v>1</v>
      </c>
      <c r="O3838" s="58"/>
      <c r="P3838" s="58">
        <v>302954.23999999999</v>
      </c>
      <c r="Q3838" t="s">
        <v>118</v>
      </c>
      <c r="R3838" s="1" t="s">
        <v>48</v>
      </c>
    </row>
    <row r="3839" spans="3:18" x14ac:dyDescent="0.35">
      <c r="C3839" t="s">
        <v>51</v>
      </c>
      <c r="D3839" t="s">
        <v>21</v>
      </c>
      <c r="E3839" t="s">
        <v>55</v>
      </c>
      <c r="F3839" t="s">
        <v>46</v>
      </c>
      <c r="G3839" s="58">
        <v>102122</v>
      </c>
      <c r="H3839" s="1" t="s">
        <v>48</v>
      </c>
      <c r="I3839" s="1" t="s">
        <v>108</v>
      </c>
      <c r="J3839" s="58">
        <v>3676392</v>
      </c>
      <c r="K3839" s="1" t="s">
        <v>106</v>
      </c>
      <c r="L3839" s="1" t="s">
        <v>120</v>
      </c>
      <c r="M3839" s="1" t="s">
        <v>126</v>
      </c>
      <c r="N3839" s="1">
        <v>1</v>
      </c>
      <c r="O3839" s="58"/>
      <c r="P3839" s="58">
        <v>19403.18</v>
      </c>
      <c r="Q3839" t="s">
        <v>107</v>
      </c>
      <c r="R3839" s="1" t="s">
        <v>158</v>
      </c>
    </row>
    <row r="3840" spans="3:18" x14ac:dyDescent="0.35">
      <c r="C3840" t="s">
        <v>51</v>
      </c>
      <c r="D3840" t="s">
        <v>24</v>
      </c>
      <c r="E3840" t="s">
        <v>55</v>
      </c>
      <c r="F3840" t="s">
        <v>46</v>
      </c>
      <c r="G3840" s="58">
        <v>2809598</v>
      </c>
      <c r="H3840" s="1" t="s">
        <v>47</v>
      </c>
      <c r="I3840" s="1" t="s">
        <v>108</v>
      </c>
      <c r="J3840" s="58">
        <v>75859146</v>
      </c>
      <c r="K3840" s="1" t="s">
        <v>106</v>
      </c>
      <c r="L3840" s="1" t="s">
        <v>124</v>
      </c>
      <c r="N3840" s="1">
        <v>1</v>
      </c>
      <c r="O3840" s="58"/>
      <c r="P3840" s="58">
        <v>1938622.62</v>
      </c>
      <c r="Q3840" t="s">
        <v>118</v>
      </c>
      <c r="R3840" s="1" t="s">
        <v>158</v>
      </c>
    </row>
    <row r="3841" spans="3:18" x14ac:dyDescent="0.35">
      <c r="C3841" t="s">
        <v>51</v>
      </c>
      <c r="D3841" t="s">
        <v>24</v>
      </c>
      <c r="E3841" t="s">
        <v>49</v>
      </c>
      <c r="F3841" t="s">
        <v>46</v>
      </c>
      <c r="G3841" s="58">
        <v>1611647</v>
      </c>
      <c r="H3841" s="1" t="s">
        <v>48</v>
      </c>
      <c r="I3841" s="1" t="s">
        <v>105</v>
      </c>
      <c r="J3841" s="58">
        <v>3223294</v>
      </c>
      <c r="K3841" s="1" t="s">
        <v>106</v>
      </c>
      <c r="L3841" s="1" t="s">
        <v>124</v>
      </c>
      <c r="M3841" s="1" t="s">
        <v>121</v>
      </c>
      <c r="N3841" s="1">
        <v>1</v>
      </c>
      <c r="O3841" s="58"/>
      <c r="P3841" s="58">
        <v>354562.34</v>
      </c>
      <c r="Q3841" t="s">
        <v>107</v>
      </c>
      <c r="R3841" s="1" t="s">
        <v>158</v>
      </c>
    </row>
    <row r="3842" spans="3:18" x14ac:dyDescent="0.35">
      <c r="C3842" t="s">
        <v>51</v>
      </c>
      <c r="D3842" t="s">
        <v>24</v>
      </c>
      <c r="E3842" t="s">
        <v>50</v>
      </c>
      <c r="F3842" t="s">
        <v>46</v>
      </c>
      <c r="G3842" s="58">
        <v>14058</v>
      </c>
      <c r="H3842" s="1" t="s">
        <v>47</v>
      </c>
      <c r="I3842" s="1" t="s">
        <v>111</v>
      </c>
      <c r="J3842" s="58">
        <v>267102</v>
      </c>
      <c r="K3842" s="1" t="s">
        <v>106</v>
      </c>
      <c r="L3842" s="1" t="s">
        <v>124</v>
      </c>
      <c r="N3842" s="1">
        <v>1</v>
      </c>
      <c r="O3842" s="58"/>
      <c r="P3842" s="58">
        <v>1124.6400000000001</v>
      </c>
      <c r="Q3842" t="s">
        <v>107</v>
      </c>
      <c r="R3842" s="1" t="s">
        <v>158</v>
      </c>
    </row>
    <row r="3843" spans="3:18" x14ac:dyDescent="0.35">
      <c r="C3843" t="s">
        <v>51</v>
      </c>
      <c r="D3843" t="s">
        <v>21</v>
      </c>
      <c r="E3843" t="s">
        <v>45</v>
      </c>
      <c r="F3843" t="s">
        <v>46</v>
      </c>
      <c r="G3843" s="58">
        <v>6828688</v>
      </c>
      <c r="H3843" s="1" t="s">
        <v>59</v>
      </c>
      <c r="I3843" s="1" t="s">
        <v>111</v>
      </c>
      <c r="J3843" s="58">
        <v>102430320</v>
      </c>
      <c r="K3843" s="1" t="s">
        <v>106</v>
      </c>
      <c r="L3843" s="1" t="s">
        <v>120</v>
      </c>
      <c r="N3843" s="1">
        <v>1</v>
      </c>
      <c r="O3843" s="58"/>
      <c r="P3843" s="58">
        <v>1980319.52</v>
      </c>
      <c r="Q3843" t="s">
        <v>107</v>
      </c>
      <c r="R3843" s="1" t="s">
        <v>158</v>
      </c>
    </row>
    <row r="3844" spans="3:18" x14ac:dyDescent="0.35">
      <c r="C3844" t="s">
        <v>51</v>
      </c>
      <c r="D3844" t="s">
        <v>22</v>
      </c>
      <c r="E3844" t="s">
        <v>55</v>
      </c>
      <c r="F3844" t="s">
        <v>46</v>
      </c>
      <c r="G3844" s="58">
        <v>89934</v>
      </c>
      <c r="H3844" s="1" t="s">
        <v>48</v>
      </c>
      <c r="I3844" s="1" t="s">
        <v>105</v>
      </c>
      <c r="J3844" s="58">
        <v>269802</v>
      </c>
      <c r="K3844" s="1" t="s">
        <v>106</v>
      </c>
      <c r="L3844" s="1" t="s">
        <v>120</v>
      </c>
      <c r="M3844" s="1" t="s">
        <v>115</v>
      </c>
      <c r="N3844" s="1">
        <v>1</v>
      </c>
      <c r="O3844" s="58"/>
      <c r="P3844" s="58">
        <v>22483.5</v>
      </c>
      <c r="Q3844" t="s">
        <v>107</v>
      </c>
      <c r="R3844" s="1" t="s">
        <v>48</v>
      </c>
    </row>
    <row r="3845" spans="3:18" x14ac:dyDescent="0.35">
      <c r="C3845" t="s">
        <v>51</v>
      </c>
      <c r="D3845" t="s">
        <v>91</v>
      </c>
      <c r="E3845" t="s">
        <v>49</v>
      </c>
      <c r="F3845" t="s">
        <v>46</v>
      </c>
      <c r="G3845" s="58">
        <v>569857</v>
      </c>
      <c r="H3845" s="1" t="s">
        <v>48</v>
      </c>
      <c r="I3845" s="1" t="s">
        <v>119</v>
      </c>
      <c r="J3845" s="58">
        <v>5698570</v>
      </c>
      <c r="K3845" s="1" t="s">
        <v>112</v>
      </c>
      <c r="N3845" s="1">
        <v>1</v>
      </c>
      <c r="O3845" s="58"/>
      <c r="P3845" s="58">
        <v>148162.82</v>
      </c>
      <c r="Q3845" t="s">
        <v>107</v>
      </c>
      <c r="R3845" s="1" t="s">
        <v>48</v>
      </c>
    </row>
    <row r="3846" spans="3:18" x14ac:dyDescent="0.35">
      <c r="C3846" t="s">
        <v>51</v>
      </c>
      <c r="D3846" t="s">
        <v>21</v>
      </c>
      <c r="E3846" t="s">
        <v>45</v>
      </c>
      <c r="F3846" t="s">
        <v>46</v>
      </c>
      <c r="G3846" s="58">
        <v>3372</v>
      </c>
      <c r="H3846" s="1" t="s">
        <v>48</v>
      </c>
      <c r="I3846" s="1" t="s">
        <v>105</v>
      </c>
      <c r="J3846" s="58">
        <v>13488</v>
      </c>
      <c r="K3846" s="1" t="s">
        <v>106</v>
      </c>
      <c r="L3846" s="1" t="s">
        <v>120</v>
      </c>
      <c r="M3846" s="1" t="s">
        <v>126</v>
      </c>
      <c r="N3846" s="1">
        <v>1</v>
      </c>
      <c r="O3846" s="58"/>
      <c r="P3846" s="58">
        <v>2360.4</v>
      </c>
      <c r="Q3846" t="s">
        <v>118</v>
      </c>
      <c r="R3846" s="1" t="s">
        <v>48</v>
      </c>
    </row>
    <row r="3847" spans="3:18" x14ac:dyDescent="0.35">
      <c r="C3847" t="s">
        <v>51</v>
      </c>
      <c r="D3847" t="s">
        <v>91</v>
      </c>
      <c r="E3847" t="s">
        <v>49</v>
      </c>
      <c r="F3847" t="s">
        <v>46</v>
      </c>
      <c r="G3847" s="58">
        <v>11330831</v>
      </c>
      <c r="H3847" s="1" t="s">
        <v>48</v>
      </c>
      <c r="I3847" s="1" t="s">
        <v>111</v>
      </c>
      <c r="J3847" s="58">
        <v>192624127</v>
      </c>
      <c r="K3847" s="1" t="s">
        <v>106</v>
      </c>
      <c r="L3847" s="1" t="s">
        <v>124</v>
      </c>
      <c r="M3847" s="1" t="s">
        <v>122</v>
      </c>
      <c r="N3847" s="1">
        <v>1</v>
      </c>
      <c r="O3847" s="58"/>
      <c r="P3847" s="58">
        <v>7818273.3899999997</v>
      </c>
      <c r="Q3847" t="s">
        <v>118</v>
      </c>
      <c r="R3847" s="1" t="s">
        <v>158</v>
      </c>
    </row>
    <row r="3848" spans="3:18" x14ac:dyDescent="0.35">
      <c r="C3848" t="s">
        <v>53</v>
      </c>
      <c r="D3848" t="s">
        <v>21</v>
      </c>
      <c r="E3848" t="s">
        <v>45</v>
      </c>
      <c r="F3848" t="s">
        <v>46</v>
      </c>
      <c r="G3848" s="58">
        <v>171792</v>
      </c>
      <c r="H3848" s="1" t="s">
        <v>54</v>
      </c>
      <c r="I3848" s="1" t="s">
        <v>105</v>
      </c>
      <c r="J3848" s="58"/>
      <c r="K3848" s="1" t="s">
        <v>106</v>
      </c>
      <c r="L3848" s="1" t="s">
        <v>120</v>
      </c>
      <c r="N3848" s="1">
        <v>0</v>
      </c>
      <c r="O3848" s="58"/>
      <c r="P3848" s="58">
        <v>0</v>
      </c>
      <c r="Q3848" t="s">
        <v>107</v>
      </c>
      <c r="R3848" s="1" t="s">
        <v>158</v>
      </c>
    </row>
    <row r="3849" spans="3:18" x14ac:dyDescent="0.35">
      <c r="C3849" t="s">
        <v>51</v>
      </c>
      <c r="D3849" t="s">
        <v>21</v>
      </c>
      <c r="E3849" t="s">
        <v>55</v>
      </c>
      <c r="F3849" t="s">
        <v>46</v>
      </c>
      <c r="G3849" s="58">
        <v>91617</v>
      </c>
      <c r="H3849" s="1" t="s">
        <v>48</v>
      </c>
      <c r="I3849" s="1" t="s">
        <v>108</v>
      </c>
      <c r="J3849" s="58">
        <v>3206595</v>
      </c>
      <c r="K3849" s="1" t="s">
        <v>106</v>
      </c>
      <c r="L3849" s="1" t="s">
        <v>109</v>
      </c>
      <c r="M3849" s="1" t="s">
        <v>126</v>
      </c>
      <c r="N3849" s="1">
        <v>1</v>
      </c>
      <c r="O3849" s="58"/>
      <c r="P3849" s="58">
        <v>33898.29</v>
      </c>
      <c r="Q3849" t="s">
        <v>107</v>
      </c>
      <c r="R3849" s="1" t="s">
        <v>158</v>
      </c>
    </row>
    <row r="3850" spans="3:18" x14ac:dyDescent="0.35">
      <c r="C3850" t="s">
        <v>51</v>
      </c>
      <c r="D3850" t="s">
        <v>19</v>
      </c>
      <c r="E3850" t="s">
        <v>49</v>
      </c>
      <c r="F3850" t="s">
        <v>46</v>
      </c>
      <c r="G3850" s="58">
        <v>431747</v>
      </c>
      <c r="I3850" s="1" t="s">
        <v>108</v>
      </c>
      <c r="J3850" s="58">
        <v>9066687</v>
      </c>
      <c r="K3850" s="1" t="s">
        <v>106</v>
      </c>
      <c r="L3850" s="1" t="s">
        <v>124</v>
      </c>
      <c r="N3850" s="1">
        <v>1</v>
      </c>
      <c r="O3850" s="58"/>
      <c r="P3850" s="58">
        <v>125206.63</v>
      </c>
      <c r="Q3850" t="s">
        <v>107</v>
      </c>
      <c r="R3850" s="1" t="s">
        <v>158</v>
      </c>
    </row>
    <row r="3851" spans="3:18" x14ac:dyDescent="0.35">
      <c r="C3851" t="s">
        <v>53</v>
      </c>
      <c r="D3851" t="s">
        <v>24</v>
      </c>
      <c r="E3851" t="s">
        <v>55</v>
      </c>
      <c r="F3851" t="s">
        <v>46</v>
      </c>
      <c r="G3851" s="58">
        <v>69784</v>
      </c>
      <c r="H3851" s="1" t="s">
        <v>47</v>
      </c>
      <c r="I3851" s="1" t="s">
        <v>111</v>
      </c>
      <c r="J3851" s="58">
        <v>976976</v>
      </c>
      <c r="K3851" s="1" t="s">
        <v>106</v>
      </c>
      <c r="L3851" s="1" t="s">
        <v>120</v>
      </c>
      <c r="N3851" s="1">
        <v>1</v>
      </c>
      <c r="O3851" s="58"/>
      <c r="P3851" s="58">
        <v>30704.959999999999</v>
      </c>
      <c r="Q3851" t="s">
        <v>113</v>
      </c>
      <c r="R3851" s="1" t="s">
        <v>158</v>
      </c>
    </row>
    <row r="3852" spans="3:18" x14ac:dyDescent="0.35">
      <c r="C3852" t="s">
        <v>51</v>
      </c>
      <c r="D3852" t="s">
        <v>19</v>
      </c>
      <c r="E3852" t="s">
        <v>49</v>
      </c>
      <c r="F3852" t="s">
        <v>46</v>
      </c>
      <c r="G3852" s="58">
        <v>403722</v>
      </c>
      <c r="H3852" s="1" t="s">
        <v>48</v>
      </c>
      <c r="I3852" s="1" t="s">
        <v>111</v>
      </c>
      <c r="J3852" s="58">
        <v>5652108</v>
      </c>
      <c r="K3852" s="1" t="s">
        <v>112</v>
      </c>
      <c r="N3852" s="1">
        <v>1</v>
      </c>
      <c r="O3852" s="58"/>
      <c r="P3852" s="58">
        <v>92856.06</v>
      </c>
      <c r="Q3852" t="s">
        <v>107</v>
      </c>
      <c r="R3852" s="1" t="s">
        <v>158</v>
      </c>
    </row>
    <row r="3853" spans="3:18" x14ac:dyDescent="0.35">
      <c r="C3853" t="s">
        <v>51</v>
      </c>
      <c r="D3853" t="s">
        <v>23</v>
      </c>
      <c r="E3853" t="s">
        <v>49</v>
      </c>
      <c r="F3853" t="s">
        <v>46</v>
      </c>
      <c r="G3853" s="58">
        <v>366978</v>
      </c>
      <c r="H3853" s="1" t="s">
        <v>47</v>
      </c>
      <c r="I3853" s="1" t="s">
        <v>111</v>
      </c>
      <c r="J3853" s="58">
        <v>5137692</v>
      </c>
      <c r="K3853" s="1" t="s">
        <v>106</v>
      </c>
      <c r="L3853" s="1" t="s">
        <v>124</v>
      </c>
      <c r="N3853" s="1">
        <v>1</v>
      </c>
      <c r="O3853" s="58"/>
      <c r="P3853" s="58">
        <v>245875.26</v>
      </c>
      <c r="Q3853" t="s">
        <v>118</v>
      </c>
      <c r="R3853" s="1" t="s">
        <v>158</v>
      </c>
    </row>
    <row r="3854" spans="3:18" x14ac:dyDescent="0.35">
      <c r="C3854" t="s">
        <v>51</v>
      </c>
      <c r="D3854" t="s">
        <v>22</v>
      </c>
      <c r="E3854" t="s">
        <v>55</v>
      </c>
      <c r="F3854" t="s">
        <v>46</v>
      </c>
      <c r="G3854" s="58">
        <v>309278</v>
      </c>
      <c r="H3854" s="1" t="s">
        <v>48</v>
      </c>
      <c r="I3854" s="1" t="s">
        <v>119</v>
      </c>
      <c r="J3854" s="58">
        <v>2474224</v>
      </c>
      <c r="K3854" s="1" t="s">
        <v>106</v>
      </c>
      <c r="L3854" s="1" t="s">
        <v>114</v>
      </c>
      <c r="M3854" s="1" t="s">
        <v>115</v>
      </c>
      <c r="N3854" s="1">
        <v>1</v>
      </c>
      <c r="O3854" s="58"/>
      <c r="P3854" s="58">
        <v>151546.22</v>
      </c>
      <c r="Q3854" t="s">
        <v>113</v>
      </c>
      <c r="R3854" s="1" t="s">
        <v>158</v>
      </c>
    </row>
    <row r="3855" spans="3:18" x14ac:dyDescent="0.35">
      <c r="C3855" t="s">
        <v>51</v>
      </c>
      <c r="D3855" t="s">
        <v>91</v>
      </c>
      <c r="E3855" t="s">
        <v>50</v>
      </c>
      <c r="F3855" t="s">
        <v>46</v>
      </c>
      <c r="G3855" s="58">
        <v>136873</v>
      </c>
      <c r="H3855" s="1" t="s">
        <v>48</v>
      </c>
      <c r="I3855" s="1" t="s">
        <v>108</v>
      </c>
      <c r="J3855" s="58">
        <v>3421825</v>
      </c>
      <c r="K3855" s="1" t="s">
        <v>106</v>
      </c>
      <c r="L3855" s="1" t="s">
        <v>109</v>
      </c>
      <c r="M3855" s="1" t="s">
        <v>122</v>
      </c>
      <c r="N3855" s="1">
        <v>1</v>
      </c>
      <c r="O3855" s="58"/>
      <c r="P3855" s="58">
        <v>52011.74</v>
      </c>
      <c r="Q3855" t="s">
        <v>107</v>
      </c>
      <c r="R3855" s="1" t="s">
        <v>48</v>
      </c>
    </row>
    <row r="3856" spans="3:18" x14ac:dyDescent="0.35">
      <c r="C3856" t="s">
        <v>51</v>
      </c>
      <c r="D3856" t="s">
        <v>92</v>
      </c>
      <c r="E3856" t="s">
        <v>45</v>
      </c>
      <c r="F3856" t="s">
        <v>46</v>
      </c>
      <c r="G3856" s="58">
        <v>24080581</v>
      </c>
      <c r="H3856" s="1" t="s">
        <v>48</v>
      </c>
      <c r="I3856" s="1" t="s">
        <v>108</v>
      </c>
      <c r="J3856" s="58">
        <v>890981497</v>
      </c>
      <c r="K3856" s="1" t="s">
        <v>112</v>
      </c>
      <c r="N3856" s="1">
        <v>1</v>
      </c>
      <c r="O3856" s="58"/>
      <c r="P3856" s="58">
        <v>21672522.899999999</v>
      </c>
      <c r="Q3856" t="s">
        <v>127</v>
      </c>
      <c r="R3856" s="1" t="s">
        <v>48</v>
      </c>
    </row>
    <row r="3857" spans="3:18" x14ac:dyDescent="0.35">
      <c r="C3857" t="s">
        <v>51</v>
      </c>
      <c r="D3857" t="s">
        <v>21</v>
      </c>
      <c r="E3857" t="s">
        <v>45</v>
      </c>
      <c r="F3857" t="s">
        <v>46</v>
      </c>
      <c r="G3857" s="58">
        <v>4044605</v>
      </c>
      <c r="H3857" s="1" t="s">
        <v>48</v>
      </c>
      <c r="I3857" s="1" t="s">
        <v>111</v>
      </c>
      <c r="J3857" s="58">
        <v>68758285</v>
      </c>
      <c r="K3857" s="1" t="s">
        <v>112</v>
      </c>
      <c r="N3857" s="1">
        <v>1</v>
      </c>
      <c r="O3857" s="58"/>
      <c r="P3857" s="58">
        <v>1092043.3500000001</v>
      </c>
      <c r="Q3857" t="s">
        <v>107</v>
      </c>
      <c r="R3857" s="1" t="s">
        <v>48</v>
      </c>
    </row>
    <row r="3858" spans="3:18" x14ac:dyDescent="0.35">
      <c r="C3858" t="s">
        <v>51</v>
      </c>
      <c r="D3858" t="s">
        <v>24</v>
      </c>
      <c r="E3858" t="s">
        <v>55</v>
      </c>
      <c r="F3858" t="s">
        <v>46</v>
      </c>
      <c r="G3858" s="58">
        <v>3226054</v>
      </c>
      <c r="H3858" s="1" t="s">
        <v>48</v>
      </c>
      <c r="I3858" s="1" t="s">
        <v>108</v>
      </c>
      <c r="J3858" s="58">
        <v>103233728</v>
      </c>
      <c r="K3858" s="1" t="s">
        <v>112</v>
      </c>
      <c r="N3858" s="1">
        <v>1</v>
      </c>
      <c r="O3858" s="58"/>
      <c r="P3858" s="58">
        <v>1677548.08</v>
      </c>
      <c r="Q3858" t="s">
        <v>113</v>
      </c>
      <c r="R3858" s="1" t="s">
        <v>158</v>
      </c>
    </row>
    <row r="3859" spans="3:18" x14ac:dyDescent="0.35">
      <c r="C3859" t="s">
        <v>53</v>
      </c>
      <c r="D3859" t="s">
        <v>23</v>
      </c>
      <c r="E3859" t="s">
        <v>45</v>
      </c>
      <c r="F3859" t="s">
        <v>46</v>
      </c>
      <c r="G3859" s="58">
        <v>347968</v>
      </c>
      <c r="H3859" s="1" t="s">
        <v>59</v>
      </c>
      <c r="I3859" s="1" t="s">
        <v>111</v>
      </c>
      <c r="J3859" s="58">
        <v>4871552</v>
      </c>
      <c r="K3859" s="1" t="s">
        <v>106</v>
      </c>
      <c r="L3859" s="1" t="s">
        <v>120</v>
      </c>
      <c r="N3859" s="1">
        <v>1</v>
      </c>
      <c r="O3859" s="58"/>
      <c r="P3859" s="58">
        <v>264455.67999999999</v>
      </c>
      <c r="Q3859" t="s">
        <v>118</v>
      </c>
      <c r="R3859" s="1" t="s">
        <v>158</v>
      </c>
    </row>
    <row r="3860" spans="3:18" x14ac:dyDescent="0.35">
      <c r="C3860" t="s">
        <v>53</v>
      </c>
      <c r="D3860" t="s">
        <v>23</v>
      </c>
      <c r="E3860" t="s">
        <v>45</v>
      </c>
      <c r="F3860" t="s">
        <v>46</v>
      </c>
      <c r="G3860" s="58">
        <v>446465</v>
      </c>
      <c r="H3860" s="1" t="s">
        <v>54</v>
      </c>
      <c r="I3860" s="1" t="s">
        <v>111</v>
      </c>
      <c r="J3860" s="58">
        <v>5804045</v>
      </c>
      <c r="K3860" s="1" t="s">
        <v>106</v>
      </c>
      <c r="L3860" s="1" t="s">
        <v>120</v>
      </c>
      <c r="N3860" s="1">
        <v>1</v>
      </c>
      <c r="O3860" s="58"/>
      <c r="P3860" s="58">
        <v>116080.9</v>
      </c>
      <c r="Q3860" t="s">
        <v>107</v>
      </c>
      <c r="R3860" s="1" t="s">
        <v>158</v>
      </c>
    </row>
    <row r="3861" spans="3:18" x14ac:dyDescent="0.35">
      <c r="C3861" t="s">
        <v>51</v>
      </c>
      <c r="D3861" t="s">
        <v>22</v>
      </c>
      <c r="E3861" t="s">
        <v>45</v>
      </c>
      <c r="F3861" t="s">
        <v>64</v>
      </c>
      <c r="G3861" s="58">
        <v>261526</v>
      </c>
      <c r="H3861" s="1" t="s">
        <v>47</v>
      </c>
      <c r="I3861" s="1" t="s">
        <v>111</v>
      </c>
      <c r="J3861" s="58">
        <v>5230520</v>
      </c>
      <c r="K3861" s="1" t="s">
        <v>112</v>
      </c>
      <c r="N3861" s="1">
        <v>1</v>
      </c>
      <c r="O3861" s="58"/>
      <c r="P3861" s="58">
        <v>149069.82</v>
      </c>
      <c r="Q3861" t="s">
        <v>113</v>
      </c>
      <c r="R3861" s="1" t="s">
        <v>158</v>
      </c>
    </row>
    <row r="3862" spans="3:18" x14ac:dyDescent="0.35">
      <c r="C3862" t="s">
        <v>53</v>
      </c>
      <c r="D3862" t="s">
        <v>22</v>
      </c>
      <c r="E3862" t="s">
        <v>55</v>
      </c>
      <c r="F3862" t="s">
        <v>46</v>
      </c>
      <c r="G3862" s="58">
        <v>199281</v>
      </c>
      <c r="H3862" s="1" t="s">
        <v>48</v>
      </c>
      <c r="I3862" s="1" t="s">
        <v>111</v>
      </c>
      <c r="J3862" s="58">
        <v>2192091</v>
      </c>
      <c r="K3862" s="1" t="s">
        <v>106</v>
      </c>
      <c r="L3862" s="1" t="s">
        <v>114</v>
      </c>
      <c r="M3862" s="1" t="s">
        <v>115</v>
      </c>
      <c r="N3862" s="1">
        <v>1</v>
      </c>
      <c r="O3862" s="58"/>
      <c r="P3862" s="58">
        <v>127539.84</v>
      </c>
      <c r="Q3862" t="s">
        <v>118</v>
      </c>
      <c r="R3862" s="1" t="s">
        <v>158</v>
      </c>
    </row>
    <row r="3863" spans="3:18" x14ac:dyDescent="0.35">
      <c r="C3863" t="s">
        <v>51</v>
      </c>
      <c r="D3863" t="s">
        <v>24</v>
      </c>
      <c r="E3863" t="s">
        <v>50</v>
      </c>
      <c r="F3863" t="s">
        <v>46</v>
      </c>
      <c r="G3863" s="58">
        <v>249483</v>
      </c>
      <c r="H3863" s="1" t="s">
        <v>48</v>
      </c>
      <c r="I3863" s="1" t="s">
        <v>108</v>
      </c>
      <c r="J3863" s="58">
        <v>9729837</v>
      </c>
      <c r="K3863" s="1" t="s">
        <v>106</v>
      </c>
      <c r="L3863" s="1" t="s">
        <v>120</v>
      </c>
      <c r="M3863" s="1" t="s">
        <v>125</v>
      </c>
      <c r="N3863" s="1">
        <v>1</v>
      </c>
      <c r="O3863" s="58"/>
      <c r="P3863" s="58">
        <v>184617.42</v>
      </c>
      <c r="Q3863" t="s">
        <v>118</v>
      </c>
      <c r="R3863" s="1" t="s">
        <v>48</v>
      </c>
    </row>
    <row r="3864" spans="3:18" x14ac:dyDescent="0.35">
      <c r="C3864" t="s">
        <v>53</v>
      </c>
      <c r="D3864" t="s">
        <v>21</v>
      </c>
      <c r="E3864" t="s">
        <v>49</v>
      </c>
      <c r="F3864" t="s">
        <v>46</v>
      </c>
      <c r="G3864" s="58">
        <v>342944</v>
      </c>
      <c r="H3864" s="1" t="s">
        <v>54</v>
      </c>
      <c r="I3864" s="1" t="s">
        <v>119</v>
      </c>
      <c r="J3864" s="58">
        <v>2743552</v>
      </c>
      <c r="K3864" s="1" t="s">
        <v>106</v>
      </c>
      <c r="L3864" s="1" t="s">
        <v>124</v>
      </c>
      <c r="N3864" s="1">
        <v>1</v>
      </c>
      <c r="O3864" s="58"/>
      <c r="P3864" s="58">
        <v>233201.92000000001</v>
      </c>
      <c r="Q3864" t="s">
        <v>118</v>
      </c>
      <c r="R3864" s="1" t="s">
        <v>158</v>
      </c>
    </row>
    <row r="3865" spans="3:18" x14ac:dyDescent="0.35">
      <c r="C3865" t="s">
        <v>53</v>
      </c>
      <c r="D3865" t="s">
        <v>22</v>
      </c>
      <c r="E3865" t="s">
        <v>45</v>
      </c>
      <c r="F3865" t="s">
        <v>46</v>
      </c>
      <c r="G3865" s="58">
        <v>1537518</v>
      </c>
      <c r="H3865" s="1" t="s">
        <v>54</v>
      </c>
      <c r="I3865" s="1" t="s">
        <v>111</v>
      </c>
      <c r="J3865" s="58">
        <v>19987734</v>
      </c>
      <c r="K3865" s="1" t="s">
        <v>112</v>
      </c>
      <c r="N3865" s="1">
        <v>1</v>
      </c>
      <c r="O3865" s="58"/>
      <c r="P3865" s="58">
        <v>1045512.24</v>
      </c>
      <c r="Q3865" t="s">
        <v>118</v>
      </c>
      <c r="R3865" s="1" t="s">
        <v>158</v>
      </c>
    </row>
    <row r="3866" spans="3:18" x14ac:dyDescent="0.35">
      <c r="C3866" t="s">
        <v>51</v>
      </c>
      <c r="D3866" t="s">
        <v>22</v>
      </c>
      <c r="E3866" t="s">
        <v>49</v>
      </c>
      <c r="F3866" t="s">
        <v>46</v>
      </c>
      <c r="G3866" s="58">
        <v>21738834</v>
      </c>
      <c r="H3866" s="1" t="s">
        <v>47</v>
      </c>
      <c r="I3866" s="1" t="s">
        <v>105</v>
      </c>
      <c r="J3866" s="58">
        <v>43477668</v>
      </c>
      <c r="K3866" s="1" t="s">
        <v>106</v>
      </c>
      <c r="L3866" s="1" t="s">
        <v>124</v>
      </c>
      <c r="N3866" s="1">
        <v>1</v>
      </c>
      <c r="O3866" s="58"/>
      <c r="P3866" s="58">
        <v>22825775.699999999</v>
      </c>
      <c r="Q3866" t="s">
        <v>110</v>
      </c>
      <c r="R3866" s="1" t="s">
        <v>158</v>
      </c>
    </row>
    <row r="3867" spans="3:18" x14ac:dyDescent="0.35">
      <c r="C3867" t="s">
        <v>51</v>
      </c>
      <c r="D3867" t="s">
        <v>19</v>
      </c>
      <c r="E3867" t="s">
        <v>49</v>
      </c>
      <c r="F3867" t="s">
        <v>46</v>
      </c>
      <c r="G3867" s="58">
        <v>15977</v>
      </c>
      <c r="H3867" s="1" t="s">
        <v>58</v>
      </c>
      <c r="I3867" s="1" t="s">
        <v>105</v>
      </c>
      <c r="J3867" s="58">
        <v>31954</v>
      </c>
      <c r="K3867" s="1" t="s">
        <v>106</v>
      </c>
      <c r="L3867" s="1" t="s">
        <v>124</v>
      </c>
      <c r="N3867" s="1">
        <v>1</v>
      </c>
      <c r="O3867" s="58"/>
      <c r="P3867" s="58">
        <v>1917.24</v>
      </c>
      <c r="Q3867" t="s">
        <v>107</v>
      </c>
      <c r="R3867" s="1" t="s">
        <v>158</v>
      </c>
    </row>
    <row r="3868" spans="3:18" x14ac:dyDescent="0.35">
      <c r="C3868" t="s">
        <v>51</v>
      </c>
      <c r="D3868" t="s">
        <v>92</v>
      </c>
      <c r="E3868" t="s">
        <v>49</v>
      </c>
      <c r="F3868" t="s">
        <v>46</v>
      </c>
      <c r="G3868" s="58">
        <v>6486106</v>
      </c>
      <c r="H3868" s="1" t="s">
        <v>54</v>
      </c>
      <c r="I3868" s="1" t="s">
        <v>105</v>
      </c>
      <c r="J3868" s="58">
        <v>19458318</v>
      </c>
      <c r="K3868" s="1" t="s">
        <v>106</v>
      </c>
      <c r="L3868" s="1" t="s">
        <v>124</v>
      </c>
      <c r="N3868" s="1">
        <v>1</v>
      </c>
      <c r="O3868" s="58"/>
      <c r="P3868" s="58">
        <v>778332.72</v>
      </c>
      <c r="Q3868" t="s">
        <v>107</v>
      </c>
      <c r="R3868" s="1" t="s">
        <v>158</v>
      </c>
    </row>
    <row r="3869" spans="3:18" x14ac:dyDescent="0.35">
      <c r="C3869" t="s">
        <v>51</v>
      </c>
      <c r="D3869" t="s">
        <v>22</v>
      </c>
      <c r="E3869" t="s">
        <v>49</v>
      </c>
      <c r="F3869" t="s">
        <v>46</v>
      </c>
      <c r="G3869" s="58">
        <v>67634197</v>
      </c>
      <c r="H3869" s="1" t="s">
        <v>48</v>
      </c>
      <c r="I3869" s="1" t="s">
        <v>108</v>
      </c>
      <c r="J3869" s="58">
        <v>1893757516</v>
      </c>
      <c r="K3869" s="1" t="s">
        <v>106</v>
      </c>
      <c r="L3869" s="1" t="s">
        <v>124</v>
      </c>
      <c r="M3869" s="1" t="s">
        <v>115</v>
      </c>
      <c r="N3869" s="1">
        <v>1</v>
      </c>
      <c r="O3869" s="58"/>
      <c r="P3869" s="58">
        <v>19613917.129999999</v>
      </c>
      <c r="Q3869" t="s">
        <v>107</v>
      </c>
      <c r="R3869" s="1" t="s">
        <v>158</v>
      </c>
    </row>
    <row r="3870" spans="3:18" x14ac:dyDescent="0.35">
      <c r="C3870" t="s">
        <v>51</v>
      </c>
      <c r="D3870" t="s">
        <v>92</v>
      </c>
      <c r="E3870" t="s">
        <v>49</v>
      </c>
      <c r="F3870" t="s">
        <v>46</v>
      </c>
      <c r="G3870" s="58">
        <v>5701256</v>
      </c>
      <c r="H3870" s="1" t="s">
        <v>48</v>
      </c>
      <c r="I3870" s="1" t="s">
        <v>111</v>
      </c>
      <c r="J3870" s="58">
        <v>91220096</v>
      </c>
      <c r="K3870" s="1" t="s">
        <v>106</v>
      </c>
      <c r="L3870" s="1" t="s">
        <v>124</v>
      </c>
      <c r="M3870" s="1" t="s">
        <v>123</v>
      </c>
      <c r="N3870" s="1">
        <v>1</v>
      </c>
      <c r="O3870" s="58"/>
      <c r="P3870" s="58">
        <v>1311288.8799999999</v>
      </c>
      <c r="Q3870" t="s">
        <v>107</v>
      </c>
      <c r="R3870" s="1" t="s">
        <v>48</v>
      </c>
    </row>
    <row r="3871" spans="3:18" x14ac:dyDescent="0.35">
      <c r="C3871" t="s">
        <v>51</v>
      </c>
      <c r="D3871" t="s">
        <v>19</v>
      </c>
      <c r="E3871" t="s">
        <v>49</v>
      </c>
      <c r="F3871" t="s">
        <v>46</v>
      </c>
      <c r="G3871" s="58">
        <v>2811968</v>
      </c>
      <c r="H3871" s="1" t="s">
        <v>59</v>
      </c>
      <c r="I3871" s="1" t="s">
        <v>108</v>
      </c>
      <c r="J3871" s="58">
        <v>89982976</v>
      </c>
      <c r="K3871" s="1" t="s">
        <v>112</v>
      </c>
      <c r="N3871" s="1">
        <v>1</v>
      </c>
      <c r="O3871" s="58"/>
      <c r="P3871" s="58">
        <v>2024616.96</v>
      </c>
      <c r="Q3871" t="s">
        <v>118</v>
      </c>
      <c r="R3871" s="1" t="s">
        <v>158</v>
      </c>
    </row>
    <row r="3872" spans="3:18" x14ac:dyDescent="0.35">
      <c r="C3872" t="s">
        <v>51</v>
      </c>
      <c r="D3872" t="s">
        <v>24</v>
      </c>
      <c r="E3872" t="s">
        <v>55</v>
      </c>
      <c r="F3872" t="s">
        <v>46</v>
      </c>
      <c r="G3872" s="58">
        <v>1645796</v>
      </c>
      <c r="H3872" s="1" t="s">
        <v>47</v>
      </c>
      <c r="I3872" s="1" t="s">
        <v>108</v>
      </c>
      <c r="J3872" s="58">
        <v>42790696</v>
      </c>
      <c r="K3872" s="1" t="s">
        <v>106</v>
      </c>
      <c r="L3872" s="1" t="s">
        <v>124</v>
      </c>
      <c r="N3872" s="1">
        <v>1</v>
      </c>
      <c r="O3872" s="58"/>
      <c r="P3872" s="58">
        <v>378533.08</v>
      </c>
      <c r="Q3872" t="s">
        <v>107</v>
      </c>
      <c r="R3872" s="1" t="s">
        <v>158</v>
      </c>
    </row>
    <row r="3873" spans="3:18" x14ac:dyDescent="0.35">
      <c r="C3873" t="s">
        <v>51</v>
      </c>
      <c r="D3873" t="s">
        <v>91</v>
      </c>
      <c r="E3873" t="s">
        <v>49</v>
      </c>
      <c r="F3873" t="s">
        <v>46</v>
      </c>
      <c r="G3873" s="58">
        <v>1202317</v>
      </c>
      <c r="H3873" s="1" t="s">
        <v>48</v>
      </c>
      <c r="I3873" s="1" t="s">
        <v>108</v>
      </c>
      <c r="J3873" s="58">
        <v>34867193</v>
      </c>
      <c r="K3873" s="1" t="s">
        <v>106</v>
      </c>
      <c r="L3873" s="1" t="s">
        <v>124</v>
      </c>
      <c r="M3873" s="1" t="s">
        <v>123</v>
      </c>
      <c r="N3873" s="1">
        <v>1</v>
      </c>
      <c r="O3873" s="58"/>
      <c r="P3873" s="58">
        <v>1070062.1299999999</v>
      </c>
      <c r="Q3873" t="s">
        <v>127</v>
      </c>
      <c r="R3873" s="1" t="s">
        <v>158</v>
      </c>
    </row>
    <row r="3874" spans="3:18" x14ac:dyDescent="0.35">
      <c r="C3874" t="s">
        <v>51</v>
      </c>
      <c r="D3874" t="s">
        <v>24</v>
      </c>
      <c r="E3874" t="s">
        <v>55</v>
      </c>
      <c r="F3874" t="s">
        <v>46</v>
      </c>
      <c r="G3874" s="58">
        <v>15783327</v>
      </c>
      <c r="H3874" s="1" t="s">
        <v>56</v>
      </c>
      <c r="I3874" s="1" t="s">
        <v>108</v>
      </c>
      <c r="J3874" s="58">
        <v>441933156</v>
      </c>
      <c r="K3874" s="1" t="s">
        <v>106</v>
      </c>
      <c r="L3874" s="1" t="s">
        <v>114</v>
      </c>
      <c r="N3874" s="1">
        <v>1</v>
      </c>
      <c r="O3874" s="58"/>
      <c r="P3874" s="58">
        <v>11048328.9</v>
      </c>
      <c r="Q3874" t="s">
        <v>118</v>
      </c>
      <c r="R3874" s="1" t="s">
        <v>158</v>
      </c>
    </row>
    <row r="3875" spans="3:18" x14ac:dyDescent="0.35">
      <c r="C3875" t="s">
        <v>53</v>
      </c>
      <c r="D3875" t="s">
        <v>19</v>
      </c>
      <c r="E3875" t="s">
        <v>45</v>
      </c>
      <c r="F3875" t="s">
        <v>46</v>
      </c>
      <c r="G3875" s="58">
        <v>1587977</v>
      </c>
      <c r="H3875" s="1" t="s">
        <v>54</v>
      </c>
      <c r="I3875" s="1" t="s">
        <v>105</v>
      </c>
      <c r="J3875" s="58">
        <v>3175954</v>
      </c>
      <c r="K3875" s="1" t="s">
        <v>106</v>
      </c>
      <c r="L3875" s="1" t="s">
        <v>120</v>
      </c>
      <c r="N3875" s="1">
        <v>1</v>
      </c>
      <c r="O3875" s="58"/>
      <c r="P3875" s="58">
        <v>269956.09000000003</v>
      </c>
      <c r="Q3875" t="s">
        <v>107</v>
      </c>
      <c r="R3875" s="1" t="s">
        <v>158</v>
      </c>
    </row>
    <row r="3876" spans="3:18" x14ac:dyDescent="0.35">
      <c r="C3876" t="s">
        <v>51</v>
      </c>
      <c r="D3876" t="s">
        <v>20</v>
      </c>
      <c r="E3876" t="s">
        <v>49</v>
      </c>
      <c r="F3876" t="s">
        <v>46</v>
      </c>
      <c r="G3876" s="58">
        <v>636385</v>
      </c>
      <c r="H3876" s="1" t="s">
        <v>47</v>
      </c>
      <c r="I3876" s="1" t="s">
        <v>111</v>
      </c>
      <c r="J3876" s="58">
        <v>9545775</v>
      </c>
      <c r="K3876" s="1" t="s">
        <v>106</v>
      </c>
      <c r="L3876" s="1" t="s">
        <v>120</v>
      </c>
      <c r="N3876" s="1">
        <v>1</v>
      </c>
      <c r="O3876" s="58"/>
      <c r="P3876" s="58">
        <v>210007.05</v>
      </c>
      <c r="Q3876" t="s">
        <v>107</v>
      </c>
      <c r="R3876" s="1" t="s">
        <v>158</v>
      </c>
    </row>
    <row r="3877" spans="3:18" x14ac:dyDescent="0.35">
      <c r="C3877" t="s">
        <v>51</v>
      </c>
      <c r="D3877" t="s">
        <v>21</v>
      </c>
      <c r="E3877" t="s">
        <v>49</v>
      </c>
      <c r="F3877" t="s">
        <v>46</v>
      </c>
      <c r="G3877" s="58">
        <v>111840568</v>
      </c>
      <c r="H3877" s="1" t="s">
        <v>48</v>
      </c>
      <c r="I3877" s="1" t="s">
        <v>111</v>
      </c>
      <c r="J3877" s="58">
        <v>1677608520</v>
      </c>
      <c r="K3877" s="1" t="s">
        <v>106</v>
      </c>
      <c r="L3877" s="1" t="s">
        <v>124</v>
      </c>
      <c r="M3877" s="1" t="s">
        <v>126</v>
      </c>
      <c r="N3877" s="1">
        <v>1</v>
      </c>
      <c r="O3877" s="58"/>
      <c r="P3877" s="58">
        <v>29078547.68</v>
      </c>
      <c r="Q3877" t="s">
        <v>107</v>
      </c>
      <c r="R3877" s="1" t="s">
        <v>158</v>
      </c>
    </row>
    <row r="3878" spans="3:18" x14ac:dyDescent="0.35">
      <c r="C3878" t="s">
        <v>51</v>
      </c>
      <c r="D3878" t="s">
        <v>22</v>
      </c>
      <c r="E3878" t="s">
        <v>49</v>
      </c>
      <c r="F3878" t="s">
        <v>46</v>
      </c>
      <c r="G3878" s="58">
        <v>2307882</v>
      </c>
      <c r="H3878" s="1" t="s">
        <v>47</v>
      </c>
      <c r="I3878" s="1" t="s">
        <v>108</v>
      </c>
      <c r="J3878" s="58">
        <v>66928578</v>
      </c>
      <c r="K3878" s="1" t="s">
        <v>112</v>
      </c>
      <c r="N3878" s="1">
        <v>1</v>
      </c>
      <c r="O3878" s="58"/>
      <c r="P3878" s="58">
        <v>1753990.32</v>
      </c>
      <c r="Q3878" t="s">
        <v>118</v>
      </c>
      <c r="R3878" s="1" t="s">
        <v>158</v>
      </c>
    </row>
    <row r="3879" spans="3:18" x14ac:dyDescent="0.35">
      <c r="C3879" t="s">
        <v>51</v>
      </c>
      <c r="D3879" t="s">
        <v>24</v>
      </c>
      <c r="E3879" t="s">
        <v>50</v>
      </c>
      <c r="F3879" t="s">
        <v>46</v>
      </c>
      <c r="G3879" s="58">
        <v>11987818</v>
      </c>
      <c r="H3879" s="1" t="s">
        <v>47</v>
      </c>
      <c r="I3879" s="1" t="s">
        <v>119</v>
      </c>
      <c r="J3879" s="58">
        <v>83914726</v>
      </c>
      <c r="K3879" s="1" t="s">
        <v>106</v>
      </c>
      <c r="L3879" s="1" t="s">
        <v>109</v>
      </c>
      <c r="N3879" s="1">
        <v>1</v>
      </c>
      <c r="O3879" s="58"/>
      <c r="P3879" s="58">
        <v>2757198.14</v>
      </c>
      <c r="Q3879" t="s">
        <v>107</v>
      </c>
      <c r="R3879" s="1" t="s">
        <v>158</v>
      </c>
    </row>
    <row r="3880" spans="3:18" x14ac:dyDescent="0.35">
      <c r="C3880" t="s">
        <v>51</v>
      </c>
      <c r="D3880" t="s">
        <v>21</v>
      </c>
      <c r="E3880" t="s">
        <v>45</v>
      </c>
      <c r="F3880" t="s">
        <v>46</v>
      </c>
      <c r="G3880" s="58">
        <v>485646</v>
      </c>
      <c r="H3880" s="1" t="s">
        <v>56</v>
      </c>
      <c r="I3880" s="1" t="s">
        <v>108</v>
      </c>
      <c r="J3880" s="58">
        <v>16026318</v>
      </c>
      <c r="K3880" s="1" t="s">
        <v>112</v>
      </c>
      <c r="N3880" s="1">
        <v>1</v>
      </c>
      <c r="O3880" s="58"/>
      <c r="P3880" s="58">
        <v>257392.38</v>
      </c>
      <c r="Q3880" t="s">
        <v>113</v>
      </c>
      <c r="R3880" s="1" t="s">
        <v>158</v>
      </c>
    </row>
    <row r="3881" spans="3:18" x14ac:dyDescent="0.35">
      <c r="C3881" t="s">
        <v>51</v>
      </c>
      <c r="D3881" t="s">
        <v>91</v>
      </c>
      <c r="E3881" t="s">
        <v>49</v>
      </c>
      <c r="F3881" t="s">
        <v>46</v>
      </c>
      <c r="G3881" s="58">
        <v>1220859</v>
      </c>
      <c r="H3881" s="1" t="s">
        <v>47</v>
      </c>
      <c r="I3881" s="1" t="s">
        <v>108</v>
      </c>
      <c r="J3881" s="58">
        <v>34184052</v>
      </c>
      <c r="K3881" s="1" t="s">
        <v>106</v>
      </c>
      <c r="L3881" s="1" t="s">
        <v>114</v>
      </c>
      <c r="N3881" s="1">
        <v>1</v>
      </c>
      <c r="O3881" s="58"/>
      <c r="P3881" s="58">
        <v>634846.68000000005</v>
      </c>
      <c r="Q3881" t="s">
        <v>113</v>
      </c>
      <c r="R3881" s="1" t="s">
        <v>158</v>
      </c>
    </row>
    <row r="3882" spans="3:18" x14ac:dyDescent="0.35">
      <c r="C3882" t="s">
        <v>51</v>
      </c>
      <c r="D3882" t="s">
        <v>19</v>
      </c>
      <c r="E3882" t="s">
        <v>49</v>
      </c>
      <c r="F3882" t="s">
        <v>46</v>
      </c>
      <c r="G3882" s="58">
        <v>1153816</v>
      </c>
      <c r="H3882" s="1" t="s">
        <v>48</v>
      </c>
      <c r="I3882" s="1" t="s">
        <v>108</v>
      </c>
      <c r="J3882" s="58">
        <v>35768296</v>
      </c>
      <c r="K3882" s="1" t="s">
        <v>106</v>
      </c>
      <c r="L3882" s="1" t="s">
        <v>120</v>
      </c>
      <c r="M3882" s="1" t="s">
        <v>115</v>
      </c>
      <c r="N3882" s="1">
        <v>1</v>
      </c>
      <c r="O3882" s="58"/>
      <c r="P3882" s="58">
        <v>346144.8</v>
      </c>
      <c r="Q3882" t="s">
        <v>107</v>
      </c>
      <c r="R3882" s="1" t="s">
        <v>158</v>
      </c>
    </row>
    <row r="3883" spans="3:18" x14ac:dyDescent="0.35">
      <c r="C3883" t="s">
        <v>51</v>
      </c>
      <c r="D3883" t="s">
        <v>21</v>
      </c>
      <c r="E3883" t="s">
        <v>49</v>
      </c>
      <c r="F3883" t="s">
        <v>46</v>
      </c>
      <c r="G3883" s="58">
        <v>1557235</v>
      </c>
      <c r="H3883" s="1" t="s">
        <v>48</v>
      </c>
      <c r="I3883" s="1" t="s">
        <v>119</v>
      </c>
      <c r="J3883" s="58">
        <v>14015115</v>
      </c>
      <c r="K3883" s="1" t="s">
        <v>106</v>
      </c>
      <c r="L3883" s="1" t="s">
        <v>124</v>
      </c>
      <c r="M3883" s="1" t="s">
        <v>126</v>
      </c>
      <c r="N3883" s="1">
        <v>1</v>
      </c>
      <c r="O3883" s="58"/>
      <c r="P3883" s="58">
        <v>1432656.2</v>
      </c>
      <c r="Q3883" t="s">
        <v>127</v>
      </c>
      <c r="R3883" s="1" t="s">
        <v>158</v>
      </c>
    </row>
    <row r="3884" spans="3:18" x14ac:dyDescent="0.35">
      <c r="C3884" t="s">
        <v>53</v>
      </c>
      <c r="D3884" t="s">
        <v>23</v>
      </c>
      <c r="E3884" t="s">
        <v>55</v>
      </c>
      <c r="F3884" t="s">
        <v>46</v>
      </c>
      <c r="G3884" s="58">
        <v>85081</v>
      </c>
      <c r="H3884" s="1" t="s">
        <v>54</v>
      </c>
      <c r="I3884" s="1" t="s">
        <v>105</v>
      </c>
      <c r="J3884" s="58"/>
      <c r="K3884" s="1" t="s">
        <v>106</v>
      </c>
      <c r="L3884" s="1" t="s">
        <v>114</v>
      </c>
      <c r="N3884" s="1">
        <v>0</v>
      </c>
      <c r="O3884" s="58"/>
      <c r="P3884" s="58">
        <v>0</v>
      </c>
      <c r="Q3884" t="s">
        <v>107</v>
      </c>
      <c r="R3884" s="1" t="s">
        <v>158</v>
      </c>
    </row>
    <row r="3885" spans="3:18" x14ac:dyDescent="0.35">
      <c r="C3885" t="s">
        <v>51</v>
      </c>
      <c r="D3885" t="s">
        <v>91</v>
      </c>
      <c r="E3885" t="s">
        <v>49</v>
      </c>
      <c r="F3885" t="s">
        <v>46</v>
      </c>
      <c r="G3885" s="58">
        <v>624810</v>
      </c>
      <c r="H3885" s="1" t="s">
        <v>48</v>
      </c>
      <c r="I3885" s="1" t="s">
        <v>108</v>
      </c>
      <c r="J3885" s="58">
        <v>20618730</v>
      </c>
      <c r="K3885" s="1" t="s">
        <v>106</v>
      </c>
      <c r="L3885" s="1" t="s">
        <v>120</v>
      </c>
      <c r="M3885" s="1" t="s">
        <v>115</v>
      </c>
      <c r="N3885" s="1">
        <v>1</v>
      </c>
      <c r="O3885" s="58"/>
      <c r="P3885" s="58">
        <v>418622.7</v>
      </c>
      <c r="Q3885" t="s">
        <v>118</v>
      </c>
      <c r="R3885" s="1" t="s">
        <v>48</v>
      </c>
    </row>
    <row r="3886" spans="3:18" x14ac:dyDescent="0.35">
      <c r="C3886" t="s">
        <v>53</v>
      </c>
      <c r="D3886" t="s">
        <v>19</v>
      </c>
      <c r="E3886" t="s">
        <v>45</v>
      </c>
      <c r="F3886" t="s">
        <v>46</v>
      </c>
      <c r="G3886" s="58">
        <v>410916</v>
      </c>
      <c r="H3886" s="1" t="s">
        <v>47</v>
      </c>
      <c r="I3886" s="1" t="s">
        <v>105</v>
      </c>
      <c r="J3886" s="58">
        <v>1232748</v>
      </c>
      <c r="K3886" s="1" t="s">
        <v>106</v>
      </c>
      <c r="L3886" s="1" t="s">
        <v>120</v>
      </c>
      <c r="N3886" s="1">
        <v>1</v>
      </c>
      <c r="O3886" s="58"/>
      <c r="P3886" s="58">
        <v>102729</v>
      </c>
      <c r="Q3886" t="s">
        <v>107</v>
      </c>
      <c r="R3886" s="1" t="s">
        <v>158</v>
      </c>
    </row>
    <row r="3887" spans="3:18" x14ac:dyDescent="0.35">
      <c r="C3887" t="s">
        <v>51</v>
      </c>
      <c r="D3887" t="s">
        <v>92</v>
      </c>
      <c r="E3887" t="s">
        <v>49</v>
      </c>
      <c r="F3887" t="s">
        <v>46</v>
      </c>
      <c r="G3887" s="58">
        <v>1751907</v>
      </c>
      <c r="H3887" s="1" t="s">
        <v>47</v>
      </c>
      <c r="I3887" s="1" t="s">
        <v>111</v>
      </c>
      <c r="J3887" s="58">
        <v>29782419</v>
      </c>
      <c r="K3887" s="1" t="s">
        <v>112</v>
      </c>
      <c r="N3887" s="1">
        <v>1</v>
      </c>
      <c r="O3887" s="58"/>
      <c r="P3887" s="58">
        <v>1191296.76</v>
      </c>
      <c r="Q3887" t="s">
        <v>118</v>
      </c>
      <c r="R3887" s="1" t="s">
        <v>158</v>
      </c>
    </row>
    <row r="3888" spans="3:18" x14ac:dyDescent="0.35">
      <c r="C3888" t="s">
        <v>51</v>
      </c>
      <c r="D3888" t="s">
        <v>23</v>
      </c>
      <c r="E3888" t="s">
        <v>55</v>
      </c>
      <c r="F3888" t="s">
        <v>46</v>
      </c>
      <c r="G3888" s="58">
        <v>810064</v>
      </c>
      <c r="H3888" s="1" t="s">
        <v>54</v>
      </c>
      <c r="I3888" s="1" t="s">
        <v>111</v>
      </c>
      <c r="J3888" s="58">
        <v>13771088</v>
      </c>
      <c r="K3888" s="1" t="s">
        <v>106</v>
      </c>
      <c r="L3888" s="1" t="s">
        <v>114</v>
      </c>
      <c r="N3888" s="1">
        <v>1</v>
      </c>
      <c r="O3888" s="58"/>
      <c r="P3888" s="58">
        <v>720956.96</v>
      </c>
      <c r="Q3888" t="s">
        <v>127</v>
      </c>
      <c r="R3888" s="1" t="s">
        <v>158</v>
      </c>
    </row>
    <row r="3889" spans="3:18" x14ac:dyDescent="0.35">
      <c r="C3889" t="s">
        <v>53</v>
      </c>
      <c r="D3889" t="s">
        <v>21</v>
      </c>
      <c r="E3889" t="s">
        <v>45</v>
      </c>
      <c r="F3889" t="s">
        <v>46</v>
      </c>
      <c r="G3889" s="58">
        <v>604367</v>
      </c>
      <c r="H3889" s="1" t="s">
        <v>58</v>
      </c>
      <c r="I3889" s="1" t="s">
        <v>128</v>
      </c>
      <c r="J3889" s="58"/>
      <c r="K3889" s="1" t="s">
        <v>106</v>
      </c>
      <c r="L3889" s="1" t="s">
        <v>120</v>
      </c>
      <c r="N3889" s="1">
        <v>0</v>
      </c>
      <c r="O3889" s="58"/>
      <c r="P3889" s="58">
        <v>314270.84000000003</v>
      </c>
      <c r="Q3889" t="s">
        <v>113</v>
      </c>
      <c r="R3889" s="1" t="s">
        <v>158</v>
      </c>
    </row>
    <row r="3890" spans="3:18" x14ac:dyDescent="0.35">
      <c r="C3890" t="s">
        <v>51</v>
      </c>
      <c r="D3890" t="s">
        <v>19</v>
      </c>
      <c r="E3890" t="s">
        <v>49</v>
      </c>
      <c r="F3890" t="s">
        <v>46</v>
      </c>
      <c r="G3890" s="58">
        <v>53270</v>
      </c>
      <c r="H3890" s="1" t="s">
        <v>58</v>
      </c>
      <c r="I3890" s="1" t="s">
        <v>119</v>
      </c>
      <c r="J3890" s="58">
        <v>319620</v>
      </c>
      <c r="K3890" s="1" t="s">
        <v>106</v>
      </c>
      <c r="L3890" s="1" t="s">
        <v>124</v>
      </c>
      <c r="N3890" s="1">
        <v>1</v>
      </c>
      <c r="O3890" s="58"/>
      <c r="P3890" s="58">
        <v>26102.3</v>
      </c>
      <c r="Q3890" t="s">
        <v>113</v>
      </c>
      <c r="R3890" s="1" t="s">
        <v>158</v>
      </c>
    </row>
    <row r="3891" spans="3:18" x14ac:dyDescent="0.35">
      <c r="C3891" t="s">
        <v>53</v>
      </c>
      <c r="D3891" t="s">
        <v>24</v>
      </c>
      <c r="E3891" t="s">
        <v>50</v>
      </c>
      <c r="F3891" t="s">
        <v>46</v>
      </c>
      <c r="G3891" s="58">
        <v>172180</v>
      </c>
      <c r="H3891" s="1" t="s">
        <v>48</v>
      </c>
      <c r="I3891" s="1" t="s">
        <v>119</v>
      </c>
      <c r="J3891" s="58">
        <v>1377440</v>
      </c>
      <c r="K3891" s="1" t="s">
        <v>106</v>
      </c>
      <c r="L3891" s="1" t="s">
        <v>109</v>
      </c>
      <c r="M3891" s="1" t="s">
        <v>121</v>
      </c>
      <c r="N3891" s="1">
        <v>1</v>
      </c>
      <c r="O3891" s="58"/>
      <c r="P3891" s="58">
        <v>75759.199999999997</v>
      </c>
      <c r="Q3891" t="s">
        <v>113</v>
      </c>
      <c r="R3891" s="1" t="s">
        <v>48</v>
      </c>
    </row>
    <row r="3892" spans="3:18" x14ac:dyDescent="0.35">
      <c r="C3892" t="s">
        <v>51</v>
      </c>
      <c r="D3892" t="s">
        <v>22</v>
      </c>
      <c r="E3892" t="s">
        <v>45</v>
      </c>
      <c r="F3892" t="s">
        <v>46</v>
      </c>
      <c r="G3892" s="58">
        <v>587679</v>
      </c>
      <c r="H3892" s="1" t="s">
        <v>48</v>
      </c>
      <c r="I3892" s="1" t="s">
        <v>108</v>
      </c>
      <c r="J3892" s="58">
        <v>19393407</v>
      </c>
      <c r="K3892" s="1" t="s">
        <v>106</v>
      </c>
      <c r="L3892" s="1" t="s">
        <v>124</v>
      </c>
      <c r="M3892" s="1" t="s">
        <v>126</v>
      </c>
      <c r="N3892" s="1">
        <v>1</v>
      </c>
      <c r="O3892" s="58"/>
      <c r="P3892" s="58">
        <v>158673.32999999999</v>
      </c>
      <c r="Q3892" t="s">
        <v>107</v>
      </c>
      <c r="R3892" s="1" t="s">
        <v>158</v>
      </c>
    </row>
    <row r="3893" spans="3:18" x14ac:dyDescent="0.35">
      <c r="C3893" t="s">
        <v>53</v>
      </c>
      <c r="D3893" t="s">
        <v>92</v>
      </c>
      <c r="E3893" t="s">
        <v>49</v>
      </c>
      <c r="F3893" t="s">
        <v>46</v>
      </c>
      <c r="G3893" s="58">
        <v>3435868</v>
      </c>
      <c r="H3893" s="1" t="s">
        <v>48</v>
      </c>
      <c r="I3893" s="1" t="s">
        <v>111</v>
      </c>
      <c r="J3893" s="58">
        <v>37794548</v>
      </c>
      <c r="K3893" s="1" t="s">
        <v>106</v>
      </c>
      <c r="L3893" s="1" t="s">
        <v>124</v>
      </c>
      <c r="M3893" s="1" t="s">
        <v>123</v>
      </c>
      <c r="N3893" s="1">
        <v>1</v>
      </c>
      <c r="O3893" s="58"/>
      <c r="P3893" s="58">
        <v>1271271.1599999999</v>
      </c>
      <c r="Q3893" t="s">
        <v>107</v>
      </c>
      <c r="R3893" s="1" t="s">
        <v>48</v>
      </c>
    </row>
    <row r="3894" spans="3:18" x14ac:dyDescent="0.35">
      <c r="C3894" t="s">
        <v>51</v>
      </c>
      <c r="D3894" t="s">
        <v>23</v>
      </c>
      <c r="E3894" t="s">
        <v>49</v>
      </c>
      <c r="F3894" t="s">
        <v>46</v>
      </c>
      <c r="G3894" s="58">
        <v>1568650</v>
      </c>
      <c r="H3894" s="1" t="s">
        <v>59</v>
      </c>
      <c r="I3894" s="1" t="s">
        <v>108</v>
      </c>
      <c r="J3894" s="58">
        <v>39216250</v>
      </c>
      <c r="K3894" s="1" t="s">
        <v>106</v>
      </c>
      <c r="L3894" s="1" t="s">
        <v>124</v>
      </c>
      <c r="N3894" s="1">
        <v>1</v>
      </c>
      <c r="O3894" s="58"/>
      <c r="P3894" s="58">
        <v>517654.5</v>
      </c>
      <c r="Q3894" t="s">
        <v>107</v>
      </c>
      <c r="R3894" s="1" t="s">
        <v>158</v>
      </c>
    </row>
    <row r="3895" spans="3:18" x14ac:dyDescent="0.35">
      <c r="C3895" t="s">
        <v>51</v>
      </c>
      <c r="D3895" t="s">
        <v>22</v>
      </c>
      <c r="E3895" t="s">
        <v>45</v>
      </c>
      <c r="F3895" t="s">
        <v>46</v>
      </c>
      <c r="G3895" s="58">
        <v>242410044</v>
      </c>
      <c r="H3895" s="1" t="s">
        <v>47</v>
      </c>
      <c r="I3895" s="1" t="s">
        <v>108</v>
      </c>
      <c r="J3895" s="58">
        <v>6302661144</v>
      </c>
      <c r="K3895" s="1" t="s">
        <v>106</v>
      </c>
      <c r="L3895" s="1" t="s">
        <v>120</v>
      </c>
      <c r="N3895" s="1">
        <v>1</v>
      </c>
      <c r="O3895" s="58"/>
      <c r="P3895" s="58">
        <v>67874812.319999993</v>
      </c>
      <c r="Q3895" t="s">
        <v>107</v>
      </c>
      <c r="R3895" s="1" t="s">
        <v>158</v>
      </c>
    </row>
    <row r="3896" spans="3:18" x14ac:dyDescent="0.35">
      <c r="C3896" t="s">
        <v>53</v>
      </c>
      <c r="D3896" t="s">
        <v>92</v>
      </c>
      <c r="E3896" t="s">
        <v>49</v>
      </c>
      <c r="F3896" t="s">
        <v>46</v>
      </c>
      <c r="G3896" s="58">
        <v>1344786</v>
      </c>
      <c r="H3896" s="1" t="s">
        <v>48</v>
      </c>
      <c r="I3896" s="1" t="s">
        <v>111</v>
      </c>
      <c r="J3896" s="58">
        <v>20171790</v>
      </c>
      <c r="K3896" s="1" t="s">
        <v>106</v>
      </c>
      <c r="L3896" s="1" t="s">
        <v>124</v>
      </c>
      <c r="M3896" s="1" t="s">
        <v>123</v>
      </c>
      <c r="N3896" s="1">
        <v>1</v>
      </c>
      <c r="O3896" s="58"/>
      <c r="P3896" s="58">
        <v>645497.28</v>
      </c>
      <c r="Q3896" t="s">
        <v>113</v>
      </c>
      <c r="R3896" s="1" t="s">
        <v>158</v>
      </c>
    </row>
    <row r="3897" spans="3:18" x14ac:dyDescent="0.35">
      <c r="C3897" t="s">
        <v>53</v>
      </c>
      <c r="D3897" t="s">
        <v>20</v>
      </c>
      <c r="E3897" t="s">
        <v>49</v>
      </c>
      <c r="F3897" t="s">
        <v>46</v>
      </c>
      <c r="G3897" s="58">
        <v>156596</v>
      </c>
      <c r="H3897" s="1" t="s">
        <v>59</v>
      </c>
      <c r="I3897" s="1" t="s">
        <v>111</v>
      </c>
      <c r="J3897" s="58">
        <v>1722556</v>
      </c>
      <c r="K3897" s="1" t="s">
        <v>106</v>
      </c>
      <c r="L3897" s="1" t="s">
        <v>124</v>
      </c>
      <c r="N3897" s="1">
        <v>1</v>
      </c>
      <c r="O3897" s="58"/>
      <c r="P3897" s="58">
        <v>106485.28</v>
      </c>
      <c r="Q3897" t="s">
        <v>118</v>
      </c>
      <c r="R3897" s="1" t="s">
        <v>158</v>
      </c>
    </row>
    <row r="3898" spans="3:18" x14ac:dyDescent="0.35">
      <c r="C3898" t="s">
        <v>51</v>
      </c>
      <c r="D3898" t="s">
        <v>23</v>
      </c>
      <c r="E3898" t="s">
        <v>45</v>
      </c>
      <c r="F3898" t="s">
        <v>46</v>
      </c>
      <c r="G3898" s="58">
        <v>151544</v>
      </c>
      <c r="H3898" s="1" t="s">
        <v>59</v>
      </c>
      <c r="I3898" s="1" t="s">
        <v>108</v>
      </c>
      <c r="J3898" s="58">
        <v>4697864</v>
      </c>
      <c r="K3898" s="1" t="s">
        <v>106</v>
      </c>
      <c r="L3898" s="1" t="s">
        <v>124</v>
      </c>
      <c r="N3898" s="1">
        <v>1</v>
      </c>
      <c r="O3898" s="58"/>
      <c r="P3898" s="58">
        <v>92441.84</v>
      </c>
      <c r="Q3898" t="s">
        <v>118</v>
      </c>
      <c r="R3898" s="1" t="s">
        <v>158</v>
      </c>
    </row>
    <row r="3899" spans="3:18" x14ac:dyDescent="0.35">
      <c r="C3899" t="s">
        <v>53</v>
      </c>
      <c r="D3899" t="s">
        <v>21</v>
      </c>
      <c r="E3899" t="s">
        <v>49</v>
      </c>
      <c r="F3899" t="s">
        <v>46</v>
      </c>
      <c r="G3899" s="58">
        <v>219200</v>
      </c>
      <c r="H3899" s="1" t="s">
        <v>54</v>
      </c>
      <c r="I3899" s="1" t="s">
        <v>108</v>
      </c>
      <c r="J3899" s="58">
        <v>7233600</v>
      </c>
      <c r="K3899" s="1" t="s">
        <v>106</v>
      </c>
      <c r="L3899" s="1" t="s">
        <v>124</v>
      </c>
      <c r="N3899" s="1">
        <v>1</v>
      </c>
      <c r="O3899" s="58"/>
      <c r="P3899" s="58">
        <v>129328</v>
      </c>
      <c r="Q3899" t="s">
        <v>113</v>
      </c>
      <c r="R3899" s="1" t="s">
        <v>158</v>
      </c>
    </row>
    <row r="3900" spans="3:18" x14ac:dyDescent="0.35">
      <c r="C3900" t="s">
        <v>51</v>
      </c>
      <c r="D3900" t="s">
        <v>23</v>
      </c>
      <c r="E3900" t="s">
        <v>45</v>
      </c>
      <c r="F3900" t="s">
        <v>46</v>
      </c>
      <c r="G3900" s="58">
        <v>164934</v>
      </c>
      <c r="H3900" s="1" t="s">
        <v>47</v>
      </c>
      <c r="I3900" s="1" t="s">
        <v>105</v>
      </c>
      <c r="J3900" s="58">
        <v>329868</v>
      </c>
      <c r="K3900" s="1" t="s">
        <v>106</v>
      </c>
      <c r="L3900" s="1" t="s">
        <v>114</v>
      </c>
      <c r="N3900" s="1">
        <v>1</v>
      </c>
      <c r="O3900" s="58"/>
      <c r="P3900" s="58">
        <v>14844.06</v>
      </c>
      <c r="Q3900" t="s">
        <v>107</v>
      </c>
      <c r="R3900" s="1" t="s">
        <v>158</v>
      </c>
    </row>
    <row r="3901" spans="3:18" x14ac:dyDescent="0.35">
      <c r="C3901" t="s">
        <v>53</v>
      </c>
      <c r="D3901" t="s">
        <v>23</v>
      </c>
      <c r="E3901" t="s">
        <v>55</v>
      </c>
      <c r="F3901" t="s">
        <v>46</v>
      </c>
      <c r="G3901" s="58">
        <v>6304797</v>
      </c>
      <c r="H3901" s="1" t="s">
        <v>54</v>
      </c>
      <c r="I3901" s="1" t="s">
        <v>119</v>
      </c>
      <c r="J3901" s="58">
        <v>37828782</v>
      </c>
      <c r="K3901" s="1" t="s">
        <v>106</v>
      </c>
      <c r="L3901" s="1" t="s">
        <v>120</v>
      </c>
      <c r="N3901" s="1">
        <v>1</v>
      </c>
      <c r="O3901" s="58"/>
      <c r="P3901" s="58">
        <v>4413357.9000000004</v>
      </c>
      <c r="Q3901" t="s">
        <v>118</v>
      </c>
      <c r="R3901" s="1" t="s">
        <v>158</v>
      </c>
    </row>
    <row r="3902" spans="3:18" x14ac:dyDescent="0.35">
      <c r="C3902" t="s">
        <v>53</v>
      </c>
      <c r="D3902" t="s">
        <v>22</v>
      </c>
      <c r="E3902" t="s">
        <v>49</v>
      </c>
      <c r="F3902" t="s">
        <v>46</v>
      </c>
      <c r="G3902" s="58">
        <v>2803835</v>
      </c>
      <c r="H3902" s="1" t="s">
        <v>48</v>
      </c>
      <c r="I3902" s="1" t="s">
        <v>119</v>
      </c>
      <c r="J3902" s="58">
        <v>22430680</v>
      </c>
      <c r="K3902" s="1" t="s">
        <v>106</v>
      </c>
      <c r="L3902" s="1" t="s">
        <v>124</v>
      </c>
      <c r="M3902" s="1" t="s">
        <v>115</v>
      </c>
      <c r="N3902" s="1">
        <v>1</v>
      </c>
      <c r="O3902" s="58"/>
      <c r="P3902" s="58">
        <v>1429955.85</v>
      </c>
      <c r="Q3902" t="s">
        <v>113</v>
      </c>
      <c r="R3902" s="1" t="s">
        <v>48</v>
      </c>
    </row>
    <row r="3903" spans="3:18" x14ac:dyDescent="0.35">
      <c r="C3903" t="s">
        <v>51</v>
      </c>
      <c r="D3903" t="s">
        <v>19</v>
      </c>
      <c r="E3903" t="s">
        <v>49</v>
      </c>
      <c r="F3903" t="s">
        <v>46</v>
      </c>
      <c r="G3903" s="58">
        <v>9064473</v>
      </c>
      <c r="H3903" s="1" t="s">
        <v>59</v>
      </c>
      <c r="I3903" s="1" t="s">
        <v>111</v>
      </c>
      <c r="J3903" s="58">
        <v>135967095</v>
      </c>
      <c r="K3903" s="1" t="s">
        <v>106</v>
      </c>
      <c r="L3903" s="1" t="s">
        <v>124</v>
      </c>
      <c r="N3903" s="1">
        <v>1</v>
      </c>
      <c r="O3903" s="58"/>
      <c r="P3903" s="58">
        <v>2266118.25</v>
      </c>
      <c r="Q3903" t="s">
        <v>107</v>
      </c>
      <c r="R3903" s="1" t="s">
        <v>158</v>
      </c>
    </row>
    <row r="3904" spans="3:18" x14ac:dyDescent="0.35">
      <c r="C3904" t="s">
        <v>51</v>
      </c>
      <c r="D3904" t="s">
        <v>91</v>
      </c>
      <c r="E3904" t="s">
        <v>49</v>
      </c>
      <c r="F3904" t="s">
        <v>46</v>
      </c>
      <c r="G3904" s="58">
        <v>94275</v>
      </c>
      <c r="H3904" s="1" t="s">
        <v>48</v>
      </c>
      <c r="I3904" s="1" t="s">
        <v>108</v>
      </c>
      <c r="J3904" s="58">
        <v>3205350</v>
      </c>
      <c r="K3904" s="1" t="s">
        <v>106</v>
      </c>
      <c r="L3904" s="1" t="s">
        <v>109</v>
      </c>
      <c r="M3904" s="1" t="s">
        <v>121</v>
      </c>
      <c r="N3904" s="1">
        <v>1</v>
      </c>
      <c r="O3904" s="58"/>
      <c r="P3904" s="58">
        <v>53736.75</v>
      </c>
      <c r="Q3904" t="s">
        <v>113</v>
      </c>
      <c r="R3904" s="1" t="s">
        <v>158</v>
      </c>
    </row>
    <row r="3905" spans="3:18" x14ac:dyDescent="0.35">
      <c r="C3905" t="s">
        <v>51</v>
      </c>
      <c r="D3905" t="s">
        <v>92</v>
      </c>
      <c r="E3905" t="s">
        <v>49</v>
      </c>
      <c r="F3905" t="s">
        <v>46</v>
      </c>
      <c r="G3905" s="58">
        <v>268497</v>
      </c>
      <c r="H3905" s="1" t="s">
        <v>48</v>
      </c>
      <c r="I3905" s="1" t="s">
        <v>108</v>
      </c>
      <c r="J3905" s="58">
        <v>10739880</v>
      </c>
      <c r="K3905" s="1" t="s">
        <v>106</v>
      </c>
      <c r="L3905" s="1" t="s">
        <v>120</v>
      </c>
      <c r="M3905" s="1" t="s">
        <v>125</v>
      </c>
      <c r="N3905" s="1">
        <v>1</v>
      </c>
      <c r="O3905" s="58"/>
      <c r="P3905" s="58">
        <v>214797.6</v>
      </c>
      <c r="Q3905" t="s">
        <v>127</v>
      </c>
      <c r="R3905" s="1" t="s">
        <v>48</v>
      </c>
    </row>
    <row r="3906" spans="3:18" x14ac:dyDescent="0.35">
      <c r="C3906" t="s">
        <v>51</v>
      </c>
      <c r="D3906" t="s">
        <v>91</v>
      </c>
      <c r="E3906" t="s">
        <v>49</v>
      </c>
      <c r="F3906" t="s">
        <v>46</v>
      </c>
      <c r="G3906" s="58">
        <v>1635414</v>
      </c>
      <c r="H3906" s="1" t="s">
        <v>59</v>
      </c>
      <c r="I3906" s="1" t="s">
        <v>119</v>
      </c>
      <c r="J3906" s="58">
        <v>13083312</v>
      </c>
      <c r="K3906" s="1" t="s">
        <v>106</v>
      </c>
      <c r="L3906" s="1" t="s">
        <v>124</v>
      </c>
      <c r="N3906" s="1">
        <v>1</v>
      </c>
      <c r="O3906" s="58"/>
      <c r="P3906" s="58">
        <v>392499.36</v>
      </c>
      <c r="Q3906" t="s">
        <v>107</v>
      </c>
      <c r="R3906" s="1" t="s">
        <v>158</v>
      </c>
    </row>
    <row r="3907" spans="3:18" x14ac:dyDescent="0.35">
      <c r="C3907" t="s">
        <v>53</v>
      </c>
      <c r="D3907" t="s">
        <v>20</v>
      </c>
      <c r="E3907" t="s">
        <v>45</v>
      </c>
      <c r="F3907" t="s">
        <v>46</v>
      </c>
      <c r="G3907" s="58">
        <v>887400</v>
      </c>
      <c r="H3907" s="1" t="s">
        <v>48</v>
      </c>
      <c r="I3907" s="1" t="s">
        <v>111</v>
      </c>
      <c r="J3907" s="58">
        <v>10648800</v>
      </c>
      <c r="K3907" s="1" t="s">
        <v>112</v>
      </c>
      <c r="N3907" s="1">
        <v>1</v>
      </c>
      <c r="O3907" s="58"/>
      <c r="P3907" s="58">
        <v>443700</v>
      </c>
      <c r="Q3907" t="s">
        <v>113</v>
      </c>
      <c r="R3907" s="1" t="s">
        <v>158</v>
      </c>
    </row>
    <row r="3908" spans="3:18" x14ac:dyDescent="0.35">
      <c r="C3908" t="s">
        <v>51</v>
      </c>
      <c r="D3908" t="s">
        <v>92</v>
      </c>
      <c r="E3908" t="s">
        <v>49</v>
      </c>
      <c r="F3908" t="s">
        <v>46</v>
      </c>
      <c r="G3908" s="58">
        <v>22459724</v>
      </c>
      <c r="H3908" s="1" t="s">
        <v>56</v>
      </c>
      <c r="I3908" s="1" t="s">
        <v>108</v>
      </c>
      <c r="J3908" s="58">
        <v>583952824</v>
      </c>
      <c r="K3908" s="1" t="s">
        <v>106</v>
      </c>
      <c r="L3908" s="1" t="s">
        <v>124</v>
      </c>
      <c r="N3908" s="1">
        <v>1</v>
      </c>
      <c r="O3908" s="58"/>
      <c r="P3908" s="58">
        <v>6513319.96</v>
      </c>
      <c r="Q3908" t="s">
        <v>107</v>
      </c>
      <c r="R3908" s="1" t="s">
        <v>158</v>
      </c>
    </row>
    <row r="3909" spans="3:18" x14ac:dyDescent="0.35">
      <c r="C3909" t="s">
        <v>44</v>
      </c>
      <c r="D3909" t="s">
        <v>23</v>
      </c>
      <c r="E3909" t="s">
        <v>45</v>
      </c>
      <c r="F3909" t="s">
        <v>46</v>
      </c>
      <c r="G3909" s="58">
        <v>60183</v>
      </c>
      <c r="H3909" s="1" t="s">
        <v>56</v>
      </c>
      <c r="I3909" s="1" t="s">
        <v>108</v>
      </c>
      <c r="J3909" s="58"/>
      <c r="N3909" s="1">
        <v>0</v>
      </c>
      <c r="O3909" s="58"/>
      <c r="P3909" s="58"/>
      <c r="R3909" s="1" t="s">
        <v>158</v>
      </c>
    </row>
    <row r="3910" spans="3:18" x14ac:dyDescent="0.35">
      <c r="C3910" t="s">
        <v>51</v>
      </c>
      <c r="D3910" t="s">
        <v>23</v>
      </c>
      <c r="E3910" t="s">
        <v>45</v>
      </c>
      <c r="F3910" t="s">
        <v>46</v>
      </c>
      <c r="G3910" s="58">
        <v>555725</v>
      </c>
      <c r="H3910" s="1" t="s">
        <v>48</v>
      </c>
      <c r="I3910" s="1" t="s">
        <v>108</v>
      </c>
      <c r="J3910" s="58">
        <v>20006100</v>
      </c>
      <c r="K3910" s="1" t="s">
        <v>106</v>
      </c>
      <c r="L3910" s="1" t="s">
        <v>120</v>
      </c>
      <c r="M3910" s="1" t="s">
        <v>115</v>
      </c>
      <c r="N3910" s="1">
        <v>1</v>
      </c>
      <c r="O3910" s="58"/>
      <c r="P3910" s="58">
        <v>461251.75</v>
      </c>
      <c r="Q3910" t="s">
        <v>127</v>
      </c>
      <c r="R3910" s="1" t="s">
        <v>158</v>
      </c>
    </row>
    <row r="3911" spans="3:18" x14ac:dyDescent="0.35">
      <c r="C3911" t="s">
        <v>51</v>
      </c>
      <c r="D3911" t="s">
        <v>19</v>
      </c>
      <c r="E3911" t="s">
        <v>60</v>
      </c>
      <c r="F3911" t="s">
        <v>46</v>
      </c>
      <c r="G3911" s="58">
        <v>350689</v>
      </c>
      <c r="H3911" s="1" t="s">
        <v>48</v>
      </c>
      <c r="I3911" s="1" t="s">
        <v>108</v>
      </c>
      <c r="J3911" s="58">
        <v>9819292</v>
      </c>
      <c r="K3911" s="1" t="s">
        <v>106</v>
      </c>
      <c r="M3911" s="1" t="s">
        <v>122</v>
      </c>
      <c r="N3911" s="1">
        <v>1</v>
      </c>
      <c r="O3911" s="58"/>
      <c r="P3911" s="58">
        <v>273537.42</v>
      </c>
      <c r="Q3911" t="s">
        <v>118</v>
      </c>
    </row>
    <row r="3912" spans="3:18" x14ac:dyDescent="0.35">
      <c r="C3912" t="s">
        <v>53</v>
      </c>
      <c r="D3912" t="s">
        <v>20</v>
      </c>
      <c r="E3912" t="s">
        <v>49</v>
      </c>
      <c r="F3912" t="s">
        <v>46</v>
      </c>
      <c r="G3912" s="58">
        <v>297039</v>
      </c>
      <c r="H3912" s="1" t="s">
        <v>54</v>
      </c>
      <c r="I3912" s="1" t="s">
        <v>105</v>
      </c>
      <c r="J3912" s="58">
        <v>891117</v>
      </c>
      <c r="K3912" s="1" t="s">
        <v>106</v>
      </c>
      <c r="L3912" s="1" t="s">
        <v>124</v>
      </c>
      <c r="N3912" s="1">
        <v>1</v>
      </c>
      <c r="O3912" s="58"/>
      <c r="P3912" s="58">
        <v>14851.95</v>
      </c>
      <c r="Q3912" t="s">
        <v>107</v>
      </c>
      <c r="R3912" s="1" t="s">
        <v>158</v>
      </c>
    </row>
    <row r="3913" spans="3:18" x14ac:dyDescent="0.35">
      <c r="C3913" t="s">
        <v>51</v>
      </c>
      <c r="D3913" t="s">
        <v>24</v>
      </c>
      <c r="E3913" t="s">
        <v>49</v>
      </c>
      <c r="F3913" t="s">
        <v>46</v>
      </c>
      <c r="G3913" s="58">
        <v>976668</v>
      </c>
      <c r="H3913" s="1" t="s">
        <v>48</v>
      </c>
      <c r="I3913" s="1" t="s">
        <v>108</v>
      </c>
      <c r="J3913" s="58">
        <v>29300040</v>
      </c>
      <c r="K3913" s="1" t="s">
        <v>106</v>
      </c>
      <c r="L3913" s="1" t="s">
        <v>124</v>
      </c>
      <c r="M3913" s="1" t="s">
        <v>121</v>
      </c>
      <c r="N3913" s="1">
        <v>1</v>
      </c>
      <c r="O3913" s="58"/>
      <c r="P3913" s="58">
        <v>507867.36</v>
      </c>
      <c r="Q3913" t="s">
        <v>113</v>
      </c>
      <c r="R3913" s="1" t="s">
        <v>48</v>
      </c>
    </row>
    <row r="3914" spans="3:18" x14ac:dyDescent="0.35">
      <c r="C3914" t="s">
        <v>51</v>
      </c>
      <c r="D3914" t="s">
        <v>20</v>
      </c>
      <c r="E3914" t="s">
        <v>49</v>
      </c>
      <c r="F3914" t="s">
        <v>46</v>
      </c>
      <c r="G3914" s="58">
        <v>21477842</v>
      </c>
      <c r="H3914" s="1" t="s">
        <v>54</v>
      </c>
      <c r="I3914" s="1" t="s">
        <v>108</v>
      </c>
      <c r="J3914" s="58">
        <v>536946050</v>
      </c>
      <c r="K3914" s="1" t="s">
        <v>106</v>
      </c>
      <c r="L3914" s="1" t="s">
        <v>124</v>
      </c>
      <c r="N3914" s="1">
        <v>1</v>
      </c>
      <c r="O3914" s="58"/>
      <c r="P3914" s="58">
        <v>5369460.5</v>
      </c>
      <c r="Q3914" t="s">
        <v>107</v>
      </c>
      <c r="R3914" s="1" t="s">
        <v>158</v>
      </c>
    </row>
    <row r="3915" spans="3:18" x14ac:dyDescent="0.35">
      <c r="C3915" t="s">
        <v>53</v>
      </c>
      <c r="D3915" t="s">
        <v>60</v>
      </c>
      <c r="E3915" t="s">
        <v>60</v>
      </c>
      <c r="F3915" t="s">
        <v>46</v>
      </c>
      <c r="G3915" s="58">
        <v>566956</v>
      </c>
      <c r="H3915" s="1" t="s">
        <v>90</v>
      </c>
      <c r="I3915" s="1" t="s">
        <v>105</v>
      </c>
      <c r="J3915" s="58">
        <v>2267824</v>
      </c>
      <c r="K3915" s="1" t="s">
        <v>106</v>
      </c>
      <c r="N3915" s="1">
        <v>1</v>
      </c>
      <c r="O3915" s="58"/>
      <c r="P3915" s="58">
        <v>413877.88</v>
      </c>
      <c r="Q3915" t="s">
        <v>118</v>
      </c>
      <c r="R3915" s="1" t="s">
        <v>90</v>
      </c>
    </row>
    <row r="3916" spans="3:18" x14ac:dyDescent="0.35">
      <c r="C3916" t="s">
        <v>51</v>
      </c>
      <c r="D3916" t="s">
        <v>19</v>
      </c>
      <c r="E3916" t="s">
        <v>49</v>
      </c>
      <c r="F3916" t="s">
        <v>46</v>
      </c>
      <c r="G3916" s="58">
        <v>272321</v>
      </c>
      <c r="H3916" s="1" t="s">
        <v>48</v>
      </c>
      <c r="I3916" s="1" t="s">
        <v>119</v>
      </c>
      <c r="J3916" s="58">
        <v>2178568</v>
      </c>
      <c r="K3916" s="1" t="s">
        <v>106</v>
      </c>
      <c r="L3916" s="1" t="s">
        <v>120</v>
      </c>
      <c r="M3916" s="1" t="s">
        <v>115</v>
      </c>
      <c r="N3916" s="1">
        <v>1</v>
      </c>
      <c r="O3916" s="58"/>
      <c r="P3916" s="58">
        <v>70803.460000000006</v>
      </c>
      <c r="Q3916" t="s">
        <v>107</v>
      </c>
      <c r="R3916" s="1" t="s">
        <v>158</v>
      </c>
    </row>
    <row r="3917" spans="3:18" x14ac:dyDescent="0.35">
      <c r="C3917" t="s">
        <v>53</v>
      </c>
      <c r="D3917" t="s">
        <v>21</v>
      </c>
      <c r="E3917" t="s">
        <v>45</v>
      </c>
      <c r="F3917" t="s">
        <v>46</v>
      </c>
      <c r="G3917" s="58">
        <v>208000</v>
      </c>
      <c r="H3917" s="1" t="s">
        <v>54</v>
      </c>
      <c r="I3917" s="1" t="s">
        <v>111</v>
      </c>
      <c r="J3917" s="58">
        <v>2496000</v>
      </c>
      <c r="K3917" s="1" t="s">
        <v>112</v>
      </c>
      <c r="N3917" s="1">
        <v>1</v>
      </c>
      <c r="O3917" s="58"/>
      <c r="P3917" s="58">
        <v>239200</v>
      </c>
      <c r="Q3917" t="s">
        <v>110</v>
      </c>
      <c r="R3917" s="1" t="s">
        <v>158</v>
      </c>
    </row>
    <row r="3918" spans="3:18" x14ac:dyDescent="0.35">
      <c r="C3918" t="s">
        <v>51</v>
      </c>
      <c r="D3918" t="s">
        <v>24</v>
      </c>
      <c r="E3918" t="s">
        <v>55</v>
      </c>
      <c r="F3918" t="s">
        <v>46</v>
      </c>
      <c r="G3918" s="58">
        <v>3167018</v>
      </c>
      <c r="H3918" s="1" t="s">
        <v>47</v>
      </c>
      <c r="I3918" s="1" t="s">
        <v>111</v>
      </c>
      <c r="J3918" s="58">
        <v>53839306</v>
      </c>
      <c r="K3918" s="1" t="s">
        <v>112</v>
      </c>
      <c r="N3918" s="1">
        <v>1</v>
      </c>
      <c r="O3918" s="58"/>
      <c r="P3918" s="58">
        <v>855094.86</v>
      </c>
      <c r="Q3918" t="s">
        <v>107</v>
      </c>
      <c r="R3918" s="1" t="s">
        <v>158</v>
      </c>
    </row>
    <row r="3919" spans="3:18" x14ac:dyDescent="0.35">
      <c r="C3919" t="s">
        <v>51</v>
      </c>
      <c r="D3919" t="s">
        <v>22</v>
      </c>
      <c r="E3919" t="s">
        <v>55</v>
      </c>
      <c r="F3919" t="s">
        <v>46</v>
      </c>
      <c r="G3919" s="58">
        <v>22270654</v>
      </c>
      <c r="H3919" s="1" t="s">
        <v>48</v>
      </c>
      <c r="I3919" s="1" t="s">
        <v>108</v>
      </c>
      <c r="J3919" s="58">
        <v>690390274</v>
      </c>
      <c r="K3919" s="1" t="s">
        <v>112</v>
      </c>
      <c r="N3919" s="1">
        <v>1</v>
      </c>
      <c r="O3919" s="58"/>
      <c r="P3919" s="58">
        <v>11358033.539999999</v>
      </c>
      <c r="Q3919" t="s">
        <v>113</v>
      </c>
      <c r="R3919" s="1" t="s">
        <v>48</v>
      </c>
    </row>
    <row r="3920" spans="3:18" x14ac:dyDescent="0.35">
      <c r="C3920" t="s">
        <v>53</v>
      </c>
      <c r="D3920" t="s">
        <v>92</v>
      </c>
      <c r="E3920" t="s">
        <v>49</v>
      </c>
      <c r="F3920" t="s">
        <v>46</v>
      </c>
      <c r="G3920" s="58">
        <v>252554</v>
      </c>
      <c r="H3920" s="1" t="s">
        <v>59</v>
      </c>
      <c r="I3920" s="1" t="s">
        <v>105</v>
      </c>
      <c r="J3920" s="58">
        <v>505108</v>
      </c>
      <c r="K3920" s="1" t="s">
        <v>106</v>
      </c>
      <c r="L3920" s="1" t="s">
        <v>124</v>
      </c>
      <c r="N3920" s="1">
        <v>1</v>
      </c>
      <c r="O3920" s="58"/>
      <c r="P3920" s="58">
        <v>70715.12</v>
      </c>
      <c r="Q3920" t="s">
        <v>107</v>
      </c>
      <c r="R3920" s="1" t="s">
        <v>158</v>
      </c>
    </row>
    <row r="3921" spans="3:18" x14ac:dyDescent="0.35">
      <c r="C3921" t="s">
        <v>53</v>
      </c>
      <c r="D3921" t="s">
        <v>21</v>
      </c>
      <c r="E3921" t="s">
        <v>49</v>
      </c>
      <c r="F3921" t="s">
        <v>46</v>
      </c>
      <c r="G3921" s="58">
        <v>98806419</v>
      </c>
      <c r="H3921" s="1" t="s">
        <v>47</v>
      </c>
      <c r="I3921" s="1" t="s">
        <v>105</v>
      </c>
      <c r="J3921" s="58">
        <v>296419257</v>
      </c>
      <c r="K3921" s="1" t="s">
        <v>106</v>
      </c>
      <c r="L3921" s="1" t="s">
        <v>124</v>
      </c>
      <c r="N3921" s="1">
        <v>1</v>
      </c>
      <c r="O3921" s="58"/>
      <c r="P3921" s="58">
        <v>13832898.66</v>
      </c>
      <c r="Q3921" t="s">
        <v>107</v>
      </c>
      <c r="R3921" s="1" t="s">
        <v>158</v>
      </c>
    </row>
    <row r="3922" spans="3:18" x14ac:dyDescent="0.35">
      <c r="C3922" t="s">
        <v>51</v>
      </c>
      <c r="D3922" t="s">
        <v>24</v>
      </c>
      <c r="E3922" t="s">
        <v>45</v>
      </c>
      <c r="F3922" t="s">
        <v>46</v>
      </c>
      <c r="G3922" s="58">
        <v>417306</v>
      </c>
      <c r="H3922" s="1" t="s">
        <v>47</v>
      </c>
      <c r="I3922" s="1" t="s">
        <v>108</v>
      </c>
      <c r="J3922" s="58">
        <v>13771098</v>
      </c>
      <c r="K3922" s="1" t="s">
        <v>106</v>
      </c>
      <c r="L3922" s="1" t="s">
        <v>120</v>
      </c>
      <c r="N3922" s="1">
        <v>1</v>
      </c>
      <c r="O3922" s="58"/>
      <c r="P3922" s="58">
        <v>450690.48</v>
      </c>
      <c r="Q3922" t="s">
        <v>110</v>
      </c>
      <c r="R3922" s="1" t="s">
        <v>158</v>
      </c>
    </row>
    <row r="3923" spans="3:18" x14ac:dyDescent="0.35">
      <c r="C3923" t="s">
        <v>51</v>
      </c>
      <c r="D3923" t="s">
        <v>21</v>
      </c>
      <c r="E3923" t="s">
        <v>49</v>
      </c>
      <c r="F3923" t="s">
        <v>64</v>
      </c>
      <c r="G3923" s="58">
        <v>1033863</v>
      </c>
      <c r="H3923" s="1" t="s">
        <v>48</v>
      </c>
      <c r="I3923" s="1" t="s">
        <v>108</v>
      </c>
      <c r="J3923" s="58">
        <v>36185205</v>
      </c>
      <c r="K3923" s="1" t="s">
        <v>112</v>
      </c>
      <c r="N3923" s="1">
        <v>1</v>
      </c>
      <c r="O3923" s="58"/>
      <c r="P3923" s="58">
        <v>827090.4</v>
      </c>
      <c r="Q3923" t="s">
        <v>127</v>
      </c>
      <c r="R3923" s="1" t="s">
        <v>158</v>
      </c>
    </row>
    <row r="3924" spans="3:18" x14ac:dyDescent="0.35">
      <c r="C3924" t="s">
        <v>53</v>
      </c>
      <c r="D3924" t="s">
        <v>23</v>
      </c>
      <c r="E3924" t="s">
        <v>55</v>
      </c>
      <c r="F3924" t="s">
        <v>46</v>
      </c>
      <c r="G3924" s="58">
        <v>11997501</v>
      </c>
      <c r="H3924" s="1" t="s">
        <v>47</v>
      </c>
      <c r="I3924" s="1" t="s">
        <v>119</v>
      </c>
      <c r="J3924" s="58">
        <v>95980008</v>
      </c>
      <c r="K3924" s="1" t="s">
        <v>106</v>
      </c>
      <c r="L3924" s="1" t="s">
        <v>114</v>
      </c>
      <c r="N3924" s="1">
        <v>1</v>
      </c>
      <c r="O3924" s="58"/>
      <c r="P3924" s="58">
        <v>5518850.46</v>
      </c>
      <c r="Q3924" t="s">
        <v>113</v>
      </c>
      <c r="R3924" s="1" t="s">
        <v>158</v>
      </c>
    </row>
    <row r="3925" spans="3:18" x14ac:dyDescent="0.35">
      <c r="C3925" t="s">
        <v>53</v>
      </c>
      <c r="D3925" t="s">
        <v>23</v>
      </c>
      <c r="E3925" t="s">
        <v>55</v>
      </c>
      <c r="F3925" t="s">
        <v>46</v>
      </c>
      <c r="G3925" s="58">
        <v>115901</v>
      </c>
      <c r="H3925" s="1" t="s">
        <v>47</v>
      </c>
      <c r="I3925" s="1" t="s">
        <v>108</v>
      </c>
      <c r="J3925" s="58">
        <v>3129327</v>
      </c>
      <c r="K3925" s="1" t="s">
        <v>106</v>
      </c>
      <c r="L3925" s="1" t="s">
        <v>114</v>
      </c>
      <c r="N3925" s="1">
        <v>1</v>
      </c>
      <c r="O3925" s="58"/>
      <c r="P3925" s="58">
        <v>25498.22</v>
      </c>
      <c r="Q3925" t="s">
        <v>107</v>
      </c>
      <c r="R3925" s="1" t="s">
        <v>158</v>
      </c>
    </row>
    <row r="3926" spans="3:18" x14ac:dyDescent="0.35">
      <c r="C3926" t="s">
        <v>53</v>
      </c>
      <c r="D3926" t="s">
        <v>92</v>
      </c>
      <c r="E3926" t="s">
        <v>45</v>
      </c>
      <c r="F3926" t="s">
        <v>46</v>
      </c>
      <c r="G3926" s="58">
        <v>2212018</v>
      </c>
      <c r="H3926" s="1" t="s">
        <v>59</v>
      </c>
      <c r="I3926" s="1" t="s">
        <v>111</v>
      </c>
      <c r="J3926" s="58">
        <v>24332198</v>
      </c>
      <c r="K3926" s="1" t="s">
        <v>106</v>
      </c>
      <c r="L3926" s="1" t="s">
        <v>120</v>
      </c>
      <c r="N3926" s="1">
        <v>1</v>
      </c>
      <c r="O3926" s="58"/>
      <c r="P3926" s="58">
        <v>1194489.72</v>
      </c>
      <c r="Q3926" t="s">
        <v>113</v>
      </c>
      <c r="R3926" s="1" t="s">
        <v>158</v>
      </c>
    </row>
    <row r="3927" spans="3:18" x14ac:dyDescent="0.35">
      <c r="C3927" t="s">
        <v>53</v>
      </c>
      <c r="D3927" t="s">
        <v>22</v>
      </c>
      <c r="E3927" t="s">
        <v>45</v>
      </c>
      <c r="F3927" t="s">
        <v>46</v>
      </c>
      <c r="G3927" s="58">
        <v>110106</v>
      </c>
      <c r="H3927" s="1" t="s">
        <v>48</v>
      </c>
      <c r="I3927" s="1" t="s">
        <v>119</v>
      </c>
      <c r="J3927" s="58">
        <v>990954</v>
      </c>
      <c r="K3927" s="1" t="s">
        <v>106</v>
      </c>
      <c r="L3927" s="1" t="s">
        <v>120</v>
      </c>
      <c r="M3927" s="1" t="s">
        <v>115</v>
      </c>
      <c r="N3927" s="1">
        <v>1</v>
      </c>
      <c r="O3927" s="58"/>
      <c r="P3927" s="58">
        <v>78175.259999999995</v>
      </c>
      <c r="Q3927" t="s">
        <v>118</v>
      </c>
      <c r="R3927" s="1" t="s">
        <v>158</v>
      </c>
    </row>
    <row r="3928" spans="3:18" x14ac:dyDescent="0.35">
      <c r="C3928" t="s">
        <v>51</v>
      </c>
      <c r="D3928" t="s">
        <v>24</v>
      </c>
      <c r="E3928" t="s">
        <v>52</v>
      </c>
      <c r="F3928" t="s">
        <v>46</v>
      </c>
      <c r="G3928" s="58">
        <v>90309</v>
      </c>
      <c r="H3928" s="1" t="s">
        <v>48</v>
      </c>
      <c r="I3928" s="1" t="s">
        <v>108</v>
      </c>
      <c r="J3928" s="58">
        <v>3160815</v>
      </c>
      <c r="K3928" s="1" t="s">
        <v>106</v>
      </c>
      <c r="L3928" s="1" t="s">
        <v>130</v>
      </c>
      <c r="M3928" s="1" t="s">
        <v>121</v>
      </c>
      <c r="N3928" s="1">
        <v>1</v>
      </c>
      <c r="O3928" s="58"/>
      <c r="P3928" s="58">
        <v>135463.5</v>
      </c>
      <c r="Q3928" t="s">
        <v>110</v>
      </c>
      <c r="R3928" s="1" t="s">
        <v>48</v>
      </c>
    </row>
    <row r="3929" spans="3:18" x14ac:dyDescent="0.35">
      <c r="C3929" t="s">
        <v>51</v>
      </c>
      <c r="D3929" t="s">
        <v>21</v>
      </c>
      <c r="E3929" t="s">
        <v>49</v>
      </c>
      <c r="F3929" t="s">
        <v>46</v>
      </c>
      <c r="G3929" s="58">
        <v>17857640</v>
      </c>
      <c r="H3929" s="1" t="s">
        <v>48</v>
      </c>
      <c r="I3929" s="1" t="s">
        <v>111</v>
      </c>
      <c r="J3929" s="58">
        <v>285722240</v>
      </c>
      <c r="K3929" s="1" t="s">
        <v>106</v>
      </c>
      <c r="L3929" s="1" t="s">
        <v>124</v>
      </c>
      <c r="M3929" s="1" t="s">
        <v>126</v>
      </c>
      <c r="N3929" s="1">
        <v>1</v>
      </c>
      <c r="O3929" s="58"/>
      <c r="P3929" s="58">
        <v>8750243.5999999996</v>
      </c>
      <c r="Q3929" t="s">
        <v>113</v>
      </c>
      <c r="R3929" s="1" t="s">
        <v>48</v>
      </c>
    </row>
    <row r="3930" spans="3:18" x14ac:dyDescent="0.35">
      <c r="C3930" t="s">
        <v>53</v>
      </c>
      <c r="D3930" t="s">
        <v>20</v>
      </c>
      <c r="E3930" t="s">
        <v>49</v>
      </c>
      <c r="F3930" t="s">
        <v>46</v>
      </c>
      <c r="G3930" s="58">
        <v>905256</v>
      </c>
      <c r="H3930" s="1" t="s">
        <v>54</v>
      </c>
      <c r="I3930" s="1" t="s">
        <v>119</v>
      </c>
      <c r="J3930" s="58">
        <v>6336792</v>
      </c>
      <c r="K3930" s="1" t="s">
        <v>106</v>
      </c>
      <c r="L3930" s="1" t="s">
        <v>124</v>
      </c>
      <c r="N3930" s="1">
        <v>1</v>
      </c>
      <c r="O3930" s="58"/>
      <c r="P3930" s="58">
        <v>452628</v>
      </c>
      <c r="Q3930" t="s">
        <v>113</v>
      </c>
      <c r="R3930" s="1" t="s">
        <v>158</v>
      </c>
    </row>
    <row r="3931" spans="3:18" x14ac:dyDescent="0.35">
      <c r="C3931" t="s">
        <v>51</v>
      </c>
      <c r="D3931" t="s">
        <v>21</v>
      </c>
      <c r="E3931" t="s">
        <v>49</v>
      </c>
      <c r="F3931" t="s">
        <v>46</v>
      </c>
      <c r="G3931" s="58">
        <v>96256</v>
      </c>
      <c r="H3931" s="1" t="s">
        <v>47</v>
      </c>
      <c r="I3931" s="1" t="s">
        <v>105</v>
      </c>
      <c r="J3931" s="58">
        <v>385024</v>
      </c>
      <c r="K3931" s="1" t="s">
        <v>106</v>
      </c>
      <c r="L3931" s="1" t="s">
        <v>116</v>
      </c>
      <c r="N3931" s="1">
        <v>1</v>
      </c>
      <c r="O3931" s="58"/>
      <c r="P3931" s="58">
        <v>16363.52</v>
      </c>
      <c r="Q3931" t="s">
        <v>107</v>
      </c>
      <c r="R3931" s="1" t="s">
        <v>158</v>
      </c>
    </row>
    <row r="3932" spans="3:18" x14ac:dyDescent="0.35">
      <c r="C3932" t="s">
        <v>51</v>
      </c>
      <c r="D3932" t="s">
        <v>23</v>
      </c>
      <c r="E3932" t="s">
        <v>49</v>
      </c>
      <c r="F3932" t="s">
        <v>46</v>
      </c>
      <c r="G3932" s="58">
        <v>3956954</v>
      </c>
      <c r="H3932" s="1" t="s">
        <v>56</v>
      </c>
      <c r="I3932" s="1" t="s">
        <v>108</v>
      </c>
      <c r="J3932" s="58">
        <v>98923850</v>
      </c>
      <c r="K3932" s="1" t="s">
        <v>106</v>
      </c>
      <c r="L3932" s="1" t="s">
        <v>124</v>
      </c>
      <c r="N3932" s="1">
        <v>1</v>
      </c>
      <c r="O3932" s="58"/>
      <c r="P3932" s="58">
        <v>2018046.54</v>
      </c>
      <c r="Q3932" t="s">
        <v>113</v>
      </c>
      <c r="R3932" s="1" t="s">
        <v>158</v>
      </c>
    </row>
    <row r="3933" spans="3:18" x14ac:dyDescent="0.35">
      <c r="C3933" t="s">
        <v>51</v>
      </c>
      <c r="D3933" t="s">
        <v>23</v>
      </c>
      <c r="E3933" t="s">
        <v>49</v>
      </c>
      <c r="F3933" t="s">
        <v>46</v>
      </c>
      <c r="G3933" s="58">
        <v>283330</v>
      </c>
      <c r="H3933" s="1" t="s">
        <v>54</v>
      </c>
      <c r="I3933" s="1" t="s">
        <v>108</v>
      </c>
      <c r="J3933" s="58">
        <v>9916550</v>
      </c>
      <c r="K3933" s="1" t="s">
        <v>112</v>
      </c>
      <c r="N3933" s="1">
        <v>1</v>
      </c>
      <c r="O3933" s="58"/>
      <c r="P3933" s="58">
        <v>240830.5</v>
      </c>
      <c r="Q3933" t="s">
        <v>127</v>
      </c>
      <c r="R3933" s="1" t="s">
        <v>158</v>
      </c>
    </row>
    <row r="3934" spans="3:18" x14ac:dyDescent="0.35">
      <c r="C3934" t="s">
        <v>51</v>
      </c>
      <c r="D3934" t="s">
        <v>21</v>
      </c>
      <c r="E3934" t="s">
        <v>49</v>
      </c>
      <c r="F3934" t="s">
        <v>46</v>
      </c>
      <c r="G3934" s="58">
        <v>211261809</v>
      </c>
      <c r="H3934" s="1" t="s">
        <v>47</v>
      </c>
      <c r="I3934" s="1" t="s">
        <v>108</v>
      </c>
      <c r="J3934" s="58">
        <v>5281545225</v>
      </c>
      <c r="K3934" s="1" t="s">
        <v>106</v>
      </c>
      <c r="L3934" s="1" t="s">
        <v>124</v>
      </c>
      <c r="N3934" s="1">
        <v>1</v>
      </c>
      <c r="O3934" s="58"/>
      <c r="P3934" s="58">
        <v>59153306.520000003</v>
      </c>
      <c r="Q3934" t="s">
        <v>107</v>
      </c>
      <c r="R3934" s="1" t="s">
        <v>158</v>
      </c>
    </row>
    <row r="3935" spans="3:18" x14ac:dyDescent="0.35">
      <c r="C3935" t="s">
        <v>51</v>
      </c>
      <c r="D3935" t="s">
        <v>21</v>
      </c>
      <c r="E3935" t="s">
        <v>49</v>
      </c>
      <c r="F3935" t="s">
        <v>46</v>
      </c>
      <c r="G3935" s="58">
        <v>256361</v>
      </c>
      <c r="H3935" s="1" t="s">
        <v>56</v>
      </c>
      <c r="I3935" s="1" t="s">
        <v>108</v>
      </c>
      <c r="J3935" s="58">
        <v>8716274</v>
      </c>
      <c r="K3935" s="1" t="s">
        <v>106</v>
      </c>
      <c r="L3935" s="1" t="s">
        <v>120</v>
      </c>
      <c r="N3935" s="1">
        <v>1</v>
      </c>
      <c r="O3935" s="58"/>
      <c r="P3935" s="58">
        <v>215343.24</v>
      </c>
      <c r="Q3935" t="s">
        <v>127</v>
      </c>
      <c r="R3935" s="1" t="s">
        <v>158</v>
      </c>
    </row>
    <row r="3936" spans="3:18" x14ac:dyDescent="0.35">
      <c r="C3936" t="s">
        <v>51</v>
      </c>
      <c r="D3936" t="s">
        <v>22</v>
      </c>
      <c r="E3936" t="s">
        <v>55</v>
      </c>
      <c r="F3936" t="s">
        <v>46</v>
      </c>
      <c r="G3936" s="58">
        <v>307285</v>
      </c>
      <c r="H3936" s="1" t="s">
        <v>48</v>
      </c>
      <c r="I3936" s="1" t="s">
        <v>108</v>
      </c>
      <c r="J3936" s="58">
        <v>8603980</v>
      </c>
      <c r="K3936" s="1" t="s">
        <v>106</v>
      </c>
      <c r="L3936" s="1" t="s">
        <v>130</v>
      </c>
      <c r="M3936" s="1" t="s">
        <v>115</v>
      </c>
      <c r="N3936" s="1">
        <v>1</v>
      </c>
      <c r="O3936" s="58"/>
      <c r="P3936" s="58">
        <v>227390.9</v>
      </c>
      <c r="Q3936" t="s">
        <v>118</v>
      </c>
      <c r="R3936" s="1" t="s">
        <v>48</v>
      </c>
    </row>
    <row r="3937" spans="3:18" x14ac:dyDescent="0.35">
      <c r="C3937" t="s">
        <v>51</v>
      </c>
      <c r="D3937" t="s">
        <v>22</v>
      </c>
      <c r="E3937" t="s">
        <v>49</v>
      </c>
      <c r="F3937" t="s">
        <v>46</v>
      </c>
      <c r="G3937" s="58">
        <v>422360</v>
      </c>
      <c r="H3937" s="1" t="s">
        <v>58</v>
      </c>
      <c r="I3937" s="1" t="s">
        <v>108</v>
      </c>
      <c r="J3937" s="58">
        <v>10981360</v>
      </c>
      <c r="K3937" s="1" t="s">
        <v>106</v>
      </c>
      <c r="L3937" s="1" t="s">
        <v>124</v>
      </c>
      <c r="N3937" s="1">
        <v>1</v>
      </c>
      <c r="O3937" s="58"/>
      <c r="P3937" s="58">
        <v>92919.2</v>
      </c>
      <c r="Q3937" t="s">
        <v>107</v>
      </c>
      <c r="R3937" s="1" t="s">
        <v>158</v>
      </c>
    </row>
    <row r="3938" spans="3:18" x14ac:dyDescent="0.35">
      <c r="C3938" t="s">
        <v>51</v>
      </c>
      <c r="D3938" t="s">
        <v>24</v>
      </c>
      <c r="E3938" t="s">
        <v>62</v>
      </c>
      <c r="F3938" t="s">
        <v>46</v>
      </c>
      <c r="G3938" s="58">
        <v>4887955</v>
      </c>
      <c r="H3938" s="1" t="s">
        <v>48</v>
      </c>
      <c r="I3938" s="1" t="s">
        <v>111</v>
      </c>
      <c r="J3938" s="58">
        <v>73319325</v>
      </c>
      <c r="K3938" s="1" t="s">
        <v>106</v>
      </c>
      <c r="L3938" s="1" t="s">
        <v>131</v>
      </c>
      <c r="M3938" s="1" t="s">
        <v>121</v>
      </c>
      <c r="N3938" s="1">
        <v>1</v>
      </c>
      <c r="O3938" s="58"/>
      <c r="P3938" s="58">
        <v>1270868.3</v>
      </c>
      <c r="Q3938" t="s">
        <v>107</v>
      </c>
      <c r="R3938" s="1" t="s">
        <v>48</v>
      </c>
    </row>
    <row r="3939" spans="3:18" x14ac:dyDescent="0.35">
      <c r="C3939" t="s">
        <v>53</v>
      </c>
      <c r="D3939" t="s">
        <v>22</v>
      </c>
      <c r="E3939" t="s">
        <v>45</v>
      </c>
      <c r="F3939" t="s">
        <v>46</v>
      </c>
      <c r="G3939" s="58">
        <v>4427596</v>
      </c>
      <c r="H3939" s="1" t="s">
        <v>54</v>
      </c>
      <c r="I3939" s="1" t="s">
        <v>111</v>
      </c>
      <c r="J3939" s="58">
        <v>48703556</v>
      </c>
      <c r="K3939" s="1" t="s">
        <v>106</v>
      </c>
      <c r="L3939" s="1" t="s">
        <v>114</v>
      </c>
      <c r="N3939" s="1">
        <v>1</v>
      </c>
      <c r="O3939" s="58"/>
      <c r="P3939" s="58">
        <v>1328278.8</v>
      </c>
      <c r="Q3939" t="s">
        <v>107</v>
      </c>
      <c r="R3939" s="1" t="s">
        <v>158</v>
      </c>
    </row>
    <row r="3940" spans="3:18" x14ac:dyDescent="0.35">
      <c r="C3940" t="s">
        <v>51</v>
      </c>
      <c r="D3940" t="s">
        <v>24</v>
      </c>
      <c r="E3940" t="s">
        <v>55</v>
      </c>
      <c r="F3940" t="s">
        <v>46</v>
      </c>
      <c r="G3940" s="58">
        <v>48505162</v>
      </c>
      <c r="H3940" s="1" t="s">
        <v>47</v>
      </c>
      <c r="I3940" s="1" t="s">
        <v>108</v>
      </c>
      <c r="J3940" s="58">
        <v>1455154860</v>
      </c>
      <c r="K3940" s="1" t="s">
        <v>106</v>
      </c>
      <c r="L3940" s="1" t="s">
        <v>114</v>
      </c>
      <c r="N3940" s="1">
        <v>1</v>
      </c>
      <c r="O3940" s="58"/>
      <c r="P3940" s="58">
        <v>41714439.32</v>
      </c>
      <c r="Q3940" t="s">
        <v>127</v>
      </c>
      <c r="R3940" s="1" t="s">
        <v>158</v>
      </c>
    </row>
    <row r="3941" spans="3:18" x14ac:dyDescent="0.35">
      <c r="C3941" t="s">
        <v>53</v>
      </c>
      <c r="D3941" t="s">
        <v>22</v>
      </c>
      <c r="E3941" t="s">
        <v>45</v>
      </c>
      <c r="F3941" t="s">
        <v>46</v>
      </c>
      <c r="G3941" s="58">
        <v>49292</v>
      </c>
      <c r="H3941" s="1" t="s">
        <v>47</v>
      </c>
      <c r="I3941" s="1" t="s">
        <v>111</v>
      </c>
      <c r="J3941" s="58">
        <v>837964</v>
      </c>
      <c r="K3941" s="1" t="s">
        <v>106</v>
      </c>
      <c r="L3941" s="1" t="s">
        <v>120</v>
      </c>
      <c r="N3941" s="1">
        <v>1</v>
      </c>
      <c r="O3941" s="58"/>
      <c r="P3941" s="58">
        <v>48306.16</v>
      </c>
      <c r="Q3941" t="s">
        <v>127</v>
      </c>
      <c r="R3941" s="1" t="s">
        <v>158</v>
      </c>
    </row>
    <row r="3942" spans="3:18" x14ac:dyDescent="0.35">
      <c r="C3942" t="s">
        <v>51</v>
      </c>
      <c r="D3942" t="s">
        <v>23</v>
      </c>
      <c r="E3942" t="s">
        <v>50</v>
      </c>
      <c r="F3942" t="s">
        <v>46</v>
      </c>
      <c r="G3942" s="58">
        <v>23000857</v>
      </c>
      <c r="H3942" s="1" t="s">
        <v>48</v>
      </c>
      <c r="I3942" s="1" t="s">
        <v>108</v>
      </c>
      <c r="J3942" s="58">
        <v>782029138</v>
      </c>
      <c r="K3942" s="1" t="s">
        <v>106</v>
      </c>
      <c r="L3942" s="1" t="s">
        <v>109</v>
      </c>
      <c r="M3942" s="1" t="s">
        <v>125</v>
      </c>
      <c r="N3942" s="1">
        <v>1</v>
      </c>
      <c r="O3942" s="58"/>
      <c r="P3942" s="58">
        <v>19090711.309999999</v>
      </c>
      <c r="Q3942" t="s">
        <v>127</v>
      </c>
      <c r="R3942" s="1" t="s">
        <v>48</v>
      </c>
    </row>
    <row r="3943" spans="3:18" x14ac:dyDescent="0.35">
      <c r="C3943" t="s">
        <v>51</v>
      </c>
      <c r="D3943" t="s">
        <v>23</v>
      </c>
      <c r="E3943" t="s">
        <v>45</v>
      </c>
      <c r="F3943" t="s">
        <v>46</v>
      </c>
      <c r="G3943" s="58">
        <v>3094987</v>
      </c>
      <c r="H3943" s="1" t="s">
        <v>47</v>
      </c>
      <c r="I3943" s="1" t="s">
        <v>108</v>
      </c>
      <c r="J3943" s="58">
        <v>86659636</v>
      </c>
      <c r="K3943" s="1" t="s">
        <v>106</v>
      </c>
      <c r="L3943" s="1" t="s">
        <v>120</v>
      </c>
      <c r="N3943" s="1">
        <v>1</v>
      </c>
      <c r="O3943" s="58"/>
      <c r="P3943" s="58">
        <v>3744934.27</v>
      </c>
      <c r="Q3943" t="s">
        <v>110</v>
      </c>
      <c r="R3943" s="1" t="s">
        <v>158</v>
      </c>
    </row>
    <row r="3944" spans="3:18" x14ac:dyDescent="0.35">
      <c r="C3944" t="s">
        <v>51</v>
      </c>
      <c r="D3944" t="s">
        <v>22</v>
      </c>
      <c r="E3944" t="s">
        <v>49</v>
      </c>
      <c r="F3944" t="s">
        <v>46</v>
      </c>
      <c r="G3944" s="58">
        <v>5694782</v>
      </c>
      <c r="H3944" s="1" t="s">
        <v>59</v>
      </c>
      <c r="I3944" s="1" t="s">
        <v>105</v>
      </c>
      <c r="J3944" s="58">
        <v>17084346</v>
      </c>
      <c r="K3944" s="1" t="s">
        <v>106</v>
      </c>
      <c r="L3944" s="1" t="s">
        <v>124</v>
      </c>
      <c r="N3944" s="1">
        <v>1</v>
      </c>
      <c r="O3944" s="58"/>
      <c r="P3944" s="58">
        <v>854217.3</v>
      </c>
      <c r="Q3944" t="s">
        <v>107</v>
      </c>
      <c r="R3944" s="1" t="s">
        <v>158</v>
      </c>
    </row>
    <row r="3945" spans="3:18" x14ac:dyDescent="0.35">
      <c r="C3945" t="s">
        <v>51</v>
      </c>
      <c r="D3945" t="s">
        <v>23</v>
      </c>
      <c r="E3945" t="s">
        <v>50</v>
      </c>
      <c r="F3945" t="s">
        <v>46</v>
      </c>
      <c r="G3945" s="58">
        <v>38655</v>
      </c>
      <c r="H3945" s="1" t="s">
        <v>48</v>
      </c>
      <c r="I3945" s="1" t="s">
        <v>119</v>
      </c>
      <c r="J3945" s="58">
        <v>386550</v>
      </c>
      <c r="K3945" s="1" t="s">
        <v>106</v>
      </c>
      <c r="L3945" s="1" t="s">
        <v>109</v>
      </c>
      <c r="M3945" s="1" t="s">
        <v>125</v>
      </c>
      <c r="N3945" s="1">
        <v>1</v>
      </c>
      <c r="O3945" s="58"/>
      <c r="P3945" s="58">
        <v>5025.1499999999996</v>
      </c>
      <c r="Q3945" t="s">
        <v>107</v>
      </c>
      <c r="R3945" s="1" t="s">
        <v>158</v>
      </c>
    </row>
    <row r="3946" spans="3:18" x14ac:dyDescent="0.35">
      <c r="C3946" t="s">
        <v>51</v>
      </c>
      <c r="D3946" t="s">
        <v>22</v>
      </c>
      <c r="E3946" t="s">
        <v>55</v>
      </c>
      <c r="F3946" t="s">
        <v>46</v>
      </c>
      <c r="G3946" s="58">
        <v>838205</v>
      </c>
      <c r="H3946" s="1" t="s">
        <v>48</v>
      </c>
      <c r="I3946" s="1" t="s">
        <v>111</v>
      </c>
      <c r="J3946" s="58">
        <v>14249485</v>
      </c>
      <c r="K3946" s="1" t="s">
        <v>112</v>
      </c>
      <c r="N3946" s="1">
        <v>1</v>
      </c>
      <c r="O3946" s="58"/>
      <c r="P3946" s="58">
        <v>695710.15</v>
      </c>
      <c r="Q3946" t="s">
        <v>127</v>
      </c>
      <c r="R3946" s="1" t="s">
        <v>48</v>
      </c>
    </row>
    <row r="3947" spans="3:18" x14ac:dyDescent="0.35">
      <c r="C3947" t="s">
        <v>51</v>
      </c>
      <c r="D3947" t="s">
        <v>22</v>
      </c>
      <c r="E3947" t="s">
        <v>45</v>
      </c>
      <c r="F3947" t="s">
        <v>46</v>
      </c>
      <c r="G3947" s="58">
        <v>48357</v>
      </c>
      <c r="H3947" s="1" t="s">
        <v>48</v>
      </c>
      <c r="I3947" s="1" t="s">
        <v>111</v>
      </c>
      <c r="J3947" s="58">
        <v>531927</v>
      </c>
      <c r="K3947" s="1" t="s">
        <v>106</v>
      </c>
      <c r="L3947" s="1" t="s">
        <v>124</v>
      </c>
      <c r="M3947" s="1" t="s">
        <v>115</v>
      </c>
      <c r="N3947" s="1">
        <v>1</v>
      </c>
      <c r="O3947" s="58"/>
      <c r="P3947" s="58">
        <v>26596.35</v>
      </c>
      <c r="Q3947" t="s">
        <v>113</v>
      </c>
      <c r="R3947" s="1" t="s">
        <v>158</v>
      </c>
    </row>
    <row r="3948" spans="3:18" x14ac:dyDescent="0.35">
      <c r="C3948" t="s">
        <v>51</v>
      </c>
      <c r="D3948" t="s">
        <v>21</v>
      </c>
      <c r="E3948" t="s">
        <v>62</v>
      </c>
      <c r="F3948" t="s">
        <v>46</v>
      </c>
      <c r="G3948" s="58">
        <v>1139312</v>
      </c>
      <c r="H3948" s="1" t="s">
        <v>48</v>
      </c>
      <c r="I3948" s="1" t="s">
        <v>108</v>
      </c>
      <c r="J3948" s="58">
        <v>36457984</v>
      </c>
      <c r="K3948" s="1" t="s">
        <v>106</v>
      </c>
      <c r="L3948" s="1" t="s">
        <v>131</v>
      </c>
      <c r="M3948" s="1" t="s">
        <v>126</v>
      </c>
      <c r="N3948" s="1">
        <v>1</v>
      </c>
      <c r="O3948" s="58"/>
      <c r="P3948" s="58">
        <v>854484</v>
      </c>
      <c r="Q3948" t="s">
        <v>118</v>
      </c>
      <c r="R3948" s="1" t="s">
        <v>48</v>
      </c>
    </row>
    <row r="3949" spans="3:18" x14ac:dyDescent="0.35">
      <c r="C3949" t="s">
        <v>53</v>
      </c>
      <c r="D3949" t="s">
        <v>22</v>
      </c>
      <c r="E3949" t="s">
        <v>49</v>
      </c>
      <c r="F3949" t="s">
        <v>46</v>
      </c>
      <c r="G3949" s="58">
        <v>237398</v>
      </c>
      <c r="H3949" s="1" t="s">
        <v>54</v>
      </c>
      <c r="I3949" s="1" t="s">
        <v>108</v>
      </c>
      <c r="J3949" s="58">
        <v>6172348</v>
      </c>
      <c r="K3949" s="1" t="s">
        <v>106</v>
      </c>
      <c r="L3949" s="1" t="s">
        <v>124</v>
      </c>
      <c r="N3949" s="1">
        <v>1</v>
      </c>
      <c r="O3949" s="58"/>
      <c r="P3949" s="58">
        <v>18991.84</v>
      </c>
      <c r="Q3949" t="s">
        <v>107</v>
      </c>
      <c r="R3949" s="1" t="s">
        <v>158</v>
      </c>
    </row>
    <row r="3950" spans="3:18" x14ac:dyDescent="0.35">
      <c r="C3950" t="s">
        <v>51</v>
      </c>
      <c r="D3950" t="s">
        <v>23</v>
      </c>
      <c r="E3950" t="s">
        <v>50</v>
      </c>
      <c r="F3950" t="s">
        <v>46</v>
      </c>
      <c r="G3950" s="58">
        <v>68104</v>
      </c>
      <c r="H3950" s="1" t="s">
        <v>48</v>
      </c>
      <c r="I3950" s="1" t="s">
        <v>111</v>
      </c>
      <c r="J3950" s="58">
        <v>953456</v>
      </c>
      <c r="K3950" s="1" t="s">
        <v>106</v>
      </c>
      <c r="L3950" s="1" t="s">
        <v>114</v>
      </c>
      <c r="M3950" s="1" t="s">
        <v>125</v>
      </c>
      <c r="N3950" s="1">
        <v>1</v>
      </c>
      <c r="O3950" s="58"/>
      <c r="P3950" s="58">
        <v>30646.799999999999</v>
      </c>
      <c r="Q3950" t="s">
        <v>113</v>
      </c>
      <c r="R3950" s="1" t="s">
        <v>158</v>
      </c>
    </row>
    <row r="3951" spans="3:18" x14ac:dyDescent="0.35">
      <c r="C3951" t="s">
        <v>51</v>
      </c>
      <c r="D3951" t="s">
        <v>91</v>
      </c>
      <c r="E3951" t="s">
        <v>49</v>
      </c>
      <c r="F3951" t="s">
        <v>46</v>
      </c>
      <c r="G3951" s="58">
        <v>10060452</v>
      </c>
      <c r="H3951" s="1" t="s">
        <v>47</v>
      </c>
      <c r="I3951" s="1" t="s">
        <v>119</v>
      </c>
      <c r="J3951" s="58">
        <v>70423164</v>
      </c>
      <c r="K3951" s="1" t="s">
        <v>106</v>
      </c>
      <c r="L3951" s="1" t="s">
        <v>124</v>
      </c>
      <c r="N3951" s="1">
        <v>1</v>
      </c>
      <c r="O3951" s="58"/>
      <c r="P3951" s="58">
        <v>2012090.4</v>
      </c>
      <c r="Q3951" t="s">
        <v>107</v>
      </c>
      <c r="R3951" s="1" t="s">
        <v>158</v>
      </c>
    </row>
    <row r="3952" spans="3:18" x14ac:dyDescent="0.35">
      <c r="C3952" t="s">
        <v>51</v>
      </c>
      <c r="D3952" t="s">
        <v>92</v>
      </c>
      <c r="E3952" t="s">
        <v>49</v>
      </c>
      <c r="F3952" t="s">
        <v>46</v>
      </c>
      <c r="G3952" s="58">
        <v>27432856</v>
      </c>
      <c r="H3952" s="1" t="s">
        <v>54</v>
      </c>
      <c r="I3952" s="1" t="s">
        <v>111</v>
      </c>
      <c r="J3952" s="58">
        <v>384059984</v>
      </c>
      <c r="K3952" s="1" t="s">
        <v>106</v>
      </c>
      <c r="L3952" s="1" t="s">
        <v>124</v>
      </c>
      <c r="N3952" s="1">
        <v>1</v>
      </c>
      <c r="O3952" s="58"/>
      <c r="P3952" s="58">
        <v>7132542.5599999996</v>
      </c>
      <c r="Q3952" t="s">
        <v>107</v>
      </c>
      <c r="R3952" s="1" t="s">
        <v>158</v>
      </c>
    </row>
    <row r="3953" spans="3:18" x14ac:dyDescent="0.35">
      <c r="C3953" t="s">
        <v>51</v>
      </c>
      <c r="D3953" t="s">
        <v>92</v>
      </c>
      <c r="E3953" t="s">
        <v>45</v>
      </c>
      <c r="F3953" t="s">
        <v>46</v>
      </c>
      <c r="G3953" s="58">
        <v>98339</v>
      </c>
      <c r="H3953" s="1" t="s">
        <v>47</v>
      </c>
      <c r="I3953" s="1" t="s">
        <v>108</v>
      </c>
      <c r="J3953" s="58">
        <v>2458475</v>
      </c>
      <c r="K3953" s="1" t="s">
        <v>106</v>
      </c>
      <c r="L3953" s="1" t="s">
        <v>124</v>
      </c>
      <c r="N3953" s="1">
        <v>1</v>
      </c>
      <c r="O3953" s="58"/>
      <c r="P3953" s="58">
        <v>37368.82</v>
      </c>
      <c r="Q3953" t="s">
        <v>107</v>
      </c>
      <c r="R3953" s="1" t="s">
        <v>158</v>
      </c>
    </row>
    <row r="3954" spans="3:18" x14ac:dyDescent="0.35">
      <c r="C3954" t="s">
        <v>51</v>
      </c>
      <c r="D3954" t="s">
        <v>20</v>
      </c>
      <c r="E3954" t="s">
        <v>49</v>
      </c>
      <c r="F3954" t="s">
        <v>46</v>
      </c>
      <c r="G3954" s="58">
        <v>54155</v>
      </c>
      <c r="H3954" s="1" t="s">
        <v>56</v>
      </c>
      <c r="I3954" s="1" t="s">
        <v>111</v>
      </c>
      <c r="J3954" s="58">
        <v>974790</v>
      </c>
      <c r="K3954" s="1" t="s">
        <v>112</v>
      </c>
      <c r="N3954" s="1">
        <v>1</v>
      </c>
      <c r="O3954" s="58"/>
      <c r="P3954" s="58">
        <v>20578.900000000001</v>
      </c>
      <c r="Q3954" t="s">
        <v>107</v>
      </c>
      <c r="R3954" s="1" t="s">
        <v>158</v>
      </c>
    </row>
    <row r="3955" spans="3:18" x14ac:dyDescent="0.35">
      <c r="C3955" t="s">
        <v>53</v>
      </c>
      <c r="D3955" t="s">
        <v>25</v>
      </c>
      <c r="E3955" t="s">
        <v>50</v>
      </c>
      <c r="F3955" t="s">
        <v>46</v>
      </c>
      <c r="G3955" s="58">
        <v>75</v>
      </c>
      <c r="H3955" s="1" t="s">
        <v>54</v>
      </c>
      <c r="I3955" s="1" t="s">
        <v>105</v>
      </c>
      <c r="J3955" s="58"/>
      <c r="K3955" s="1" t="s">
        <v>106</v>
      </c>
      <c r="L3955" s="1" t="s">
        <v>109</v>
      </c>
      <c r="N3955" s="1">
        <v>0</v>
      </c>
      <c r="O3955" s="58"/>
      <c r="P3955" s="58">
        <v>0</v>
      </c>
      <c r="Q3955" t="s">
        <v>107</v>
      </c>
      <c r="R3955" s="1" t="s">
        <v>158</v>
      </c>
    </row>
    <row r="3956" spans="3:18" x14ac:dyDescent="0.35">
      <c r="C3956" t="s">
        <v>53</v>
      </c>
      <c r="D3956" t="s">
        <v>19</v>
      </c>
      <c r="E3956" t="s">
        <v>49</v>
      </c>
      <c r="F3956" t="s">
        <v>46</v>
      </c>
      <c r="G3956" s="58">
        <v>2419410</v>
      </c>
      <c r="H3956" s="1" t="s">
        <v>48</v>
      </c>
      <c r="I3956" s="1" t="s">
        <v>119</v>
      </c>
      <c r="J3956" s="58">
        <v>19355280</v>
      </c>
      <c r="K3956" s="1" t="s">
        <v>106</v>
      </c>
      <c r="L3956" s="1" t="s">
        <v>124</v>
      </c>
      <c r="M3956" s="1" t="s">
        <v>122</v>
      </c>
      <c r="N3956" s="1">
        <v>1</v>
      </c>
      <c r="O3956" s="58"/>
      <c r="P3956" s="58">
        <v>653240.69999999995</v>
      </c>
      <c r="Q3956" t="s">
        <v>107</v>
      </c>
      <c r="R3956" s="1" t="s">
        <v>158</v>
      </c>
    </row>
    <row r="3957" spans="3:18" x14ac:dyDescent="0.35">
      <c r="C3957" t="s">
        <v>51</v>
      </c>
      <c r="D3957" t="s">
        <v>60</v>
      </c>
      <c r="E3957" t="s">
        <v>60</v>
      </c>
      <c r="F3957" t="s">
        <v>46</v>
      </c>
      <c r="G3957" s="58">
        <v>109895</v>
      </c>
      <c r="H3957" s="1" t="s">
        <v>61</v>
      </c>
      <c r="I3957" s="1" t="s">
        <v>119</v>
      </c>
      <c r="J3957" s="58">
        <v>769265</v>
      </c>
      <c r="K3957" s="1" t="s">
        <v>106</v>
      </c>
      <c r="N3957" s="1">
        <v>1</v>
      </c>
      <c r="O3957" s="58"/>
      <c r="P3957" s="58">
        <v>69233.850000000006</v>
      </c>
      <c r="Q3957" t="s">
        <v>118</v>
      </c>
    </row>
    <row r="3958" spans="3:18" x14ac:dyDescent="0.35">
      <c r="C3958" t="s">
        <v>51</v>
      </c>
      <c r="D3958" t="s">
        <v>23</v>
      </c>
      <c r="E3958" t="s">
        <v>55</v>
      </c>
      <c r="F3958" t="s">
        <v>46</v>
      </c>
      <c r="G3958" s="58">
        <v>6028231</v>
      </c>
      <c r="H3958" s="1" t="s">
        <v>54</v>
      </c>
      <c r="I3958" s="1" t="s">
        <v>108</v>
      </c>
      <c r="J3958" s="58">
        <v>168790468</v>
      </c>
      <c r="K3958" s="1" t="s">
        <v>106</v>
      </c>
      <c r="L3958" s="1" t="s">
        <v>114</v>
      </c>
      <c r="N3958" s="1">
        <v>1</v>
      </c>
      <c r="O3958" s="58"/>
      <c r="P3958" s="58">
        <v>5244560.97</v>
      </c>
      <c r="Q3958" t="s">
        <v>127</v>
      </c>
      <c r="R3958" s="1" t="s">
        <v>158</v>
      </c>
    </row>
    <row r="3959" spans="3:18" x14ac:dyDescent="0.35">
      <c r="C3959" t="s">
        <v>51</v>
      </c>
      <c r="D3959" t="s">
        <v>22</v>
      </c>
      <c r="E3959" t="s">
        <v>50</v>
      </c>
      <c r="F3959" t="s">
        <v>64</v>
      </c>
      <c r="G3959" s="58">
        <v>243983</v>
      </c>
      <c r="H3959" s="1" t="s">
        <v>48</v>
      </c>
      <c r="I3959" s="1" t="s">
        <v>108</v>
      </c>
      <c r="J3959" s="58">
        <v>9759320</v>
      </c>
      <c r="K3959" s="1" t="s">
        <v>106</v>
      </c>
      <c r="L3959" s="1" t="s">
        <v>109</v>
      </c>
      <c r="M3959" s="1" t="s">
        <v>115</v>
      </c>
      <c r="N3959" s="1">
        <v>1</v>
      </c>
      <c r="O3959" s="58"/>
      <c r="P3959" s="58">
        <v>200066.06</v>
      </c>
      <c r="Q3959" t="s">
        <v>127</v>
      </c>
      <c r="R3959" s="1" t="s">
        <v>48</v>
      </c>
    </row>
    <row r="3960" spans="3:18" x14ac:dyDescent="0.35">
      <c r="C3960" t="s">
        <v>51</v>
      </c>
      <c r="D3960" t="s">
        <v>22</v>
      </c>
      <c r="E3960" t="s">
        <v>45</v>
      </c>
      <c r="F3960" t="s">
        <v>46</v>
      </c>
      <c r="G3960" s="58">
        <v>3173216</v>
      </c>
      <c r="H3960" s="1" t="s">
        <v>59</v>
      </c>
      <c r="I3960" s="1" t="s">
        <v>108</v>
      </c>
      <c r="J3960" s="58">
        <v>95196480</v>
      </c>
      <c r="K3960" s="1" t="s">
        <v>106</v>
      </c>
      <c r="L3960" s="1" t="s">
        <v>124</v>
      </c>
      <c r="N3960" s="1">
        <v>1</v>
      </c>
      <c r="O3960" s="58"/>
      <c r="P3960" s="58">
        <v>2189519.04</v>
      </c>
      <c r="Q3960" t="s">
        <v>118</v>
      </c>
      <c r="R3960" s="1" t="s">
        <v>158</v>
      </c>
    </row>
    <row r="3961" spans="3:18" x14ac:dyDescent="0.35">
      <c r="C3961" t="s">
        <v>51</v>
      </c>
      <c r="D3961" t="s">
        <v>22</v>
      </c>
      <c r="E3961" t="s">
        <v>45</v>
      </c>
      <c r="F3961" t="s">
        <v>46</v>
      </c>
      <c r="G3961" s="58">
        <v>185834</v>
      </c>
      <c r="H3961" s="1" t="s">
        <v>48</v>
      </c>
      <c r="I3961" s="1" t="s">
        <v>108</v>
      </c>
      <c r="J3961" s="58">
        <v>6318356</v>
      </c>
      <c r="K3961" s="1" t="s">
        <v>106</v>
      </c>
      <c r="L3961" s="1" t="s">
        <v>124</v>
      </c>
      <c r="M3961" s="1" t="s">
        <v>123</v>
      </c>
      <c r="N3961" s="1">
        <v>1</v>
      </c>
      <c r="O3961" s="58"/>
      <c r="P3961" s="58">
        <v>137517.16</v>
      </c>
      <c r="Q3961" t="s">
        <v>118</v>
      </c>
      <c r="R3961" s="1" t="s">
        <v>158</v>
      </c>
    </row>
    <row r="3962" spans="3:18" x14ac:dyDescent="0.35">
      <c r="C3962" t="s">
        <v>51</v>
      </c>
      <c r="D3962" t="s">
        <v>22</v>
      </c>
      <c r="E3962" t="s">
        <v>55</v>
      </c>
      <c r="F3962" t="s">
        <v>46</v>
      </c>
      <c r="G3962" s="58">
        <v>228024</v>
      </c>
      <c r="H3962" s="1" t="s">
        <v>48</v>
      </c>
      <c r="I3962" s="1" t="s">
        <v>108</v>
      </c>
      <c r="J3962" s="58">
        <v>7980840</v>
      </c>
      <c r="K3962" s="1" t="s">
        <v>106</v>
      </c>
      <c r="L3962" s="1" t="s">
        <v>120</v>
      </c>
      <c r="M3962" s="1" t="s">
        <v>115</v>
      </c>
      <c r="N3962" s="1">
        <v>1</v>
      </c>
      <c r="O3962" s="58"/>
      <c r="P3962" s="58">
        <v>173298.24</v>
      </c>
      <c r="Q3962" t="s">
        <v>118</v>
      </c>
      <c r="R3962" s="1" t="s">
        <v>158</v>
      </c>
    </row>
    <row r="3963" spans="3:18" x14ac:dyDescent="0.35">
      <c r="C3963" t="s">
        <v>51</v>
      </c>
      <c r="D3963" t="s">
        <v>24</v>
      </c>
      <c r="E3963" t="s">
        <v>50</v>
      </c>
      <c r="F3963" t="s">
        <v>46</v>
      </c>
      <c r="G3963" s="58">
        <v>77945</v>
      </c>
      <c r="H3963" s="1" t="s">
        <v>59</v>
      </c>
      <c r="I3963" s="1" t="s">
        <v>111</v>
      </c>
      <c r="J3963" s="58">
        <v>1325065</v>
      </c>
      <c r="K3963" s="1" t="s">
        <v>106</v>
      </c>
      <c r="L3963" s="1" t="s">
        <v>120</v>
      </c>
      <c r="N3963" s="1">
        <v>1</v>
      </c>
      <c r="O3963" s="58"/>
      <c r="P3963" s="58">
        <v>35075.25</v>
      </c>
      <c r="Q3963" t="s">
        <v>113</v>
      </c>
      <c r="R3963" s="1" t="s">
        <v>158</v>
      </c>
    </row>
    <row r="3964" spans="3:18" x14ac:dyDescent="0.35">
      <c r="C3964" t="s">
        <v>51</v>
      </c>
      <c r="D3964" t="s">
        <v>23</v>
      </c>
      <c r="E3964" t="s">
        <v>49</v>
      </c>
      <c r="F3964" t="s">
        <v>46</v>
      </c>
      <c r="G3964" s="58">
        <v>41767</v>
      </c>
      <c r="H3964" s="1" t="s">
        <v>48</v>
      </c>
      <c r="I3964" s="1" t="s">
        <v>105</v>
      </c>
      <c r="J3964" s="58">
        <v>167068</v>
      </c>
      <c r="K3964" s="1" t="s">
        <v>106</v>
      </c>
      <c r="L3964" s="1" t="s">
        <v>120</v>
      </c>
      <c r="M3964" s="1" t="s">
        <v>115</v>
      </c>
      <c r="N3964" s="1">
        <v>1</v>
      </c>
      <c r="O3964" s="58"/>
      <c r="P3964" s="58">
        <v>6682.72</v>
      </c>
      <c r="Q3964" t="s">
        <v>107</v>
      </c>
      <c r="R3964" s="1" t="s">
        <v>48</v>
      </c>
    </row>
    <row r="3965" spans="3:18" x14ac:dyDescent="0.35">
      <c r="C3965" t="s">
        <v>51</v>
      </c>
      <c r="D3965" t="s">
        <v>24</v>
      </c>
      <c r="E3965" t="s">
        <v>55</v>
      </c>
      <c r="F3965" t="s">
        <v>46</v>
      </c>
      <c r="G3965" s="58">
        <v>74509313</v>
      </c>
      <c r="H3965" s="1" t="s">
        <v>47</v>
      </c>
      <c r="I3965" s="1" t="s">
        <v>105</v>
      </c>
      <c r="J3965" s="58">
        <v>223527939</v>
      </c>
      <c r="K3965" s="1" t="s">
        <v>106</v>
      </c>
      <c r="L3965" s="1" t="s">
        <v>114</v>
      </c>
      <c r="N3965" s="1">
        <v>1</v>
      </c>
      <c r="O3965" s="58"/>
      <c r="P3965" s="58">
        <v>8196024.4299999997</v>
      </c>
      <c r="Q3965" t="s">
        <v>107</v>
      </c>
      <c r="R3965" s="1" t="s">
        <v>158</v>
      </c>
    </row>
    <row r="3966" spans="3:18" x14ac:dyDescent="0.35">
      <c r="C3966" t="s">
        <v>53</v>
      </c>
      <c r="D3966" t="s">
        <v>24</v>
      </c>
      <c r="E3966" t="s">
        <v>55</v>
      </c>
      <c r="F3966" t="s">
        <v>46</v>
      </c>
      <c r="G3966" s="58">
        <v>93158</v>
      </c>
      <c r="H3966" s="1" t="s">
        <v>56</v>
      </c>
      <c r="I3966" s="1" t="s">
        <v>119</v>
      </c>
      <c r="J3966" s="58">
        <v>931580</v>
      </c>
      <c r="K3966" s="1" t="s">
        <v>106</v>
      </c>
      <c r="L3966" s="1" t="s">
        <v>114</v>
      </c>
      <c r="N3966" s="1">
        <v>1</v>
      </c>
      <c r="O3966" s="58"/>
      <c r="P3966" s="58">
        <v>54031.64</v>
      </c>
      <c r="Q3966" t="s">
        <v>113</v>
      </c>
      <c r="R3966" s="1" t="s">
        <v>158</v>
      </c>
    </row>
    <row r="3967" spans="3:18" x14ac:dyDescent="0.35">
      <c r="C3967" t="s">
        <v>51</v>
      </c>
      <c r="D3967" t="s">
        <v>24</v>
      </c>
      <c r="E3967" t="s">
        <v>52</v>
      </c>
      <c r="F3967" t="s">
        <v>46</v>
      </c>
      <c r="G3967" s="58">
        <v>80415</v>
      </c>
      <c r="H3967" s="1" t="s">
        <v>48</v>
      </c>
      <c r="I3967" s="1" t="s">
        <v>111</v>
      </c>
      <c r="J3967" s="58">
        <v>1608300</v>
      </c>
      <c r="K3967" s="1" t="s">
        <v>112</v>
      </c>
      <c r="N3967" s="1">
        <v>1</v>
      </c>
      <c r="O3967" s="58"/>
      <c r="P3967" s="58">
        <v>34578.449999999997</v>
      </c>
      <c r="Q3967" t="s">
        <v>113</v>
      </c>
      <c r="R3967" s="1" t="s">
        <v>48</v>
      </c>
    </row>
    <row r="3968" spans="3:18" x14ac:dyDescent="0.35">
      <c r="C3968" t="s">
        <v>51</v>
      </c>
      <c r="D3968" t="s">
        <v>23</v>
      </c>
      <c r="E3968" t="s">
        <v>62</v>
      </c>
      <c r="F3968" t="s">
        <v>46</v>
      </c>
      <c r="G3968" s="58">
        <v>1851132</v>
      </c>
      <c r="H3968" s="1" t="s">
        <v>48</v>
      </c>
      <c r="I3968" s="1" t="s">
        <v>111</v>
      </c>
      <c r="J3968" s="58">
        <v>29618112</v>
      </c>
      <c r="K3968" s="1" t="s">
        <v>106</v>
      </c>
      <c r="L3968" s="1" t="s">
        <v>131</v>
      </c>
      <c r="M3968" s="1" t="s">
        <v>125</v>
      </c>
      <c r="N3968" s="1">
        <v>1</v>
      </c>
      <c r="O3968" s="58"/>
      <c r="P3968" s="58">
        <v>888543.36</v>
      </c>
      <c r="Q3968" t="s">
        <v>113</v>
      </c>
      <c r="R3968" s="1" t="s">
        <v>48</v>
      </c>
    </row>
    <row r="3969" spans="3:18" x14ac:dyDescent="0.35">
      <c r="C3969" t="s">
        <v>53</v>
      </c>
      <c r="D3969" t="s">
        <v>21</v>
      </c>
      <c r="E3969" t="s">
        <v>55</v>
      </c>
      <c r="F3969" t="s">
        <v>46</v>
      </c>
      <c r="G3969" s="58">
        <v>1958366</v>
      </c>
      <c r="H3969" s="1" t="s">
        <v>47</v>
      </c>
      <c r="I3969" s="1" t="s">
        <v>119</v>
      </c>
      <c r="J3969" s="58">
        <v>15666928</v>
      </c>
      <c r="K3969" s="1" t="s">
        <v>106</v>
      </c>
      <c r="L3969" s="1" t="s">
        <v>114</v>
      </c>
      <c r="N3969" s="1">
        <v>1</v>
      </c>
      <c r="O3969" s="58"/>
      <c r="P3969" s="58">
        <v>900848.36</v>
      </c>
      <c r="Q3969" t="s">
        <v>113</v>
      </c>
      <c r="R3969" s="1" t="s">
        <v>158</v>
      </c>
    </row>
    <row r="3970" spans="3:18" x14ac:dyDescent="0.35">
      <c r="C3970" t="s">
        <v>51</v>
      </c>
      <c r="D3970" t="s">
        <v>21</v>
      </c>
      <c r="E3970" t="s">
        <v>45</v>
      </c>
      <c r="F3970" t="s">
        <v>46</v>
      </c>
      <c r="G3970" s="58">
        <v>475475</v>
      </c>
      <c r="H3970" s="1" t="s">
        <v>59</v>
      </c>
      <c r="I3970" s="1" t="s">
        <v>108</v>
      </c>
      <c r="J3970" s="58">
        <v>10460450</v>
      </c>
      <c r="K3970" s="1" t="s">
        <v>106</v>
      </c>
      <c r="L3970" s="1" t="s">
        <v>114</v>
      </c>
      <c r="N3970" s="1">
        <v>1</v>
      </c>
      <c r="O3970" s="58"/>
      <c r="P3970" s="58">
        <v>252001.75</v>
      </c>
      <c r="Q3970" t="s">
        <v>113</v>
      </c>
      <c r="R3970" s="1" t="s">
        <v>158</v>
      </c>
    </row>
    <row r="3971" spans="3:18" x14ac:dyDescent="0.35">
      <c r="C3971" t="s">
        <v>51</v>
      </c>
      <c r="D3971" t="s">
        <v>92</v>
      </c>
      <c r="E3971" t="s">
        <v>49</v>
      </c>
      <c r="F3971" t="s">
        <v>46</v>
      </c>
      <c r="G3971" s="58">
        <v>9224</v>
      </c>
      <c r="H3971" s="1" t="s">
        <v>48</v>
      </c>
      <c r="I3971" s="1" t="s">
        <v>105</v>
      </c>
      <c r="J3971" s="58">
        <v>9224</v>
      </c>
      <c r="K3971" s="1" t="s">
        <v>106</v>
      </c>
      <c r="L3971" s="1" t="s">
        <v>124</v>
      </c>
      <c r="M3971" s="1" t="s">
        <v>126</v>
      </c>
      <c r="N3971" s="1">
        <v>1</v>
      </c>
      <c r="O3971" s="58"/>
      <c r="P3971" s="58">
        <v>184.48</v>
      </c>
      <c r="Q3971" t="s">
        <v>107</v>
      </c>
      <c r="R3971" s="1" t="s">
        <v>48</v>
      </c>
    </row>
    <row r="3972" spans="3:18" x14ac:dyDescent="0.35">
      <c r="C3972" t="s">
        <v>51</v>
      </c>
      <c r="D3972" t="s">
        <v>22</v>
      </c>
      <c r="E3972" t="s">
        <v>49</v>
      </c>
      <c r="F3972" t="s">
        <v>46</v>
      </c>
      <c r="G3972" s="58">
        <v>30901543</v>
      </c>
      <c r="H3972" s="1" t="s">
        <v>48</v>
      </c>
      <c r="I3972" s="1" t="s">
        <v>111</v>
      </c>
      <c r="J3972" s="58">
        <v>463523145</v>
      </c>
      <c r="K3972" s="1" t="s">
        <v>106</v>
      </c>
      <c r="L3972" s="1" t="s">
        <v>124</v>
      </c>
      <c r="M3972" s="1" t="s">
        <v>115</v>
      </c>
      <c r="N3972" s="1">
        <v>1</v>
      </c>
      <c r="O3972" s="58"/>
      <c r="P3972" s="58">
        <v>8343416.6100000003</v>
      </c>
      <c r="Q3972" t="s">
        <v>107</v>
      </c>
      <c r="R3972" s="1" t="s">
        <v>158</v>
      </c>
    </row>
    <row r="3973" spans="3:18" x14ac:dyDescent="0.35">
      <c r="C3973" t="s">
        <v>51</v>
      </c>
      <c r="D3973" t="s">
        <v>22</v>
      </c>
      <c r="E3973" t="s">
        <v>55</v>
      </c>
      <c r="F3973" t="s">
        <v>46</v>
      </c>
      <c r="G3973" s="58">
        <v>1765510</v>
      </c>
      <c r="H3973" s="1" t="s">
        <v>48</v>
      </c>
      <c r="I3973" s="1" t="s">
        <v>119</v>
      </c>
      <c r="J3973" s="58">
        <v>12358570</v>
      </c>
      <c r="K3973" s="1" t="s">
        <v>106</v>
      </c>
      <c r="L3973" s="1" t="s">
        <v>114</v>
      </c>
      <c r="M3973" s="1" t="s">
        <v>115</v>
      </c>
      <c r="N3973" s="1">
        <v>1</v>
      </c>
      <c r="O3973" s="58"/>
      <c r="P3973" s="58">
        <v>511997.9</v>
      </c>
      <c r="Q3973" t="s">
        <v>107</v>
      </c>
      <c r="R3973" s="1" t="s">
        <v>48</v>
      </c>
    </row>
    <row r="3974" spans="3:18" x14ac:dyDescent="0.35">
      <c r="C3974" t="s">
        <v>53</v>
      </c>
      <c r="D3974" t="s">
        <v>21</v>
      </c>
      <c r="E3974" t="s">
        <v>49</v>
      </c>
      <c r="F3974" t="s">
        <v>46</v>
      </c>
      <c r="G3974" s="58">
        <v>2175594</v>
      </c>
      <c r="H3974" s="1" t="s">
        <v>58</v>
      </c>
      <c r="I3974" s="1" t="s">
        <v>128</v>
      </c>
      <c r="J3974" s="58"/>
      <c r="K3974" s="1" t="s">
        <v>106</v>
      </c>
      <c r="L3974" s="1" t="s">
        <v>124</v>
      </c>
      <c r="N3974" s="1">
        <v>0</v>
      </c>
      <c r="O3974" s="58"/>
      <c r="P3974" s="58">
        <v>587410.38</v>
      </c>
      <c r="Q3974" t="s">
        <v>107</v>
      </c>
      <c r="R3974" s="1" t="s">
        <v>158</v>
      </c>
    </row>
    <row r="3975" spans="3:18" x14ac:dyDescent="0.35">
      <c r="C3975" t="s">
        <v>51</v>
      </c>
      <c r="D3975" t="s">
        <v>21</v>
      </c>
      <c r="E3975" t="s">
        <v>49</v>
      </c>
      <c r="F3975" t="s">
        <v>46</v>
      </c>
      <c r="G3975" s="58">
        <v>3776594</v>
      </c>
      <c r="H3975" s="1" t="s">
        <v>48</v>
      </c>
      <c r="I3975" s="1" t="s">
        <v>111</v>
      </c>
      <c r="J3975" s="58">
        <v>60425504</v>
      </c>
      <c r="K3975" s="1" t="s">
        <v>112</v>
      </c>
      <c r="N3975" s="1">
        <v>1</v>
      </c>
      <c r="O3975" s="58"/>
      <c r="P3975" s="58">
        <v>2568083.92</v>
      </c>
      <c r="Q3975" t="s">
        <v>118</v>
      </c>
      <c r="R3975" s="1" t="s">
        <v>48</v>
      </c>
    </row>
    <row r="3976" spans="3:18" x14ac:dyDescent="0.35">
      <c r="C3976" t="s">
        <v>51</v>
      </c>
      <c r="D3976" t="s">
        <v>21</v>
      </c>
      <c r="E3976" t="s">
        <v>45</v>
      </c>
      <c r="F3976" t="s">
        <v>46</v>
      </c>
      <c r="G3976" s="58">
        <v>1956408</v>
      </c>
      <c r="H3976" s="1" t="s">
        <v>47</v>
      </c>
      <c r="I3976" s="1" t="s">
        <v>108</v>
      </c>
      <c r="J3976" s="58">
        <v>60648648</v>
      </c>
      <c r="K3976" s="1" t="s">
        <v>106</v>
      </c>
      <c r="L3976" s="1" t="s">
        <v>114</v>
      </c>
      <c r="N3976" s="1">
        <v>1</v>
      </c>
      <c r="O3976" s="58"/>
      <c r="P3976" s="58">
        <v>1232537.04</v>
      </c>
      <c r="Q3976" t="s">
        <v>118</v>
      </c>
      <c r="R3976" s="1" t="s">
        <v>158</v>
      </c>
    </row>
    <row r="3977" spans="3:18" x14ac:dyDescent="0.35">
      <c r="C3977" t="s">
        <v>51</v>
      </c>
      <c r="D3977" t="s">
        <v>23</v>
      </c>
      <c r="E3977" t="s">
        <v>45</v>
      </c>
      <c r="F3977" t="s">
        <v>64</v>
      </c>
      <c r="G3977" s="58">
        <v>200415</v>
      </c>
      <c r="H3977" s="1" t="s">
        <v>59</v>
      </c>
      <c r="I3977" s="1" t="s">
        <v>108</v>
      </c>
      <c r="J3977" s="58">
        <v>7014525</v>
      </c>
      <c r="K3977" s="1" t="s">
        <v>106</v>
      </c>
      <c r="L3977" s="1" t="s">
        <v>120</v>
      </c>
      <c r="N3977" s="1">
        <v>1</v>
      </c>
      <c r="O3977" s="58"/>
      <c r="P3977" s="58">
        <v>88182.6</v>
      </c>
      <c r="Q3977" t="s">
        <v>113</v>
      </c>
      <c r="R3977" s="1" t="s">
        <v>158</v>
      </c>
    </row>
    <row r="3978" spans="3:18" x14ac:dyDescent="0.35">
      <c r="C3978" t="s">
        <v>51</v>
      </c>
      <c r="D3978" t="s">
        <v>21</v>
      </c>
      <c r="E3978" t="s">
        <v>50</v>
      </c>
      <c r="F3978" t="s">
        <v>46</v>
      </c>
      <c r="G3978" s="58">
        <v>285850</v>
      </c>
      <c r="H3978" s="1" t="s">
        <v>48</v>
      </c>
      <c r="I3978" s="1" t="s">
        <v>108</v>
      </c>
      <c r="J3978" s="58">
        <v>8575500</v>
      </c>
      <c r="K3978" s="1" t="s">
        <v>106</v>
      </c>
      <c r="L3978" s="1" t="s">
        <v>109</v>
      </c>
      <c r="M3978" s="1" t="s">
        <v>126</v>
      </c>
      <c r="N3978" s="1">
        <v>1</v>
      </c>
      <c r="O3978" s="58"/>
      <c r="P3978" s="58">
        <v>134349.5</v>
      </c>
      <c r="Q3978" t="s">
        <v>113</v>
      </c>
      <c r="R3978" s="1" t="s">
        <v>158</v>
      </c>
    </row>
    <row r="3979" spans="3:18" x14ac:dyDescent="0.35">
      <c r="C3979" t="s">
        <v>51</v>
      </c>
      <c r="D3979" t="s">
        <v>20</v>
      </c>
      <c r="E3979" t="s">
        <v>45</v>
      </c>
      <c r="F3979" t="s">
        <v>46</v>
      </c>
      <c r="G3979" s="58">
        <v>5029561</v>
      </c>
      <c r="H3979" s="1" t="s">
        <v>48</v>
      </c>
      <c r="I3979" s="1" t="s">
        <v>108</v>
      </c>
      <c r="J3979" s="58">
        <v>140827708</v>
      </c>
      <c r="K3979" s="1" t="s">
        <v>106</v>
      </c>
      <c r="L3979" s="1" t="s">
        <v>120</v>
      </c>
      <c r="M3979" s="1" t="s">
        <v>123</v>
      </c>
      <c r="N3979" s="1">
        <v>1</v>
      </c>
      <c r="O3979" s="58"/>
      <c r="P3979" s="58">
        <v>1508868.3</v>
      </c>
      <c r="Q3979" t="s">
        <v>107</v>
      </c>
      <c r="R3979" s="1" t="s">
        <v>158</v>
      </c>
    </row>
    <row r="3980" spans="3:18" x14ac:dyDescent="0.35">
      <c r="C3980" t="s">
        <v>53</v>
      </c>
      <c r="D3980" t="s">
        <v>92</v>
      </c>
      <c r="E3980" t="s">
        <v>45</v>
      </c>
      <c r="F3980" t="s">
        <v>46</v>
      </c>
      <c r="G3980" s="58">
        <v>197967</v>
      </c>
      <c r="H3980" s="1" t="s">
        <v>48</v>
      </c>
      <c r="I3980" s="1" t="s">
        <v>111</v>
      </c>
      <c r="J3980" s="58">
        <v>2969505</v>
      </c>
      <c r="K3980" s="1" t="s">
        <v>112</v>
      </c>
      <c r="N3980" s="1">
        <v>1</v>
      </c>
      <c r="O3980" s="58"/>
      <c r="P3980" s="58">
        <v>126698.88</v>
      </c>
      <c r="Q3980" t="s">
        <v>118</v>
      </c>
      <c r="R3980" s="1" t="s">
        <v>158</v>
      </c>
    </row>
    <row r="3981" spans="3:18" x14ac:dyDescent="0.35">
      <c r="C3981" t="s">
        <v>53</v>
      </c>
      <c r="D3981" t="s">
        <v>25</v>
      </c>
      <c r="E3981" t="s">
        <v>55</v>
      </c>
      <c r="F3981" t="s">
        <v>46</v>
      </c>
      <c r="G3981" s="58">
        <v>46</v>
      </c>
      <c r="H3981" s="1" t="s">
        <v>59</v>
      </c>
      <c r="I3981" s="1" t="s">
        <v>105</v>
      </c>
      <c r="J3981" s="58"/>
      <c r="K3981" s="1" t="s">
        <v>106</v>
      </c>
      <c r="L3981" s="1" t="s">
        <v>114</v>
      </c>
      <c r="N3981" s="1">
        <v>0</v>
      </c>
      <c r="O3981" s="58"/>
      <c r="P3981" s="58">
        <v>0</v>
      </c>
      <c r="Q3981" t="s">
        <v>107</v>
      </c>
      <c r="R3981" s="1" t="s">
        <v>158</v>
      </c>
    </row>
    <row r="3982" spans="3:18" x14ac:dyDescent="0.35">
      <c r="C3982" t="s">
        <v>53</v>
      </c>
      <c r="D3982" t="s">
        <v>60</v>
      </c>
      <c r="E3982" t="s">
        <v>60</v>
      </c>
      <c r="F3982" t="s">
        <v>46</v>
      </c>
      <c r="G3982" s="58">
        <v>0</v>
      </c>
      <c r="H3982" s="1" t="s">
        <v>61</v>
      </c>
      <c r="I3982" s="1" t="s">
        <v>111</v>
      </c>
      <c r="J3982" s="58">
        <v>0</v>
      </c>
      <c r="K3982" s="1" t="s">
        <v>106</v>
      </c>
      <c r="N3982" s="1">
        <v>1</v>
      </c>
      <c r="O3982" s="58"/>
      <c r="P3982" s="58">
        <v>0</v>
      </c>
      <c r="Q3982" t="s">
        <v>107</v>
      </c>
    </row>
    <row r="3983" spans="3:18" x14ac:dyDescent="0.35">
      <c r="C3983" t="s">
        <v>53</v>
      </c>
      <c r="D3983" t="s">
        <v>21</v>
      </c>
      <c r="E3983" t="s">
        <v>45</v>
      </c>
      <c r="F3983" t="s">
        <v>46</v>
      </c>
      <c r="G3983" s="58">
        <v>86146023</v>
      </c>
      <c r="H3983" s="1" t="s">
        <v>47</v>
      </c>
      <c r="I3983" s="1" t="s">
        <v>119</v>
      </c>
      <c r="J3983" s="58">
        <v>603022161</v>
      </c>
      <c r="K3983" s="1" t="s">
        <v>106</v>
      </c>
      <c r="L3983" s="1" t="s">
        <v>120</v>
      </c>
      <c r="N3983" s="1">
        <v>1</v>
      </c>
      <c r="O3983" s="58"/>
      <c r="P3983" s="58">
        <v>23259426.210000001</v>
      </c>
      <c r="Q3983" t="s">
        <v>107</v>
      </c>
      <c r="R3983" s="1" t="s">
        <v>158</v>
      </c>
    </row>
    <row r="3984" spans="3:18" x14ac:dyDescent="0.35">
      <c r="C3984" t="s">
        <v>51</v>
      </c>
      <c r="D3984" t="s">
        <v>24</v>
      </c>
      <c r="E3984" t="s">
        <v>55</v>
      </c>
      <c r="F3984" t="s">
        <v>46</v>
      </c>
      <c r="G3984" s="58">
        <v>6565029</v>
      </c>
      <c r="H3984" s="1" t="s">
        <v>47</v>
      </c>
      <c r="I3984" s="1" t="s">
        <v>108</v>
      </c>
      <c r="J3984" s="58">
        <v>177255783</v>
      </c>
      <c r="K3984" s="1" t="s">
        <v>106</v>
      </c>
      <c r="L3984" s="1" t="s">
        <v>120</v>
      </c>
      <c r="N3984" s="1">
        <v>1</v>
      </c>
      <c r="O3984" s="58"/>
      <c r="P3984" s="58">
        <v>3151213.92</v>
      </c>
      <c r="Q3984" t="s">
        <v>113</v>
      </c>
      <c r="R3984" s="1" t="s">
        <v>158</v>
      </c>
    </row>
    <row r="3985" spans="3:18" x14ac:dyDescent="0.35">
      <c r="C3985" t="s">
        <v>53</v>
      </c>
      <c r="D3985" t="s">
        <v>25</v>
      </c>
      <c r="E3985" t="s">
        <v>55</v>
      </c>
      <c r="F3985" t="s">
        <v>46</v>
      </c>
      <c r="G3985" s="58">
        <v>64290</v>
      </c>
      <c r="H3985" s="1" t="s">
        <v>48</v>
      </c>
      <c r="I3985" s="1" t="s">
        <v>119</v>
      </c>
      <c r="J3985" s="58">
        <v>450030</v>
      </c>
      <c r="K3985" s="1" t="s">
        <v>106</v>
      </c>
      <c r="L3985" s="1" t="s">
        <v>120</v>
      </c>
      <c r="M3985" s="1" t="s">
        <v>123</v>
      </c>
      <c r="N3985" s="1">
        <v>1</v>
      </c>
      <c r="O3985" s="58"/>
      <c r="P3985" s="58">
        <v>18644.099999999999</v>
      </c>
      <c r="Q3985" t="s">
        <v>107</v>
      </c>
      <c r="R3985" s="1" t="s">
        <v>158</v>
      </c>
    </row>
    <row r="3986" spans="3:18" x14ac:dyDescent="0.35">
      <c r="C3986" t="s">
        <v>53</v>
      </c>
      <c r="D3986" t="s">
        <v>19</v>
      </c>
      <c r="E3986" t="s">
        <v>55</v>
      </c>
      <c r="F3986" t="s">
        <v>46</v>
      </c>
      <c r="G3986" s="58">
        <v>54571</v>
      </c>
      <c r="H3986" s="1" t="s">
        <v>47</v>
      </c>
      <c r="I3986" s="1" t="s">
        <v>111</v>
      </c>
      <c r="J3986" s="58">
        <v>873136</v>
      </c>
      <c r="K3986" s="1" t="s">
        <v>106</v>
      </c>
      <c r="L3986" s="1" t="s">
        <v>114</v>
      </c>
      <c r="N3986" s="1">
        <v>1</v>
      </c>
      <c r="O3986" s="58"/>
      <c r="P3986" s="58">
        <v>29468.34</v>
      </c>
      <c r="Q3986" t="s">
        <v>113</v>
      </c>
      <c r="R3986" s="1" t="s">
        <v>158</v>
      </c>
    </row>
    <row r="3987" spans="3:18" x14ac:dyDescent="0.35">
      <c r="C3987" t="s">
        <v>51</v>
      </c>
      <c r="D3987" t="s">
        <v>24</v>
      </c>
      <c r="E3987" t="s">
        <v>45</v>
      </c>
      <c r="F3987" t="s">
        <v>46</v>
      </c>
      <c r="G3987" s="58">
        <v>401865</v>
      </c>
      <c r="H3987" s="1" t="s">
        <v>48</v>
      </c>
      <c r="I3987" s="1" t="s">
        <v>108</v>
      </c>
      <c r="J3987" s="58">
        <v>10850355</v>
      </c>
      <c r="K3987" s="1" t="s">
        <v>106</v>
      </c>
      <c r="L3987" s="1" t="s">
        <v>114</v>
      </c>
      <c r="M3987" s="1" t="s">
        <v>121</v>
      </c>
      <c r="N3987" s="1">
        <v>1</v>
      </c>
      <c r="O3987" s="58"/>
      <c r="P3987" s="58">
        <v>180839.25</v>
      </c>
      <c r="Q3987" t="s">
        <v>113</v>
      </c>
      <c r="R3987" s="1" t="s">
        <v>158</v>
      </c>
    </row>
    <row r="3988" spans="3:18" x14ac:dyDescent="0.35">
      <c r="C3988" t="s">
        <v>51</v>
      </c>
      <c r="D3988" t="s">
        <v>21</v>
      </c>
      <c r="E3988" t="s">
        <v>49</v>
      </c>
      <c r="F3988" t="s">
        <v>46</v>
      </c>
      <c r="G3988" s="58">
        <v>167357</v>
      </c>
      <c r="H3988" s="1" t="s">
        <v>56</v>
      </c>
      <c r="I3988" s="1" t="s">
        <v>111</v>
      </c>
      <c r="J3988" s="58">
        <v>2008284</v>
      </c>
      <c r="K3988" s="1" t="s">
        <v>106</v>
      </c>
      <c r="L3988" s="1" t="s">
        <v>116</v>
      </c>
      <c r="N3988" s="1">
        <v>1</v>
      </c>
      <c r="O3988" s="58"/>
      <c r="P3988" s="58">
        <v>73637.08</v>
      </c>
      <c r="Q3988" t="s">
        <v>113</v>
      </c>
      <c r="R3988" s="1" t="s">
        <v>158</v>
      </c>
    </row>
    <row r="3989" spans="3:18" x14ac:dyDescent="0.35">
      <c r="C3989" t="s">
        <v>51</v>
      </c>
      <c r="D3989" t="s">
        <v>22</v>
      </c>
      <c r="E3989" t="s">
        <v>49</v>
      </c>
      <c r="F3989" t="s">
        <v>46</v>
      </c>
      <c r="G3989" s="58">
        <v>133906</v>
      </c>
      <c r="H3989" s="1" t="s">
        <v>48</v>
      </c>
      <c r="I3989" s="1" t="s">
        <v>108</v>
      </c>
      <c r="J3989" s="58">
        <v>4820616</v>
      </c>
      <c r="K3989" s="1" t="s">
        <v>106</v>
      </c>
      <c r="L3989" s="1" t="s">
        <v>124</v>
      </c>
      <c r="M3989" s="1" t="s">
        <v>126</v>
      </c>
      <c r="N3989" s="1">
        <v>1</v>
      </c>
      <c r="O3989" s="58"/>
      <c r="P3989" s="58">
        <v>115159.16</v>
      </c>
      <c r="Q3989" t="s">
        <v>127</v>
      </c>
      <c r="R3989" s="1" t="s">
        <v>48</v>
      </c>
    </row>
    <row r="3990" spans="3:18" x14ac:dyDescent="0.35">
      <c r="C3990" t="s">
        <v>44</v>
      </c>
      <c r="D3990" t="s">
        <v>60</v>
      </c>
      <c r="E3990" t="s">
        <v>60</v>
      </c>
      <c r="G3990" s="58">
        <v>200000</v>
      </c>
      <c r="H3990" s="1" t="s">
        <v>90</v>
      </c>
      <c r="I3990" s="1" t="s">
        <v>108</v>
      </c>
      <c r="J3990" s="58"/>
      <c r="N3990" s="1">
        <v>0</v>
      </c>
      <c r="O3990" s="58"/>
      <c r="P3990" s="58"/>
      <c r="R3990" s="1" t="s">
        <v>90</v>
      </c>
    </row>
    <row r="3991" spans="3:18" x14ac:dyDescent="0.35">
      <c r="C3991" t="s">
        <v>51</v>
      </c>
      <c r="D3991" t="s">
        <v>22</v>
      </c>
      <c r="E3991" t="s">
        <v>45</v>
      </c>
      <c r="F3991" t="s">
        <v>46</v>
      </c>
      <c r="G3991" s="58">
        <v>43001</v>
      </c>
      <c r="H3991" s="1" t="s">
        <v>59</v>
      </c>
      <c r="I3991" s="1" t="s">
        <v>119</v>
      </c>
      <c r="J3991" s="58">
        <v>387009</v>
      </c>
      <c r="K3991" s="1" t="s">
        <v>106</v>
      </c>
      <c r="L3991" s="1" t="s">
        <v>124</v>
      </c>
      <c r="N3991" s="1">
        <v>1</v>
      </c>
      <c r="O3991" s="58"/>
      <c r="P3991" s="58">
        <v>17630.41</v>
      </c>
      <c r="Q3991" t="s">
        <v>113</v>
      </c>
      <c r="R3991" s="1" t="s">
        <v>158</v>
      </c>
    </row>
    <row r="3992" spans="3:18" x14ac:dyDescent="0.35">
      <c r="C3992" t="s">
        <v>51</v>
      </c>
      <c r="D3992" t="s">
        <v>22</v>
      </c>
      <c r="E3992" t="s">
        <v>55</v>
      </c>
      <c r="F3992" t="s">
        <v>46</v>
      </c>
      <c r="G3992" s="58">
        <v>215138</v>
      </c>
      <c r="H3992" s="1" t="s">
        <v>48</v>
      </c>
      <c r="I3992" s="1" t="s">
        <v>111</v>
      </c>
      <c r="J3992" s="58">
        <v>3227070</v>
      </c>
      <c r="K3992" s="1" t="s">
        <v>106</v>
      </c>
      <c r="L3992" s="1" t="s">
        <v>120</v>
      </c>
      <c r="M3992" s="1" t="s">
        <v>125</v>
      </c>
      <c r="N3992" s="1">
        <v>1</v>
      </c>
      <c r="O3992" s="58"/>
      <c r="P3992" s="58">
        <v>51633.120000000003</v>
      </c>
      <c r="Q3992" t="s">
        <v>107</v>
      </c>
      <c r="R3992" s="1" t="s">
        <v>48</v>
      </c>
    </row>
    <row r="3993" spans="3:18" x14ac:dyDescent="0.35">
      <c r="C3993" t="s">
        <v>51</v>
      </c>
      <c r="D3993" t="s">
        <v>21</v>
      </c>
      <c r="E3993" t="s">
        <v>49</v>
      </c>
      <c r="F3993" t="s">
        <v>64</v>
      </c>
      <c r="G3993" s="58">
        <v>260878</v>
      </c>
      <c r="H3993" s="1" t="s">
        <v>48</v>
      </c>
      <c r="I3993" s="1" t="s">
        <v>108</v>
      </c>
      <c r="J3993" s="58">
        <v>5478438</v>
      </c>
      <c r="K3993" s="1" t="s">
        <v>112</v>
      </c>
      <c r="N3993" s="1">
        <v>1</v>
      </c>
      <c r="O3993" s="58"/>
      <c r="P3993" s="58">
        <v>143482.9</v>
      </c>
      <c r="Q3993" t="s">
        <v>113</v>
      </c>
      <c r="R3993" s="1" t="s">
        <v>48</v>
      </c>
    </row>
    <row r="3994" spans="3:18" x14ac:dyDescent="0.35">
      <c r="C3994" t="s">
        <v>51</v>
      </c>
      <c r="D3994" t="s">
        <v>21</v>
      </c>
      <c r="E3994" t="s">
        <v>45</v>
      </c>
      <c r="F3994" t="s">
        <v>46</v>
      </c>
      <c r="G3994" s="58">
        <v>180159</v>
      </c>
      <c r="H3994" s="1" t="s">
        <v>48</v>
      </c>
      <c r="I3994" s="1" t="s">
        <v>108</v>
      </c>
      <c r="J3994" s="58">
        <v>6485724</v>
      </c>
      <c r="K3994" s="1" t="s">
        <v>106</v>
      </c>
      <c r="L3994" s="1" t="s">
        <v>120</v>
      </c>
      <c r="M3994" s="1" t="s">
        <v>126</v>
      </c>
      <c r="N3994" s="1">
        <v>1</v>
      </c>
      <c r="O3994" s="58"/>
      <c r="P3994" s="58">
        <v>205381.26</v>
      </c>
      <c r="Q3994" t="s">
        <v>110</v>
      </c>
      <c r="R3994" s="1" t="s">
        <v>158</v>
      </c>
    </row>
    <row r="3995" spans="3:18" x14ac:dyDescent="0.35">
      <c r="C3995" t="s">
        <v>51</v>
      </c>
      <c r="D3995" t="s">
        <v>23</v>
      </c>
      <c r="E3995" t="s">
        <v>45</v>
      </c>
      <c r="F3995" t="s">
        <v>46</v>
      </c>
      <c r="G3995" s="58">
        <v>1782515</v>
      </c>
      <c r="H3995" s="1" t="s">
        <v>56</v>
      </c>
      <c r="I3995" s="1" t="s">
        <v>105</v>
      </c>
      <c r="J3995" s="58">
        <v>8912575</v>
      </c>
      <c r="K3995" s="1" t="s">
        <v>112</v>
      </c>
      <c r="N3995" s="1">
        <v>1</v>
      </c>
      <c r="O3995" s="58"/>
      <c r="P3995" s="58">
        <v>1675564.1</v>
      </c>
      <c r="Q3995" t="s">
        <v>127</v>
      </c>
      <c r="R3995" s="1" t="s">
        <v>158</v>
      </c>
    </row>
    <row r="3996" spans="3:18" x14ac:dyDescent="0.35">
      <c r="C3996" t="s">
        <v>53</v>
      </c>
      <c r="D3996" t="s">
        <v>20</v>
      </c>
      <c r="E3996" t="s">
        <v>45</v>
      </c>
      <c r="F3996" t="s">
        <v>46</v>
      </c>
      <c r="G3996" s="58">
        <v>1221772</v>
      </c>
      <c r="H3996" s="1" t="s">
        <v>59</v>
      </c>
      <c r="I3996" s="1" t="s">
        <v>111</v>
      </c>
      <c r="J3996" s="58">
        <v>13439492</v>
      </c>
      <c r="K3996" s="1" t="s">
        <v>106</v>
      </c>
      <c r="L3996" s="1" t="s">
        <v>120</v>
      </c>
      <c r="N3996" s="1">
        <v>1</v>
      </c>
      <c r="O3996" s="58"/>
      <c r="P3996" s="58">
        <v>647539.16</v>
      </c>
      <c r="Q3996" t="s">
        <v>113</v>
      </c>
      <c r="R3996" s="1" t="s">
        <v>158</v>
      </c>
    </row>
    <row r="3997" spans="3:18" x14ac:dyDescent="0.35">
      <c r="C3997" t="s">
        <v>53</v>
      </c>
      <c r="D3997" t="s">
        <v>24</v>
      </c>
      <c r="E3997" t="s">
        <v>55</v>
      </c>
      <c r="F3997" t="s">
        <v>46</v>
      </c>
      <c r="G3997" s="58">
        <v>18302</v>
      </c>
      <c r="H3997" s="1" t="s">
        <v>47</v>
      </c>
      <c r="I3997" s="1" t="s">
        <v>105</v>
      </c>
      <c r="J3997" s="58">
        <v>36604</v>
      </c>
      <c r="K3997" s="1" t="s">
        <v>106</v>
      </c>
      <c r="L3997" s="1" t="s">
        <v>114</v>
      </c>
      <c r="N3997" s="1">
        <v>1</v>
      </c>
      <c r="O3997" s="58"/>
      <c r="P3997" s="58">
        <v>11713.28</v>
      </c>
      <c r="Q3997" t="s">
        <v>118</v>
      </c>
      <c r="R3997" s="1" t="s">
        <v>158</v>
      </c>
    </row>
    <row r="3998" spans="3:18" x14ac:dyDescent="0.35">
      <c r="C3998" t="s">
        <v>53</v>
      </c>
      <c r="D3998" t="s">
        <v>21</v>
      </c>
      <c r="E3998" t="s">
        <v>45</v>
      </c>
      <c r="F3998" t="s">
        <v>46</v>
      </c>
      <c r="G3998" s="58">
        <v>691844</v>
      </c>
      <c r="H3998" s="1" t="s">
        <v>47</v>
      </c>
      <c r="I3998" s="1" t="s">
        <v>111</v>
      </c>
      <c r="J3998" s="58">
        <v>10377660</v>
      </c>
      <c r="K3998" s="1" t="s">
        <v>112</v>
      </c>
      <c r="N3998" s="1">
        <v>1</v>
      </c>
      <c r="O3998" s="58"/>
      <c r="P3998" s="58">
        <v>89939.72</v>
      </c>
      <c r="Q3998" t="s">
        <v>107</v>
      </c>
      <c r="R3998" s="1" t="s">
        <v>158</v>
      </c>
    </row>
    <row r="3999" spans="3:18" x14ac:dyDescent="0.35">
      <c r="C3999" t="s">
        <v>53</v>
      </c>
      <c r="D3999" t="s">
        <v>91</v>
      </c>
      <c r="E3999" t="s">
        <v>49</v>
      </c>
      <c r="F3999" t="s">
        <v>46</v>
      </c>
      <c r="G3999" s="58">
        <v>308310</v>
      </c>
      <c r="H3999" s="1" t="s">
        <v>54</v>
      </c>
      <c r="I3999" s="1" t="s">
        <v>119</v>
      </c>
      <c r="J3999" s="58">
        <v>2774790</v>
      </c>
      <c r="K3999" s="1" t="s">
        <v>106</v>
      </c>
      <c r="L3999" s="1" t="s">
        <v>124</v>
      </c>
      <c r="N3999" s="1">
        <v>1</v>
      </c>
      <c r="O3999" s="58"/>
      <c r="P3999" s="58">
        <v>46246.5</v>
      </c>
      <c r="Q3999" t="s">
        <v>107</v>
      </c>
      <c r="R3999" s="1" t="s">
        <v>158</v>
      </c>
    </row>
    <row r="4000" spans="3:18" x14ac:dyDescent="0.35">
      <c r="C4000" t="s">
        <v>51</v>
      </c>
      <c r="D4000" t="s">
        <v>24</v>
      </c>
      <c r="E4000" t="s">
        <v>45</v>
      </c>
      <c r="F4000" t="s">
        <v>46</v>
      </c>
      <c r="G4000" s="58">
        <v>56879</v>
      </c>
      <c r="H4000" s="1" t="s">
        <v>56</v>
      </c>
      <c r="I4000" s="1" t="s">
        <v>111</v>
      </c>
      <c r="J4000" s="58">
        <v>910064</v>
      </c>
      <c r="K4000" s="1" t="s">
        <v>112</v>
      </c>
      <c r="N4000" s="1">
        <v>1</v>
      </c>
      <c r="O4000" s="58"/>
      <c r="P4000" s="58">
        <v>16494.91</v>
      </c>
      <c r="Q4000" t="s">
        <v>107</v>
      </c>
      <c r="R4000" s="1" t="s">
        <v>158</v>
      </c>
    </row>
    <row r="4001" spans="3:18" x14ac:dyDescent="0.35">
      <c r="C4001" t="s">
        <v>51</v>
      </c>
      <c r="D4001" t="s">
        <v>21</v>
      </c>
      <c r="E4001" t="s">
        <v>49</v>
      </c>
      <c r="F4001" t="s">
        <v>46</v>
      </c>
      <c r="G4001" s="58">
        <v>1616538</v>
      </c>
      <c r="H4001" s="1" t="s">
        <v>56</v>
      </c>
      <c r="I4001" s="1" t="s">
        <v>105</v>
      </c>
      <c r="J4001" s="58">
        <v>8082690</v>
      </c>
      <c r="K4001" s="1" t="s">
        <v>112</v>
      </c>
      <c r="N4001" s="1">
        <v>1</v>
      </c>
      <c r="O4001" s="58"/>
      <c r="P4001" s="58">
        <v>1196238.1200000001</v>
      </c>
      <c r="Q4001" t="s">
        <v>118</v>
      </c>
      <c r="R4001" s="1" t="s">
        <v>158</v>
      </c>
    </row>
    <row r="4002" spans="3:18" x14ac:dyDescent="0.35">
      <c r="C4002" t="s">
        <v>51</v>
      </c>
      <c r="D4002" t="s">
        <v>24</v>
      </c>
      <c r="E4002" t="s">
        <v>50</v>
      </c>
      <c r="F4002" t="s">
        <v>46</v>
      </c>
      <c r="G4002" s="58">
        <v>55860109</v>
      </c>
      <c r="H4002" s="1" t="s">
        <v>48</v>
      </c>
      <c r="I4002" s="1" t="s">
        <v>108</v>
      </c>
      <c r="J4002" s="58">
        <v>1787523488</v>
      </c>
      <c r="K4002" s="1" t="s">
        <v>106</v>
      </c>
      <c r="L4002" s="1" t="s">
        <v>109</v>
      </c>
      <c r="M4002" s="1" t="s">
        <v>121</v>
      </c>
      <c r="N4002" s="1">
        <v>1</v>
      </c>
      <c r="O4002" s="58"/>
      <c r="P4002" s="58">
        <v>40219278.479999997</v>
      </c>
      <c r="Q4002" t="s">
        <v>118</v>
      </c>
      <c r="R4002" s="1" t="s">
        <v>158</v>
      </c>
    </row>
    <row r="4003" spans="3:18" x14ac:dyDescent="0.35">
      <c r="C4003" t="s">
        <v>51</v>
      </c>
      <c r="D4003" t="s">
        <v>22</v>
      </c>
      <c r="E4003" t="s">
        <v>45</v>
      </c>
      <c r="F4003" t="s">
        <v>46</v>
      </c>
      <c r="G4003" s="58">
        <v>2228457</v>
      </c>
      <c r="H4003" s="1" t="s">
        <v>48</v>
      </c>
      <c r="I4003" s="1" t="s">
        <v>105</v>
      </c>
      <c r="J4003" s="58">
        <v>6685371</v>
      </c>
      <c r="K4003" s="1" t="s">
        <v>106</v>
      </c>
      <c r="L4003" s="1" t="s">
        <v>120</v>
      </c>
      <c r="M4003" s="1" t="s">
        <v>115</v>
      </c>
      <c r="N4003" s="1">
        <v>1</v>
      </c>
      <c r="O4003" s="58"/>
      <c r="P4003" s="58">
        <v>445691.4</v>
      </c>
      <c r="Q4003" t="s">
        <v>107</v>
      </c>
      <c r="R4003" s="1" t="s">
        <v>48</v>
      </c>
    </row>
    <row r="4004" spans="3:18" x14ac:dyDescent="0.35">
      <c r="C4004" t="s">
        <v>51</v>
      </c>
      <c r="D4004" t="s">
        <v>21</v>
      </c>
      <c r="E4004" t="s">
        <v>49</v>
      </c>
      <c r="F4004" t="s">
        <v>46</v>
      </c>
      <c r="G4004" s="58">
        <v>10987</v>
      </c>
      <c r="H4004" s="1" t="s">
        <v>48</v>
      </c>
      <c r="I4004" s="1" t="s">
        <v>111</v>
      </c>
      <c r="J4004" s="58">
        <v>164805</v>
      </c>
      <c r="K4004" s="1" t="s">
        <v>106</v>
      </c>
      <c r="L4004" s="1" t="s">
        <v>120</v>
      </c>
      <c r="M4004" s="1" t="s">
        <v>115</v>
      </c>
      <c r="N4004" s="1">
        <v>1</v>
      </c>
      <c r="O4004" s="58"/>
      <c r="P4004" s="58">
        <v>14392.97</v>
      </c>
      <c r="Q4004" t="s">
        <v>110</v>
      </c>
      <c r="R4004" s="1" t="s">
        <v>48</v>
      </c>
    </row>
    <row r="4005" spans="3:18" x14ac:dyDescent="0.35">
      <c r="C4005" t="s">
        <v>51</v>
      </c>
      <c r="D4005" t="s">
        <v>24</v>
      </c>
      <c r="E4005" t="s">
        <v>55</v>
      </c>
      <c r="F4005" t="s">
        <v>46</v>
      </c>
      <c r="G4005" s="58">
        <v>96193</v>
      </c>
      <c r="H4005" s="1" t="s">
        <v>48</v>
      </c>
      <c r="I4005" s="1" t="s">
        <v>119</v>
      </c>
      <c r="J4005" s="58">
        <v>673351</v>
      </c>
      <c r="K4005" s="1" t="s">
        <v>106</v>
      </c>
      <c r="L4005" s="1" t="s">
        <v>114</v>
      </c>
      <c r="M4005" s="1" t="s">
        <v>121</v>
      </c>
      <c r="N4005" s="1">
        <v>1</v>
      </c>
      <c r="O4005" s="58"/>
      <c r="P4005" s="58">
        <v>46172.639999999999</v>
      </c>
      <c r="Q4005" t="s">
        <v>113</v>
      </c>
      <c r="R4005" s="1" t="s">
        <v>48</v>
      </c>
    </row>
    <row r="4006" spans="3:18" x14ac:dyDescent="0.35">
      <c r="C4006" t="s">
        <v>51</v>
      </c>
      <c r="D4006" t="s">
        <v>21</v>
      </c>
      <c r="E4006" t="s">
        <v>55</v>
      </c>
      <c r="F4006" t="s">
        <v>46</v>
      </c>
      <c r="G4006" s="58">
        <v>725473</v>
      </c>
      <c r="H4006" s="1" t="s">
        <v>47</v>
      </c>
      <c r="I4006" s="1" t="s">
        <v>108</v>
      </c>
      <c r="J4006" s="58">
        <v>25391555</v>
      </c>
      <c r="K4006" s="1" t="s">
        <v>106</v>
      </c>
      <c r="L4006" s="1" t="s">
        <v>114</v>
      </c>
      <c r="N4006" s="1">
        <v>1</v>
      </c>
      <c r="O4006" s="58"/>
      <c r="P4006" s="58">
        <v>573123.67000000004</v>
      </c>
      <c r="Q4006" t="s">
        <v>118</v>
      </c>
      <c r="R4006" s="1" t="s">
        <v>158</v>
      </c>
    </row>
    <row r="4007" spans="3:18" x14ac:dyDescent="0.35">
      <c r="C4007" t="s">
        <v>51</v>
      </c>
      <c r="D4007" t="s">
        <v>20</v>
      </c>
      <c r="E4007" t="s">
        <v>49</v>
      </c>
      <c r="F4007" t="s">
        <v>46</v>
      </c>
      <c r="G4007" s="58">
        <v>1994234</v>
      </c>
      <c r="H4007" s="1" t="s">
        <v>47</v>
      </c>
      <c r="I4007" s="1" t="s">
        <v>108</v>
      </c>
      <c r="J4007" s="58">
        <v>59827020</v>
      </c>
      <c r="K4007" s="1" t="s">
        <v>106</v>
      </c>
      <c r="L4007" s="1" t="s">
        <v>114</v>
      </c>
      <c r="N4007" s="1">
        <v>1</v>
      </c>
      <c r="O4007" s="58"/>
      <c r="P4007" s="58">
        <v>937289.98</v>
      </c>
      <c r="Q4007" t="s">
        <v>113</v>
      </c>
      <c r="R4007" s="1" t="s">
        <v>158</v>
      </c>
    </row>
    <row r="4008" spans="3:18" x14ac:dyDescent="0.35">
      <c r="C4008" t="s">
        <v>51</v>
      </c>
      <c r="D4008" t="s">
        <v>22</v>
      </c>
      <c r="E4008" t="s">
        <v>49</v>
      </c>
      <c r="F4008" t="s">
        <v>46</v>
      </c>
      <c r="G4008" s="58">
        <v>93655</v>
      </c>
      <c r="H4008" s="1" t="s">
        <v>48</v>
      </c>
      <c r="I4008" s="1" t="s">
        <v>111</v>
      </c>
      <c r="J4008" s="58">
        <v>1217515</v>
      </c>
      <c r="K4008" s="1" t="s">
        <v>106</v>
      </c>
      <c r="L4008" s="1" t="s">
        <v>124</v>
      </c>
      <c r="M4008" s="1" t="s">
        <v>126</v>
      </c>
      <c r="N4008" s="1">
        <v>1</v>
      </c>
      <c r="O4008" s="58"/>
      <c r="P4008" s="58">
        <v>45890.95</v>
      </c>
      <c r="Q4008" t="s">
        <v>113</v>
      </c>
      <c r="R4008" s="1" t="s">
        <v>48</v>
      </c>
    </row>
    <row r="4009" spans="3:18" x14ac:dyDescent="0.35">
      <c r="C4009" t="s">
        <v>51</v>
      </c>
      <c r="D4009" t="s">
        <v>20</v>
      </c>
      <c r="E4009" t="s">
        <v>45</v>
      </c>
      <c r="F4009" t="s">
        <v>46</v>
      </c>
      <c r="G4009" s="58">
        <v>340153</v>
      </c>
      <c r="H4009" s="1" t="s">
        <v>48</v>
      </c>
      <c r="I4009" s="1" t="s">
        <v>108</v>
      </c>
      <c r="J4009" s="58">
        <v>9864437</v>
      </c>
      <c r="K4009" s="1" t="s">
        <v>112</v>
      </c>
      <c r="N4009" s="1">
        <v>1</v>
      </c>
      <c r="O4009" s="58"/>
      <c r="P4009" s="58">
        <v>221099.45</v>
      </c>
      <c r="Q4009" t="s">
        <v>118</v>
      </c>
      <c r="R4009" s="1" t="s">
        <v>158</v>
      </c>
    </row>
    <row r="4010" spans="3:18" x14ac:dyDescent="0.35">
      <c r="C4010" t="s">
        <v>53</v>
      </c>
      <c r="D4010" t="s">
        <v>21</v>
      </c>
      <c r="E4010" t="s">
        <v>45</v>
      </c>
      <c r="F4010" t="s">
        <v>46</v>
      </c>
      <c r="G4010" s="58">
        <v>243555</v>
      </c>
      <c r="H4010" s="1" t="s">
        <v>48</v>
      </c>
      <c r="I4010" s="1" t="s">
        <v>111</v>
      </c>
      <c r="J4010" s="58">
        <v>3653325</v>
      </c>
      <c r="K4010" s="1" t="s">
        <v>106</v>
      </c>
      <c r="L4010" s="1" t="s">
        <v>120</v>
      </c>
      <c r="M4010" s="1" t="s">
        <v>126</v>
      </c>
      <c r="N4010" s="1">
        <v>1</v>
      </c>
      <c r="O4010" s="58"/>
      <c r="P4010" s="58">
        <v>204586.2</v>
      </c>
      <c r="Q4010" t="s">
        <v>127</v>
      </c>
      <c r="R4010" s="1" t="s">
        <v>158</v>
      </c>
    </row>
    <row r="4011" spans="3:18" x14ac:dyDescent="0.35">
      <c r="C4011" t="s">
        <v>51</v>
      </c>
      <c r="D4011" t="s">
        <v>23</v>
      </c>
      <c r="E4011" t="s">
        <v>49</v>
      </c>
      <c r="F4011" t="s">
        <v>46</v>
      </c>
      <c r="G4011" s="58">
        <v>63983</v>
      </c>
      <c r="H4011" s="1" t="s">
        <v>48</v>
      </c>
      <c r="I4011" s="1" t="s">
        <v>111</v>
      </c>
      <c r="J4011" s="58">
        <v>767796</v>
      </c>
      <c r="K4011" s="1" t="s">
        <v>106</v>
      </c>
      <c r="L4011" s="1" t="s">
        <v>124</v>
      </c>
      <c r="M4011" s="1" t="s">
        <v>125</v>
      </c>
      <c r="N4011" s="1">
        <v>1</v>
      </c>
      <c r="O4011" s="58"/>
      <c r="P4011" s="58">
        <v>17915.240000000002</v>
      </c>
      <c r="Q4011" t="s">
        <v>107</v>
      </c>
      <c r="R4011" s="1" t="s">
        <v>48</v>
      </c>
    </row>
    <row r="4012" spans="3:18" x14ac:dyDescent="0.35">
      <c r="C4012" t="s">
        <v>51</v>
      </c>
      <c r="D4012" t="s">
        <v>91</v>
      </c>
      <c r="E4012" t="s">
        <v>49</v>
      </c>
      <c r="F4012" t="s">
        <v>46</v>
      </c>
      <c r="G4012" s="58">
        <v>298329</v>
      </c>
      <c r="H4012" s="1" t="s">
        <v>47</v>
      </c>
      <c r="I4012" s="1" t="s">
        <v>111</v>
      </c>
      <c r="J4012" s="58">
        <v>5668251</v>
      </c>
      <c r="K4012" s="1" t="s">
        <v>112</v>
      </c>
      <c r="N4012" s="1">
        <v>1</v>
      </c>
      <c r="O4012" s="58"/>
      <c r="P4012" s="58">
        <v>110381.73</v>
      </c>
      <c r="Q4012" t="s">
        <v>107</v>
      </c>
      <c r="R4012" s="1" t="s">
        <v>158</v>
      </c>
    </row>
    <row r="4013" spans="3:18" x14ac:dyDescent="0.35">
      <c r="C4013" t="s">
        <v>51</v>
      </c>
      <c r="D4013" t="s">
        <v>24</v>
      </c>
      <c r="E4013" t="s">
        <v>50</v>
      </c>
      <c r="F4013" t="s">
        <v>46</v>
      </c>
      <c r="G4013" s="58">
        <v>65513</v>
      </c>
      <c r="H4013" s="1" t="s">
        <v>48</v>
      </c>
      <c r="I4013" s="1" t="s">
        <v>119</v>
      </c>
      <c r="J4013" s="58">
        <v>458591</v>
      </c>
      <c r="K4013" s="1" t="s">
        <v>106</v>
      </c>
      <c r="L4013" s="1" t="s">
        <v>109</v>
      </c>
      <c r="M4013" s="1" t="s">
        <v>121</v>
      </c>
      <c r="N4013" s="1">
        <v>1</v>
      </c>
      <c r="O4013" s="58"/>
      <c r="P4013" s="58">
        <v>39962.93</v>
      </c>
      <c r="Q4013" t="s">
        <v>118</v>
      </c>
      <c r="R4013" s="1" t="s">
        <v>158</v>
      </c>
    </row>
    <row r="4014" spans="3:18" x14ac:dyDescent="0.35">
      <c r="C4014" t="s">
        <v>53</v>
      </c>
      <c r="D4014" t="s">
        <v>20</v>
      </c>
      <c r="E4014" t="s">
        <v>55</v>
      </c>
      <c r="F4014" t="s">
        <v>46</v>
      </c>
      <c r="G4014" s="58">
        <v>2</v>
      </c>
      <c r="H4014" s="1" t="s">
        <v>48</v>
      </c>
      <c r="I4014" s="1" t="s">
        <v>105</v>
      </c>
      <c r="J4014" s="58"/>
      <c r="K4014" s="1" t="s">
        <v>106</v>
      </c>
      <c r="L4014" s="1" t="s">
        <v>114</v>
      </c>
      <c r="M4014" s="1" t="s">
        <v>123</v>
      </c>
      <c r="N4014" s="1">
        <v>0</v>
      </c>
      <c r="O4014" s="58"/>
      <c r="P4014" s="58">
        <v>0</v>
      </c>
      <c r="Q4014" t="s">
        <v>107</v>
      </c>
      <c r="R4014" s="1" t="s">
        <v>158</v>
      </c>
    </row>
    <row r="4015" spans="3:18" x14ac:dyDescent="0.35">
      <c r="C4015" t="s">
        <v>51</v>
      </c>
      <c r="D4015" t="s">
        <v>21</v>
      </c>
      <c r="E4015" t="s">
        <v>45</v>
      </c>
      <c r="F4015" t="s">
        <v>46</v>
      </c>
      <c r="G4015" s="58">
        <v>854437</v>
      </c>
      <c r="H4015" s="1" t="s">
        <v>48</v>
      </c>
      <c r="I4015" s="1" t="s">
        <v>105</v>
      </c>
      <c r="J4015" s="58">
        <v>2563311</v>
      </c>
      <c r="K4015" s="1" t="s">
        <v>106</v>
      </c>
      <c r="L4015" s="1" t="s">
        <v>120</v>
      </c>
      <c r="M4015" s="1" t="s">
        <v>126</v>
      </c>
      <c r="N4015" s="1">
        <v>1</v>
      </c>
      <c r="O4015" s="58"/>
      <c r="P4015" s="58">
        <v>145254.29</v>
      </c>
      <c r="Q4015" t="s">
        <v>107</v>
      </c>
      <c r="R4015" s="1" t="s">
        <v>48</v>
      </c>
    </row>
    <row r="4016" spans="3:18" x14ac:dyDescent="0.35">
      <c r="C4016" t="s">
        <v>51</v>
      </c>
      <c r="D4016" t="s">
        <v>22</v>
      </c>
      <c r="E4016" t="s">
        <v>45</v>
      </c>
      <c r="F4016" t="s">
        <v>46</v>
      </c>
      <c r="G4016" s="58">
        <v>2894568</v>
      </c>
      <c r="H4016" s="1" t="s">
        <v>59</v>
      </c>
      <c r="I4016" s="1" t="s">
        <v>108</v>
      </c>
      <c r="J4016" s="58">
        <v>78153336</v>
      </c>
      <c r="K4016" s="1" t="s">
        <v>106</v>
      </c>
      <c r="L4016" s="1" t="s">
        <v>120</v>
      </c>
      <c r="N4016" s="1">
        <v>1</v>
      </c>
      <c r="O4016" s="58"/>
      <c r="P4016" s="58">
        <v>3357698.88</v>
      </c>
      <c r="Q4016" t="s">
        <v>110</v>
      </c>
      <c r="R4016" s="1" t="s">
        <v>158</v>
      </c>
    </row>
    <row r="4017" spans="3:18" x14ac:dyDescent="0.35">
      <c r="C4017" t="s">
        <v>51</v>
      </c>
      <c r="D4017" t="s">
        <v>21</v>
      </c>
      <c r="E4017" t="s">
        <v>52</v>
      </c>
      <c r="F4017" t="s">
        <v>46</v>
      </c>
      <c r="G4017" s="58">
        <v>272340</v>
      </c>
      <c r="H4017" s="1" t="s">
        <v>48</v>
      </c>
      <c r="I4017" s="1" t="s">
        <v>108</v>
      </c>
      <c r="J4017" s="58">
        <v>10348920</v>
      </c>
      <c r="K4017" s="1" t="s">
        <v>112</v>
      </c>
      <c r="N4017" s="1">
        <v>1</v>
      </c>
      <c r="O4017" s="58"/>
      <c r="P4017" s="58">
        <v>117106.2</v>
      </c>
      <c r="Q4017" t="s">
        <v>113</v>
      </c>
      <c r="R4017" s="1" t="s">
        <v>48</v>
      </c>
    </row>
    <row r="4018" spans="3:18" x14ac:dyDescent="0.35">
      <c r="C4018" t="s">
        <v>51</v>
      </c>
      <c r="D4018" t="s">
        <v>20</v>
      </c>
      <c r="E4018" t="s">
        <v>45</v>
      </c>
      <c r="F4018" t="s">
        <v>46</v>
      </c>
      <c r="G4018" s="58">
        <v>234566</v>
      </c>
      <c r="H4018" s="1" t="s">
        <v>47</v>
      </c>
      <c r="I4018" s="1" t="s">
        <v>108</v>
      </c>
      <c r="J4018" s="58">
        <v>4691320</v>
      </c>
      <c r="K4018" s="1" t="s">
        <v>106</v>
      </c>
      <c r="L4018" s="1" t="s">
        <v>114</v>
      </c>
      <c r="N4018" s="1">
        <v>1</v>
      </c>
      <c r="O4018" s="58"/>
      <c r="P4018" s="58">
        <v>112591.67999999999</v>
      </c>
      <c r="Q4018" t="s">
        <v>113</v>
      </c>
      <c r="R4018" s="1" t="s">
        <v>158</v>
      </c>
    </row>
    <row r="4019" spans="3:18" x14ac:dyDescent="0.35">
      <c r="C4019" t="s">
        <v>51</v>
      </c>
      <c r="D4019" t="s">
        <v>19</v>
      </c>
      <c r="E4019" t="s">
        <v>49</v>
      </c>
      <c r="F4019" t="s">
        <v>46</v>
      </c>
      <c r="G4019" s="58">
        <v>165164</v>
      </c>
      <c r="H4019" s="1" t="s">
        <v>48</v>
      </c>
      <c r="I4019" s="1" t="s">
        <v>111</v>
      </c>
      <c r="J4019" s="58">
        <v>3303280</v>
      </c>
      <c r="K4019" s="1" t="s">
        <v>106</v>
      </c>
      <c r="L4019" s="1" t="s">
        <v>120</v>
      </c>
      <c r="M4019" s="1" t="s">
        <v>115</v>
      </c>
      <c r="N4019" s="1">
        <v>1</v>
      </c>
      <c r="O4019" s="58"/>
      <c r="P4019" s="58">
        <v>90840.2</v>
      </c>
      <c r="Q4019" t="s">
        <v>113</v>
      </c>
      <c r="R4019" s="1" t="s">
        <v>48</v>
      </c>
    </row>
    <row r="4020" spans="3:18" x14ac:dyDescent="0.35">
      <c r="C4020" t="s">
        <v>51</v>
      </c>
      <c r="D4020" t="s">
        <v>21</v>
      </c>
      <c r="E4020" t="s">
        <v>49</v>
      </c>
      <c r="F4020" t="s">
        <v>46</v>
      </c>
      <c r="G4020" s="58">
        <v>5096395</v>
      </c>
      <c r="H4020" s="1" t="s">
        <v>59</v>
      </c>
      <c r="I4020" s="1" t="s">
        <v>108</v>
      </c>
      <c r="J4020" s="58">
        <v>147795455</v>
      </c>
      <c r="K4020" s="1" t="s">
        <v>112</v>
      </c>
      <c r="N4020" s="1">
        <v>1</v>
      </c>
      <c r="O4020" s="58"/>
      <c r="P4020" s="58">
        <v>1528918.5</v>
      </c>
      <c r="Q4020" t="s">
        <v>107</v>
      </c>
      <c r="R4020" s="1" t="s">
        <v>158</v>
      </c>
    </row>
    <row r="4021" spans="3:18" x14ac:dyDescent="0.35">
      <c r="C4021" t="s">
        <v>53</v>
      </c>
      <c r="D4021" t="s">
        <v>21</v>
      </c>
      <c r="E4021" t="s">
        <v>45</v>
      </c>
      <c r="F4021" t="s">
        <v>46</v>
      </c>
      <c r="G4021" s="58">
        <v>580432</v>
      </c>
      <c r="H4021" s="1" t="s">
        <v>48</v>
      </c>
      <c r="I4021" s="1" t="s">
        <v>105</v>
      </c>
      <c r="J4021" s="58">
        <v>2321728</v>
      </c>
      <c r="K4021" s="1" t="s">
        <v>112</v>
      </c>
      <c r="N4021" s="1">
        <v>1</v>
      </c>
      <c r="O4021" s="58"/>
      <c r="P4021" s="58">
        <v>296020.32</v>
      </c>
      <c r="Q4021" t="s">
        <v>113</v>
      </c>
      <c r="R4021" s="1" t="s">
        <v>158</v>
      </c>
    </row>
    <row r="4022" spans="3:18" x14ac:dyDescent="0.35">
      <c r="C4022" t="s">
        <v>51</v>
      </c>
      <c r="D4022" t="s">
        <v>25</v>
      </c>
      <c r="E4022" t="s">
        <v>45</v>
      </c>
      <c r="F4022" t="s">
        <v>46</v>
      </c>
      <c r="G4022" s="58">
        <v>731552</v>
      </c>
      <c r="H4022" s="1" t="s">
        <v>59</v>
      </c>
      <c r="I4022" s="1" t="s">
        <v>111</v>
      </c>
      <c r="J4022" s="58">
        <v>11704832</v>
      </c>
      <c r="K4022" s="1" t="s">
        <v>106</v>
      </c>
      <c r="L4022" s="1" t="s">
        <v>120</v>
      </c>
      <c r="N4022" s="1">
        <v>1</v>
      </c>
      <c r="O4022" s="58"/>
      <c r="P4022" s="58">
        <v>197519.04</v>
      </c>
      <c r="Q4022" t="s">
        <v>107</v>
      </c>
      <c r="R4022" s="1" t="s">
        <v>158</v>
      </c>
    </row>
    <row r="4023" spans="3:18" x14ac:dyDescent="0.35">
      <c r="C4023" t="s">
        <v>51</v>
      </c>
      <c r="D4023" t="s">
        <v>19</v>
      </c>
      <c r="E4023" t="s">
        <v>49</v>
      </c>
      <c r="F4023" t="s">
        <v>46</v>
      </c>
      <c r="G4023" s="58">
        <v>582337</v>
      </c>
      <c r="H4023" s="1" t="s">
        <v>48</v>
      </c>
      <c r="I4023" s="1" t="s">
        <v>108</v>
      </c>
      <c r="J4023" s="58">
        <v>21546469</v>
      </c>
      <c r="K4023" s="1" t="s">
        <v>106</v>
      </c>
      <c r="L4023" s="1" t="s">
        <v>109</v>
      </c>
      <c r="M4023" s="1" t="s">
        <v>121</v>
      </c>
      <c r="N4023" s="1">
        <v>1</v>
      </c>
      <c r="O4023" s="58"/>
      <c r="P4023" s="58">
        <v>215464.69</v>
      </c>
      <c r="Q4023" t="s">
        <v>107</v>
      </c>
      <c r="R4023" s="1" t="s">
        <v>158</v>
      </c>
    </row>
    <row r="4024" spans="3:18" x14ac:dyDescent="0.35">
      <c r="C4024" t="s">
        <v>51</v>
      </c>
      <c r="D4024" t="s">
        <v>24</v>
      </c>
      <c r="E4024" t="s">
        <v>45</v>
      </c>
      <c r="F4024" t="s">
        <v>46</v>
      </c>
      <c r="G4024" s="58">
        <v>9566207</v>
      </c>
      <c r="H4024" s="1" t="s">
        <v>48</v>
      </c>
      <c r="I4024" s="1" t="s">
        <v>111</v>
      </c>
      <c r="J4024" s="58">
        <v>143493105</v>
      </c>
      <c r="K4024" s="1" t="s">
        <v>106</v>
      </c>
      <c r="L4024" s="1" t="s">
        <v>120</v>
      </c>
      <c r="M4024" s="1" t="s">
        <v>121</v>
      </c>
      <c r="N4024" s="1">
        <v>1</v>
      </c>
      <c r="O4024" s="58"/>
      <c r="P4024" s="58">
        <v>2678537.96</v>
      </c>
      <c r="Q4024" t="s">
        <v>107</v>
      </c>
      <c r="R4024" s="1" t="s">
        <v>158</v>
      </c>
    </row>
    <row r="4025" spans="3:18" x14ac:dyDescent="0.35">
      <c r="C4025" t="s">
        <v>53</v>
      </c>
      <c r="D4025" t="s">
        <v>25</v>
      </c>
      <c r="E4025" t="s">
        <v>50</v>
      </c>
      <c r="F4025" t="s">
        <v>46</v>
      </c>
      <c r="G4025" s="58">
        <v>474037</v>
      </c>
      <c r="H4025" s="1" t="s">
        <v>47</v>
      </c>
      <c r="I4025" s="1" t="s">
        <v>111</v>
      </c>
      <c r="J4025" s="58">
        <v>6162481</v>
      </c>
      <c r="K4025" s="1" t="s">
        <v>106</v>
      </c>
      <c r="L4025" s="1" t="s">
        <v>120</v>
      </c>
      <c r="N4025" s="1">
        <v>1</v>
      </c>
      <c r="O4025" s="58"/>
      <c r="P4025" s="58">
        <v>180134.06</v>
      </c>
      <c r="Q4025" t="s">
        <v>107</v>
      </c>
      <c r="R4025" s="1" t="s">
        <v>158</v>
      </c>
    </row>
    <row r="4026" spans="3:18" x14ac:dyDescent="0.35">
      <c r="C4026" t="s">
        <v>51</v>
      </c>
      <c r="D4026" t="s">
        <v>19</v>
      </c>
      <c r="E4026" t="s">
        <v>55</v>
      </c>
      <c r="F4026" t="s">
        <v>46</v>
      </c>
      <c r="G4026" s="58">
        <v>414449</v>
      </c>
      <c r="H4026" s="1" t="s">
        <v>48</v>
      </c>
      <c r="I4026" s="1" t="s">
        <v>111</v>
      </c>
      <c r="J4026" s="58">
        <v>6216735</v>
      </c>
      <c r="K4026" s="1" t="s">
        <v>106</v>
      </c>
      <c r="L4026" s="1" t="s">
        <v>114</v>
      </c>
      <c r="M4026" s="1" t="s">
        <v>122</v>
      </c>
      <c r="N4026" s="1">
        <v>1</v>
      </c>
      <c r="O4026" s="58"/>
      <c r="P4026" s="58">
        <v>290114.3</v>
      </c>
      <c r="Q4026" t="s">
        <v>118</v>
      </c>
      <c r="R4026" s="1" t="s">
        <v>158</v>
      </c>
    </row>
    <row r="4027" spans="3:18" x14ac:dyDescent="0.35">
      <c r="C4027" t="s">
        <v>53</v>
      </c>
      <c r="D4027" t="s">
        <v>22</v>
      </c>
      <c r="E4027" t="s">
        <v>45</v>
      </c>
      <c r="F4027" t="s">
        <v>46</v>
      </c>
      <c r="G4027" s="58">
        <v>520846</v>
      </c>
      <c r="H4027" s="1" t="s">
        <v>54</v>
      </c>
      <c r="I4027" s="1" t="s">
        <v>108</v>
      </c>
      <c r="J4027" s="58">
        <v>10416920</v>
      </c>
      <c r="K4027" s="1" t="s">
        <v>106</v>
      </c>
      <c r="L4027" s="1" t="s">
        <v>120</v>
      </c>
      <c r="N4027" s="1">
        <v>1</v>
      </c>
      <c r="O4027" s="58"/>
      <c r="P4027" s="58">
        <v>239589.16</v>
      </c>
      <c r="Q4027" t="s">
        <v>113</v>
      </c>
      <c r="R4027" s="1" t="s">
        <v>158</v>
      </c>
    </row>
    <row r="4028" spans="3:18" x14ac:dyDescent="0.35">
      <c r="C4028" t="s">
        <v>53</v>
      </c>
      <c r="D4028" t="s">
        <v>92</v>
      </c>
      <c r="E4028" t="s">
        <v>45</v>
      </c>
      <c r="F4028" t="s">
        <v>46</v>
      </c>
      <c r="G4028" s="58">
        <v>401595</v>
      </c>
      <c r="H4028" s="1" t="s">
        <v>47</v>
      </c>
      <c r="I4028" s="1" t="s">
        <v>128</v>
      </c>
      <c r="J4028" s="58"/>
      <c r="K4028" s="1" t="s">
        <v>106</v>
      </c>
      <c r="L4028" s="1" t="s">
        <v>120</v>
      </c>
      <c r="N4028" s="1">
        <v>0</v>
      </c>
      <c r="O4028" s="58"/>
      <c r="P4028" s="58">
        <v>40159.5</v>
      </c>
      <c r="Q4028" t="s">
        <v>107</v>
      </c>
      <c r="R4028" s="1" t="s">
        <v>158</v>
      </c>
    </row>
    <row r="4029" spans="3:18" x14ac:dyDescent="0.35">
      <c r="C4029" t="s">
        <v>51</v>
      </c>
      <c r="D4029" t="s">
        <v>92</v>
      </c>
      <c r="E4029" t="s">
        <v>45</v>
      </c>
      <c r="F4029" t="s">
        <v>46</v>
      </c>
      <c r="G4029" s="58">
        <v>6281353</v>
      </c>
      <c r="H4029" s="1" t="s">
        <v>48</v>
      </c>
      <c r="I4029" s="1" t="s">
        <v>108</v>
      </c>
      <c r="J4029" s="58">
        <v>188440590</v>
      </c>
      <c r="K4029" s="1" t="s">
        <v>106</v>
      </c>
      <c r="L4029" s="1" t="s">
        <v>120</v>
      </c>
      <c r="M4029" s="1" t="s">
        <v>123</v>
      </c>
      <c r="N4029" s="1">
        <v>1</v>
      </c>
      <c r="O4029" s="58"/>
      <c r="P4029" s="58">
        <v>1758778.84</v>
      </c>
      <c r="Q4029" t="s">
        <v>107</v>
      </c>
      <c r="R4029" s="1" t="s">
        <v>158</v>
      </c>
    </row>
    <row r="4030" spans="3:18" x14ac:dyDescent="0.35">
      <c r="C4030" t="s">
        <v>51</v>
      </c>
      <c r="D4030" t="s">
        <v>21</v>
      </c>
      <c r="E4030" t="s">
        <v>49</v>
      </c>
      <c r="F4030" t="s">
        <v>64</v>
      </c>
      <c r="G4030" s="58">
        <v>1189678</v>
      </c>
      <c r="H4030" s="1" t="s">
        <v>47</v>
      </c>
      <c r="I4030" s="1" t="s">
        <v>108</v>
      </c>
      <c r="J4030" s="58">
        <v>39259374</v>
      </c>
      <c r="K4030" s="1" t="s">
        <v>112</v>
      </c>
      <c r="N4030" s="1">
        <v>1</v>
      </c>
      <c r="O4030" s="58"/>
      <c r="P4030" s="58">
        <v>237935.6</v>
      </c>
      <c r="Q4030" t="s">
        <v>107</v>
      </c>
      <c r="R4030" s="1" t="s">
        <v>158</v>
      </c>
    </row>
    <row r="4031" spans="3:18" x14ac:dyDescent="0.35">
      <c r="C4031" t="s">
        <v>51</v>
      </c>
      <c r="D4031" t="s">
        <v>19</v>
      </c>
      <c r="E4031" t="s">
        <v>49</v>
      </c>
      <c r="F4031" t="s">
        <v>46</v>
      </c>
      <c r="G4031" s="58">
        <v>153806970</v>
      </c>
      <c r="H4031" s="1" t="s">
        <v>47</v>
      </c>
      <c r="I4031" s="1" t="s">
        <v>108</v>
      </c>
      <c r="J4031" s="58">
        <v>4152788190</v>
      </c>
      <c r="K4031" s="1" t="s">
        <v>106</v>
      </c>
      <c r="L4031" s="1" t="s">
        <v>124</v>
      </c>
      <c r="N4031" s="1">
        <v>1</v>
      </c>
      <c r="O4031" s="58"/>
      <c r="P4031" s="58">
        <v>78441554.700000003</v>
      </c>
      <c r="Q4031" t="s">
        <v>113</v>
      </c>
      <c r="R4031" s="1" t="s">
        <v>158</v>
      </c>
    </row>
    <row r="4032" spans="3:18" x14ac:dyDescent="0.35">
      <c r="C4032" t="s">
        <v>53</v>
      </c>
      <c r="D4032" t="s">
        <v>21</v>
      </c>
      <c r="E4032" t="s">
        <v>49</v>
      </c>
      <c r="F4032" t="s">
        <v>46</v>
      </c>
      <c r="G4032" s="58">
        <v>689211</v>
      </c>
      <c r="H4032" s="1" t="s">
        <v>48</v>
      </c>
      <c r="I4032" s="1" t="s">
        <v>119</v>
      </c>
      <c r="J4032" s="58">
        <v>4824477</v>
      </c>
      <c r="K4032" s="1" t="s">
        <v>106</v>
      </c>
      <c r="L4032" s="1" t="s">
        <v>120</v>
      </c>
      <c r="M4032" s="1" t="s">
        <v>126</v>
      </c>
      <c r="N4032" s="1">
        <v>1</v>
      </c>
      <c r="O4032" s="58"/>
      <c r="P4032" s="58">
        <v>344605.5</v>
      </c>
      <c r="Q4032" t="s">
        <v>113</v>
      </c>
      <c r="R4032" s="1" t="s">
        <v>48</v>
      </c>
    </row>
    <row r="4033" spans="3:18" x14ac:dyDescent="0.35">
      <c r="C4033" t="s">
        <v>51</v>
      </c>
      <c r="D4033" t="s">
        <v>92</v>
      </c>
      <c r="E4033" t="s">
        <v>45</v>
      </c>
      <c r="F4033" t="s">
        <v>46</v>
      </c>
      <c r="G4033" s="58">
        <v>320000</v>
      </c>
      <c r="H4033" s="1" t="s">
        <v>48</v>
      </c>
      <c r="I4033" s="1" t="s">
        <v>108</v>
      </c>
      <c r="J4033" s="58">
        <v>12800000</v>
      </c>
      <c r="K4033" s="1" t="s">
        <v>112</v>
      </c>
      <c r="N4033" s="1">
        <v>1</v>
      </c>
      <c r="O4033" s="58"/>
      <c r="P4033" s="58">
        <v>320000</v>
      </c>
      <c r="Q4033" t="s">
        <v>110</v>
      </c>
      <c r="R4033" s="1" t="s">
        <v>48</v>
      </c>
    </row>
    <row r="4034" spans="3:18" x14ac:dyDescent="0.35">
      <c r="C4034" t="s">
        <v>51</v>
      </c>
      <c r="D4034" t="s">
        <v>91</v>
      </c>
      <c r="E4034" t="s">
        <v>62</v>
      </c>
      <c r="F4034" t="s">
        <v>46</v>
      </c>
      <c r="G4034" s="58">
        <v>228187</v>
      </c>
      <c r="H4034" s="1" t="s">
        <v>48</v>
      </c>
      <c r="I4034" s="1" t="s">
        <v>108</v>
      </c>
      <c r="J4034" s="58">
        <v>5932862</v>
      </c>
      <c r="K4034" s="1" t="s">
        <v>106</v>
      </c>
      <c r="L4034" s="1" t="s">
        <v>131</v>
      </c>
      <c r="M4034" s="1" t="s">
        <v>122</v>
      </c>
      <c r="N4034" s="1">
        <v>1</v>
      </c>
      <c r="O4034" s="58"/>
      <c r="P4034" s="58">
        <v>162012.76999999999</v>
      </c>
      <c r="Q4034" t="s">
        <v>118</v>
      </c>
      <c r="R4034" s="1" t="s">
        <v>48</v>
      </c>
    </row>
    <row r="4035" spans="3:18" x14ac:dyDescent="0.35">
      <c r="C4035" t="s">
        <v>51</v>
      </c>
      <c r="D4035" t="s">
        <v>23</v>
      </c>
      <c r="E4035" t="s">
        <v>45</v>
      </c>
      <c r="F4035" t="s">
        <v>46</v>
      </c>
      <c r="G4035" s="58">
        <v>89190</v>
      </c>
      <c r="H4035" s="1" t="s">
        <v>48</v>
      </c>
      <c r="I4035" s="1" t="s">
        <v>108</v>
      </c>
      <c r="J4035" s="58">
        <v>1962180</v>
      </c>
      <c r="K4035" s="1" t="s">
        <v>106</v>
      </c>
      <c r="L4035" s="1" t="s">
        <v>124</v>
      </c>
      <c r="M4035" s="1" t="s">
        <v>125</v>
      </c>
      <c r="N4035" s="1">
        <v>1</v>
      </c>
      <c r="O4035" s="58"/>
      <c r="P4035" s="58">
        <v>22297.5</v>
      </c>
      <c r="Q4035" t="s">
        <v>107</v>
      </c>
      <c r="R4035" s="1" t="s">
        <v>158</v>
      </c>
    </row>
    <row r="4036" spans="3:18" x14ac:dyDescent="0.35">
      <c r="C4036" t="s">
        <v>51</v>
      </c>
      <c r="D4036" t="s">
        <v>23</v>
      </c>
      <c r="E4036" t="s">
        <v>45</v>
      </c>
      <c r="F4036" t="s">
        <v>46</v>
      </c>
      <c r="G4036" s="58">
        <v>142818</v>
      </c>
      <c r="H4036" s="1" t="s">
        <v>56</v>
      </c>
      <c r="I4036" s="1" t="s">
        <v>111</v>
      </c>
      <c r="J4036" s="58">
        <v>2285088</v>
      </c>
      <c r="K4036" s="1" t="s">
        <v>106</v>
      </c>
      <c r="L4036" s="1" t="s">
        <v>124</v>
      </c>
      <c r="N4036" s="1">
        <v>1</v>
      </c>
      <c r="O4036" s="58"/>
      <c r="P4036" s="58">
        <v>65696.28</v>
      </c>
      <c r="Q4036" t="s">
        <v>113</v>
      </c>
      <c r="R4036" s="1" t="s">
        <v>158</v>
      </c>
    </row>
    <row r="4037" spans="3:18" x14ac:dyDescent="0.35">
      <c r="C4037" t="s">
        <v>51</v>
      </c>
      <c r="D4037" t="s">
        <v>20</v>
      </c>
      <c r="E4037" t="s">
        <v>49</v>
      </c>
      <c r="F4037" t="s">
        <v>46</v>
      </c>
      <c r="G4037" s="58">
        <v>190920</v>
      </c>
      <c r="H4037" s="1" t="s">
        <v>56</v>
      </c>
      <c r="I4037" s="1" t="s">
        <v>108</v>
      </c>
      <c r="J4037" s="58">
        <v>5918520</v>
      </c>
      <c r="K4037" s="1" t="s">
        <v>106</v>
      </c>
      <c r="L4037" s="1" t="s">
        <v>120</v>
      </c>
      <c r="N4037" s="1">
        <v>1</v>
      </c>
      <c r="O4037" s="58"/>
      <c r="P4037" s="58">
        <v>114552</v>
      </c>
      <c r="Q4037" t="s">
        <v>113</v>
      </c>
      <c r="R4037" s="1" t="s">
        <v>158</v>
      </c>
    </row>
    <row r="4038" spans="3:18" x14ac:dyDescent="0.35">
      <c r="C4038" t="s">
        <v>53</v>
      </c>
      <c r="D4038" t="s">
        <v>25</v>
      </c>
      <c r="E4038" t="s">
        <v>55</v>
      </c>
      <c r="F4038" t="s">
        <v>46</v>
      </c>
      <c r="G4038" s="58">
        <v>468600</v>
      </c>
      <c r="H4038" s="1" t="s">
        <v>47</v>
      </c>
      <c r="I4038" s="1" t="s">
        <v>111</v>
      </c>
      <c r="J4038" s="58">
        <v>7029000</v>
      </c>
      <c r="K4038" s="1" t="s">
        <v>112</v>
      </c>
      <c r="N4038" s="1">
        <v>1</v>
      </c>
      <c r="O4038" s="58"/>
      <c r="P4038" s="58">
        <v>360822</v>
      </c>
      <c r="Q4038" t="s">
        <v>118</v>
      </c>
      <c r="R4038" s="1" t="s">
        <v>158</v>
      </c>
    </row>
    <row r="4039" spans="3:18" x14ac:dyDescent="0.35">
      <c r="C4039" t="s">
        <v>51</v>
      </c>
      <c r="D4039" t="s">
        <v>22</v>
      </c>
      <c r="E4039" t="s">
        <v>45</v>
      </c>
      <c r="F4039" t="s">
        <v>64</v>
      </c>
      <c r="G4039" s="58">
        <v>77250</v>
      </c>
      <c r="H4039" s="1" t="s">
        <v>56</v>
      </c>
      <c r="I4039" s="1" t="s">
        <v>111</v>
      </c>
      <c r="J4039" s="58">
        <v>1545000</v>
      </c>
      <c r="K4039" s="1" t="s">
        <v>106</v>
      </c>
      <c r="L4039" s="1" t="s">
        <v>120</v>
      </c>
      <c r="N4039" s="1">
        <v>1</v>
      </c>
      <c r="O4039" s="58"/>
      <c r="P4039" s="58">
        <v>27810</v>
      </c>
      <c r="Q4039" t="s">
        <v>107</v>
      </c>
      <c r="R4039" s="1" t="s">
        <v>158</v>
      </c>
    </row>
    <row r="4040" spans="3:18" x14ac:dyDescent="0.35">
      <c r="C4040" t="s">
        <v>51</v>
      </c>
      <c r="D4040" t="s">
        <v>23</v>
      </c>
      <c r="E4040" t="s">
        <v>55</v>
      </c>
      <c r="F4040" t="s">
        <v>46</v>
      </c>
      <c r="G4040" s="58">
        <v>138362</v>
      </c>
      <c r="H4040" s="1" t="s">
        <v>58</v>
      </c>
      <c r="I4040" s="1" t="s">
        <v>111</v>
      </c>
      <c r="J4040" s="58">
        <v>2213792</v>
      </c>
      <c r="K4040" s="1" t="s">
        <v>106</v>
      </c>
      <c r="L4040" s="1" t="s">
        <v>114</v>
      </c>
      <c r="N4040" s="1">
        <v>1</v>
      </c>
      <c r="O4040" s="58"/>
      <c r="P4040" s="58">
        <v>67797.38</v>
      </c>
      <c r="Q4040" t="s">
        <v>113</v>
      </c>
      <c r="R4040" s="1" t="s">
        <v>158</v>
      </c>
    </row>
    <row r="4041" spans="3:18" x14ac:dyDescent="0.35">
      <c r="C4041" t="s">
        <v>53</v>
      </c>
      <c r="D4041" t="s">
        <v>22</v>
      </c>
      <c r="E4041" t="s">
        <v>45</v>
      </c>
      <c r="F4041" t="s">
        <v>46</v>
      </c>
      <c r="G4041" s="58">
        <v>9889718</v>
      </c>
      <c r="H4041" s="1" t="s">
        <v>54</v>
      </c>
      <c r="I4041" s="1" t="s">
        <v>105</v>
      </c>
      <c r="J4041" s="58">
        <v>29669154</v>
      </c>
      <c r="K4041" s="1" t="s">
        <v>106</v>
      </c>
      <c r="L4041" s="1" t="s">
        <v>120</v>
      </c>
      <c r="N4041" s="1">
        <v>1</v>
      </c>
      <c r="O4041" s="58"/>
      <c r="P4041" s="58">
        <v>5637139.2599999998</v>
      </c>
      <c r="Q4041" t="s">
        <v>113</v>
      </c>
      <c r="R4041" s="1" t="s">
        <v>158</v>
      </c>
    </row>
    <row r="4042" spans="3:18" x14ac:dyDescent="0.35">
      <c r="C4042" t="s">
        <v>51</v>
      </c>
      <c r="D4042" t="s">
        <v>23</v>
      </c>
      <c r="E4042" t="s">
        <v>52</v>
      </c>
      <c r="F4042" t="s">
        <v>46</v>
      </c>
      <c r="G4042" s="58">
        <v>2469800</v>
      </c>
      <c r="H4042" s="1" t="s">
        <v>48</v>
      </c>
      <c r="I4042" s="1" t="s">
        <v>108</v>
      </c>
      <c r="J4042" s="58">
        <v>93852400</v>
      </c>
      <c r="K4042" s="1" t="s">
        <v>112</v>
      </c>
      <c r="N4042" s="1">
        <v>1</v>
      </c>
      <c r="O4042" s="58"/>
      <c r="P4042" s="58">
        <v>2469800</v>
      </c>
      <c r="Q4042" t="s">
        <v>110</v>
      </c>
      <c r="R4042" s="1" t="s">
        <v>48</v>
      </c>
    </row>
    <row r="4043" spans="3:18" x14ac:dyDescent="0.35">
      <c r="C4043" t="s">
        <v>53</v>
      </c>
      <c r="D4043" t="s">
        <v>19</v>
      </c>
      <c r="E4043" t="s">
        <v>45</v>
      </c>
      <c r="F4043" t="s">
        <v>46</v>
      </c>
      <c r="G4043" s="58">
        <v>953538</v>
      </c>
      <c r="H4043" s="1" t="s">
        <v>59</v>
      </c>
      <c r="I4043" s="1" t="s">
        <v>111</v>
      </c>
      <c r="J4043" s="58">
        <v>12395994</v>
      </c>
      <c r="K4043" s="1" t="s">
        <v>106</v>
      </c>
      <c r="L4043" s="1" t="s">
        <v>120</v>
      </c>
      <c r="N4043" s="1">
        <v>1</v>
      </c>
      <c r="O4043" s="58"/>
      <c r="P4043" s="58">
        <v>705618.12</v>
      </c>
      <c r="Q4043" t="s">
        <v>118</v>
      </c>
      <c r="R4043" s="1" t="s">
        <v>158</v>
      </c>
    </row>
    <row r="4044" spans="3:18" x14ac:dyDescent="0.35">
      <c r="C4044" t="s">
        <v>51</v>
      </c>
      <c r="D4044" t="s">
        <v>24</v>
      </c>
      <c r="E4044" t="s">
        <v>50</v>
      </c>
      <c r="F4044" t="s">
        <v>46</v>
      </c>
      <c r="G4044" s="58">
        <v>344690</v>
      </c>
      <c r="H4044" s="1" t="s">
        <v>56</v>
      </c>
      <c r="I4044" s="1" t="s">
        <v>119</v>
      </c>
      <c r="J4044" s="58">
        <v>3446900</v>
      </c>
      <c r="K4044" s="1" t="s">
        <v>106</v>
      </c>
      <c r="L4044" s="1" t="s">
        <v>109</v>
      </c>
      <c r="N4044" s="1">
        <v>1</v>
      </c>
      <c r="O4044" s="58"/>
      <c r="P4044" s="58">
        <v>234389.2</v>
      </c>
      <c r="Q4044" t="s">
        <v>118</v>
      </c>
      <c r="R4044" s="1" t="s">
        <v>158</v>
      </c>
    </row>
    <row r="4045" spans="3:18" x14ac:dyDescent="0.35">
      <c r="C4045" t="s">
        <v>51</v>
      </c>
      <c r="D4045" t="s">
        <v>23</v>
      </c>
      <c r="E4045" t="s">
        <v>49</v>
      </c>
      <c r="F4045" t="s">
        <v>46</v>
      </c>
      <c r="G4045" s="58">
        <v>104612</v>
      </c>
      <c r="H4045" s="1" t="s">
        <v>48</v>
      </c>
      <c r="I4045" s="1" t="s">
        <v>108</v>
      </c>
      <c r="J4045" s="58">
        <v>3661420</v>
      </c>
      <c r="K4045" s="1" t="s">
        <v>106</v>
      </c>
      <c r="L4045" s="1" t="s">
        <v>124</v>
      </c>
      <c r="M4045" s="1" t="s">
        <v>123</v>
      </c>
      <c r="N4045" s="1">
        <v>1</v>
      </c>
      <c r="O4045" s="58"/>
      <c r="P4045" s="58">
        <v>65905.56</v>
      </c>
      <c r="Q4045" t="s">
        <v>118</v>
      </c>
      <c r="R4045" s="1" t="s">
        <v>48</v>
      </c>
    </row>
    <row r="4046" spans="3:18" x14ac:dyDescent="0.35">
      <c r="C4046" t="s">
        <v>51</v>
      </c>
      <c r="D4046" t="s">
        <v>21</v>
      </c>
      <c r="E4046" t="s">
        <v>55</v>
      </c>
      <c r="F4046" t="s">
        <v>46</v>
      </c>
      <c r="G4046" s="58">
        <v>8037964</v>
      </c>
      <c r="H4046" s="1" t="s">
        <v>48</v>
      </c>
      <c r="I4046" s="1" t="s">
        <v>108</v>
      </c>
      <c r="J4046" s="58">
        <v>241138920</v>
      </c>
      <c r="K4046" s="1" t="s">
        <v>106</v>
      </c>
      <c r="L4046" s="1" t="s">
        <v>114</v>
      </c>
      <c r="M4046" s="1" t="s">
        <v>126</v>
      </c>
      <c r="N4046" s="1">
        <v>1</v>
      </c>
      <c r="O4046" s="58"/>
      <c r="P4046" s="58">
        <v>4179741.28</v>
      </c>
      <c r="Q4046" t="s">
        <v>113</v>
      </c>
      <c r="R4046" s="1" t="s">
        <v>158</v>
      </c>
    </row>
    <row r="4047" spans="3:18" x14ac:dyDescent="0.35">
      <c r="C4047" t="s">
        <v>51</v>
      </c>
      <c r="D4047" t="s">
        <v>19</v>
      </c>
      <c r="E4047" t="s">
        <v>49</v>
      </c>
      <c r="F4047" t="s">
        <v>46</v>
      </c>
      <c r="G4047" s="58">
        <v>108267</v>
      </c>
      <c r="H4047" s="1" t="s">
        <v>48</v>
      </c>
      <c r="I4047" s="1" t="s">
        <v>108</v>
      </c>
      <c r="J4047" s="58">
        <v>3139743</v>
      </c>
      <c r="K4047" s="1" t="s">
        <v>106</v>
      </c>
      <c r="L4047" s="1" t="s">
        <v>120</v>
      </c>
      <c r="M4047" s="1" t="s">
        <v>122</v>
      </c>
      <c r="N4047" s="1">
        <v>1</v>
      </c>
      <c r="O4047" s="58"/>
      <c r="P4047" s="58">
        <v>30314.76</v>
      </c>
      <c r="Q4047" t="s">
        <v>107</v>
      </c>
      <c r="R4047" s="1" t="s">
        <v>48</v>
      </c>
    </row>
    <row r="4048" spans="3:18" x14ac:dyDescent="0.35">
      <c r="C4048" t="s">
        <v>51</v>
      </c>
      <c r="D4048" t="s">
        <v>23</v>
      </c>
      <c r="E4048" t="s">
        <v>50</v>
      </c>
      <c r="F4048" t="s">
        <v>46</v>
      </c>
      <c r="G4048" s="58">
        <v>3947914</v>
      </c>
      <c r="H4048" s="1" t="s">
        <v>48</v>
      </c>
      <c r="I4048" s="1" t="s">
        <v>108</v>
      </c>
      <c r="J4048" s="58">
        <v>130281162</v>
      </c>
      <c r="K4048" s="1" t="s">
        <v>106</v>
      </c>
      <c r="L4048" s="1" t="s">
        <v>109</v>
      </c>
      <c r="M4048" s="1" t="s">
        <v>125</v>
      </c>
      <c r="N4048" s="1">
        <v>1</v>
      </c>
      <c r="O4048" s="58"/>
      <c r="P4048" s="58">
        <v>2763539.8</v>
      </c>
      <c r="Q4048" t="s">
        <v>118</v>
      </c>
      <c r="R4048" s="1" t="s">
        <v>158</v>
      </c>
    </row>
    <row r="4049" spans="3:18" x14ac:dyDescent="0.35">
      <c r="C4049" t="s">
        <v>53</v>
      </c>
      <c r="D4049" t="s">
        <v>23</v>
      </c>
      <c r="E4049" t="s">
        <v>55</v>
      </c>
      <c r="F4049" t="s">
        <v>46</v>
      </c>
      <c r="G4049" s="58">
        <v>179327</v>
      </c>
      <c r="H4049" s="1" t="s">
        <v>47</v>
      </c>
      <c r="I4049" s="1" t="s">
        <v>111</v>
      </c>
      <c r="J4049" s="58">
        <v>2151924</v>
      </c>
      <c r="K4049" s="1" t="s">
        <v>106</v>
      </c>
      <c r="L4049" s="1" t="s">
        <v>120</v>
      </c>
      <c r="N4049" s="1">
        <v>1</v>
      </c>
      <c r="O4049" s="58"/>
      <c r="P4049" s="58">
        <v>73524.070000000007</v>
      </c>
      <c r="Q4049" t="s">
        <v>113</v>
      </c>
      <c r="R4049" s="1" t="s">
        <v>158</v>
      </c>
    </row>
    <row r="4050" spans="3:18" x14ac:dyDescent="0.35">
      <c r="C4050" t="s">
        <v>53</v>
      </c>
      <c r="D4050" t="s">
        <v>19</v>
      </c>
      <c r="E4050" t="s">
        <v>45</v>
      </c>
      <c r="F4050" t="s">
        <v>46</v>
      </c>
      <c r="G4050" s="58">
        <v>79400</v>
      </c>
      <c r="H4050" s="1" t="s">
        <v>47</v>
      </c>
      <c r="I4050" s="1" t="s">
        <v>119</v>
      </c>
      <c r="J4050" s="58">
        <v>714600</v>
      </c>
      <c r="K4050" s="1" t="s">
        <v>106</v>
      </c>
      <c r="L4050" s="1" t="s">
        <v>120</v>
      </c>
      <c r="N4050" s="1">
        <v>1</v>
      </c>
      <c r="O4050" s="58"/>
      <c r="P4050" s="58">
        <v>104014</v>
      </c>
      <c r="Q4050" t="s">
        <v>110</v>
      </c>
      <c r="R4050" s="1" t="s">
        <v>158</v>
      </c>
    </row>
    <row r="4051" spans="3:18" x14ac:dyDescent="0.35">
      <c r="C4051" t="s">
        <v>51</v>
      </c>
      <c r="D4051" t="s">
        <v>24</v>
      </c>
      <c r="E4051" t="s">
        <v>50</v>
      </c>
      <c r="F4051" t="s">
        <v>46</v>
      </c>
      <c r="G4051" s="58">
        <v>1294997</v>
      </c>
      <c r="H4051" s="1" t="s">
        <v>47</v>
      </c>
      <c r="I4051" s="1" t="s">
        <v>111</v>
      </c>
      <c r="J4051" s="58">
        <v>22014949</v>
      </c>
      <c r="K4051" s="1" t="s">
        <v>106</v>
      </c>
      <c r="L4051" s="1" t="s">
        <v>109</v>
      </c>
      <c r="N4051" s="1">
        <v>1</v>
      </c>
      <c r="O4051" s="58"/>
      <c r="P4051" s="58">
        <v>1087797.48</v>
      </c>
      <c r="Q4051" t="s">
        <v>127</v>
      </c>
      <c r="R4051" s="1" t="s">
        <v>158</v>
      </c>
    </row>
    <row r="4052" spans="3:18" x14ac:dyDescent="0.35">
      <c r="C4052" t="s">
        <v>51</v>
      </c>
      <c r="D4052" t="s">
        <v>19</v>
      </c>
      <c r="E4052" t="s">
        <v>49</v>
      </c>
      <c r="F4052" t="s">
        <v>46</v>
      </c>
      <c r="G4052" s="58">
        <v>479344</v>
      </c>
      <c r="H4052" s="1" t="s">
        <v>59</v>
      </c>
      <c r="I4052" s="1" t="s">
        <v>119</v>
      </c>
      <c r="J4052" s="58">
        <v>2876064</v>
      </c>
      <c r="K4052" s="1" t="s">
        <v>112</v>
      </c>
      <c r="N4052" s="1">
        <v>1</v>
      </c>
      <c r="O4052" s="58"/>
      <c r="P4052" s="58">
        <v>292399.84000000003</v>
      </c>
      <c r="Q4052" t="s">
        <v>118</v>
      </c>
      <c r="R4052" s="1" t="s">
        <v>158</v>
      </c>
    </row>
    <row r="4053" spans="3:18" x14ac:dyDescent="0.35">
      <c r="C4053" t="s">
        <v>51</v>
      </c>
      <c r="D4053" t="s">
        <v>23</v>
      </c>
      <c r="E4053" t="s">
        <v>49</v>
      </c>
      <c r="F4053" t="s">
        <v>46</v>
      </c>
      <c r="G4053" s="58">
        <v>308661</v>
      </c>
      <c r="H4053" s="1" t="s">
        <v>48</v>
      </c>
      <c r="I4053" s="1" t="s">
        <v>111</v>
      </c>
      <c r="J4053" s="58">
        <v>5247237</v>
      </c>
      <c r="K4053" s="1" t="s">
        <v>112</v>
      </c>
      <c r="N4053" s="1">
        <v>1</v>
      </c>
      <c r="O4053" s="58"/>
      <c r="P4053" s="58">
        <v>80251.86</v>
      </c>
      <c r="Q4053" t="s">
        <v>107</v>
      </c>
      <c r="R4053" s="1" t="s">
        <v>158</v>
      </c>
    </row>
    <row r="4054" spans="3:18" x14ac:dyDescent="0.35">
      <c r="C4054" t="s">
        <v>51</v>
      </c>
      <c r="D4054" t="s">
        <v>23</v>
      </c>
      <c r="E4054" t="s">
        <v>52</v>
      </c>
      <c r="F4054" t="s">
        <v>46</v>
      </c>
      <c r="G4054" s="58">
        <v>157999</v>
      </c>
      <c r="H4054" s="1" t="s">
        <v>48</v>
      </c>
      <c r="I4054" s="1" t="s">
        <v>108</v>
      </c>
      <c r="J4054" s="58">
        <v>5055968</v>
      </c>
      <c r="K4054" s="1" t="s">
        <v>106</v>
      </c>
      <c r="L4054" s="1" t="s">
        <v>120</v>
      </c>
      <c r="M4054" s="1" t="s">
        <v>125</v>
      </c>
      <c r="N4054" s="1">
        <v>1</v>
      </c>
      <c r="O4054" s="58"/>
      <c r="P4054" s="58">
        <v>165898.95000000001</v>
      </c>
      <c r="Q4054" t="s">
        <v>110</v>
      </c>
      <c r="R4054" s="1" t="s">
        <v>48</v>
      </c>
    </row>
    <row r="4055" spans="3:18" x14ac:dyDescent="0.35">
      <c r="C4055" t="s">
        <v>51</v>
      </c>
      <c r="D4055" t="s">
        <v>20</v>
      </c>
      <c r="E4055" t="s">
        <v>55</v>
      </c>
      <c r="F4055" t="s">
        <v>46</v>
      </c>
      <c r="G4055" s="58">
        <v>413994</v>
      </c>
      <c r="H4055" s="1" t="s">
        <v>48</v>
      </c>
      <c r="I4055" s="1" t="s">
        <v>119</v>
      </c>
      <c r="J4055" s="58">
        <v>2483964</v>
      </c>
      <c r="K4055" s="1" t="s">
        <v>106</v>
      </c>
      <c r="L4055" s="1" t="s">
        <v>114</v>
      </c>
      <c r="M4055" s="1" t="s">
        <v>123</v>
      </c>
      <c r="N4055" s="1">
        <v>1</v>
      </c>
      <c r="O4055" s="58"/>
      <c r="P4055" s="58">
        <v>169737.54</v>
      </c>
      <c r="Q4055" t="s">
        <v>113</v>
      </c>
      <c r="R4055" s="1" t="s">
        <v>158</v>
      </c>
    </row>
    <row r="4056" spans="3:18" x14ac:dyDescent="0.35">
      <c r="C4056" t="s">
        <v>51</v>
      </c>
      <c r="D4056" t="s">
        <v>22</v>
      </c>
      <c r="E4056" t="s">
        <v>45</v>
      </c>
      <c r="F4056" t="s">
        <v>46</v>
      </c>
      <c r="G4056" s="58">
        <v>266600</v>
      </c>
      <c r="H4056" s="1" t="s">
        <v>56</v>
      </c>
      <c r="I4056" s="1" t="s">
        <v>119</v>
      </c>
      <c r="J4056" s="58">
        <v>1599600</v>
      </c>
      <c r="K4056" s="1" t="s">
        <v>106</v>
      </c>
      <c r="L4056" s="1" t="s">
        <v>120</v>
      </c>
      <c r="N4056" s="1">
        <v>1</v>
      </c>
      <c r="O4056" s="58"/>
      <c r="P4056" s="58">
        <v>311922</v>
      </c>
      <c r="Q4056" t="s">
        <v>110</v>
      </c>
      <c r="R4056" s="1" t="s">
        <v>158</v>
      </c>
    </row>
    <row r="4057" spans="3:18" x14ac:dyDescent="0.35">
      <c r="C4057" t="s">
        <v>51</v>
      </c>
      <c r="D4057" t="s">
        <v>21</v>
      </c>
      <c r="E4057" t="s">
        <v>50</v>
      </c>
      <c r="F4057" t="s">
        <v>46</v>
      </c>
      <c r="G4057" s="58">
        <v>320865</v>
      </c>
      <c r="H4057" s="1" t="s">
        <v>48</v>
      </c>
      <c r="I4057" s="1" t="s">
        <v>108</v>
      </c>
      <c r="J4057" s="58">
        <v>9305085</v>
      </c>
      <c r="K4057" s="1" t="s">
        <v>112</v>
      </c>
      <c r="N4057" s="1">
        <v>1</v>
      </c>
      <c r="O4057" s="58"/>
      <c r="P4057" s="58">
        <v>125137.35</v>
      </c>
      <c r="Q4057" t="s">
        <v>107</v>
      </c>
      <c r="R4057" s="1" t="s">
        <v>48</v>
      </c>
    </row>
    <row r="4058" spans="3:18" x14ac:dyDescent="0.35">
      <c r="C4058" t="s">
        <v>51</v>
      </c>
      <c r="D4058" t="s">
        <v>20</v>
      </c>
      <c r="E4058" t="s">
        <v>49</v>
      </c>
      <c r="F4058" t="s">
        <v>46</v>
      </c>
      <c r="G4058" s="58">
        <v>642648</v>
      </c>
      <c r="H4058" s="1" t="s">
        <v>48</v>
      </c>
      <c r="I4058" s="1" t="s">
        <v>119</v>
      </c>
      <c r="J4058" s="58">
        <v>5141184</v>
      </c>
      <c r="K4058" s="1" t="s">
        <v>106</v>
      </c>
      <c r="L4058" s="1" t="s">
        <v>124</v>
      </c>
      <c r="M4058" s="1" t="s">
        <v>123</v>
      </c>
      <c r="N4058" s="1">
        <v>1</v>
      </c>
      <c r="O4058" s="58"/>
      <c r="P4058" s="58">
        <v>115676.64</v>
      </c>
      <c r="Q4058" t="s">
        <v>107</v>
      </c>
      <c r="R4058" s="1" t="s">
        <v>48</v>
      </c>
    </row>
    <row r="4059" spans="3:18" x14ac:dyDescent="0.35">
      <c r="C4059" t="s">
        <v>51</v>
      </c>
      <c r="D4059" t="s">
        <v>21</v>
      </c>
      <c r="E4059" t="s">
        <v>49</v>
      </c>
      <c r="F4059" t="s">
        <v>46</v>
      </c>
      <c r="G4059" s="58">
        <v>1284006</v>
      </c>
      <c r="H4059" s="1" t="s">
        <v>47</v>
      </c>
      <c r="I4059" s="1" t="s">
        <v>111</v>
      </c>
      <c r="J4059" s="58">
        <v>21828102</v>
      </c>
      <c r="K4059" s="1" t="s">
        <v>106</v>
      </c>
      <c r="L4059" s="1" t="s">
        <v>120</v>
      </c>
      <c r="N4059" s="1">
        <v>1</v>
      </c>
      <c r="O4059" s="58"/>
      <c r="P4059" s="58">
        <v>847443.96</v>
      </c>
      <c r="Q4059" t="s">
        <v>118</v>
      </c>
      <c r="R4059" s="1" t="s">
        <v>158</v>
      </c>
    </row>
    <row r="4060" spans="3:18" x14ac:dyDescent="0.35">
      <c r="C4060" t="s">
        <v>51</v>
      </c>
      <c r="D4060" t="s">
        <v>21</v>
      </c>
      <c r="E4060" t="s">
        <v>45</v>
      </c>
      <c r="F4060" t="s">
        <v>46</v>
      </c>
      <c r="G4060" s="58">
        <v>109503</v>
      </c>
      <c r="H4060" s="1" t="s">
        <v>54</v>
      </c>
      <c r="I4060" s="1" t="s">
        <v>119</v>
      </c>
      <c r="J4060" s="58">
        <v>1095030</v>
      </c>
      <c r="K4060" s="1" t="s">
        <v>106</v>
      </c>
      <c r="L4060" s="1" t="s">
        <v>120</v>
      </c>
      <c r="N4060" s="1">
        <v>1</v>
      </c>
      <c r="O4060" s="58"/>
      <c r="P4060" s="58">
        <v>76652.100000000006</v>
      </c>
      <c r="Q4060" t="s">
        <v>118</v>
      </c>
      <c r="R4060" s="1" t="s">
        <v>158</v>
      </c>
    </row>
    <row r="4061" spans="3:18" x14ac:dyDescent="0.35">
      <c r="C4061" t="s">
        <v>51</v>
      </c>
      <c r="D4061" t="s">
        <v>92</v>
      </c>
      <c r="E4061" t="s">
        <v>49</v>
      </c>
      <c r="F4061" t="s">
        <v>46</v>
      </c>
      <c r="G4061" s="58">
        <v>599080</v>
      </c>
      <c r="H4061" s="1" t="s">
        <v>48</v>
      </c>
      <c r="I4061" s="1" t="s">
        <v>108</v>
      </c>
      <c r="J4061" s="58">
        <v>17972400</v>
      </c>
      <c r="K4061" s="1" t="s">
        <v>106</v>
      </c>
      <c r="L4061" s="1" t="s">
        <v>124</v>
      </c>
      <c r="M4061" s="1" t="s">
        <v>115</v>
      </c>
      <c r="N4061" s="1">
        <v>1</v>
      </c>
      <c r="O4061" s="58"/>
      <c r="P4061" s="58">
        <v>149770</v>
      </c>
      <c r="Q4061" t="s">
        <v>107</v>
      </c>
      <c r="R4061" s="1" t="s">
        <v>48</v>
      </c>
    </row>
    <row r="4062" spans="3:18" x14ac:dyDescent="0.35">
      <c r="C4062" t="s">
        <v>51</v>
      </c>
      <c r="D4062" t="s">
        <v>20</v>
      </c>
      <c r="E4062" t="s">
        <v>49</v>
      </c>
      <c r="F4062" t="s">
        <v>46</v>
      </c>
      <c r="G4062" s="58">
        <v>4946876</v>
      </c>
      <c r="H4062" s="1" t="s">
        <v>48</v>
      </c>
      <c r="I4062" s="1" t="s">
        <v>108</v>
      </c>
      <c r="J4062" s="58">
        <v>133565652</v>
      </c>
      <c r="K4062" s="1" t="s">
        <v>106</v>
      </c>
      <c r="L4062" s="1" t="s">
        <v>124</v>
      </c>
      <c r="M4062" s="1" t="s">
        <v>126</v>
      </c>
      <c r="N4062" s="1">
        <v>1</v>
      </c>
      <c r="O4062" s="58"/>
      <c r="P4062" s="58">
        <v>2522906.7599999998</v>
      </c>
      <c r="Q4062" t="s">
        <v>113</v>
      </c>
      <c r="R4062" s="1" t="s">
        <v>48</v>
      </c>
    </row>
    <row r="4063" spans="3:18" x14ac:dyDescent="0.35">
      <c r="C4063" t="s">
        <v>51</v>
      </c>
      <c r="D4063" t="s">
        <v>60</v>
      </c>
      <c r="E4063" t="s">
        <v>60</v>
      </c>
      <c r="F4063" t="s">
        <v>46</v>
      </c>
      <c r="G4063" s="58">
        <v>145335</v>
      </c>
      <c r="H4063" s="1" t="s">
        <v>61</v>
      </c>
      <c r="I4063" s="1" t="s">
        <v>111</v>
      </c>
      <c r="J4063" s="58">
        <v>1598685</v>
      </c>
      <c r="K4063" s="1" t="s">
        <v>106</v>
      </c>
      <c r="N4063" s="1">
        <v>1</v>
      </c>
      <c r="O4063" s="58"/>
      <c r="P4063" s="58">
        <v>69760.800000000003</v>
      </c>
      <c r="Q4063" t="s">
        <v>113</v>
      </c>
    </row>
    <row r="4064" spans="3:18" x14ac:dyDescent="0.35">
      <c r="C4064" t="s">
        <v>51</v>
      </c>
      <c r="D4064" t="s">
        <v>19</v>
      </c>
      <c r="E4064" t="s">
        <v>49</v>
      </c>
      <c r="F4064" t="s">
        <v>46</v>
      </c>
      <c r="G4064" s="58">
        <v>208860</v>
      </c>
      <c r="H4064" s="1" t="s">
        <v>48</v>
      </c>
      <c r="I4064" s="1" t="s">
        <v>108</v>
      </c>
      <c r="J4064" s="58">
        <v>8563260</v>
      </c>
      <c r="K4064" s="1" t="s">
        <v>106</v>
      </c>
      <c r="L4064" s="1" t="s">
        <v>124</v>
      </c>
      <c r="M4064" s="1" t="s">
        <v>123</v>
      </c>
      <c r="N4064" s="1">
        <v>1</v>
      </c>
      <c r="O4064" s="58"/>
      <c r="P4064" s="58">
        <v>116961.60000000001</v>
      </c>
      <c r="Q4064" t="s">
        <v>113</v>
      </c>
      <c r="R4064" s="1" t="s">
        <v>48</v>
      </c>
    </row>
    <row r="4065" spans="3:18" x14ac:dyDescent="0.35">
      <c r="C4065" t="s">
        <v>51</v>
      </c>
      <c r="D4065" t="s">
        <v>92</v>
      </c>
      <c r="E4065" t="s">
        <v>45</v>
      </c>
      <c r="F4065" t="s">
        <v>46</v>
      </c>
      <c r="G4065" s="58">
        <v>1359080</v>
      </c>
      <c r="H4065" s="1" t="s">
        <v>48</v>
      </c>
      <c r="I4065" s="1" t="s">
        <v>108</v>
      </c>
      <c r="J4065" s="58">
        <v>50285960</v>
      </c>
      <c r="K4065" s="1" t="s">
        <v>106</v>
      </c>
      <c r="L4065" s="1" t="s">
        <v>124</v>
      </c>
      <c r="M4065" s="1" t="s">
        <v>123</v>
      </c>
      <c r="N4065" s="1">
        <v>1</v>
      </c>
      <c r="O4065" s="58"/>
      <c r="P4065" s="58">
        <v>1128036.3999999999</v>
      </c>
      <c r="Q4065" t="s">
        <v>127</v>
      </c>
      <c r="R4065" s="1" t="s">
        <v>48</v>
      </c>
    </row>
    <row r="4066" spans="3:18" x14ac:dyDescent="0.35">
      <c r="C4066" t="s">
        <v>51</v>
      </c>
      <c r="D4066" t="s">
        <v>22</v>
      </c>
      <c r="E4066" t="s">
        <v>45</v>
      </c>
      <c r="F4066" t="s">
        <v>46</v>
      </c>
      <c r="G4066" s="58">
        <v>149605</v>
      </c>
      <c r="H4066" s="1" t="s">
        <v>48</v>
      </c>
      <c r="I4066" s="1" t="s">
        <v>108</v>
      </c>
      <c r="J4066" s="58">
        <v>3141705</v>
      </c>
      <c r="K4066" s="1" t="s">
        <v>106</v>
      </c>
      <c r="L4066" s="1" t="s">
        <v>114</v>
      </c>
      <c r="M4066" s="1" t="s">
        <v>121</v>
      </c>
      <c r="N4066" s="1">
        <v>1</v>
      </c>
      <c r="O4066" s="58"/>
      <c r="P4066" s="58">
        <v>79290.649999999994</v>
      </c>
      <c r="Q4066" t="s">
        <v>113</v>
      </c>
      <c r="R4066" s="1" t="s">
        <v>48</v>
      </c>
    </row>
    <row r="4067" spans="3:18" x14ac:dyDescent="0.35">
      <c r="C4067" t="s">
        <v>51</v>
      </c>
      <c r="D4067" t="s">
        <v>24</v>
      </c>
      <c r="E4067" t="s">
        <v>50</v>
      </c>
      <c r="F4067" t="s">
        <v>46</v>
      </c>
      <c r="G4067" s="58">
        <v>175879</v>
      </c>
      <c r="H4067" s="1" t="s">
        <v>56</v>
      </c>
      <c r="I4067" s="1" t="s">
        <v>108</v>
      </c>
      <c r="J4067" s="58">
        <v>4924612</v>
      </c>
      <c r="K4067" s="1" t="s">
        <v>112</v>
      </c>
      <c r="N4067" s="1">
        <v>1</v>
      </c>
      <c r="O4067" s="58"/>
      <c r="P4067" s="58">
        <v>89698.29</v>
      </c>
      <c r="Q4067" t="s">
        <v>113</v>
      </c>
      <c r="R4067" s="1" t="s">
        <v>158</v>
      </c>
    </row>
    <row r="4068" spans="3:18" x14ac:dyDescent="0.35">
      <c r="C4068" t="s">
        <v>51</v>
      </c>
      <c r="D4068" t="s">
        <v>21</v>
      </c>
      <c r="E4068" t="s">
        <v>45</v>
      </c>
      <c r="F4068" t="s">
        <v>46</v>
      </c>
      <c r="G4068" s="58">
        <v>517490</v>
      </c>
      <c r="H4068" s="1" t="s">
        <v>59</v>
      </c>
      <c r="I4068" s="1" t="s">
        <v>108</v>
      </c>
      <c r="J4068" s="58">
        <v>17077170</v>
      </c>
      <c r="K4068" s="1" t="s">
        <v>112</v>
      </c>
      <c r="N4068" s="1">
        <v>1</v>
      </c>
      <c r="O4068" s="58"/>
      <c r="P4068" s="58">
        <v>248395.2</v>
      </c>
      <c r="Q4068" t="s">
        <v>113</v>
      </c>
      <c r="R4068" s="1" t="s">
        <v>158</v>
      </c>
    </row>
    <row r="4069" spans="3:18" x14ac:dyDescent="0.35">
      <c r="C4069" t="s">
        <v>51</v>
      </c>
      <c r="D4069" t="s">
        <v>24</v>
      </c>
      <c r="E4069" t="s">
        <v>55</v>
      </c>
      <c r="F4069" t="s">
        <v>46</v>
      </c>
      <c r="G4069" s="58">
        <v>1186000</v>
      </c>
      <c r="H4069" s="1" t="s">
        <v>48</v>
      </c>
      <c r="I4069" s="1" t="s">
        <v>108</v>
      </c>
      <c r="J4069" s="58">
        <v>46254000</v>
      </c>
      <c r="K4069" s="1" t="s">
        <v>112</v>
      </c>
      <c r="N4069" s="1">
        <v>1</v>
      </c>
      <c r="O4069" s="58"/>
      <c r="P4069" s="58">
        <v>1186000</v>
      </c>
      <c r="Q4069" t="s">
        <v>110</v>
      </c>
      <c r="R4069" s="1" t="s">
        <v>48</v>
      </c>
    </row>
    <row r="4070" spans="3:18" x14ac:dyDescent="0.35">
      <c r="C4070" t="s">
        <v>51</v>
      </c>
      <c r="D4070" t="s">
        <v>23</v>
      </c>
      <c r="E4070" t="s">
        <v>55</v>
      </c>
      <c r="F4070" t="s">
        <v>46</v>
      </c>
      <c r="G4070" s="58">
        <v>86908</v>
      </c>
      <c r="H4070" s="1" t="s">
        <v>47</v>
      </c>
      <c r="I4070" s="1" t="s">
        <v>105</v>
      </c>
      <c r="J4070" s="58">
        <v>347632</v>
      </c>
      <c r="K4070" s="1" t="s">
        <v>106</v>
      </c>
      <c r="L4070" s="1" t="s">
        <v>114</v>
      </c>
      <c r="N4070" s="1">
        <v>1</v>
      </c>
      <c r="O4070" s="58"/>
      <c r="P4070" s="58">
        <v>37370.44</v>
      </c>
      <c r="Q4070" t="s">
        <v>113</v>
      </c>
      <c r="R4070" s="1" t="s">
        <v>158</v>
      </c>
    </row>
    <row r="4071" spans="3:18" x14ac:dyDescent="0.35">
      <c r="C4071" t="s">
        <v>51</v>
      </c>
      <c r="D4071" t="s">
        <v>23</v>
      </c>
      <c r="E4071" t="s">
        <v>55</v>
      </c>
      <c r="F4071" t="s">
        <v>46</v>
      </c>
      <c r="G4071" s="58">
        <v>21168506</v>
      </c>
      <c r="H4071" s="1" t="s">
        <v>56</v>
      </c>
      <c r="I4071" s="1" t="s">
        <v>108</v>
      </c>
      <c r="J4071" s="58">
        <v>592718168</v>
      </c>
      <c r="K4071" s="1" t="s">
        <v>106</v>
      </c>
      <c r="L4071" s="1" t="s">
        <v>114</v>
      </c>
      <c r="N4071" s="1">
        <v>1</v>
      </c>
      <c r="O4071" s="58"/>
      <c r="P4071" s="58">
        <v>15029639.26</v>
      </c>
      <c r="Q4071" t="s">
        <v>118</v>
      </c>
      <c r="R4071" s="1" t="s">
        <v>158</v>
      </c>
    </row>
    <row r="4072" spans="3:18" x14ac:dyDescent="0.35">
      <c r="C4072" t="s">
        <v>53</v>
      </c>
      <c r="D4072" t="s">
        <v>23</v>
      </c>
      <c r="E4072" t="s">
        <v>55</v>
      </c>
      <c r="F4072" t="s">
        <v>46</v>
      </c>
      <c r="G4072" s="58">
        <v>44467</v>
      </c>
      <c r="H4072" s="1" t="s">
        <v>54</v>
      </c>
      <c r="I4072" s="1" t="s">
        <v>105</v>
      </c>
      <c r="J4072" s="58">
        <v>177868</v>
      </c>
      <c r="K4072" s="1" t="s">
        <v>106</v>
      </c>
      <c r="L4072" s="1" t="s">
        <v>114</v>
      </c>
      <c r="N4072" s="1">
        <v>1</v>
      </c>
      <c r="O4072" s="58"/>
      <c r="P4072" s="58">
        <v>20454.82</v>
      </c>
      <c r="Q4072" t="s">
        <v>113</v>
      </c>
      <c r="R4072" s="1" t="s">
        <v>158</v>
      </c>
    </row>
    <row r="4073" spans="3:18" x14ac:dyDescent="0.35">
      <c r="C4073" t="s">
        <v>51</v>
      </c>
      <c r="D4073" t="s">
        <v>23</v>
      </c>
      <c r="E4073" t="s">
        <v>49</v>
      </c>
      <c r="F4073" t="s">
        <v>46</v>
      </c>
      <c r="G4073" s="58">
        <v>544682</v>
      </c>
      <c r="H4073" s="1" t="s">
        <v>59</v>
      </c>
      <c r="I4073" s="1" t="s">
        <v>108</v>
      </c>
      <c r="J4073" s="58">
        <v>13072368</v>
      </c>
      <c r="K4073" s="1" t="s">
        <v>112</v>
      </c>
      <c r="N4073" s="1">
        <v>1</v>
      </c>
      <c r="O4073" s="58"/>
      <c r="P4073" s="58">
        <v>217872.8</v>
      </c>
      <c r="Q4073" t="s">
        <v>107</v>
      </c>
      <c r="R4073" s="1" t="s">
        <v>158</v>
      </c>
    </row>
    <row r="4074" spans="3:18" x14ac:dyDescent="0.35">
      <c r="C4074" t="s">
        <v>53</v>
      </c>
      <c r="D4074" t="s">
        <v>22</v>
      </c>
      <c r="E4074" t="s">
        <v>45</v>
      </c>
      <c r="F4074" t="s">
        <v>46</v>
      </c>
      <c r="G4074" s="58">
        <v>1103060</v>
      </c>
      <c r="H4074" s="1" t="s">
        <v>47</v>
      </c>
      <c r="I4074" s="1" t="s">
        <v>119</v>
      </c>
      <c r="J4074" s="58">
        <v>8824480</v>
      </c>
      <c r="K4074" s="1" t="s">
        <v>112</v>
      </c>
      <c r="N4074" s="1">
        <v>1</v>
      </c>
      <c r="O4074" s="58"/>
      <c r="P4074" s="58">
        <v>860386.8</v>
      </c>
      <c r="Q4074" t="s">
        <v>118</v>
      </c>
      <c r="R4074" s="1" t="s">
        <v>158</v>
      </c>
    </row>
    <row r="4075" spans="3:18" x14ac:dyDescent="0.35">
      <c r="C4075" t="s">
        <v>51</v>
      </c>
      <c r="D4075" t="s">
        <v>23</v>
      </c>
      <c r="E4075" t="s">
        <v>55</v>
      </c>
      <c r="F4075" t="s">
        <v>46</v>
      </c>
      <c r="G4075" s="58">
        <v>33836</v>
      </c>
      <c r="H4075" s="1" t="s">
        <v>48</v>
      </c>
      <c r="I4075" s="1" t="s">
        <v>108</v>
      </c>
      <c r="J4075" s="58">
        <v>676720</v>
      </c>
      <c r="K4075" s="1" t="s">
        <v>106</v>
      </c>
      <c r="L4075" s="1" t="s">
        <v>120</v>
      </c>
      <c r="M4075" s="1" t="s">
        <v>125</v>
      </c>
      <c r="N4075" s="1">
        <v>1</v>
      </c>
      <c r="O4075" s="58"/>
      <c r="P4075" s="58">
        <v>6767.2</v>
      </c>
      <c r="Q4075" t="s">
        <v>107</v>
      </c>
      <c r="R4075" s="1" t="s">
        <v>158</v>
      </c>
    </row>
    <row r="4076" spans="3:18" x14ac:dyDescent="0.35">
      <c r="C4076" t="s">
        <v>51</v>
      </c>
      <c r="D4076" t="s">
        <v>92</v>
      </c>
      <c r="E4076" t="s">
        <v>49</v>
      </c>
      <c r="F4076" t="s">
        <v>46</v>
      </c>
      <c r="G4076" s="58">
        <v>5550466</v>
      </c>
      <c r="H4076" s="1" t="s">
        <v>48</v>
      </c>
      <c r="I4076" s="1" t="s">
        <v>108</v>
      </c>
      <c r="J4076" s="58">
        <v>183165378</v>
      </c>
      <c r="K4076" s="1" t="s">
        <v>112</v>
      </c>
      <c r="N4076" s="1">
        <v>1</v>
      </c>
      <c r="O4076" s="58"/>
      <c r="P4076" s="58">
        <v>3885326.2</v>
      </c>
      <c r="Q4076" t="s">
        <v>118</v>
      </c>
      <c r="R4076" s="1" t="s">
        <v>158</v>
      </c>
    </row>
    <row r="4077" spans="3:18" x14ac:dyDescent="0.35">
      <c r="C4077" t="s">
        <v>51</v>
      </c>
      <c r="D4077" t="s">
        <v>24</v>
      </c>
      <c r="E4077" t="s">
        <v>55</v>
      </c>
      <c r="F4077" t="s">
        <v>46</v>
      </c>
      <c r="G4077" s="58">
        <v>198746</v>
      </c>
      <c r="H4077" s="1" t="s">
        <v>48</v>
      </c>
      <c r="I4077" s="1" t="s">
        <v>111</v>
      </c>
      <c r="J4077" s="58">
        <v>3179936</v>
      </c>
      <c r="K4077" s="1" t="s">
        <v>112</v>
      </c>
      <c r="N4077" s="1">
        <v>1</v>
      </c>
      <c r="O4077" s="58"/>
      <c r="P4077" s="58">
        <v>99373</v>
      </c>
      <c r="Q4077" t="s">
        <v>113</v>
      </c>
      <c r="R4077" s="1" t="s">
        <v>48</v>
      </c>
    </row>
    <row r="4078" spans="3:18" x14ac:dyDescent="0.35">
      <c r="C4078" t="s">
        <v>51</v>
      </c>
      <c r="D4078" t="s">
        <v>23</v>
      </c>
      <c r="E4078" t="s">
        <v>45</v>
      </c>
      <c r="F4078" t="s">
        <v>46</v>
      </c>
      <c r="G4078" s="58">
        <v>0</v>
      </c>
      <c r="H4078" s="1" t="s">
        <v>54</v>
      </c>
      <c r="I4078" s="1" t="s">
        <v>105</v>
      </c>
      <c r="J4078" s="58">
        <v>0</v>
      </c>
      <c r="K4078" s="1" t="s">
        <v>106</v>
      </c>
      <c r="L4078" s="1" t="s">
        <v>120</v>
      </c>
      <c r="N4078" s="1">
        <v>1</v>
      </c>
      <c r="O4078" s="58"/>
      <c r="P4078" s="58">
        <v>0</v>
      </c>
      <c r="Q4078" t="s">
        <v>110</v>
      </c>
      <c r="R4078" s="1" t="s">
        <v>158</v>
      </c>
    </row>
    <row r="4079" spans="3:18" x14ac:dyDescent="0.35">
      <c r="C4079" t="s">
        <v>51</v>
      </c>
      <c r="D4079" t="s">
        <v>22</v>
      </c>
      <c r="E4079" t="s">
        <v>49</v>
      </c>
      <c r="F4079" t="s">
        <v>46</v>
      </c>
      <c r="G4079" s="58">
        <v>5202823</v>
      </c>
      <c r="H4079" s="1" t="s">
        <v>47</v>
      </c>
      <c r="I4079" s="1" t="s">
        <v>111</v>
      </c>
      <c r="J4079" s="58">
        <v>88447991</v>
      </c>
      <c r="K4079" s="1" t="s">
        <v>106</v>
      </c>
      <c r="L4079" s="1" t="s">
        <v>124</v>
      </c>
      <c r="N4079" s="1">
        <v>1</v>
      </c>
      <c r="O4079" s="58"/>
      <c r="P4079" s="58">
        <v>3433863.18</v>
      </c>
      <c r="Q4079" t="s">
        <v>118</v>
      </c>
      <c r="R4079" s="1" t="s">
        <v>158</v>
      </c>
    </row>
    <row r="4080" spans="3:18" x14ac:dyDescent="0.35">
      <c r="C4080" t="s">
        <v>51</v>
      </c>
      <c r="D4080" t="s">
        <v>24</v>
      </c>
      <c r="E4080" t="s">
        <v>62</v>
      </c>
      <c r="F4080" t="s">
        <v>46</v>
      </c>
      <c r="G4080" s="58">
        <v>633334</v>
      </c>
      <c r="H4080" s="1" t="s">
        <v>48</v>
      </c>
      <c r="I4080" s="1" t="s">
        <v>105</v>
      </c>
      <c r="J4080" s="58">
        <v>633334</v>
      </c>
      <c r="K4080" s="1" t="s">
        <v>106</v>
      </c>
      <c r="L4080" s="1" t="s">
        <v>131</v>
      </c>
      <c r="M4080" s="1" t="s">
        <v>121</v>
      </c>
      <c r="N4080" s="1">
        <v>1</v>
      </c>
      <c r="O4080" s="58"/>
      <c r="P4080" s="58">
        <v>101333.44</v>
      </c>
      <c r="Q4080" t="s">
        <v>107</v>
      </c>
      <c r="R4080" s="1" t="s">
        <v>48</v>
      </c>
    </row>
    <row r="4081" spans="3:18" x14ac:dyDescent="0.35">
      <c r="C4081" t="s">
        <v>51</v>
      </c>
      <c r="D4081" t="s">
        <v>24</v>
      </c>
      <c r="E4081" t="s">
        <v>49</v>
      </c>
      <c r="F4081" t="s">
        <v>46</v>
      </c>
      <c r="G4081" s="58">
        <v>284386</v>
      </c>
      <c r="H4081" s="1" t="s">
        <v>59</v>
      </c>
      <c r="I4081" s="1" t="s">
        <v>108</v>
      </c>
      <c r="J4081" s="58">
        <v>8815966</v>
      </c>
      <c r="K4081" s="1" t="s">
        <v>106</v>
      </c>
      <c r="L4081" s="1" t="s">
        <v>124</v>
      </c>
      <c r="N4081" s="1">
        <v>1</v>
      </c>
      <c r="O4081" s="58"/>
      <c r="P4081" s="58">
        <v>201914.06</v>
      </c>
      <c r="Q4081" t="s">
        <v>118</v>
      </c>
      <c r="R4081" s="1" t="s">
        <v>158</v>
      </c>
    </row>
    <row r="4082" spans="3:18" x14ac:dyDescent="0.35">
      <c r="C4082" t="s">
        <v>51</v>
      </c>
      <c r="D4082" t="s">
        <v>24</v>
      </c>
      <c r="E4082" t="s">
        <v>55</v>
      </c>
      <c r="F4082" t="s">
        <v>46</v>
      </c>
      <c r="G4082" s="58">
        <v>46759416</v>
      </c>
      <c r="H4082" s="1" t="s">
        <v>54</v>
      </c>
      <c r="I4082" s="1" t="s">
        <v>108</v>
      </c>
      <c r="J4082" s="58">
        <v>1356023064</v>
      </c>
      <c r="K4082" s="1" t="s">
        <v>106</v>
      </c>
      <c r="L4082" s="1" t="s">
        <v>114</v>
      </c>
      <c r="N4082" s="1">
        <v>1</v>
      </c>
      <c r="O4082" s="58"/>
      <c r="P4082" s="58">
        <v>32263997.039999999</v>
      </c>
      <c r="Q4082" t="s">
        <v>118</v>
      </c>
      <c r="R4082" s="1" t="s">
        <v>158</v>
      </c>
    </row>
    <row r="4083" spans="3:18" x14ac:dyDescent="0.35">
      <c r="C4083" t="s">
        <v>51</v>
      </c>
      <c r="D4083" t="s">
        <v>91</v>
      </c>
      <c r="E4083" t="s">
        <v>49</v>
      </c>
      <c r="F4083" t="s">
        <v>46</v>
      </c>
      <c r="G4083" s="58">
        <v>41766</v>
      </c>
      <c r="H4083" s="1" t="s">
        <v>59</v>
      </c>
      <c r="I4083" s="1" t="s">
        <v>105</v>
      </c>
      <c r="J4083" s="58">
        <v>125298</v>
      </c>
      <c r="K4083" s="1" t="s">
        <v>106</v>
      </c>
      <c r="L4083" s="1" t="s">
        <v>124</v>
      </c>
      <c r="N4083" s="1">
        <v>1</v>
      </c>
      <c r="O4083" s="58"/>
      <c r="P4083" s="58">
        <v>5429.58</v>
      </c>
      <c r="Q4083" t="s">
        <v>107</v>
      </c>
      <c r="R4083" s="1" t="s">
        <v>158</v>
      </c>
    </row>
    <row r="4084" spans="3:18" x14ac:dyDescent="0.35">
      <c r="C4084" t="s">
        <v>53</v>
      </c>
      <c r="D4084" t="s">
        <v>91</v>
      </c>
      <c r="E4084" t="s">
        <v>49</v>
      </c>
      <c r="F4084" t="s">
        <v>46</v>
      </c>
      <c r="G4084" s="58">
        <v>310034</v>
      </c>
      <c r="H4084" s="1" t="s">
        <v>47</v>
      </c>
      <c r="I4084" s="1" t="s">
        <v>105</v>
      </c>
      <c r="J4084" s="58">
        <v>930102</v>
      </c>
      <c r="K4084" s="1" t="s">
        <v>106</v>
      </c>
      <c r="L4084" s="1" t="s">
        <v>124</v>
      </c>
      <c r="N4084" s="1">
        <v>1</v>
      </c>
      <c r="O4084" s="58"/>
      <c r="P4084" s="58">
        <v>43404.76</v>
      </c>
      <c r="Q4084" t="s">
        <v>107</v>
      </c>
      <c r="R4084" s="1" t="s">
        <v>158</v>
      </c>
    </row>
    <row r="4085" spans="3:18" x14ac:dyDescent="0.35">
      <c r="C4085" t="s">
        <v>51</v>
      </c>
      <c r="D4085" t="s">
        <v>22</v>
      </c>
      <c r="E4085" t="s">
        <v>45</v>
      </c>
      <c r="F4085" t="s">
        <v>64</v>
      </c>
      <c r="G4085" s="58">
        <v>1331721</v>
      </c>
      <c r="H4085" s="1" t="s">
        <v>47</v>
      </c>
      <c r="I4085" s="1" t="s">
        <v>108</v>
      </c>
      <c r="J4085" s="58">
        <v>41283351</v>
      </c>
      <c r="K4085" s="1" t="s">
        <v>112</v>
      </c>
      <c r="N4085" s="1">
        <v>1</v>
      </c>
      <c r="O4085" s="58"/>
      <c r="P4085" s="58">
        <v>679177.71</v>
      </c>
      <c r="Q4085" t="s">
        <v>113</v>
      </c>
      <c r="R4085" s="1" t="s">
        <v>158</v>
      </c>
    </row>
    <row r="4086" spans="3:18" x14ac:dyDescent="0.35">
      <c r="C4086" t="s">
        <v>53</v>
      </c>
      <c r="D4086" t="s">
        <v>24</v>
      </c>
      <c r="E4086" t="s">
        <v>49</v>
      </c>
      <c r="F4086" t="s">
        <v>46</v>
      </c>
      <c r="G4086" s="58">
        <v>1042177</v>
      </c>
      <c r="H4086" s="1" t="s">
        <v>48</v>
      </c>
      <c r="I4086" s="1" t="s">
        <v>111</v>
      </c>
      <c r="J4086" s="58">
        <v>11463947</v>
      </c>
      <c r="K4086" s="1" t="s">
        <v>106</v>
      </c>
      <c r="L4086" s="1" t="s">
        <v>120</v>
      </c>
      <c r="M4086" s="1" t="s">
        <v>126</v>
      </c>
      <c r="N4086" s="1">
        <v>1</v>
      </c>
      <c r="O4086" s="58"/>
      <c r="P4086" s="58">
        <v>729523.9</v>
      </c>
      <c r="Q4086" t="s">
        <v>118</v>
      </c>
      <c r="R4086" s="1" t="s">
        <v>48</v>
      </c>
    </row>
    <row r="4087" spans="3:18" x14ac:dyDescent="0.35">
      <c r="C4087" t="s">
        <v>51</v>
      </c>
      <c r="D4087" t="s">
        <v>21</v>
      </c>
      <c r="E4087" t="s">
        <v>49</v>
      </c>
      <c r="F4087" t="s">
        <v>46</v>
      </c>
      <c r="G4087" s="58">
        <v>21083</v>
      </c>
      <c r="H4087" s="1" t="s">
        <v>47</v>
      </c>
      <c r="I4087" s="1" t="s">
        <v>105</v>
      </c>
      <c r="J4087" s="58">
        <v>63249</v>
      </c>
      <c r="K4087" s="1" t="s">
        <v>106</v>
      </c>
      <c r="L4087" s="1" t="s">
        <v>114</v>
      </c>
      <c r="N4087" s="1">
        <v>1</v>
      </c>
      <c r="O4087" s="58"/>
      <c r="P4087" s="58">
        <v>10752.33</v>
      </c>
      <c r="Q4087" t="s">
        <v>113</v>
      </c>
      <c r="R4087" s="1" t="s">
        <v>158</v>
      </c>
    </row>
    <row r="4088" spans="3:18" x14ac:dyDescent="0.35">
      <c r="C4088" t="s">
        <v>51</v>
      </c>
      <c r="D4088" t="s">
        <v>22</v>
      </c>
      <c r="E4088" t="s">
        <v>50</v>
      </c>
      <c r="F4088" t="s">
        <v>46</v>
      </c>
      <c r="G4088" s="58">
        <v>99532</v>
      </c>
      <c r="H4088" s="1" t="s">
        <v>48</v>
      </c>
      <c r="I4088" s="1" t="s">
        <v>108</v>
      </c>
      <c r="J4088" s="58">
        <v>2289236</v>
      </c>
      <c r="K4088" s="1" t="s">
        <v>106</v>
      </c>
      <c r="L4088" s="1" t="s">
        <v>114</v>
      </c>
      <c r="M4088" s="1" t="s">
        <v>121</v>
      </c>
      <c r="N4088" s="1">
        <v>1</v>
      </c>
      <c r="O4088" s="58"/>
      <c r="P4088" s="58">
        <v>60714.52</v>
      </c>
      <c r="Q4088" t="s">
        <v>118</v>
      </c>
      <c r="R4088" s="1" t="s">
        <v>48</v>
      </c>
    </row>
    <row r="4089" spans="3:18" x14ac:dyDescent="0.35">
      <c r="C4089" t="s">
        <v>51</v>
      </c>
      <c r="D4089" t="s">
        <v>21</v>
      </c>
      <c r="E4089" t="s">
        <v>45</v>
      </c>
      <c r="F4089" t="s">
        <v>46</v>
      </c>
      <c r="G4089" s="58">
        <v>2823102</v>
      </c>
      <c r="H4089" s="1" t="s">
        <v>47</v>
      </c>
      <c r="I4089" s="1" t="s">
        <v>108</v>
      </c>
      <c r="J4089" s="58">
        <v>84693060</v>
      </c>
      <c r="K4089" s="1" t="s">
        <v>112</v>
      </c>
      <c r="N4089" s="1">
        <v>1</v>
      </c>
      <c r="O4089" s="58"/>
      <c r="P4089" s="58">
        <v>2004402.42</v>
      </c>
      <c r="Q4089" t="s">
        <v>118</v>
      </c>
      <c r="R4089" s="1" t="s">
        <v>158</v>
      </c>
    </row>
    <row r="4090" spans="3:18" x14ac:dyDescent="0.35">
      <c r="C4090" t="s">
        <v>51</v>
      </c>
      <c r="D4090" t="s">
        <v>23</v>
      </c>
      <c r="E4090" t="s">
        <v>49</v>
      </c>
      <c r="F4090" t="s">
        <v>46</v>
      </c>
      <c r="G4090" s="58">
        <v>574827</v>
      </c>
      <c r="H4090" s="1" t="s">
        <v>56</v>
      </c>
      <c r="I4090" s="1" t="s">
        <v>111</v>
      </c>
      <c r="J4090" s="58">
        <v>8047578</v>
      </c>
      <c r="K4090" s="1" t="s">
        <v>106</v>
      </c>
      <c r="L4090" s="1" t="s">
        <v>124</v>
      </c>
      <c r="N4090" s="1">
        <v>1</v>
      </c>
      <c r="O4090" s="58"/>
      <c r="P4090" s="58">
        <v>166699.82999999999</v>
      </c>
      <c r="Q4090" t="s">
        <v>107</v>
      </c>
      <c r="R4090" s="1" t="s">
        <v>158</v>
      </c>
    </row>
    <row r="4091" spans="3:18" x14ac:dyDescent="0.35">
      <c r="C4091" t="s">
        <v>51</v>
      </c>
      <c r="D4091" t="s">
        <v>24</v>
      </c>
      <c r="E4091" t="s">
        <v>50</v>
      </c>
      <c r="F4091" t="s">
        <v>46</v>
      </c>
      <c r="G4091" s="58">
        <v>29819</v>
      </c>
      <c r="H4091" s="1" t="s">
        <v>56</v>
      </c>
      <c r="I4091" s="1" t="s">
        <v>105</v>
      </c>
      <c r="J4091" s="58">
        <v>29819</v>
      </c>
      <c r="K4091" s="1" t="s">
        <v>106</v>
      </c>
      <c r="L4091" s="1" t="s">
        <v>109</v>
      </c>
      <c r="N4091" s="1">
        <v>1</v>
      </c>
      <c r="O4091" s="58"/>
      <c r="P4091" s="58">
        <v>1490.95</v>
      </c>
      <c r="Q4091" t="s">
        <v>107</v>
      </c>
      <c r="R4091" s="1" t="s">
        <v>158</v>
      </c>
    </row>
    <row r="4092" spans="3:18" x14ac:dyDescent="0.35">
      <c r="C4092" t="s">
        <v>51</v>
      </c>
      <c r="D4092" t="s">
        <v>91</v>
      </c>
      <c r="E4092" t="s">
        <v>49</v>
      </c>
      <c r="F4092" t="s">
        <v>46</v>
      </c>
      <c r="G4092" s="58">
        <v>257814</v>
      </c>
      <c r="H4092" s="1" t="s">
        <v>48</v>
      </c>
      <c r="I4092" s="1" t="s">
        <v>111</v>
      </c>
      <c r="J4092" s="58">
        <v>3609396</v>
      </c>
      <c r="K4092" s="1" t="s">
        <v>106</v>
      </c>
      <c r="L4092" s="1" t="s">
        <v>120</v>
      </c>
      <c r="M4092" s="1" t="s">
        <v>122</v>
      </c>
      <c r="N4092" s="1">
        <v>1</v>
      </c>
      <c r="O4092" s="58"/>
      <c r="P4092" s="58">
        <v>121172.58</v>
      </c>
      <c r="Q4092" t="s">
        <v>113</v>
      </c>
      <c r="R4092" s="1" t="s">
        <v>158</v>
      </c>
    </row>
    <row r="4093" spans="3:18" x14ac:dyDescent="0.35">
      <c r="C4093" t="s">
        <v>51</v>
      </c>
      <c r="D4093" t="s">
        <v>24</v>
      </c>
      <c r="E4093" t="s">
        <v>50</v>
      </c>
      <c r="F4093" t="s">
        <v>46</v>
      </c>
      <c r="G4093" s="58">
        <v>1389919</v>
      </c>
      <c r="H4093" s="1" t="s">
        <v>47</v>
      </c>
      <c r="I4093" s="1" t="s">
        <v>108</v>
      </c>
      <c r="J4093" s="58">
        <v>43087489</v>
      </c>
      <c r="K4093" s="1" t="s">
        <v>112</v>
      </c>
      <c r="N4093" s="1">
        <v>1</v>
      </c>
      <c r="O4093" s="58"/>
      <c r="P4093" s="58">
        <v>694959.5</v>
      </c>
      <c r="Q4093" t="s">
        <v>113</v>
      </c>
      <c r="R4093" s="1" t="s">
        <v>158</v>
      </c>
    </row>
    <row r="4094" spans="3:18" x14ac:dyDescent="0.35">
      <c r="C4094" t="s">
        <v>51</v>
      </c>
      <c r="D4094" t="s">
        <v>92</v>
      </c>
      <c r="E4094" t="s">
        <v>49</v>
      </c>
      <c r="F4094" t="s">
        <v>46</v>
      </c>
      <c r="G4094" s="58">
        <v>210569</v>
      </c>
      <c r="H4094" s="1" t="s">
        <v>48</v>
      </c>
      <c r="I4094" s="1" t="s">
        <v>111</v>
      </c>
      <c r="J4094" s="58">
        <v>3369104</v>
      </c>
      <c r="K4094" s="1" t="s">
        <v>106</v>
      </c>
      <c r="L4094" s="1" t="s">
        <v>120</v>
      </c>
      <c r="M4094" s="1" t="s">
        <v>115</v>
      </c>
      <c r="N4094" s="1">
        <v>1</v>
      </c>
      <c r="O4094" s="58"/>
      <c r="P4094" s="58">
        <v>101073.12</v>
      </c>
      <c r="Q4094" t="s">
        <v>113</v>
      </c>
      <c r="R4094" s="1" t="s">
        <v>48</v>
      </c>
    </row>
    <row r="4095" spans="3:18" x14ac:dyDescent="0.35">
      <c r="C4095" t="s">
        <v>53</v>
      </c>
      <c r="D4095" t="s">
        <v>23</v>
      </c>
      <c r="E4095" t="s">
        <v>55</v>
      </c>
      <c r="F4095" t="s">
        <v>46</v>
      </c>
      <c r="G4095" s="58">
        <v>-227595</v>
      </c>
      <c r="H4095" s="1" t="s">
        <v>48</v>
      </c>
      <c r="I4095" s="1" t="s">
        <v>119</v>
      </c>
      <c r="J4095" s="58">
        <v>0</v>
      </c>
      <c r="K4095" s="1" t="s">
        <v>106</v>
      </c>
      <c r="L4095" s="1" t="s">
        <v>114</v>
      </c>
      <c r="M4095" s="1" t="s">
        <v>125</v>
      </c>
      <c r="N4095" s="1">
        <v>1</v>
      </c>
      <c r="O4095" s="58"/>
      <c r="P4095" s="58">
        <v>0</v>
      </c>
      <c r="Q4095" t="s">
        <v>107</v>
      </c>
      <c r="R4095" s="1" t="s">
        <v>48</v>
      </c>
    </row>
    <row r="4096" spans="3:18" x14ac:dyDescent="0.35">
      <c r="C4096" t="s">
        <v>51</v>
      </c>
      <c r="D4096" t="s">
        <v>22</v>
      </c>
      <c r="E4096" t="s">
        <v>55</v>
      </c>
      <c r="F4096" t="s">
        <v>46</v>
      </c>
      <c r="G4096" s="58">
        <v>226201</v>
      </c>
      <c r="H4096" s="1" t="s">
        <v>48</v>
      </c>
      <c r="I4096" s="1" t="s">
        <v>111</v>
      </c>
      <c r="J4096" s="58">
        <v>4071618</v>
      </c>
      <c r="K4096" s="1" t="s">
        <v>106</v>
      </c>
      <c r="L4096" s="1" t="s">
        <v>124</v>
      </c>
      <c r="M4096" s="1" t="s">
        <v>115</v>
      </c>
      <c r="N4096" s="1">
        <v>1</v>
      </c>
      <c r="O4096" s="58"/>
      <c r="P4096" s="58">
        <v>106314.47</v>
      </c>
      <c r="Q4096" t="s">
        <v>113</v>
      </c>
      <c r="R4096" s="1" t="s">
        <v>48</v>
      </c>
    </row>
    <row r="4097" spans="3:18" x14ac:dyDescent="0.35">
      <c r="C4097" t="s">
        <v>51</v>
      </c>
      <c r="D4097" t="s">
        <v>22</v>
      </c>
      <c r="E4097" t="s">
        <v>49</v>
      </c>
      <c r="F4097" t="s">
        <v>46</v>
      </c>
      <c r="G4097" s="58">
        <v>670411</v>
      </c>
      <c r="H4097" s="1" t="s">
        <v>58</v>
      </c>
      <c r="I4097" s="1" t="s">
        <v>111</v>
      </c>
      <c r="J4097" s="58">
        <v>9385754</v>
      </c>
      <c r="K4097" s="1" t="s">
        <v>106</v>
      </c>
      <c r="L4097" s="1" t="s">
        <v>124</v>
      </c>
      <c r="N4097" s="1">
        <v>1</v>
      </c>
      <c r="O4097" s="58"/>
      <c r="P4097" s="58">
        <v>321797.28000000003</v>
      </c>
      <c r="Q4097" t="s">
        <v>113</v>
      </c>
      <c r="R4097" s="1" t="s">
        <v>158</v>
      </c>
    </row>
    <row r="4098" spans="3:18" x14ac:dyDescent="0.35">
      <c r="C4098" t="s">
        <v>51</v>
      </c>
      <c r="D4098" t="s">
        <v>92</v>
      </c>
      <c r="E4098" t="s">
        <v>55</v>
      </c>
      <c r="F4098" t="s">
        <v>46</v>
      </c>
      <c r="G4098" s="58">
        <v>1314622</v>
      </c>
      <c r="H4098" s="1" t="s">
        <v>48</v>
      </c>
      <c r="I4098" s="1" t="s">
        <v>108</v>
      </c>
      <c r="J4098" s="58">
        <v>38124038</v>
      </c>
      <c r="K4098" s="1" t="s">
        <v>106</v>
      </c>
      <c r="L4098" s="1" t="s">
        <v>114</v>
      </c>
      <c r="M4098" s="1" t="s">
        <v>123</v>
      </c>
      <c r="N4098" s="1">
        <v>1</v>
      </c>
      <c r="O4098" s="58"/>
      <c r="P4098" s="58">
        <v>933381.62</v>
      </c>
      <c r="Q4098" t="s">
        <v>118</v>
      </c>
      <c r="R4098" s="1" t="s">
        <v>48</v>
      </c>
    </row>
    <row r="4099" spans="3:18" x14ac:dyDescent="0.35">
      <c r="C4099" t="s">
        <v>51</v>
      </c>
      <c r="D4099" t="s">
        <v>22</v>
      </c>
      <c r="E4099" t="s">
        <v>50</v>
      </c>
      <c r="F4099" t="s">
        <v>46</v>
      </c>
      <c r="G4099" s="58">
        <v>145924</v>
      </c>
      <c r="H4099" s="1" t="s">
        <v>48</v>
      </c>
      <c r="I4099" s="1" t="s">
        <v>119</v>
      </c>
      <c r="J4099" s="58">
        <v>1459240</v>
      </c>
      <c r="K4099" s="1" t="s">
        <v>112</v>
      </c>
      <c r="N4099" s="1">
        <v>1</v>
      </c>
      <c r="O4099" s="58"/>
      <c r="P4099" s="58">
        <v>52532.639999999999</v>
      </c>
      <c r="Q4099" t="s">
        <v>107</v>
      </c>
      <c r="R4099" s="1" t="s">
        <v>48</v>
      </c>
    </row>
    <row r="4100" spans="3:18" x14ac:dyDescent="0.35">
      <c r="C4100" t="s">
        <v>51</v>
      </c>
      <c r="D4100" t="s">
        <v>19</v>
      </c>
      <c r="E4100" t="s">
        <v>49</v>
      </c>
      <c r="F4100" t="s">
        <v>46</v>
      </c>
      <c r="G4100" s="58">
        <v>5587544</v>
      </c>
      <c r="H4100" s="1" t="s">
        <v>48</v>
      </c>
      <c r="I4100" s="1" t="s">
        <v>111</v>
      </c>
      <c r="J4100" s="58">
        <v>94988248</v>
      </c>
      <c r="K4100" s="1" t="s">
        <v>112</v>
      </c>
      <c r="N4100" s="1">
        <v>1</v>
      </c>
      <c r="O4100" s="58"/>
      <c r="P4100" s="58">
        <v>2626145.6800000002</v>
      </c>
      <c r="Q4100" t="s">
        <v>113</v>
      </c>
      <c r="R4100" s="1" t="s">
        <v>48</v>
      </c>
    </row>
    <row r="4101" spans="3:18" x14ac:dyDescent="0.35">
      <c r="C4101" t="s">
        <v>53</v>
      </c>
      <c r="D4101" t="s">
        <v>92</v>
      </c>
      <c r="E4101" t="s">
        <v>45</v>
      </c>
      <c r="F4101" t="s">
        <v>46</v>
      </c>
      <c r="G4101" s="58">
        <v>5491578</v>
      </c>
      <c r="H4101" s="1" t="s">
        <v>59</v>
      </c>
      <c r="I4101" s="1" t="s">
        <v>105</v>
      </c>
      <c r="J4101" s="58">
        <v>16474734</v>
      </c>
      <c r="K4101" s="1" t="s">
        <v>106</v>
      </c>
      <c r="L4101" s="1" t="s">
        <v>120</v>
      </c>
      <c r="N4101" s="1">
        <v>1</v>
      </c>
      <c r="O4101" s="58"/>
      <c r="P4101" s="58">
        <v>988484.04</v>
      </c>
      <c r="Q4101" t="s">
        <v>107</v>
      </c>
      <c r="R4101" s="1" t="s">
        <v>158</v>
      </c>
    </row>
    <row r="4102" spans="3:18" x14ac:dyDescent="0.35">
      <c r="C4102" t="s">
        <v>53</v>
      </c>
      <c r="D4102" t="s">
        <v>24</v>
      </c>
      <c r="E4102" t="s">
        <v>50</v>
      </c>
      <c r="F4102" t="s">
        <v>46</v>
      </c>
      <c r="G4102" s="58">
        <v>4939</v>
      </c>
      <c r="H4102" s="1" t="s">
        <v>54</v>
      </c>
      <c r="I4102" s="1" t="s">
        <v>105</v>
      </c>
      <c r="J4102" s="58"/>
      <c r="K4102" s="1" t="s">
        <v>106</v>
      </c>
      <c r="L4102" s="1" t="s">
        <v>109</v>
      </c>
      <c r="N4102" s="1">
        <v>0</v>
      </c>
      <c r="O4102" s="58"/>
      <c r="P4102" s="58">
        <v>0</v>
      </c>
      <c r="Q4102" t="s">
        <v>107</v>
      </c>
      <c r="R4102" s="1" t="s">
        <v>158</v>
      </c>
    </row>
    <row r="4103" spans="3:18" x14ac:dyDescent="0.35">
      <c r="C4103" t="s">
        <v>44</v>
      </c>
      <c r="D4103" t="s">
        <v>20</v>
      </c>
      <c r="E4103" t="s">
        <v>45</v>
      </c>
      <c r="F4103" t="s">
        <v>46</v>
      </c>
      <c r="G4103" s="58">
        <v>142183</v>
      </c>
      <c r="H4103" s="1" t="s">
        <v>47</v>
      </c>
      <c r="I4103" s="1" t="s">
        <v>108</v>
      </c>
      <c r="J4103" s="58"/>
      <c r="N4103" s="1">
        <v>0</v>
      </c>
      <c r="O4103" s="58"/>
      <c r="P4103" s="58"/>
      <c r="R4103" s="1" t="s">
        <v>158</v>
      </c>
    </row>
    <row r="4104" spans="3:18" x14ac:dyDescent="0.35">
      <c r="C4104" t="s">
        <v>51</v>
      </c>
      <c r="D4104" t="s">
        <v>23</v>
      </c>
      <c r="E4104" t="s">
        <v>55</v>
      </c>
      <c r="F4104" t="s">
        <v>46</v>
      </c>
      <c r="G4104" s="58">
        <v>119725</v>
      </c>
      <c r="H4104" s="1" t="s">
        <v>59</v>
      </c>
      <c r="I4104" s="1" t="s">
        <v>111</v>
      </c>
      <c r="J4104" s="58">
        <v>1795875</v>
      </c>
      <c r="K4104" s="1" t="s">
        <v>112</v>
      </c>
      <c r="N4104" s="1">
        <v>1</v>
      </c>
      <c r="O4104" s="58"/>
      <c r="P4104" s="58">
        <v>59862.5</v>
      </c>
      <c r="Q4104" t="s">
        <v>113</v>
      </c>
      <c r="R4104" s="1" t="s">
        <v>158</v>
      </c>
    </row>
    <row r="4105" spans="3:18" x14ac:dyDescent="0.35">
      <c r="C4105" t="s">
        <v>51</v>
      </c>
      <c r="D4105" t="s">
        <v>22</v>
      </c>
      <c r="E4105" t="s">
        <v>45</v>
      </c>
      <c r="F4105" t="s">
        <v>46</v>
      </c>
      <c r="G4105" s="58">
        <v>0</v>
      </c>
      <c r="H4105" s="1" t="s">
        <v>48</v>
      </c>
      <c r="I4105" s="1" t="s">
        <v>111</v>
      </c>
      <c r="J4105" s="58">
        <v>0</v>
      </c>
      <c r="K4105" s="1" t="s">
        <v>106</v>
      </c>
      <c r="L4105" s="1" t="s">
        <v>120</v>
      </c>
      <c r="M4105" s="1" t="s">
        <v>121</v>
      </c>
      <c r="N4105" s="1">
        <v>1</v>
      </c>
      <c r="O4105" s="58"/>
      <c r="P4105" s="58">
        <v>0</v>
      </c>
      <c r="Q4105" t="s">
        <v>110</v>
      </c>
      <c r="R4105" s="1" t="s">
        <v>48</v>
      </c>
    </row>
    <row r="4106" spans="3:18" x14ac:dyDescent="0.35">
      <c r="C4106" t="s">
        <v>53</v>
      </c>
      <c r="D4106" t="s">
        <v>19</v>
      </c>
      <c r="E4106" t="s">
        <v>45</v>
      </c>
      <c r="F4106" t="s">
        <v>46</v>
      </c>
      <c r="G4106" s="58">
        <v>72908</v>
      </c>
      <c r="H4106" s="1" t="s">
        <v>59</v>
      </c>
      <c r="I4106" s="1" t="s">
        <v>111</v>
      </c>
      <c r="J4106" s="58">
        <v>874896</v>
      </c>
      <c r="K4106" s="1" t="s">
        <v>106</v>
      </c>
      <c r="L4106" s="1" t="s">
        <v>120</v>
      </c>
      <c r="N4106" s="1">
        <v>1</v>
      </c>
      <c r="O4106" s="58"/>
      <c r="P4106" s="58">
        <v>40828.480000000003</v>
      </c>
      <c r="Q4106" t="s">
        <v>113</v>
      </c>
      <c r="R4106" s="1" t="s">
        <v>158</v>
      </c>
    </row>
    <row r="4107" spans="3:18" x14ac:dyDescent="0.35">
      <c r="C4107" t="s">
        <v>51</v>
      </c>
      <c r="D4107" t="s">
        <v>91</v>
      </c>
      <c r="E4107" t="s">
        <v>49</v>
      </c>
      <c r="F4107" t="s">
        <v>46</v>
      </c>
      <c r="G4107" s="58">
        <v>261085</v>
      </c>
      <c r="H4107" s="1" t="s">
        <v>48</v>
      </c>
      <c r="I4107" s="1" t="s">
        <v>119</v>
      </c>
      <c r="J4107" s="58">
        <v>2349765</v>
      </c>
      <c r="K4107" s="1" t="s">
        <v>106</v>
      </c>
      <c r="L4107" s="1" t="s">
        <v>124</v>
      </c>
      <c r="M4107" s="1" t="s">
        <v>122</v>
      </c>
      <c r="N4107" s="1">
        <v>1</v>
      </c>
      <c r="O4107" s="58"/>
      <c r="P4107" s="58">
        <v>67882.100000000006</v>
      </c>
      <c r="Q4107" t="s">
        <v>107</v>
      </c>
      <c r="R4107" s="1" t="s">
        <v>48</v>
      </c>
    </row>
    <row r="4108" spans="3:18" x14ac:dyDescent="0.35">
      <c r="C4108" t="s">
        <v>51</v>
      </c>
      <c r="D4108" t="s">
        <v>23</v>
      </c>
      <c r="E4108" t="s">
        <v>45</v>
      </c>
      <c r="F4108" t="s">
        <v>46</v>
      </c>
      <c r="G4108" s="58">
        <v>229160</v>
      </c>
      <c r="H4108" s="1" t="s">
        <v>48</v>
      </c>
      <c r="I4108" s="1" t="s">
        <v>108</v>
      </c>
      <c r="J4108" s="58">
        <v>4812360</v>
      </c>
      <c r="K4108" s="1" t="s">
        <v>106</v>
      </c>
      <c r="L4108" s="1" t="s">
        <v>124</v>
      </c>
      <c r="M4108" s="1" t="s">
        <v>125</v>
      </c>
      <c r="N4108" s="1">
        <v>1</v>
      </c>
      <c r="O4108" s="58"/>
      <c r="P4108" s="58">
        <v>32082.400000000001</v>
      </c>
      <c r="Q4108" t="s">
        <v>107</v>
      </c>
      <c r="R4108" s="1" t="s">
        <v>48</v>
      </c>
    </row>
    <row r="4109" spans="3:18" x14ac:dyDescent="0.35">
      <c r="C4109" t="s">
        <v>51</v>
      </c>
      <c r="D4109" t="s">
        <v>21</v>
      </c>
      <c r="E4109" t="s">
        <v>49</v>
      </c>
      <c r="F4109" t="s">
        <v>46</v>
      </c>
      <c r="G4109" s="58">
        <v>307161</v>
      </c>
      <c r="H4109" s="1" t="s">
        <v>48</v>
      </c>
      <c r="I4109" s="1" t="s">
        <v>128</v>
      </c>
      <c r="J4109" s="58"/>
      <c r="K4109" s="1" t="s">
        <v>106</v>
      </c>
      <c r="L4109" s="1" t="s">
        <v>124</v>
      </c>
      <c r="M4109" s="1" t="s">
        <v>126</v>
      </c>
      <c r="N4109" s="1">
        <v>0</v>
      </c>
      <c r="O4109" s="58"/>
      <c r="P4109" s="58">
        <v>165866.94</v>
      </c>
      <c r="Q4109" t="s">
        <v>113</v>
      </c>
      <c r="R4109" s="1" t="s">
        <v>158</v>
      </c>
    </row>
    <row r="4110" spans="3:18" x14ac:dyDescent="0.35">
      <c r="C4110" t="s">
        <v>51</v>
      </c>
      <c r="D4110" t="s">
        <v>24</v>
      </c>
      <c r="E4110" t="s">
        <v>49</v>
      </c>
      <c r="F4110" t="s">
        <v>46</v>
      </c>
      <c r="G4110" s="58">
        <v>419160</v>
      </c>
      <c r="H4110" s="1" t="s">
        <v>48</v>
      </c>
      <c r="I4110" s="1" t="s">
        <v>119</v>
      </c>
      <c r="J4110" s="58">
        <v>3353280</v>
      </c>
      <c r="K4110" s="1" t="s">
        <v>106</v>
      </c>
      <c r="L4110" s="1" t="s">
        <v>124</v>
      </c>
      <c r="M4110" s="1" t="s">
        <v>121</v>
      </c>
      <c r="N4110" s="1">
        <v>1</v>
      </c>
      <c r="O4110" s="58"/>
      <c r="P4110" s="58">
        <v>96406.8</v>
      </c>
      <c r="Q4110" t="s">
        <v>107</v>
      </c>
      <c r="R4110" s="1" t="s">
        <v>48</v>
      </c>
    </row>
    <row r="4111" spans="3:18" x14ac:dyDescent="0.35">
      <c r="C4111" t="s">
        <v>51</v>
      </c>
      <c r="D4111" t="s">
        <v>19</v>
      </c>
      <c r="E4111" t="s">
        <v>49</v>
      </c>
      <c r="F4111" t="s">
        <v>46</v>
      </c>
      <c r="G4111" s="58">
        <v>42408597</v>
      </c>
      <c r="H4111" s="1" t="s">
        <v>59</v>
      </c>
      <c r="I4111" s="1" t="s">
        <v>108</v>
      </c>
      <c r="J4111" s="58">
        <v>1187440716</v>
      </c>
      <c r="K4111" s="1" t="s">
        <v>106</v>
      </c>
      <c r="L4111" s="1" t="s">
        <v>124</v>
      </c>
      <c r="N4111" s="1">
        <v>1</v>
      </c>
      <c r="O4111" s="58"/>
      <c r="P4111" s="58">
        <v>21204298.5</v>
      </c>
      <c r="Q4111" t="s">
        <v>113</v>
      </c>
      <c r="R4111" s="1" t="s">
        <v>158</v>
      </c>
    </row>
    <row r="4112" spans="3:18" x14ac:dyDescent="0.35">
      <c r="C4112" t="s">
        <v>53</v>
      </c>
      <c r="D4112" t="s">
        <v>24</v>
      </c>
      <c r="E4112" t="s">
        <v>55</v>
      </c>
      <c r="F4112" t="s">
        <v>46</v>
      </c>
      <c r="G4112" s="58">
        <v>5161626</v>
      </c>
      <c r="H4112" s="1" t="s">
        <v>59</v>
      </c>
      <c r="I4112" s="1" t="s">
        <v>119</v>
      </c>
      <c r="J4112" s="58">
        <v>36131382</v>
      </c>
      <c r="K4112" s="1" t="s">
        <v>106</v>
      </c>
      <c r="L4112" s="1" t="s">
        <v>114</v>
      </c>
      <c r="N4112" s="1">
        <v>1</v>
      </c>
      <c r="O4112" s="58"/>
      <c r="P4112" s="58">
        <v>2477580.48</v>
      </c>
      <c r="Q4112" t="s">
        <v>113</v>
      </c>
      <c r="R4112" s="1" t="s">
        <v>158</v>
      </c>
    </row>
    <row r="4113" spans="3:18" x14ac:dyDescent="0.35">
      <c r="C4113" t="s">
        <v>53</v>
      </c>
      <c r="D4113" t="s">
        <v>21</v>
      </c>
      <c r="E4113" t="s">
        <v>49</v>
      </c>
      <c r="F4113" t="s">
        <v>46</v>
      </c>
      <c r="G4113" s="58">
        <v>66440176</v>
      </c>
      <c r="H4113" s="1" t="s">
        <v>56</v>
      </c>
      <c r="I4113" s="1" t="s">
        <v>105</v>
      </c>
      <c r="J4113" s="58">
        <v>332200880</v>
      </c>
      <c r="K4113" s="1" t="s">
        <v>112</v>
      </c>
      <c r="N4113" s="1">
        <v>1</v>
      </c>
      <c r="O4113" s="58"/>
      <c r="P4113" s="58">
        <v>35877695.039999999</v>
      </c>
      <c r="Q4113" t="s">
        <v>113</v>
      </c>
      <c r="R4113" s="1" t="s">
        <v>158</v>
      </c>
    </row>
    <row r="4114" spans="3:18" x14ac:dyDescent="0.35">
      <c r="C4114" t="s">
        <v>51</v>
      </c>
      <c r="D4114" t="s">
        <v>20</v>
      </c>
      <c r="E4114" t="s">
        <v>49</v>
      </c>
      <c r="F4114" t="s">
        <v>46</v>
      </c>
      <c r="G4114" s="58">
        <v>70772</v>
      </c>
      <c r="H4114" s="1" t="s">
        <v>48</v>
      </c>
      <c r="I4114" s="1" t="s">
        <v>108</v>
      </c>
      <c r="J4114" s="58">
        <v>1627756</v>
      </c>
      <c r="K4114" s="1" t="s">
        <v>106</v>
      </c>
      <c r="L4114" s="1" t="s">
        <v>124</v>
      </c>
      <c r="M4114" s="1" t="s">
        <v>126</v>
      </c>
      <c r="N4114" s="1">
        <v>1</v>
      </c>
      <c r="O4114" s="58"/>
      <c r="P4114" s="58">
        <v>22647.040000000001</v>
      </c>
      <c r="Q4114" t="s">
        <v>107</v>
      </c>
      <c r="R4114" s="1" t="s">
        <v>158</v>
      </c>
    </row>
    <row r="4115" spans="3:18" x14ac:dyDescent="0.35">
      <c r="C4115" t="s">
        <v>53</v>
      </c>
      <c r="D4115" t="s">
        <v>19</v>
      </c>
      <c r="E4115" t="s">
        <v>49</v>
      </c>
      <c r="F4115" t="s">
        <v>46</v>
      </c>
      <c r="G4115" s="58">
        <v>97733234</v>
      </c>
      <c r="H4115" s="1" t="s">
        <v>47</v>
      </c>
      <c r="I4115" s="1" t="s">
        <v>108</v>
      </c>
      <c r="J4115" s="58">
        <v>2834263786</v>
      </c>
      <c r="K4115" s="1" t="s">
        <v>106</v>
      </c>
      <c r="L4115" s="1" t="s">
        <v>124</v>
      </c>
      <c r="N4115" s="1">
        <v>1</v>
      </c>
      <c r="O4115" s="58"/>
      <c r="P4115" s="58">
        <v>69390596.140000001</v>
      </c>
      <c r="Q4115" t="s">
        <v>118</v>
      </c>
      <c r="R4115" s="1" t="s">
        <v>158</v>
      </c>
    </row>
    <row r="4116" spans="3:18" x14ac:dyDescent="0.35">
      <c r="C4116" t="s">
        <v>51</v>
      </c>
      <c r="D4116" t="s">
        <v>24</v>
      </c>
      <c r="E4116" t="s">
        <v>55</v>
      </c>
      <c r="F4116" t="s">
        <v>46</v>
      </c>
      <c r="G4116" s="58">
        <v>619978</v>
      </c>
      <c r="H4116" s="1" t="s">
        <v>48</v>
      </c>
      <c r="I4116" s="1" t="s">
        <v>108</v>
      </c>
      <c r="J4116" s="58">
        <v>19839296</v>
      </c>
      <c r="K4116" s="1" t="s">
        <v>106</v>
      </c>
      <c r="L4116" s="1" t="s">
        <v>120</v>
      </c>
      <c r="M4116" s="1" t="s">
        <v>115</v>
      </c>
      <c r="N4116" s="1">
        <v>1</v>
      </c>
      <c r="O4116" s="58"/>
      <c r="P4116" s="58">
        <v>446384.16</v>
      </c>
      <c r="Q4116" t="s">
        <v>118</v>
      </c>
      <c r="R4116" s="1" t="s">
        <v>158</v>
      </c>
    </row>
    <row r="4117" spans="3:18" x14ac:dyDescent="0.35">
      <c r="C4117" t="s">
        <v>53</v>
      </c>
      <c r="D4117" t="s">
        <v>21</v>
      </c>
      <c r="E4117" t="s">
        <v>49</v>
      </c>
      <c r="F4117" t="s">
        <v>46</v>
      </c>
      <c r="G4117" s="58">
        <v>283676</v>
      </c>
      <c r="H4117" s="1" t="s">
        <v>48</v>
      </c>
      <c r="I4117" s="1" t="s">
        <v>111</v>
      </c>
      <c r="J4117" s="58">
        <v>3404112</v>
      </c>
      <c r="K4117" s="1" t="s">
        <v>112</v>
      </c>
      <c r="N4117" s="1">
        <v>1</v>
      </c>
      <c r="O4117" s="58"/>
      <c r="P4117" s="58">
        <v>167368.84</v>
      </c>
      <c r="Q4117" t="s">
        <v>113</v>
      </c>
      <c r="R4117" s="1" t="s">
        <v>158</v>
      </c>
    </row>
    <row r="4118" spans="3:18" x14ac:dyDescent="0.35">
      <c r="C4118" t="s">
        <v>51</v>
      </c>
      <c r="D4118" t="s">
        <v>19</v>
      </c>
      <c r="E4118" t="s">
        <v>49</v>
      </c>
      <c r="F4118" t="s">
        <v>46</v>
      </c>
      <c r="G4118" s="58">
        <v>185672</v>
      </c>
      <c r="H4118" s="1" t="s">
        <v>59</v>
      </c>
      <c r="I4118" s="1" t="s">
        <v>111</v>
      </c>
      <c r="J4118" s="58">
        <v>3713440</v>
      </c>
      <c r="K4118" s="1" t="s">
        <v>112</v>
      </c>
      <c r="N4118" s="1">
        <v>1</v>
      </c>
      <c r="O4118" s="58"/>
      <c r="P4118" s="58">
        <v>59415.040000000001</v>
      </c>
      <c r="Q4118" t="s">
        <v>107</v>
      </c>
      <c r="R4118" s="1" t="s">
        <v>158</v>
      </c>
    </row>
    <row r="4119" spans="3:18" x14ac:dyDescent="0.35">
      <c r="C4119" t="s">
        <v>51</v>
      </c>
      <c r="D4119" t="s">
        <v>19</v>
      </c>
      <c r="E4119" t="s">
        <v>49</v>
      </c>
      <c r="F4119" t="s">
        <v>46</v>
      </c>
      <c r="G4119" s="58">
        <v>6975097</v>
      </c>
      <c r="H4119" s="1" t="s">
        <v>56</v>
      </c>
      <c r="I4119" s="1" t="s">
        <v>108</v>
      </c>
      <c r="J4119" s="58">
        <v>237153298</v>
      </c>
      <c r="K4119" s="1" t="s">
        <v>106</v>
      </c>
      <c r="L4119" s="1" t="s">
        <v>124</v>
      </c>
      <c r="N4119" s="1">
        <v>1</v>
      </c>
      <c r="O4119" s="58"/>
      <c r="P4119" s="58">
        <v>5859081.4800000004</v>
      </c>
      <c r="Q4119" t="s">
        <v>127</v>
      </c>
      <c r="R4119" s="1" t="s">
        <v>158</v>
      </c>
    </row>
    <row r="4120" spans="3:18" x14ac:dyDescent="0.35">
      <c r="C4120" t="s">
        <v>51</v>
      </c>
      <c r="D4120" t="s">
        <v>24</v>
      </c>
      <c r="E4120" t="s">
        <v>55</v>
      </c>
      <c r="F4120" t="s">
        <v>46</v>
      </c>
      <c r="G4120" s="58">
        <v>1108882</v>
      </c>
      <c r="H4120" s="1" t="s">
        <v>56</v>
      </c>
      <c r="I4120" s="1" t="s">
        <v>108</v>
      </c>
      <c r="J4120" s="58">
        <v>34375342</v>
      </c>
      <c r="K4120" s="1" t="s">
        <v>106</v>
      </c>
      <c r="L4120" s="1" t="s">
        <v>114</v>
      </c>
      <c r="N4120" s="1">
        <v>1</v>
      </c>
      <c r="O4120" s="58"/>
      <c r="P4120" s="58">
        <v>1408280.14</v>
      </c>
      <c r="Q4120" t="s">
        <v>110</v>
      </c>
      <c r="R4120" s="1" t="s">
        <v>158</v>
      </c>
    </row>
    <row r="4121" spans="3:18" x14ac:dyDescent="0.35">
      <c r="C4121" t="s">
        <v>51</v>
      </c>
      <c r="D4121" t="s">
        <v>91</v>
      </c>
      <c r="E4121" t="s">
        <v>49</v>
      </c>
      <c r="F4121" t="s">
        <v>46</v>
      </c>
      <c r="G4121" s="58">
        <v>1306869</v>
      </c>
      <c r="H4121" s="1" t="s">
        <v>48</v>
      </c>
      <c r="I4121" s="1" t="s">
        <v>108</v>
      </c>
      <c r="J4121" s="58">
        <v>40512939</v>
      </c>
      <c r="K4121" s="1" t="s">
        <v>112</v>
      </c>
      <c r="N4121" s="1">
        <v>1</v>
      </c>
      <c r="O4121" s="58"/>
      <c r="P4121" s="58">
        <v>679571.88</v>
      </c>
      <c r="Q4121" t="s">
        <v>113</v>
      </c>
      <c r="R4121" s="1" t="s">
        <v>158</v>
      </c>
    </row>
    <row r="4122" spans="3:18" x14ac:dyDescent="0.35">
      <c r="C4122" t="s">
        <v>51</v>
      </c>
      <c r="D4122" t="s">
        <v>24</v>
      </c>
      <c r="E4122" t="s">
        <v>55</v>
      </c>
      <c r="F4122" t="s">
        <v>64</v>
      </c>
      <c r="G4122" s="58">
        <v>199511</v>
      </c>
      <c r="H4122" s="1" t="s">
        <v>47</v>
      </c>
      <c r="I4122" s="1" t="s">
        <v>108</v>
      </c>
      <c r="J4122" s="58">
        <v>4987775</v>
      </c>
      <c r="K4122" s="1" t="s">
        <v>112</v>
      </c>
      <c r="N4122" s="1">
        <v>1</v>
      </c>
      <c r="O4122" s="58"/>
      <c r="P4122" s="58">
        <v>95765.28</v>
      </c>
      <c r="Q4122" t="s">
        <v>113</v>
      </c>
      <c r="R4122" s="1" t="s">
        <v>158</v>
      </c>
    </row>
    <row r="4123" spans="3:18" x14ac:dyDescent="0.35">
      <c r="C4123" t="s">
        <v>51</v>
      </c>
      <c r="D4123" t="s">
        <v>23</v>
      </c>
      <c r="E4123" t="s">
        <v>49</v>
      </c>
      <c r="F4123" t="s">
        <v>46</v>
      </c>
      <c r="G4123" s="58">
        <v>1376951</v>
      </c>
      <c r="H4123" s="1" t="s">
        <v>59</v>
      </c>
      <c r="I4123" s="1" t="s">
        <v>111</v>
      </c>
      <c r="J4123" s="58">
        <v>20654265</v>
      </c>
      <c r="K4123" s="1" t="s">
        <v>106</v>
      </c>
      <c r="L4123" s="1" t="s">
        <v>124</v>
      </c>
      <c r="N4123" s="1">
        <v>1</v>
      </c>
      <c r="O4123" s="58"/>
      <c r="P4123" s="58">
        <v>426854.81</v>
      </c>
      <c r="Q4123" t="s">
        <v>107</v>
      </c>
      <c r="R4123" s="1" t="s">
        <v>158</v>
      </c>
    </row>
    <row r="4124" spans="3:18" x14ac:dyDescent="0.35">
      <c r="C4124" t="s">
        <v>51</v>
      </c>
      <c r="D4124" t="s">
        <v>24</v>
      </c>
      <c r="E4124" t="s">
        <v>55</v>
      </c>
      <c r="F4124" t="s">
        <v>46</v>
      </c>
      <c r="G4124" s="58">
        <v>106115</v>
      </c>
      <c r="H4124" s="1" t="s">
        <v>48</v>
      </c>
      <c r="I4124" s="1" t="s">
        <v>111</v>
      </c>
      <c r="J4124" s="58">
        <v>1803955</v>
      </c>
      <c r="K4124" s="1" t="s">
        <v>106</v>
      </c>
      <c r="L4124" s="1" t="s">
        <v>120</v>
      </c>
      <c r="M4124" s="1" t="s">
        <v>121</v>
      </c>
      <c r="N4124" s="1">
        <v>1</v>
      </c>
      <c r="O4124" s="58"/>
      <c r="P4124" s="58">
        <v>59424.4</v>
      </c>
      <c r="Q4124" t="s">
        <v>113</v>
      </c>
      <c r="R4124" s="1" t="s">
        <v>158</v>
      </c>
    </row>
    <row r="4125" spans="3:18" x14ac:dyDescent="0.35">
      <c r="C4125" t="s">
        <v>53</v>
      </c>
      <c r="D4125" t="s">
        <v>21</v>
      </c>
      <c r="E4125" t="s">
        <v>45</v>
      </c>
      <c r="F4125" t="s">
        <v>46</v>
      </c>
      <c r="G4125" s="58">
        <v>3493516</v>
      </c>
      <c r="H4125" s="1" t="s">
        <v>59</v>
      </c>
      <c r="I4125" s="1" t="s">
        <v>111</v>
      </c>
      <c r="J4125" s="58">
        <v>45415708</v>
      </c>
      <c r="K4125" s="1" t="s">
        <v>112</v>
      </c>
      <c r="N4125" s="1">
        <v>1</v>
      </c>
      <c r="O4125" s="58"/>
      <c r="P4125" s="58">
        <v>1851563.48</v>
      </c>
      <c r="Q4125" t="s">
        <v>113</v>
      </c>
      <c r="R4125" s="1" t="s">
        <v>158</v>
      </c>
    </row>
    <row r="4126" spans="3:18" x14ac:dyDescent="0.35">
      <c r="C4126" t="s">
        <v>51</v>
      </c>
      <c r="D4126" t="s">
        <v>92</v>
      </c>
      <c r="E4126" t="s">
        <v>55</v>
      </c>
      <c r="F4126" t="s">
        <v>46</v>
      </c>
      <c r="G4126" s="58">
        <v>871787</v>
      </c>
      <c r="H4126" s="1" t="s">
        <v>48</v>
      </c>
      <c r="I4126" s="1" t="s">
        <v>108</v>
      </c>
      <c r="J4126" s="58">
        <v>27897184</v>
      </c>
      <c r="K4126" s="1" t="s">
        <v>106</v>
      </c>
      <c r="L4126" s="1" t="s">
        <v>114</v>
      </c>
      <c r="M4126" s="1" t="s">
        <v>123</v>
      </c>
      <c r="N4126" s="1">
        <v>1</v>
      </c>
      <c r="O4126" s="58"/>
      <c r="P4126" s="58">
        <v>706147.47</v>
      </c>
      <c r="Q4126" t="s">
        <v>127</v>
      </c>
      <c r="R4126" s="1" t="s">
        <v>158</v>
      </c>
    </row>
    <row r="4127" spans="3:18" x14ac:dyDescent="0.35">
      <c r="C4127" t="s">
        <v>51</v>
      </c>
      <c r="D4127" t="s">
        <v>21</v>
      </c>
      <c r="E4127" t="s">
        <v>49</v>
      </c>
      <c r="F4127" t="s">
        <v>46</v>
      </c>
      <c r="G4127" s="58">
        <v>265751</v>
      </c>
      <c r="H4127" s="1" t="s">
        <v>56</v>
      </c>
      <c r="I4127" s="1" t="s">
        <v>108</v>
      </c>
      <c r="J4127" s="58">
        <v>6643775</v>
      </c>
      <c r="K4127" s="1" t="s">
        <v>106</v>
      </c>
      <c r="L4127" s="1" t="s">
        <v>120</v>
      </c>
      <c r="N4127" s="1">
        <v>1</v>
      </c>
      <c r="O4127" s="58"/>
      <c r="P4127" s="58">
        <v>79725.3</v>
      </c>
      <c r="Q4127" t="s">
        <v>107</v>
      </c>
      <c r="R4127" s="1" t="s">
        <v>158</v>
      </c>
    </row>
    <row r="4128" spans="3:18" x14ac:dyDescent="0.35">
      <c r="C4128" t="s">
        <v>51</v>
      </c>
      <c r="D4128" t="s">
        <v>21</v>
      </c>
      <c r="E4128" t="s">
        <v>49</v>
      </c>
      <c r="F4128" t="s">
        <v>46</v>
      </c>
      <c r="G4128" s="58">
        <v>51359</v>
      </c>
      <c r="H4128" s="1" t="s">
        <v>48</v>
      </c>
      <c r="I4128" s="1" t="s">
        <v>111</v>
      </c>
      <c r="J4128" s="58">
        <v>873103</v>
      </c>
      <c r="K4128" s="1" t="s">
        <v>106</v>
      </c>
      <c r="L4128" s="1" t="s">
        <v>114</v>
      </c>
      <c r="M4128" s="1" t="s">
        <v>121</v>
      </c>
      <c r="N4128" s="1">
        <v>1</v>
      </c>
      <c r="O4128" s="58"/>
      <c r="P4128" s="58">
        <v>14380.52</v>
      </c>
      <c r="Q4128" t="s">
        <v>107</v>
      </c>
      <c r="R4128" s="1" t="s">
        <v>48</v>
      </c>
    </row>
    <row r="4129" spans="3:18" x14ac:dyDescent="0.35">
      <c r="C4129" t="s">
        <v>51</v>
      </c>
      <c r="D4129" t="s">
        <v>23</v>
      </c>
      <c r="E4129" t="s">
        <v>45</v>
      </c>
      <c r="F4129" t="s">
        <v>46</v>
      </c>
      <c r="G4129" s="58">
        <v>617800</v>
      </c>
      <c r="H4129" s="1" t="s">
        <v>56</v>
      </c>
      <c r="I4129" s="1" t="s">
        <v>111</v>
      </c>
      <c r="J4129" s="58">
        <v>11120400</v>
      </c>
      <c r="K4129" s="1" t="s">
        <v>106</v>
      </c>
      <c r="L4129" s="1" t="s">
        <v>120</v>
      </c>
      <c r="N4129" s="1">
        <v>1</v>
      </c>
      <c r="O4129" s="58"/>
      <c r="P4129" s="58">
        <v>518952</v>
      </c>
      <c r="Q4129" t="s">
        <v>127</v>
      </c>
      <c r="R4129" s="1" t="s">
        <v>158</v>
      </c>
    </row>
    <row r="4130" spans="3:18" x14ac:dyDescent="0.35">
      <c r="C4130" t="s">
        <v>51</v>
      </c>
      <c r="D4130" t="s">
        <v>23</v>
      </c>
      <c r="E4130" t="s">
        <v>62</v>
      </c>
      <c r="F4130" t="s">
        <v>46</v>
      </c>
      <c r="G4130" s="58">
        <v>6797631</v>
      </c>
      <c r="H4130" s="1" t="s">
        <v>48</v>
      </c>
      <c r="I4130" s="1" t="s">
        <v>108</v>
      </c>
      <c r="J4130" s="58">
        <v>237917085</v>
      </c>
      <c r="K4130" s="1" t="s">
        <v>106</v>
      </c>
      <c r="L4130" s="1" t="s">
        <v>131</v>
      </c>
      <c r="M4130" s="1" t="s">
        <v>125</v>
      </c>
      <c r="N4130" s="1">
        <v>1</v>
      </c>
      <c r="O4130" s="58"/>
      <c r="P4130" s="58">
        <v>5710010.04</v>
      </c>
      <c r="Q4130" t="s">
        <v>127</v>
      </c>
      <c r="R4130" s="1" t="s">
        <v>48</v>
      </c>
    </row>
    <row r="4131" spans="3:18" x14ac:dyDescent="0.35">
      <c r="C4131" t="s">
        <v>51</v>
      </c>
      <c r="D4131" t="s">
        <v>22</v>
      </c>
      <c r="E4131" t="s">
        <v>49</v>
      </c>
      <c r="F4131" t="s">
        <v>46</v>
      </c>
      <c r="G4131" s="58">
        <v>15892460</v>
      </c>
      <c r="H4131" s="1" t="s">
        <v>54</v>
      </c>
      <c r="I4131" s="1" t="s">
        <v>105</v>
      </c>
      <c r="J4131" s="58">
        <v>47677380</v>
      </c>
      <c r="K4131" s="1" t="s">
        <v>106</v>
      </c>
      <c r="L4131" s="1" t="s">
        <v>124</v>
      </c>
      <c r="N4131" s="1">
        <v>1</v>
      </c>
      <c r="O4131" s="58"/>
      <c r="P4131" s="58">
        <v>1589246</v>
      </c>
      <c r="Q4131" t="s">
        <v>107</v>
      </c>
      <c r="R4131" s="1" t="s">
        <v>158</v>
      </c>
    </row>
    <row r="4132" spans="3:18" x14ac:dyDescent="0.35">
      <c r="C4132" t="s">
        <v>51</v>
      </c>
      <c r="D4132" t="s">
        <v>21</v>
      </c>
      <c r="E4132" t="s">
        <v>49</v>
      </c>
      <c r="F4132" t="s">
        <v>46</v>
      </c>
      <c r="G4132" s="58">
        <v>1091313</v>
      </c>
      <c r="H4132" s="1" t="s">
        <v>54</v>
      </c>
      <c r="I4132" s="1" t="s">
        <v>108</v>
      </c>
      <c r="J4132" s="58">
        <v>31648077</v>
      </c>
      <c r="K4132" s="1" t="s">
        <v>106</v>
      </c>
      <c r="L4132" s="1" t="s">
        <v>120</v>
      </c>
      <c r="N4132" s="1">
        <v>1</v>
      </c>
      <c r="O4132" s="58"/>
      <c r="P4132" s="58">
        <v>720266.58</v>
      </c>
      <c r="Q4132" t="s">
        <v>118</v>
      </c>
      <c r="R4132" s="1" t="s">
        <v>158</v>
      </c>
    </row>
    <row r="4133" spans="3:18" x14ac:dyDescent="0.35">
      <c r="C4133" t="s">
        <v>53</v>
      </c>
      <c r="D4133" t="s">
        <v>21</v>
      </c>
      <c r="E4133" t="s">
        <v>55</v>
      </c>
      <c r="F4133" t="s">
        <v>46</v>
      </c>
      <c r="G4133" s="58">
        <v>268013</v>
      </c>
      <c r="H4133" s="1" t="s">
        <v>54</v>
      </c>
      <c r="I4133" s="1" t="s">
        <v>105</v>
      </c>
      <c r="J4133" s="58">
        <v>536026</v>
      </c>
      <c r="K4133" s="1" t="s">
        <v>106</v>
      </c>
      <c r="L4133" s="1" t="s">
        <v>114</v>
      </c>
      <c r="N4133" s="1">
        <v>1</v>
      </c>
      <c r="O4133" s="58"/>
      <c r="P4133" s="58">
        <v>32161.56</v>
      </c>
      <c r="Q4133" t="s">
        <v>107</v>
      </c>
      <c r="R4133" s="1" t="s">
        <v>158</v>
      </c>
    </row>
    <row r="4134" spans="3:18" x14ac:dyDescent="0.35">
      <c r="C4134" t="s">
        <v>51</v>
      </c>
      <c r="D4134" t="s">
        <v>23</v>
      </c>
      <c r="E4134" t="s">
        <v>52</v>
      </c>
      <c r="F4134" t="s">
        <v>46</v>
      </c>
      <c r="G4134" s="58">
        <v>19770927</v>
      </c>
      <c r="H4134" s="1" t="s">
        <v>48</v>
      </c>
      <c r="I4134" s="1" t="s">
        <v>108</v>
      </c>
      <c r="J4134" s="58">
        <v>672211518</v>
      </c>
      <c r="K4134" s="1" t="s">
        <v>112</v>
      </c>
      <c r="N4134" s="1">
        <v>1</v>
      </c>
      <c r="O4134" s="58"/>
      <c r="P4134" s="58">
        <v>14037358.17</v>
      </c>
      <c r="Q4134" t="s">
        <v>118</v>
      </c>
      <c r="R4134" s="1" t="s">
        <v>48</v>
      </c>
    </row>
    <row r="4135" spans="3:18" x14ac:dyDescent="0.35">
      <c r="C4135" t="s">
        <v>53</v>
      </c>
      <c r="D4135" t="s">
        <v>25</v>
      </c>
      <c r="E4135" t="s">
        <v>50</v>
      </c>
      <c r="F4135" t="s">
        <v>46</v>
      </c>
      <c r="G4135" s="58">
        <v>187802</v>
      </c>
      <c r="H4135" s="1" t="s">
        <v>59</v>
      </c>
      <c r="I4135" s="1" t="s">
        <v>119</v>
      </c>
      <c r="J4135" s="58">
        <v>1502416</v>
      </c>
      <c r="K4135" s="1" t="s">
        <v>106</v>
      </c>
      <c r="L4135" s="1" t="s">
        <v>109</v>
      </c>
      <c r="N4135" s="1">
        <v>1</v>
      </c>
      <c r="O4135" s="58"/>
      <c r="P4135" s="58">
        <v>110803.18</v>
      </c>
      <c r="Q4135" t="s">
        <v>113</v>
      </c>
      <c r="R4135" s="1" t="s">
        <v>158</v>
      </c>
    </row>
    <row r="4136" spans="3:18" x14ac:dyDescent="0.35">
      <c r="C4136" t="s">
        <v>53</v>
      </c>
      <c r="D4136" t="s">
        <v>21</v>
      </c>
      <c r="E4136" t="s">
        <v>45</v>
      </c>
      <c r="F4136" t="s">
        <v>46</v>
      </c>
      <c r="G4136" s="58">
        <v>32911626</v>
      </c>
      <c r="H4136" s="1" t="s">
        <v>47</v>
      </c>
      <c r="I4136" s="1" t="s">
        <v>119</v>
      </c>
      <c r="J4136" s="58">
        <v>296204634</v>
      </c>
      <c r="K4136" s="1" t="s">
        <v>106</v>
      </c>
      <c r="L4136" s="1" t="s">
        <v>120</v>
      </c>
      <c r="N4136" s="1">
        <v>1</v>
      </c>
      <c r="O4136" s="58"/>
      <c r="P4136" s="58">
        <v>21721673.16</v>
      </c>
      <c r="Q4136" t="s">
        <v>118</v>
      </c>
      <c r="R4136" s="1" t="s">
        <v>158</v>
      </c>
    </row>
    <row r="4137" spans="3:18" x14ac:dyDescent="0.35">
      <c r="C4137" t="s">
        <v>51</v>
      </c>
      <c r="D4137" t="s">
        <v>24</v>
      </c>
      <c r="E4137" t="s">
        <v>50</v>
      </c>
      <c r="F4137" t="s">
        <v>46</v>
      </c>
      <c r="G4137" s="58">
        <v>790569</v>
      </c>
      <c r="H4137" s="1" t="s">
        <v>59</v>
      </c>
      <c r="I4137" s="1" t="s">
        <v>111</v>
      </c>
      <c r="J4137" s="58">
        <v>11067966</v>
      </c>
      <c r="K4137" s="1" t="s">
        <v>106</v>
      </c>
      <c r="L4137" s="1" t="s">
        <v>109</v>
      </c>
      <c r="N4137" s="1">
        <v>1</v>
      </c>
      <c r="O4137" s="58"/>
      <c r="P4137" s="58">
        <v>395284.5</v>
      </c>
      <c r="Q4137" t="s">
        <v>113</v>
      </c>
      <c r="R4137" s="1" t="s">
        <v>158</v>
      </c>
    </row>
    <row r="4138" spans="3:18" x14ac:dyDescent="0.35">
      <c r="C4138" t="s">
        <v>51</v>
      </c>
      <c r="D4138" t="s">
        <v>22</v>
      </c>
      <c r="E4138" t="s">
        <v>55</v>
      </c>
      <c r="F4138" t="s">
        <v>46</v>
      </c>
      <c r="G4138" s="58">
        <v>73888581</v>
      </c>
      <c r="H4138" s="1" t="s">
        <v>48</v>
      </c>
      <c r="I4138" s="1" t="s">
        <v>108</v>
      </c>
      <c r="J4138" s="58">
        <v>2512211754</v>
      </c>
      <c r="K4138" s="1" t="s">
        <v>112</v>
      </c>
      <c r="N4138" s="1">
        <v>1</v>
      </c>
      <c r="O4138" s="58"/>
      <c r="P4138" s="58">
        <v>53199778.32</v>
      </c>
      <c r="Q4138" t="s">
        <v>118</v>
      </c>
      <c r="R4138" s="1" t="s">
        <v>48</v>
      </c>
    </row>
    <row r="4139" spans="3:18" x14ac:dyDescent="0.35">
      <c r="C4139" t="s">
        <v>51</v>
      </c>
      <c r="D4139" t="s">
        <v>24</v>
      </c>
      <c r="E4139" t="s">
        <v>52</v>
      </c>
      <c r="F4139" t="s">
        <v>46</v>
      </c>
      <c r="G4139" s="58">
        <v>972367</v>
      </c>
      <c r="H4139" s="1" t="s">
        <v>48</v>
      </c>
      <c r="I4139" s="1" t="s">
        <v>111</v>
      </c>
      <c r="J4139" s="58">
        <v>13613138</v>
      </c>
      <c r="K4139" s="1" t="s">
        <v>106</v>
      </c>
      <c r="L4139" s="1" t="s">
        <v>130</v>
      </c>
      <c r="M4139" s="1" t="s">
        <v>121</v>
      </c>
      <c r="N4139" s="1">
        <v>1</v>
      </c>
      <c r="O4139" s="58"/>
      <c r="P4139" s="58">
        <v>311157.44</v>
      </c>
      <c r="Q4139" t="s">
        <v>107</v>
      </c>
      <c r="R4139" s="1" t="s">
        <v>48</v>
      </c>
    </row>
    <row r="4140" spans="3:18" x14ac:dyDescent="0.35">
      <c r="C4140" t="s">
        <v>51</v>
      </c>
      <c r="D4140" t="s">
        <v>21</v>
      </c>
      <c r="E4140" t="s">
        <v>49</v>
      </c>
      <c r="F4140" t="s">
        <v>64</v>
      </c>
      <c r="G4140" s="58">
        <v>199955</v>
      </c>
      <c r="H4140" s="1" t="s">
        <v>48</v>
      </c>
      <c r="I4140" s="1" t="s">
        <v>108</v>
      </c>
      <c r="J4140" s="58">
        <v>7198380</v>
      </c>
      <c r="K4140" s="1" t="s">
        <v>112</v>
      </c>
      <c r="N4140" s="1">
        <v>1</v>
      </c>
      <c r="O4140" s="58"/>
      <c r="P4140" s="58">
        <v>47989.2</v>
      </c>
      <c r="Q4140" t="s">
        <v>107</v>
      </c>
      <c r="R4140" s="1" t="s">
        <v>158</v>
      </c>
    </row>
    <row r="4141" spans="3:18" x14ac:dyDescent="0.35">
      <c r="C4141" t="s">
        <v>51</v>
      </c>
      <c r="D4141" t="s">
        <v>21</v>
      </c>
      <c r="E4141" t="s">
        <v>45</v>
      </c>
      <c r="F4141" t="s">
        <v>46</v>
      </c>
      <c r="G4141" s="58">
        <v>26600</v>
      </c>
      <c r="H4141" s="1" t="s">
        <v>54</v>
      </c>
      <c r="I4141" s="1" t="s">
        <v>119</v>
      </c>
      <c r="J4141" s="58">
        <v>239400</v>
      </c>
      <c r="K4141" s="1" t="s">
        <v>106</v>
      </c>
      <c r="L4141" s="1" t="s">
        <v>120</v>
      </c>
      <c r="N4141" s="1">
        <v>1</v>
      </c>
      <c r="O4141" s="58"/>
      <c r="P4141" s="58">
        <v>27930</v>
      </c>
      <c r="Q4141" t="s">
        <v>110</v>
      </c>
      <c r="R4141" s="1" t="s">
        <v>158</v>
      </c>
    </row>
    <row r="4142" spans="3:18" x14ac:dyDescent="0.35">
      <c r="C4142" t="s">
        <v>51</v>
      </c>
      <c r="D4142" t="s">
        <v>21</v>
      </c>
      <c r="E4142" t="s">
        <v>45</v>
      </c>
      <c r="F4142" t="s">
        <v>46</v>
      </c>
      <c r="G4142" s="58">
        <v>11179600</v>
      </c>
      <c r="H4142" s="1" t="s">
        <v>59</v>
      </c>
      <c r="I4142" s="1" t="s">
        <v>108</v>
      </c>
      <c r="J4142" s="58">
        <v>313028800</v>
      </c>
      <c r="K4142" s="1" t="s">
        <v>106</v>
      </c>
      <c r="L4142" s="1" t="s">
        <v>120</v>
      </c>
      <c r="N4142" s="1">
        <v>1</v>
      </c>
      <c r="O4142" s="58"/>
      <c r="P4142" s="58">
        <v>7825720</v>
      </c>
      <c r="Q4142" t="s">
        <v>118</v>
      </c>
      <c r="R4142" s="1" t="s">
        <v>158</v>
      </c>
    </row>
    <row r="4143" spans="3:18" x14ac:dyDescent="0.35">
      <c r="C4143" t="s">
        <v>51</v>
      </c>
      <c r="D4143" t="s">
        <v>19</v>
      </c>
      <c r="E4143" t="s">
        <v>49</v>
      </c>
      <c r="F4143" t="s">
        <v>46</v>
      </c>
      <c r="G4143" s="58">
        <v>8461542</v>
      </c>
      <c r="H4143" s="1" t="s">
        <v>56</v>
      </c>
      <c r="I4143" s="1" t="s">
        <v>111</v>
      </c>
      <c r="J4143" s="58">
        <v>143846214</v>
      </c>
      <c r="K4143" s="1" t="s">
        <v>106</v>
      </c>
      <c r="L4143" s="1" t="s">
        <v>124</v>
      </c>
      <c r="N4143" s="1">
        <v>1</v>
      </c>
      <c r="O4143" s="58"/>
      <c r="P4143" s="58">
        <v>4315386.42</v>
      </c>
      <c r="Q4143" t="s">
        <v>113</v>
      </c>
      <c r="R4143" s="1" t="s">
        <v>158</v>
      </c>
    </row>
    <row r="4144" spans="3:18" x14ac:dyDescent="0.35">
      <c r="C4144" t="s">
        <v>51</v>
      </c>
      <c r="D4144" t="s">
        <v>20</v>
      </c>
      <c r="E4144" t="s">
        <v>49</v>
      </c>
      <c r="F4144" t="s">
        <v>64</v>
      </c>
      <c r="G4144" s="58">
        <v>12529658</v>
      </c>
      <c r="H4144" s="1" t="s">
        <v>48</v>
      </c>
      <c r="I4144" s="1" t="s">
        <v>108</v>
      </c>
      <c r="J4144" s="58">
        <v>375889740</v>
      </c>
      <c r="K4144" s="1" t="s">
        <v>106</v>
      </c>
      <c r="L4144" s="1" t="s">
        <v>124</v>
      </c>
      <c r="M4144" s="1" t="s">
        <v>123</v>
      </c>
      <c r="N4144" s="1">
        <v>1</v>
      </c>
      <c r="O4144" s="58"/>
      <c r="P4144" s="58">
        <v>8018981.1200000001</v>
      </c>
      <c r="Q4144" t="s">
        <v>118</v>
      </c>
      <c r="R4144" s="1" t="s">
        <v>48</v>
      </c>
    </row>
    <row r="4145" spans="3:18" x14ac:dyDescent="0.35">
      <c r="C4145" t="s">
        <v>51</v>
      </c>
      <c r="D4145" t="s">
        <v>19</v>
      </c>
      <c r="E4145" t="s">
        <v>49</v>
      </c>
      <c r="F4145" t="s">
        <v>46</v>
      </c>
      <c r="G4145" s="58">
        <v>752678</v>
      </c>
      <c r="H4145" s="1" t="s">
        <v>48</v>
      </c>
      <c r="I4145" s="1" t="s">
        <v>119</v>
      </c>
      <c r="J4145" s="58">
        <v>6774102</v>
      </c>
      <c r="K4145" s="1" t="s">
        <v>112</v>
      </c>
      <c r="N4145" s="1">
        <v>1</v>
      </c>
      <c r="O4145" s="58"/>
      <c r="P4145" s="58">
        <v>180642.72</v>
      </c>
      <c r="Q4145" t="s">
        <v>107</v>
      </c>
      <c r="R4145" s="1" t="s">
        <v>48</v>
      </c>
    </row>
    <row r="4146" spans="3:18" x14ac:dyDescent="0.35">
      <c r="C4146" t="s">
        <v>51</v>
      </c>
      <c r="D4146" t="s">
        <v>24</v>
      </c>
      <c r="E4146" t="s">
        <v>49</v>
      </c>
      <c r="F4146" t="s">
        <v>46</v>
      </c>
      <c r="G4146" s="58">
        <v>198109</v>
      </c>
      <c r="H4146" s="1" t="s">
        <v>48</v>
      </c>
      <c r="I4146" s="1" t="s">
        <v>108</v>
      </c>
      <c r="J4146" s="58">
        <v>7726251</v>
      </c>
      <c r="K4146" s="1" t="s">
        <v>106</v>
      </c>
      <c r="L4146" s="1" t="s">
        <v>114</v>
      </c>
      <c r="M4146" s="1" t="s">
        <v>121</v>
      </c>
      <c r="N4146" s="1">
        <v>1</v>
      </c>
      <c r="O4146" s="58"/>
      <c r="P4146" s="58">
        <v>168392.65</v>
      </c>
      <c r="Q4146" t="s">
        <v>127</v>
      </c>
      <c r="R4146" s="1" t="s">
        <v>48</v>
      </c>
    </row>
    <row r="4147" spans="3:18" x14ac:dyDescent="0.35">
      <c r="C4147" t="s">
        <v>53</v>
      </c>
      <c r="D4147" t="s">
        <v>23</v>
      </c>
      <c r="E4147" t="s">
        <v>45</v>
      </c>
      <c r="F4147" t="s">
        <v>46</v>
      </c>
      <c r="G4147" s="58">
        <v>6186952</v>
      </c>
      <c r="H4147" s="1" t="s">
        <v>59</v>
      </c>
      <c r="I4147" s="1" t="s">
        <v>105</v>
      </c>
      <c r="J4147" s="58">
        <v>24747808</v>
      </c>
      <c r="K4147" s="1" t="s">
        <v>106</v>
      </c>
      <c r="L4147" s="1" t="s">
        <v>120</v>
      </c>
      <c r="N4147" s="1">
        <v>1</v>
      </c>
      <c r="O4147" s="58"/>
      <c r="P4147" s="58">
        <v>1856085.6</v>
      </c>
      <c r="Q4147" t="s">
        <v>107</v>
      </c>
      <c r="R4147" s="1" t="s">
        <v>158</v>
      </c>
    </row>
    <row r="4148" spans="3:18" x14ac:dyDescent="0.35">
      <c r="C4148" t="s">
        <v>51</v>
      </c>
      <c r="D4148" t="s">
        <v>24</v>
      </c>
      <c r="E4148" t="s">
        <v>62</v>
      </c>
      <c r="F4148" t="s">
        <v>46</v>
      </c>
      <c r="G4148" s="58">
        <v>363805</v>
      </c>
      <c r="H4148" s="1" t="s">
        <v>48</v>
      </c>
      <c r="I4148" s="1" t="s">
        <v>108</v>
      </c>
      <c r="J4148" s="58">
        <v>12733175</v>
      </c>
      <c r="K4148" s="1" t="s">
        <v>106</v>
      </c>
      <c r="L4148" s="1" t="s">
        <v>109</v>
      </c>
      <c r="M4148" s="1" t="s">
        <v>121</v>
      </c>
      <c r="N4148" s="1">
        <v>1</v>
      </c>
      <c r="O4148" s="58"/>
      <c r="P4148" s="58">
        <v>189178.6</v>
      </c>
      <c r="Q4148" t="s">
        <v>113</v>
      </c>
      <c r="R4148" s="1" t="s">
        <v>48</v>
      </c>
    </row>
    <row r="4149" spans="3:18" x14ac:dyDescent="0.35">
      <c r="C4149" t="s">
        <v>51</v>
      </c>
      <c r="D4149" t="s">
        <v>22</v>
      </c>
      <c r="E4149" t="s">
        <v>49</v>
      </c>
      <c r="F4149" t="s">
        <v>46</v>
      </c>
      <c r="G4149" s="58">
        <v>764880</v>
      </c>
      <c r="H4149" s="1" t="s">
        <v>59</v>
      </c>
      <c r="I4149" s="1" t="s">
        <v>119</v>
      </c>
      <c r="J4149" s="58">
        <v>6119040</v>
      </c>
      <c r="K4149" s="1" t="s">
        <v>106</v>
      </c>
      <c r="L4149" s="1" t="s">
        <v>124</v>
      </c>
      <c r="N4149" s="1">
        <v>1</v>
      </c>
      <c r="O4149" s="58"/>
      <c r="P4149" s="58">
        <v>344196</v>
      </c>
      <c r="Q4149" t="s">
        <v>113</v>
      </c>
      <c r="R4149" s="1" t="s">
        <v>158</v>
      </c>
    </row>
    <row r="4150" spans="3:18" x14ac:dyDescent="0.35">
      <c r="C4150" t="s">
        <v>51</v>
      </c>
      <c r="D4150" t="s">
        <v>24</v>
      </c>
      <c r="E4150" t="s">
        <v>45</v>
      </c>
      <c r="F4150" t="s">
        <v>46</v>
      </c>
      <c r="G4150" s="58">
        <v>381048</v>
      </c>
      <c r="H4150" s="1" t="s">
        <v>48</v>
      </c>
      <c r="I4150" s="1" t="s">
        <v>108</v>
      </c>
      <c r="J4150" s="58">
        <v>11431440</v>
      </c>
      <c r="K4150" s="1" t="s">
        <v>106</v>
      </c>
      <c r="L4150" s="1" t="s">
        <v>124</v>
      </c>
      <c r="M4150" s="1" t="s">
        <v>121</v>
      </c>
      <c r="N4150" s="1">
        <v>1</v>
      </c>
      <c r="O4150" s="58"/>
      <c r="P4150" s="58">
        <v>278165.03999999998</v>
      </c>
      <c r="Q4150" t="s">
        <v>118</v>
      </c>
      <c r="R4150" s="1" t="s">
        <v>158</v>
      </c>
    </row>
    <row r="4151" spans="3:18" x14ac:dyDescent="0.35">
      <c r="C4151" t="s">
        <v>51</v>
      </c>
      <c r="D4151" t="s">
        <v>19</v>
      </c>
      <c r="E4151" t="s">
        <v>49</v>
      </c>
      <c r="F4151" t="s">
        <v>46</v>
      </c>
      <c r="G4151" s="58">
        <v>1073702</v>
      </c>
      <c r="H4151" s="1" t="s">
        <v>48</v>
      </c>
      <c r="I4151" s="1" t="s">
        <v>108</v>
      </c>
      <c r="J4151" s="58">
        <v>36505868</v>
      </c>
      <c r="K4151" s="1" t="s">
        <v>106</v>
      </c>
      <c r="L4151" s="1" t="s">
        <v>120</v>
      </c>
      <c r="M4151" s="1" t="s">
        <v>125</v>
      </c>
      <c r="N4151" s="1">
        <v>1</v>
      </c>
      <c r="O4151" s="58"/>
      <c r="P4151" s="58">
        <v>751591.4</v>
      </c>
      <c r="Q4151" t="s">
        <v>118</v>
      </c>
      <c r="R4151" s="1" t="s">
        <v>158</v>
      </c>
    </row>
    <row r="4152" spans="3:18" x14ac:dyDescent="0.35">
      <c r="C4152" t="s">
        <v>53</v>
      </c>
      <c r="D4152" t="s">
        <v>25</v>
      </c>
      <c r="E4152" t="s">
        <v>55</v>
      </c>
      <c r="F4152" t="s">
        <v>46</v>
      </c>
      <c r="G4152" s="58">
        <v>42916</v>
      </c>
      <c r="H4152" s="1" t="s">
        <v>48</v>
      </c>
      <c r="I4152" s="1" t="s">
        <v>119</v>
      </c>
      <c r="J4152" s="58">
        <v>343328</v>
      </c>
      <c r="K4152" s="1" t="s">
        <v>106</v>
      </c>
      <c r="L4152" s="1" t="s">
        <v>114</v>
      </c>
      <c r="M4152" s="1" t="s">
        <v>117</v>
      </c>
      <c r="N4152" s="1">
        <v>1</v>
      </c>
      <c r="O4152" s="58"/>
      <c r="P4152" s="58">
        <v>15449.76</v>
      </c>
      <c r="Q4152" t="s">
        <v>107</v>
      </c>
      <c r="R4152" s="1" t="s">
        <v>158</v>
      </c>
    </row>
    <row r="4153" spans="3:18" x14ac:dyDescent="0.35">
      <c r="C4153" t="s">
        <v>53</v>
      </c>
      <c r="D4153" t="s">
        <v>60</v>
      </c>
      <c r="E4153" t="s">
        <v>60</v>
      </c>
      <c r="F4153" t="s">
        <v>46</v>
      </c>
      <c r="G4153" s="58">
        <v>0</v>
      </c>
      <c r="H4153" s="1" t="s">
        <v>61</v>
      </c>
      <c r="I4153" s="1" t="s">
        <v>111</v>
      </c>
      <c r="J4153" s="58">
        <v>0</v>
      </c>
      <c r="K4153" s="1" t="s">
        <v>106</v>
      </c>
      <c r="N4153" s="1">
        <v>1</v>
      </c>
      <c r="O4153" s="58"/>
      <c r="P4153" s="58">
        <v>0</v>
      </c>
      <c r="Q4153" t="s">
        <v>110</v>
      </c>
    </row>
    <row r="4154" spans="3:18" x14ac:dyDescent="0.35">
      <c r="C4154" t="s">
        <v>51</v>
      </c>
      <c r="D4154" t="s">
        <v>24</v>
      </c>
      <c r="E4154" t="s">
        <v>45</v>
      </c>
      <c r="F4154" t="s">
        <v>64</v>
      </c>
      <c r="G4154" s="58">
        <v>34458</v>
      </c>
      <c r="H4154" s="1" t="s">
        <v>48</v>
      </c>
      <c r="I4154" s="1" t="s">
        <v>105</v>
      </c>
      <c r="J4154" s="58">
        <v>172290</v>
      </c>
      <c r="K4154" s="1" t="s">
        <v>106</v>
      </c>
      <c r="L4154" s="1" t="s">
        <v>120</v>
      </c>
      <c r="M4154" s="1" t="s">
        <v>121</v>
      </c>
      <c r="N4154" s="1">
        <v>1</v>
      </c>
      <c r="O4154" s="58"/>
      <c r="P4154" s="58">
        <v>6202.44</v>
      </c>
      <c r="Q4154" t="s">
        <v>107</v>
      </c>
      <c r="R4154" s="1" t="s">
        <v>158</v>
      </c>
    </row>
    <row r="4155" spans="3:18" x14ac:dyDescent="0.35">
      <c r="C4155" t="s">
        <v>51</v>
      </c>
      <c r="D4155" t="s">
        <v>24</v>
      </c>
      <c r="E4155" t="s">
        <v>45</v>
      </c>
      <c r="F4155" t="s">
        <v>46</v>
      </c>
      <c r="G4155" s="58">
        <v>533703</v>
      </c>
      <c r="H4155" s="1" t="s">
        <v>54</v>
      </c>
      <c r="I4155" s="1" t="s">
        <v>119</v>
      </c>
      <c r="J4155" s="58">
        <v>3735921</v>
      </c>
      <c r="K4155" s="1" t="s">
        <v>106</v>
      </c>
      <c r="L4155" s="1" t="s">
        <v>120</v>
      </c>
      <c r="N4155" s="1">
        <v>1</v>
      </c>
      <c r="O4155" s="58"/>
      <c r="P4155" s="58">
        <v>90729.51</v>
      </c>
      <c r="Q4155" t="s">
        <v>107</v>
      </c>
      <c r="R4155" s="1" t="s">
        <v>158</v>
      </c>
    </row>
    <row r="4156" spans="3:18" x14ac:dyDescent="0.35">
      <c r="C4156" t="s">
        <v>53</v>
      </c>
      <c r="D4156" t="s">
        <v>24</v>
      </c>
      <c r="E4156" t="s">
        <v>45</v>
      </c>
      <c r="F4156" t="s">
        <v>46</v>
      </c>
      <c r="G4156" s="58">
        <v>18068</v>
      </c>
      <c r="H4156" s="1" t="s">
        <v>48</v>
      </c>
      <c r="I4156" s="1" t="s">
        <v>108</v>
      </c>
      <c r="J4156" s="58">
        <v>433632</v>
      </c>
      <c r="K4156" s="1" t="s">
        <v>106</v>
      </c>
      <c r="L4156" s="1" t="s">
        <v>120</v>
      </c>
      <c r="M4156" s="1" t="s">
        <v>121</v>
      </c>
      <c r="N4156" s="1">
        <v>1</v>
      </c>
      <c r="O4156" s="58"/>
      <c r="P4156" s="58">
        <v>8311.2800000000007</v>
      </c>
      <c r="Q4156" t="s">
        <v>113</v>
      </c>
      <c r="R4156" s="1" t="s">
        <v>158</v>
      </c>
    </row>
    <row r="4157" spans="3:18" x14ac:dyDescent="0.35">
      <c r="C4157" t="s">
        <v>51</v>
      </c>
      <c r="D4157" t="s">
        <v>24</v>
      </c>
      <c r="E4157" t="s">
        <v>55</v>
      </c>
      <c r="F4157" t="s">
        <v>46</v>
      </c>
      <c r="G4157" s="58">
        <v>6075172</v>
      </c>
      <c r="H4157" s="1" t="s">
        <v>48</v>
      </c>
      <c r="I4157" s="1" t="s">
        <v>119</v>
      </c>
      <c r="J4157" s="58">
        <v>42526204</v>
      </c>
      <c r="K4157" s="1" t="s">
        <v>106</v>
      </c>
      <c r="L4157" s="1" t="s">
        <v>114</v>
      </c>
      <c r="M4157" s="1" t="s">
        <v>121</v>
      </c>
      <c r="N4157" s="1">
        <v>1</v>
      </c>
      <c r="O4157" s="58"/>
      <c r="P4157" s="58">
        <v>1397289.56</v>
      </c>
      <c r="Q4157" t="s">
        <v>107</v>
      </c>
      <c r="R4157" s="1" t="s">
        <v>158</v>
      </c>
    </row>
    <row r="4158" spans="3:18" x14ac:dyDescent="0.35">
      <c r="C4158" t="s">
        <v>51</v>
      </c>
      <c r="D4158" t="s">
        <v>92</v>
      </c>
      <c r="E4158" t="s">
        <v>49</v>
      </c>
      <c r="F4158" t="s">
        <v>46</v>
      </c>
      <c r="G4158" s="58">
        <v>23392</v>
      </c>
      <c r="H4158" s="1" t="s">
        <v>48</v>
      </c>
      <c r="I4158" s="1" t="s">
        <v>105</v>
      </c>
      <c r="J4158" s="58">
        <v>93568</v>
      </c>
      <c r="K4158" s="1" t="s">
        <v>106</v>
      </c>
      <c r="L4158" s="1" t="s">
        <v>124</v>
      </c>
      <c r="M4158" s="1" t="s">
        <v>123</v>
      </c>
      <c r="N4158" s="1">
        <v>1</v>
      </c>
      <c r="O4158" s="58"/>
      <c r="P4158" s="58">
        <v>16140.48</v>
      </c>
      <c r="Q4158" t="s">
        <v>118</v>
      </c>
      <c r="R4158" s="1" t="s">
        <v>158</v>
      </c>
    </row>
    <row r="4159" spans="3:18" x14ac:dyDescent="0.35">
      <c r="C4159" t="s">
        <v>51</v>
      </c>
      <c r="D4159" t="s">
        <v>22</v>
      </c>
      <c r="E4159" t="s">
        <v>45</v>
      </c>
      <c r="F4159" t="s">
        <v>46</v>
      </c>
      <c r="G4159" s="58">
        <v>25992018</v>
      </c>
      <c r="H4159" s="1" t="s">
        <v>47</v>
      </c>
      <c r="I4159" s="1" t="s">
        <v>108</v>
      </c>
      <c r="J4159" s="58">
        <v>779760540</v>
      </c>
      <c r="K4159" s="1" t="s">
        <v>112</v>
      </c>
      <c r="N4159" s="1">
        <v>1</v>
      </c>
      <c r="O4159" s="58"/>
      <c r="P4159" s="58">
        <v>5198403.5999999996</v>
      </c>
      <c r="Q4159" t="s">
        <v>107</v>
      </c>
      <c r="R4159" s="1" t="s">
        <v>158</v>
      </c>
    </row>
    <row r="4160" spans="3:18" x14ac:dyDescent="0.35">
      <c r="C4160" t="s">
        <v>51</v>
      </c>
      <c r="D4160" t="s">
        <v>60</v>
      </c>
      <c r="E4160" t="s">
        <v>60</v>
      </c>
      <c r="F4160" t="s">
        <v>46</v>
      </c>
      <c r="G4160" s="58">
        <v>365124</v>
      </c>
      <c r="H4160" s="1" t="s">
        <v>90</v>
      </c>
      <c r="I4160" s="1" t="s">
        <v>108</v>
      </c>
      <c r="J4160" s="58">
        <v>9858348</v>
      </c>
      <c r="K4160" s="1" t="s">
        <v>106</v>
      </c>
      <c r="N4160" s="1">
        <v>1</v>
      </c>
      <c r="O4160" s="58"/>
      <c r="P4160" s="58">
        <v>273843</v>
      </c>
      <c r="Q4160" t="s">
        <v>118</v>
      </c>
      <c r="R4160" s="1" t="s">
        <v>90</v>
      </c>
    </row>
    <row r="4161" spans="3:18" x14ac:dyDescent="0.35">
      <c r="C4161" t="s">
        <v>51</v>
      </c>
      <c r="D4161" t="s">
        <v>60</v>
      </c>
      <c r="E4161" t="s">
        <v>60</v>
      </c>
      <c r="F4161" t="s">
        <v>46</v>
      </c>
      <c r="G4161" s="58">
        <v>53598</v>
      </c>
      <c r="H4161" s="1" t="s">
        <v>61</v>
      </c>
      <c r="I4161" s="1" t="s">
        <v>108</v>
      </c>
      <c r="J4161" s="58">
        <v>1232754</v>
      </c>
      <c r="K4161" s="1" t="s">
        <v>106</v>
      </c>
      <c r="N4161" s="1">
        <v>1</v>
      </c>
      <c r="O4161" s="58"/>
      <c r="P4161" s="58">
        <v>3751.86</v>
      </c>
      <c r="Q4161" t="s">
        <v>107</v>
      </c>
    </row>
    <row r="4162" spans="3:18" x14ac:dyDescent="0.35">
      <c r="C4162" t="s">
        <v>51</v>
      </c>
      <c r="D4162" t="s">
        <v>21</v>
      </c>
      <c r="E4162" t="s">
        <v>45</v>
      </c>
      <c r="F4162" t="s">
        <v>46</v>
      </c>
      <c r="G4162" s="58">
        <v>10636071</v>
      </c>
      <c r="H4162" s="1" t="s">
        <v>48</v>
      </c>
      <c r="I4162" s="1" t="s">
        <v>108</v>
      </c>
      <c r="J4162" s="58">
        <v>319082130</v>
      </c>
      <c r="K4162" s="1" t="s">
        <v>106</v>
      </c>
      <c r="L4162" s="1" t="s">
        <v>124</v>
      </c>
      <c r="M4162" s="1" t="s">
        <v>126</v>
      </c>
      <c r="N4162" s="1">
        <v>1</v>
      </c>
      <c r="O4162" s="58"/>
      <c r="P4162" s="58">
        <v>5424396.21</v>
      </c>
      <c r="Q4162" t="s">
        <v>113</v>
      </c>
      <c r="R4162" s="1" t="s">
        <v>48</v>
      </c>
    </row>
    <row r="4163" spans="3:18" x14ac:dyDescent="0.35">
      <c r="C4163" t="s">
        <v>51</v>
      </c>
      <c r="D4163" t="s">
        <v>20</v>
      </c>
      <c r="E4163" t="s">
        <v>49</v>
      </c>
      <c r="F4163" t="s">
        <v>46</v>
      </c>
      <c r="G4163" s="58">
        <v>12700552</v>
      </c>
      <c r="H4163" s="1" t="s">
        <v>59</v>
      </c>
      <c r="I4163" s="1" t="s">
        <v>108</v>
      </c>
      <c r="J4163" s="58">
        <v>393717112</v>
      </c>
      <c r="K4163" s="1" t="s">
        <v>106</v>
      </c>
      <c r="L4163" s="1" t="s">
        <v>124</v>
      </c>
      <c r="N4163" s="1">
        <v>1</v>
      </c>
      <c r="O4163" s="58"/>
      <c r="P4163" s="58">
        <v>10668463.68</v>
      </c>
      <c r="Q4163" t="s">
        <v>127</v>
      </c>
      <c r="R4163" s="1" t="s">
        <v>158</v>
      </c>
    </row>
    <row r="4164" spans="3:18" x14ac:dyDescent="0.35">
      <c r="C4164" t="s">
        <v>51</v>
      </c>
      <c r="D4164" t="s">
        <v>23</v>
      </c>
      <c r="E4164" t="s">
        <v>45</v>
      </c>
      <c r="F4164" t="s">
        <v>64</v>
      </c>
      <c r="G4164" s="58">
        <v>613846</v>
      </c>
      <c r="H4164" s="1" t="s">
        <v>59</v>
      </c>
      <c r="I4164" s="1" t="s">
        <v>108</v>
      </c>
      <c r="J4164" s="58">
        <v>17187688</v>
      </c>
      <c r="K4164" s="1" t="s">
        <v>112</v>
      </c>
      <c r="N4164" s="1">
        <v>1</v>
      </c>
      <c r="O4164" s="58"/>
      <c r="P4164" s="58">
        <v>411276.82</v>
      </c>
      <c r="Q4164" t="s">
        <v>118</v>
      </c>
      <c r="R4164" s="1" t="s">
        <v>158</v>
      </c>
    </row>
    <row r="4165" spans="3:18" x14ac:dyDescent="0.35">
      <c r="C4165" t="s">
        <v>51</v>
      </c>
      <c r="D4165" t="s">
        <v>21</v>
      </c>
      <c r="E4165" t="s">
        <v>45</v>
      </c>
      <c r="F4165" t="s">
        <v>46</v>
      </c>
      <c r="G4165" s="58">
        <v>5107137</v>
      </c>
      <c r="H4165" s="1" t="s">
        <v>54</v>
      </c>
      <c r="I4165" s="1" t="s">
        <v>119</v>
      </c>
      <c r="J4165" s="58">
        <v>35749959</v>
      </c>
      <c r="K4165" s="1" t="s">
        <v>106</v>
      </c>
      <c r="L4165" s="1" t="s">
        <v>120</v>
      </c>
      <c r="N4165" s="1">
        <v>1</v>
      </c>
      <c r="O4165" s="58"/>
      <c r="P4165" s="58">
        <v>1123570.1399999999</v>
      </c>
      <c r="Q4165" t="s">
        <v>107</v>
      </c>
      <c r="R4165" s="1" t="s">
        <v>158</v>
      </c>
    </row>
    <row r="4166" spans="3:18" x14ac:dyDescent="0.35">
      <c r="C4166" t="s">
        <v>51</v>
      </c>
      <c r="D4166" t="s">
        <v>24</v>
      </c>
      <c r="E4166" t="s">
        <v>50</v>
      </c>
      <c r="F4166" t="s">
        <v>46</v>
      </c>
      <c r="G4166" s="58">
        <v>35114</v>
      </c>
      <c r="H4166" s="1" t="s">
        <v>48</v>
      </c>
      <c r="I4166" s="1" t="s">
        <v>119</v>
      </c>
      <c r="J4166" s="58">
        <v>351140</v>
      </c>
      <c r="K4166" s="1" t="s">
        <v>106</v>
      </c>
      <c r="L4166" s="1" t="s">
        <v>109</v>
      </c>
      <c r="M4166" s="1" t="s">
        <v>121</v>
      </c>
      <c r="N4166" s="1">
        <v>1</v>
      </c>
      <c r="O4166" s="58"/>
      <c r="P4166" s="58">
        <v>21419.54</v>
      </c>
      <c r="Q4166" t="s">
        <v>118</v>
      </c>
      <c r="R4166" s="1" t="s">
        <v>48</v>
      </c>
    </row>
    <row r="4167" spans="3:18" x14ac:dyDescent="0.35">
      <c r="C4167" t="s">
        <v>51</v>
      </c>
      <c r="D4167" t="s">
        <v>25</v>
      </c>
      <c r="E4167" t="s">
        <v>45</v>
      </c>
      <c r="F4167" t="s">
        <v>46</v>
      </c>
      <c r="G4167" s="58">
        <v>151050</v>
      </c>
      <c r="H4167" s="1" t="s">
        <v>47</v>
      </c>
      <c r="I4167" s="1" t="s">
        <v>105</v>
      </c>
      <c r="J4167" s="58">
        <v>453150</v>
      </c>
      <c r="K4167" s="1" t="s">
        <v>106</v>
      </c>
      <c r="L4167" s="1" t="s">
        <v>124</v>
      </c>
      <c r="N4167" s="1">
        <v>1</v>
      </c>
      <c r="O4167" s="58"/>
      <c r="P4167" s="58">
        <v>18126</v>
      </c>
      <c r="Q4167" t="s">
        <v>107</v>
      </c>
      <c r="R4167" s="1" t="s">
        <v>158</v>
      </c>
    </row>
    <row r="4168" spans="3:18" x14ac:dyDescent="0.35">
      <c r="C4168" t="s">
        <v>53</v>
      </c>
      <c r="D4168" t="s">
        <v>92</v>
      </c>
      <c r="E4168" t="s">
        <v>45</v>
      </c>
      <c r="F4168" t="s">
        <v>46</v>
      </c>
      <c r="G4168" s="58">
        <v>8420056</v>
      </c>
      <c r="H4168" s="1" t="s">
        <v>59</v>
      </c>
      <c r="I4168" s="1" t="s">
        <v>111</v>
      </c>
      <c r="J4168" s="58">
        <v>101040672</v>
      </c>
      <c r="K4168" s="1" t="s">
        <v>106</v>
      </c>
      <c r="L4168" s="1" t="s">
        <v>120</v>
      </c>
      <c r="N4168" s="1">
        <v>1</v>
      </c>
      <c r="O4168" s="58"/>
      <c r="P4168" s="58">
        <v>5894039.2000000002</v>
      </c>
      <c r="Q4168" t="s">
        <v>118</v>
      </c>
      <c r="R4168" s="1" t="s">
        <v>158</v>
      </c>
    </row>
    <row r="4169" spans="3:18" x14ac:dyDescent="0.35">
      <c r="C4169" t="s">
        <v>53</v>
      </c>
      <c r="D4169" t="s">
        <v>22</v>
      </c>
      <c r="E4169" t="s">
        <v>45</v>
      </c>
      <c r="F4169" t="s">
        <v>46</v>
      </c>
      <c r="G4169" s="58">
        <v>590594</v>
      </c>
      <c r="H4169" s="1" t="s">
        <v>48</v>
      </c>
      <c r="I4169" s="1" t="s">
        <v>119</v>
      </c>
      <c r="J4169" s="58">
        <v>4134158</v>
      </c>
      <c r="K4169" s="1" t="s">
        <v>106</v>
      </c>
      <c r="L4169" s="1" t="s">
        <v>120</v>
      </c>
      <c r="M4169" s="1" t="s">
        <v>115</v>
      </c>
      <c r="N4169" s="1">
        <v>1</v>
      </c>
      <c r="O4169" s="58"/>
      <c r="P4169" s="58">
        <v>289391.06</v>
      </c>
      <c r="Q4169" t="s">
        <v>113</v>
      </c>
      <c r="R4169" s="1" t="s">
        <v>158</v>
      </c>
    </row>
    <row r="4170" spans="3:18" x14ac:dyDescent="0.35">
      <c r="C4170" t="s">
        <v>51</v>
      </c>
      <c r="D4170" t="s">
        <v>23</v>
      </c>
      <c r="E4170" t="s">
        <v>50</v>
      </c>
      <c r="F4170" t="s">
        <v>46</v>
      </c>
      <c r="G4170" s="58">
        <v>733446</v>
      </c>
      <c r="H4170" s="1" t="s">
        <v>48</v>
      </c>
      <c r="I4170" s="1" t="s">
        <v>108</v>
      </c>
      <c r="J4170" s="58">
        <v>23470272</v>
      </c>
      <c r="K4170" s="1" t="s">
        <v>106</v>
      </c>
      <c r="L4170" s="1" t="s">
        <v>120</v>
      </c>
      <c r="M4170" s="1" t="s">
        <v>125</v>
      </c>
      <c r="N4170" s="1">
        <v>1</v>
      </c>
      <c r="O4170" s="58"/>
      <c r="P4170" s="58">
        <v>381391.92</v>
      </c>
      <c r="Q4170" t="s">
        <v>113</v>
      </c>
      <c r="R4170" s="1" t="s">
        <v>48</v>
      </c>
    </row>
    <row r="4171" spans="3:18" x14ac:dyDescent="0.35">
      <c r="C4171" t="s">
        <v>51</v>
      </c>
      <c r="D4171" t="s">
        <v>20</v>
      </c>
      <c r="E4171" t="s">
        <v>49</v>
      </c>
      <c r="F4171" t="s">
        <v>46</v>
      </c>
      <c r="G4171" s="58">
        <v>9453</v>
      </c>
      <c r="H4171" s="1" t="s">
        <v>58</v>
      </c>
      <c r="I4171" s="1" t="s">
        <v>105</v>
      </c>
      <c r="J4171" s="58">
        <v>0</v>
      </c>
      <c r="K4171" s="1" t="s">
        <v>106</v>
      </c>
      <c r="L4171" s="1" t="s">
        <v>124</v>
      </c>
      <c r="N4171" s="1">
        <v>1</v>
      </c>
      <c r="O4171" s="58"/>
      <c r="P4171" s="58">
        <v>189.06</v>
      </c>
      <c r="Q4171" t="s">
        <v>107</v>
      </c>
      <c r="R4171" s="1" t="s">
        <v>158</v>
      </c>
    </row>
    <row r="4172" spans="3:18" x14ac:dyDescent="0.35">
      <c r="C4172" t="s">
        <v>51</v>
      </c>
      <c r="D4172" t="s">
        <v>19</v>
      </c>
      <c r="E4172" t="s">
        <v>45</v>
      </c>
      <c r="F4172" t="s">
        <v>46</v>
      </c>
      <c r="G4172" s="58">
        <v>48255161</v>
      </c>
      <c r="H4172" s="1" t="s">
        <v>48</v>
      </c>
      <c r="I4172" s="1" t="s">
        <v>105</v>
      </c>
      <c r="J4172" s="58">
        <v>96510322</v>
      </c>
      <c r="K4172" s="1" t="s">
        <v>106</v>
      </c>
      <c r="L4172" s="1" t="s">
        <v>120</v>
      </c>
      <c r="M4172" s="1" t="s">
        <v>122</v>
      </c>
      <c r="N4172" s="1">
        <v>1</v>
      </c>
      <c r="O4172" s="58"/>
      <c r="P4172" s="58">
        <v>10133583.810000001</v>
      </c>
      <c r="Q4172" t="s">
        <v>107</v>
      </c>
      <c r="R4172" s="1" t="s">
        <v>158</v>
      </c>
    </row>
    <row r="4173" spans="3:18" x14ac:dyDescent="0.35">
      <c r="C4173" t="s">
        <v>51</v>
      </c>
      <c r="D4173" t="s">
        <v>24</v>
      </c>
      <c r="E4173" t="s">
        <v>62</v>
      </c>
      <c r="F4173" t="s">
        <v>46</v>
      </c>
      <c r="G4173" s="58">
        <v>239537</v>
      </c>
      <c r="H4173" s="1" t="s">
        <v>48</v>
      </c>
      <c r="I4173" s="1" t="s">
        <v>111</v>
      </c>
      <c r="J4173" s="58">
        <v>3593055</v>
      </c>
      <c r="K4173" s="1" t="s">
        <v>106</v>
      </c>
      <c r="L4173" s="1" t="s">
        <v>120</v>
      </c>
      <c r="M4173" s="1" t="s">
        <v>121</v>
      </c>
      <c r="N4173" s="1">
        <v>1</v>
      </c>
      <c r="O4173" s="58"/>
      <c r="P4173" s="58">
        <v>74256.47</v>
      </c>
      <c r="Q4173" t="s">
        <v>107</v>
      </c>
      <c r="R4173" s="1" t="s">
        <v>48</v>
      </c>
    </row>
    <row r="4174" spans="3:18" x14ac:dyDescent="0.35">
      <c r="C4174" t="s">
        <v>53</v>
      </c>
      <c r="D4174" t="s">
        <v>19</v>
      </c>
      <c r="E4174" t="s">
        <v>49</v>
      </c>
      <c r="F4174" t="s">
        <v>46</v>
      </c>
      <c r="G4174" s="58">
        <v>990414</v>
      </c>
      <c r="H4174" s="1" t="s">
        <v>54</v>
      </c>
      <c r="I4174" s="1" t="s">
        <v>105</v>
      </c>
      <c r="J4174" s="58">
        <v>1980828</v>
      </c>
      <c r="K4174" s="1" t="s">
        <v>106</v>
      </c>
      <c r="L4174" s="1" t="s">
        <v>124</v>
      </c>
      <c r="N4174" s="1">
        <v>1</v>
      </c>
      <c r="O4174" s="58"/>
      <c r="P4174" s="58">
        <v>89137.26</v>
      </c>
      <c r="Q4174" t="s">
        <v>107</v>
      </c>
      <c r="R4174" s="1" t="s">
        <v>158</v>
      </c>
    </row>
    <row r="4175" spans="3:18" x14ac:dyDescent="0.35">
      <c r="C4175" t="s">
        <v>51</v>
      </c>
      <c r="D4175" t="s">
        <v>21</v>
      </c>
      <c r="E4175" t="s">
        <v>45</v>
      </c>
      <c r="F4175" t="s">
        <v>46</v>
      </c>
      <c r="G4175" s="58">
        <v>4266744</v>
      </c>
      <c r="H4175" s="1" t="s">
        <v>48</v>
      </c>
      <c r="I4175" s="1" t="s">
        <v>108</v>
      </c>
      <c r="J4175" s="58">
        <v>123735576</v>
      </c>
      <c r="K4175" s="1" t="s">
        <v>106</v>
      </c>
      <c r="L4175" s="1" t="s">
        <v>124</v>
      </c>
      <c r="M4175" s="1" t="s">
        <v>126</v>
      </c>
      <c r="N4175" s="1">
        <v>1</v>
      </c>
      <c r="O4175" s="58"/>
      <c r="P4175" s="58">
        <v>1194688.32</v>
      </c>
      <c r="Q4175" t="s">
        <v>107</v>
      </c>
      <c r="R4175" s="1" t="s">
        <v>48</v>
      </c>
    </row>
    <row r="4176" spans="3:18" x14ac:dyDescent="0.35">
      <c r="C4176" t="s">
        <v>53</v>
      </c>
      <c r="D4176" t="s">
        <v>20</v>
      </c>
      <c r="E4176" t="s">
        <v>45</v>
      </c>
      <c r="F4176" t="s">
        <v>46</v>
      </c>
      <c r="G4176" s="58">
        <v>28507</v>
      </c>
      <c r="H4176" s="1" t="s">
        <v>54</v>
      </c>
      <c r="I4176" s="1" t="s">
        <v>105</v>
      </c>
      <c r="J4176" s="58"/>
      <c r="K4176" s="1" t="s">
        <v>106</v>
      </c>
      <c r="L4176" s="1" t="s">
        <v>120</v>
      </c>
      <c r="N4176" s="1">
        <v>0</v>
      </c>
      <c r="O4176" s="58"/>
      <c r="P4176" s="58">
        <v>0</v>
      </c>
      <c r="Q4176" t="s">
        <v>107</v>
      </c>
      <c r="R4176" s="1" t="s">
        <v>158</v>
      </c>
    </row>
    <row r="4177" spans="3:18" x14ac:dyDescent="0.35">
      <c r="C4177" t="s">
        <v>51</v>
      </c>
      <c r="D4177" t="s">
        <v>22</v>
      </c>
      <c r="E4177" t="s">
        <v>49</v>
      </c>
      <c r="F4177" t="s">
        <v>46</v>
      </c>
      <c r="G4177" s="58">
        <v>118502</v>
      </c>
      <c r="H4177" s="1" t="s">
        <v>47</v>
      </c>
      <c r="I4177" s="1" t="s">
        <v>119</v>
      </c>
      <c r="J4177" s="58">
        <v>1185020</v>
      </c>
      <c r="K4177" s="1" t="s">
        <v>112</v>
      </c>
      <c r="N4177" s="1">
        <v>1</v>
      </c>
      <c r="O4177" s="58"/>
      <c r="P4177" s="58">
        <v>22515.38</v>
      </c>
      <c r="Q4177" t="s">
        <v>107</v>
      </c>
      <c r="R4177" s="1" t="s">
        <v>158</v>
      </c>
    </row>
    <row r="4178" spans="3:18" x14ac:dyDescent="0.35">
      <c r="C4178" t="s">
        <v>51</v>
      </c>
      <c r="D4178" t="s">
        <v>21</v>
      </c>
      <c r="E4178" t="s">
        <v>45</v>
      </c>
      <c r="F4178" t="s">
        <v>46</v>
      </c>
      <c r="G4178" s="58">
        <v>75112</v>
      </c>
      <c r="H4178" s="1" t="s">
        <v>56</v>
      </c>
      <c r="I4178" s="1" t="s">
        <v>119</v>
      </c>
      <c r="J4178" s="58">
        <v>525784</v>
      </c>
      <c r="K4178" s="1" t="s">
        <v>106</v>
      </c>
      <c r="L4178" s="1" t="s">
        <v>120</v>
      </c>
      <c r="N4178" s="1">
        <v>1</v>
      </c>
      <c r="O4178" s="58"/>
      <c r="P4178" s="58">
        <v>72858.64</v>
      </c>
      <c r="Q4178" t="s">
        <v>127</v>
      </c>
      <c r="R4178" s="1" t="s">
        <v>158</v>
      </c>
    </row>
    <row r="4179" spans="3:18" x14ac:dyDescent="0.35">
      <c r="C4179" t="s">
        <v>51</v>
      </c>
      <c r="D4179" t="s">
        <v>24</v>
      </c>
      <c r="E4179" t="s">
        <v>55</v>
      </c>
      <c r="F4179" t="s">
        <v>46</v>
      </c>
      <c r="G4179" s="58">
        <v>3377463</v>
      </c>
      <c r="H4179" s="1" t="s">
        <v>47</v>
      </c>
      <c r="I4179" s="1" t="s">
        <v>108</v>
      </c>
      <c r="J4179" s="58">
        <v>108078816</v>
      </c>
      <c r="K4179" s="1" t="s">
        <v>112</v>
      </c>
      <c r="N4179" s="1">
        <v>1</v>
      </c>
      <c r="O4179" s="58"/>
      <c r="P4179" s="58">
        <v>2837068.92</v>
      </c>
      <c r="Q4179" t="s">
        <v>127</v>
      </c>
      <c r="R4179" s="1" t="s">
        <v>158</v>
      </c>
    </row>
    <row r="4180" spans="3:18" x14ac:dyDescent="0.35">
      <c r="C4180" t="s">
        <v>51</v>
      </c>
      <c r="D4180" t="s">
        <v>24</v>
      </c>
      <c r="E4180" t="s">
        <v>55</v>
      </c>
      <c r="F4180" t="s">
        <v>46</v>
      </c>
      <c r="G4180" s="58">
        <v>5610645</v>
      </c>
      <c r="H4180" s="1" t="s">
        <v>54</v>
      </c>
      <c r="I4180" s="1" t="s">
        <v>105</v>
      </c>
      <c r="J4180" s="58">
        <v>16831935</v>
      </c>
      <c r="K4180" s="1" t="s">
        <v>106</v>
      </c>
      <c r="L4180" s="1" t="s">
        <v>114</v>
      </c>
      <c r="N4180" s="1">
        <v>1</v>
      </c>
      <c r="O4180" s="58"/>
      <c r="P4180" s="58">
        <v>673277.4</v>
      </c>
      <c r="Q4180" t="s">
        <v>107</v>
      </c>
      <c r="R4180" s="1" t="s">
        <v>158</v>
      </c>
    </row>
    <row r="4181" spans="3:18" x14ac:dyDescent="0.35">
      <c r="C4181" t="s">
        <v>51</v>
      </c>
      <c r="D4181" t="s">
        <v>23</v>
      </c>
      <c r="E4181" t="s">
        <v>45</v>
      </c>
      <c r="F4181" t="s">
        <v>46</v>
      </c>
      <c r="G4181" s="58">
        <v>16311</v>
      </c>
      <c r="H4181" s="1" t="s">
        <v>56</v>
      </c>
      <c r="I4181" s="1" t="s">
        <v>105</v>
      </c>
      <c r="J4181" s="58">
        <v>32622</v>
      </c>
      <c r="K4181" s="1" t="s">
        <v>106</v>
      </c>
      <c r="L4181" s="1" t="s">
        <v>116</v>
      </c>
      <c r="N4181" s="1">
        <v>1</v>
      </c>
      <c r="O4181" s="58"/>
      <c r="P4181" s="58">
        <v>978.66</v>
      </c>
      <c r="Q4181" t="s">
        <v>107</v>
      </c>
      <c r="R4181" s="1" t="s">
        <v>158</v>
      </c>
    </row>
    <row r="4182" spans="3:18" x14ac:dyDescent="0.35">
      <c r="C4182" t="s">
        <v>51</v>
      </c>
      <c r="D4182" t="s">
        <v>21</v>
      </c>
      <c r="E4182" t="s">
        <v>55</v>
      </c>
      <c r="F4182" t="s">
        <v>46</v>
      </c>
      <c r="G4182" s="58">
        <v>173139</v>
      </c>
      <c r="H4182" s="1" t="s">
        <v>47</v>
      </c>
      <c r="I4182" s="1" t="s">
        <v>108</v>
      </c>
      <c r="J4182" s="58">
        <v>4847892</v>
      </c>
      <c r="K4182" s="1" t="s">
        <v>106</v>
      </c>
      <c r="L4182" s="1" t="s">
        <v>114</v>
      </c>
      <c r="N4182" s="1">
        <v>1</v>
      </c>
      <c r="O4182" s="58"/>
      <c r="P4182" s="58">
        <v>259708.5</v>
      </c>
      <c r="Q4182" t="s">
        <v>110</v>
      </c>
      <c r="R4182" s="1" t="s">
        <v>158</v>
      </c>
    </row>
    <row r="4183" spans="3:18" x14ac:dyDescent="0.35">
      <c r="C4183" t="s">
        <v>51</v>
      </c>
      <c r="D4183" t="s">
        <v>23</v>
      </c>
      <c r="E4183" t="s">
        <v>50</v>
      </c>
      <c r="F4183" t="s">
        <v>46</v>
      </c>
      <c r="G4183" s="58">
        <v>602553</v>
      </c>
      <c r="H4183" s="1" t="s">
        <v>48</v>
      </c>
      <c r="I4183" s="1" t="s">
        <v>108</v>
      </c>
      <c r="J4183" s="58">
        <v>18076590</v>
      </c>
      <c r="K4183" s="1" t="s">
        <v>106</v>
      </c>
      <c r="L4183" s="1" t="s">
        <v>120</v>
      </c>
      <c r="M4183" s="1" t="s">
        <v>125</v>
      </c>
      <c r="N4183" s="1">
        <v>1</v>
      </c>
      <c r="O4183" s="58"/>
      <c r="P4183" s="58">
        <v>174740.37</v>
      </c>
      <c r="Q4183" t="s">
        <v>107</v>
      </c>
      <c r="R4183" s="1" t="s">
        <v>48</v>
      </c>
    </row>
    <row r="4184" spans="3:18" x14ac:dyDescent="0.35">
      <c r="C4184" t="s">
        <v>51</v>
      </c>
      <c r="D4184" t="s">
        <v>21</v>
      </c>
      <c r="E4184" t="s">
        <v>49</v>
      </c>
      <c r="F4184" t="s">
        <v>46</v>
      </c>
      <c r="G4184" s="58">
        <v>1300106</v>
      </c>
      <c r="H4184" s="1" t="s">
        <v>48</v>
      </c>
      <c r="I4184" s="1" t="s">
        <v>108</v>
      </c>
      <c r="J4184" s="58">
        <v>35102862</v>
      </c>
      <c r="K4184" s="1" t="s">
        <v>106</v>
      </c>
      <c r="L4184" s="1" t="s">
        <v>124</v>
      </c>
      <c r="M4184" s="1" t="s">
        <v>123</v>
      </c>
      <c r="N4184" s="1">
        <v>1</v>
      </c>
      <c r="O4184" s="58"/>
      <c r="P4184" s="58">
        <v>910074.2</v>
      </c>
      <c r="Q4184" t="s">
        <v>118</v>
      </c>
      <c r="R4184" s="1" t="s">
        <v>48</v>
      </c>
    </row>
    <row r="4185" spans="3:18" x14ac:dyDescent="0.35">
      <c r="C4185" t="s">
        <v>51</v>
      </c>
      <c r="D4185" t="s">
        <v>24</v>
      </c>
      <c r="E4185" t="s">
        <v>62</v>
      </c>
      <c r="F4185" t="s">
        <v>64</v>
      </c>
      <c r="G4185" s="58">
        <v>50838</v>
      </c>
      <c r="H4185" s="1" t="s">
        <v>48</v>
      </c>
      <c r="I4185" s="1" t="s">
        <v>108</v>
      </c>
      <c r="J4185" s="58">
        <v>1525140</v>
      </c>
      <c r="K4185" s="1" t="s">
        <v>112</v>
      </c>
      <c r="N4185" s="1">
        <v>1</v>
      </c>
      <c r="O4185" s="58"/>
      <c r="P4185" s="58">
        <v>16776.54</v>
      </c>
      <c r="Q4185" t="s">
        <v>107</v>
      </c>
      <c r="R4185" s="1" t="s">
        <v>48</v>
      </c>
    </row>
    <row r="4186" spans="3:18" x14ac:dyDescent="0.35">
      <c r="C4186" t="s">
        <v>51</v>
      </c>
      <c r="D4186" t="s">
        <v>23</v>
      </c>
      <c r="E4186" t="s">
        <v>55</v>
      </c>
      <c r="F4186" t="s">
        <v>46</v>
      </c>
      <c r="G4186" s="58">
        <v>223830</v>
      </c>
      <c r="H4186" s="1" t="s">
        <v>54</v>
      </c>
      <c r="I4186" s="1" t="s">
        <v>119</v>
      </c>
      <c r="J4186" s="58">
        <v>2014470</v>
      </c>
      <c r="K4186" s="1" t="s">
        <v>106</v>
      </c>
      <c r="L4186" s="1" t="s">
        <v>120</v>
      </c>
      <c r="N4186" s="1">
        <v>1</v>
      </c>
      <c r="O4186" s="58"/>
      <c r="P4186" s="58">
        <v>98485.2</v>
      </c>
      <c r="Q4186" t="s">
        <v>113</v>
      </c>
      <c r="R4186" s="1" t="s">
        <v>158</v>
      </c>
    </row>
    <row r="4187" spans="3:18" x14ac:dyDescent="0.35">
      <c r="C4187" t="s">
        <v>51</v>
      </c>
      <c r="D4187" t="s">
        <v>23</v>
      </c>
      <c r="E4187" t="s">
        <v>55</v>
      </c>
      <c r="F4187" t="s">
        <v>46</v>
      </c>
      <c r="G4187" s="58">
        <v>3291336</v>
      </c>
      <c r="H4187" s="1" t="s">
        <v>48</v>
      </c>
      <c r="I4187" s="1" t="s">
        <v>108</v>
      </c>
      <c r="J4187" s="58">
        <v>108614088</v>
      </c>
      <c r="K4187" s="1" t="s">
        <v>106</v>
      </c>
      <c r="L4187" s="1" t="s">
        <v>114</v>
      </c>
      <c r="M4187" s="1" t="s">
        <v>125</v>
      </c>
      <c r="N4187" s="1">
        <v>1</v>
      </c>
      <c r="O4187" s="58"/>
      <c r="P4187" s="58">
        <v>3949603.2</v>
      </c>
      <c r="Q4187" t="s">
        <v>110</v>
      </c>
      <c r="R4187" s="1" t="s">
        <v>158</v>
      </c>
    </row>
    <row r="4188" spans="3:18" x14ac:dyDescent="0.35">
      <c r="C4188" t="s">
        <v>51</v>
      </c>
      <c r="D4188" t="s">
        <v>23</v>
      </c>
      <c r="E4188" t="s">
        <v>55</v>
      </c>
      <c r="F4188" t="s">
        <v>46</v>
      </c>
      <c r="G4188" s="58">
        <v>3145270</v>
      </c>
      <c r="H4188" s="1" t="s">
        <v>47</v>
      </c>
      <c r="I4188" s="1" t="s">
        <v>111</v>
      </c>
      <c r="J4188" s="58">
        <v>53469590</v>
      </c>
      <c r="K4188" s="1" t="s">
        <v>112</v>
      </c>
      <c r="N4188" s="1">
        <v>1</v>
      </c>
      <c r="O4188" s="58"/>
      <c r="P4188" s="58">
        <v>1446824.2</v>
      </c>
      <c r="Q4188" t="s">
        <v>113</v>
      </c>
      <c r="R4188" s="1" t="s">
        <v>158</v>
      </c>
    </row>
    <row r="4189" spans="3:18" x14ac:dyDescent="0.35">
      <c r="C4189" t="s">
        <v>51</v>
      </c>
      <c r="D4189" t="s">
        <v>22</v>
      </c>
      <c r="E4189" t="s">
        <v>49</v>
      </c>
      <c r="F4189" t="s">
        <v>46</v>
      </c>
      <c r="G4189" s="58">
        <v>734007</v>
      </c>
      <c r="H4189" s="1" t="s">
        <v>47</v>
      </c>
      <c r="I4189" s="1" t="s">
        <v>128</v>
      </c>
      <c r="J4189" s="58"/>
      <c r="K4189" s="1" t="s">
        <v>106</v>
      </c>
      <c r="L4189" s="1" t="s">
        <v>124</v>
      </c>
      <c r="N4189" s="1">
        <v>0</v>
      </c>
      <c r="O4189" s="58"/>
      <c r="P4189" s="58">
        <v>367003.5</v>
      </c>
      <c r="Q4189" t="s">
        <v>113</v>
      </c>
      <c r="R4189" s="1" t="s">
        <v>158</v>
      </c>
    </row>
    <row r="4190" spans="3:18" x14ac:dyDescent="0.35">
      <c r="C4190" t="s">
        <v>51</v>
      </c>
      <c r="D4190" t="s">
        <v>22</v>
      </c>
      <c r="E4190" t="s">
        <v>55</v>
      </c>
      <c r="F4190" t="s">
        <v>46</v>
      </c>
      <c r="G4190" s="58">
        <v>156715</v>
      </c>
      <c r="H4190" s="1" t="s">
        <v>48</v>
      </c>
      <c r="I4190" s="1" t="s">
        <v>111</v>
      </c>
      <c r="J4190" s="58">
        <v>3134300</v>
      </c>
      <c r="K4190" s="1" t="s">
        <v>106</v>
      </c>
      <c r="L4190" s="1" t="s">
        <v>124</v>
      </c>
      <c r="M4190" s="1" t="s">
        <v>126</v>
      </c>
      <c r="N4190" s="1">
        <v>1</v>
      </c>
      <c r="O4190" s="58"/>
      <c r="P4190" s="58">
        <v>56417.4</v>
      </c>
      <c r="Q4190" t="s">
        <v>107</v>
      </c>
      <c r="R4190" s="1" t="s">
        <v>48</v>
      </c>
    </row>
    <row r="4191" spans="3:18" x14ac:dyDescent="0.35">
      <c r="C4191" t="s">
        <v>44</v>
      </c>
      <c r="D4191" t="s">
        <v>24</v>
      </c>
      <c r="E4191" t="s">
        <v>55</v>
      </c>
      <c r="F4191" t="s">
        <v>46</v>
      </c>
      <c r="G4191" s="58">
        <v>619102</v>
      </c>
      <c r="H4191" s="1" t="s">
        <v>48</v>
      </c>
      <c r="I4191" s="1" t="s">
        <v>108</v>
      </c>
      <c r="J4191" s="58"/>
      <c r="N4191" s="1">
        <v>0</v>
      </c>
      <c r="O4191" s="58"/>
      <c r="P4191" s="58"/>
      <c r="R4191" s="1" t="s">
        <v>158</v>
      </c>
    </row>
    <row r="4192" spans="3:18" x14ac:dyDescent="0.35">
      <c r="C4192" t="s">
        <v>51</v>
      </c>
      <c r="D4192" t="s">
        <v>22</v>
      </c>
      <c r="E4192" t="s">
        <v>52</v>
      </c>
      <c r="F4192" t="s">
        <v>46</v>
      </c>
      <c r="G4192" s="58">
        <v>301780</v>
      </c>
      <c r="H4192" s="1" t="s">
        <v>48</v>
      </c>
      <c r="I4192" s="1" t="s">
        <v>111</v>
      </c>
      <c r="J4192" s="58">
        <v>5130260</v>
      </c>
      <c r="K4192" s="1" t="s">
        <v>106</v>
      </c>
      <c r="L4192" s="1" t="s">
        <v>120</v>
      </c>
      <c r="M4192" s="1" t="s">
        <v>115</v>
      </c>
      <c r="N4192" s="1">
        <v>1</v>
      </c>
      <c r="O4192" s="58"/>
      <c r="P4192" s="58">
        <v>141836.6</v>
      </c>
      <c r="Q4192" t="s">
        <v>113</v>
      </c>
      <c r="R4192" s="1" t="s">
        <v>48</v>
      </c>
    </row>
    <row r="4193" spans="3:18" x14ac:dyDescent="0.35">
      <c r="C4193" t="s">
        <v>51</v>
      </c>
      <c r="D4193" t="s">
        <v>20</v>
      </c>
      <c r="E4193" t="s">
        <v>49</v>
      </c>
      <c r="F4193" t="s">
        <v>46</v>
      </c>
      <c r="G4193" s="58">
        <v>511506</v>
      </c>
      <c r="H4193" s="1" t="s">
        <v>48</v>
      </c>
      <c r="I4193" s="1" t="s">
        <v>111</v>
      </c>
      <c r="J4193" s="58">
        <v>8184096</v>
      </c>
      <c r="K4193" s="1" t="s">
        <v>106</v>
      </c>
      <c r="L4193" s="1" t="s">
        <v>120</v>
      </c>
      <c r="M4193" s="1" t="s">
        <v>115</v>
      </c>
      <c r="N4193" s="1">
        <v>1</v>
      </c>
      <c r="O4193" s="58"/>
      <c r="P4193" s="58">
        <v>214832.52</v>
      </c>
      <c r="Q4193" t="s">
        <v>113</v>
      </c>
      <c r="R4193" s="1" t="s">
        <v>48</v>
      </c>
    </row>
    <row r="4194" spans="3:18" x14ac:dyDescent="0.35">
      <c r="C4194" t="s">
        <v>51</v>
      </c>
      <c r="D4194" t="s">
        <v>22</v>
      </c>
      <c r="E4194" t="s">
        <v>49</v>
      </c>
      <c r="F4194" t="s">
        <v>46</v>
      </c>
      <c r="G4194" s="58">
        <v>103661</v>
      </c>
      <c r="H4194" s="1" t="s">
        <v>54</v>
      </c>
      <c r="I4194" s="1" t="s">
        <v>119</v>
      </c>
      <c r="J4194" s="58">
        <v>1036610</v>
      </c>
      <c r="K4194" s="1" t="s">
        <v>112</v>
      </c>
      <c r="N4194" s="1">
        <v>1</v>
      </c>
      <c r="O4194" s="58"/>
      <c r="P4194" s="58">
        <v>48720.67</v>
      </c>
      <c r="Q4194" t="s">
        <v>113</v>
      </c>
      <c r="R4194" s="1" t="s">
        <v>158</v>
      </c>
    </row>
    <row r="4195" spans="3:18" x14ac:dyDescent="0.35">
      <c r="C4195" t="s">
        <v>51</v>
      </c>
      <c r="D4195" t="s">
        <v>24</v>
      </c>
      <c r="E4195" t="s">
        <v>52</v>
      </c>
      <c r="F4195" t="s">
        <v>46</v>
      </c>
      <c r="G4195" s="58">
        <v>689604</v>
      </c>
      <c r="H4195" s="1" t="s">
        <v>48</v>
      </c>
      <c r="I4195" s="1" t="s">
        <v>119</v>
      </c>
      <c r="J4195" s="58">
        <v>5516832</v>
      </c>
      <c r="K4195" s="1" t="s">
        <v>106</v>
      </c>
      <c r="L4195" s="1" t="s">
        <v>130</v>
      </c>
      <c r="M4195" s="1" t="s">
        <v>121</v>
      </c>
      <c r="N4195" s="1">
        <v>1</v>
      </c>
      <c r="O4195" s="58"/>
      <c r="P4195" s="58">
        <v>296529.71999999997</v>
      </c>
      <c r="Q4195" t="s">
        <v>113</v>
      </c>
      <c r="R4195" s="1" t="s">
        <v>48</v>
      </c>
    </row>
    <row r="4196" spans="3:18" x14ac:dyDescent="0.35">
      <c r="C4196" t="s">
        <v>51</v>
      </c>
      <c r="D4196" t="s">
        <v>22</v>
      </c>
      <c r="E4196" t="s">
        <v>49</v>
      </c>
      <c r="F4196" t="s">
        <v>46</v>
      </c>
      <c r="G4196" s="58">
        <v>39342375</v>
      </c>
      <c r="H4196" s="1" t="s">
        <v>47</v>
      </c>
      <c r="I4196" s="1" t="s">
        <v>111</v>
      </c>
      <c r="J4196" s="58">
        <v>590135625</v>
      </c>
      <c r="K4196" s="1" t="s">
        <v>106</v>
      </c>
      <c r="L4196" s="1" t="s">
        <v>124</v>
      </c>
      <c r="N4196" s="1">
        <v>1</v>
      </c>
      <c r="O4196" s="58"/>
      <c r="P4196" s="58">
        <v>9835593.75</v>
      </c>
      <c r="Q4196" t="s">
        <v>107</v>
      </c>
      <c r="R4196" s="1" t="s">
        <v>158</v>
      </c>
    </row>
    <row r="4197" spans="3:18" x14ac:dyDescent="0.35">
      <c r="C4197" t="s">
        <v>51</v>
      </c>
      <c r="D4197" t="s">
        <v>21</v>
      </c>
      <c r="E4197" t="s">
        <v>49</v>
      </c>
      <c r="F4197" t="s">
        <v>46</v>
      </c>
      <c r="G4197" s="58">
        <v>30777</v>
      </c>
      <c r="H4197" s="1" t="s">
        <v>58</v>
      </c>
      <c r="I4197" s="1" t="s">
        <v>111</v>
      </c>
      <c r="J4197" s="58">
        <v>400101</v>
      </c>
      <c r="K4197" s="1" t="s">
        <v>106</v>
      </c>
      <c r="L4197" s="1" t="s">
        <v>116</v>
      </c>
      <c r="N4197" s="1">
        <v>1</v>
      </c>
      <c r="O4197" s="58"/>
      <c r="P4197" s="58">
        <v>1231.08</v>
      </c>
      <c r="Q4197" t="s">
        <v>107</v>
      </c>
      <c r="R4197" s="1" t="s">
        <v>158</v>
      </c>
    </row>
    <row r="4198" spans="3:18" x14ac:dyDescent="0.35">
      <c r="C4198" t="s">
        <v>53</v>
      </c>
      <c r="D4198" t="s">
        <v>20</v>
      </c>
      <c r="E4198" t="s">
        <v>45</v>
      </c>
      <c r="F4198" t="s">
        <v>46</v>
      </c>
      <c r="G4198" s="58">
        <v>402131</v>
      </c>
      <c r="H4198" s="1" t="s">
        <v>56</v>
      </c>
      <c r="I4198" s="1" t="s">
        <v>119</v>
      </c>
      <c r="J4198" s="58">
        <v>2412786</v>
      </c>
      <c r="K4198" s="1" t="s">
        <v>106</v>
      </c>
      <c r="L4198" s="1" t="s">
        <v>120</v>
      </c>
      <c r="N4198" s="1">
        <v>1</v>
      </c>
      <c r="O4198" s="58"/>
      <c r="P4198" s="58">
        <v>193022.88</v>
      </c>
      <c r="Q4198" t="s">
        <v>113</v>
      </c>
      <c r="R4198" s="1" t="s">
        <v>158</v>
      </c>
    </row>
    <row r="4199" spans="3:18" x14ac:dyDescent="0.35">
      <c r="C4199" t="s">
        <v>44</v>
      </c>
      <c r="D4199" t="s">
        <v>60</v>
      </c>
      <c r="E4199" t="s">
        <v>60</v>
      </c>
      <c r="F4199" t="s">
        <v>46</v>
      </c>
      <c r="G4199" s="58">
        <v>6326563</v>
      </c>
      <c r="H4199" s="1" t="s">
        <v>90</v>
      </c>
      <c r="I4199" s="1" t="s">
        <v>108</v>
      </c>
      <c r="J4199" s="58"/>
      <c r="N4199" s="1">
        <v>0</v>
      </c>
      <c r="O4199" s="58"/>
      <c r="P4199" s="58"/>
    </row>
    <row r="4200" spans="3:18" x14ac:dyDescent="0.35">
      <c r="C4200" t="s">
        <v>51</v>
      </c>
      <c r="D4200" t="s">
        <v>92</v>
      </c>
      <c r="E4200" t="s">
        <v>49</v>
      </c>
      <c r="F4200" t="s">
        <v>46</v>
      </c>
      <c r="G4200" s="58">
        <v>393666</v>
      </c>
      <c r="H4200" s="1" t="s">
        <v>59</v>
      </c>
      <c r="I4200" s="1" t="s">
        <v>108</v>
      </c>
      <c r="J4200" s="58">
        <v>9841650</v>
      </c>
      <c r="K4200" s="1" t="s">
        <v>106</v>
      </c>
      <c r="L4200" s="1" t="s">
        <v>120</v>
      </c>
      <c r="N4200" s="1">
        <v>1</v>
      </c>
      <c r="O4200" s="58"/>
      <c r="P4200" s="58">
        <v>74796.539999999994</v>
      </c>
      <c r="Q4200" t="s">
        <v>107</v>
      </c>
      <c r="R4200" s="1" t="s">
        <v>158</v>
      </c>
    </row>
    <row r="4201" spans="3:18" x14ac:dyDescent="0.35">
      <c r="C4201" t="s">
        <v>53</v>
      </c>
      <c r="D4201" t="s">
        <v>22</v>
      </c>
      <c r="E4201" t="s">
        <v>45</v>
      </c>
      <c r="F4201" t="s">
        <v>46</v>
      </c>
      <c r="G4201" s="58">
        <v>11085111</v>
      </c>
      <c r="H4201" s="1" t="s">
        <v>54</v>
      </c>
      <c r="I4201" s="1" t="s">
        <v>111</v>
      </c>
      <c r="J4201" s="58">
        <v>144106443</v>
      </c>
      <c r="K4201" s="1" t="s">
        <v>106</v>
      </c>
      <c r="L4201" s="1" t="s">
        <v>120</v>
      </c>
      <c r="N4201" s="1">
        <v>1</v>
      </c>
      <c r="O4201" s="58"/>
      <c r="P4201" s="58">
        <v>2217022.2000000002</v>
      </c>
      <c r="Q4201" t="s">
        <v>107</v>
      </c>
      <c r="R4201" s="1" t="s">
        <v>158</v>
      </c>
    </row>
    <row r="4202" spans="3:18" x14ac:dyDescent="0.35">
      <c r="C4202" t="s">
        <v>51</v>
      </c>
      <c r="D4202" t="s">
        <v>23</v>
      </c>
      <c r="E4202" t="s">
        <v>55</v>
      </c>
      <c r="F4202" t="s">
        <v>46</v>
      </c>
      <c r="G4202" s="58">
        <v>265045</v>
      </c>
      <c r="H4202" s="1" t="s">
        <v>48</v>
      </c>
      <c r="I4202" s="1" t="s">
        <v>111</v>
      </c>
      <c r="J4202" s="58">
        <v>5035855</v>
      </c>
      <c r="K4202" s="1" t="s">
        <v>106</v>
      </c>
      <c r="L4202" s="1" t="s">
        <v>116</v>
      </c>
      <c r="M4202" s="1" t="s">
        <v>129</v>
      </c>
      <c r="N4202" s="1">
        <v>1</v>
      </c>
      <c r="O4202" s="58"/>
      <c r="P4202" s="58">
        <v>172279.25</v>
      </c>
      <c r="Q4202" t="s">
        <v>118</v>
      </c>
      <c r="R4202" s="1" t="s">
        <v>158</v>
      </c>
    </row>
    <row r="4203" spans="3:18" x14ac:dyDescent="0.35">
      <c r="C4203" t="s">
        <v>51</v>
      </c>
      <c r="D4203" t="s">
        <v>22</v>
      </c>
      <c r="E4203" t="s">
        <v>52</v>
      </c>
      <c r="F4203" t="s">
        <v>46</v>
      </c>
      <c r="G4203" s="58">
        <v>114825</v>
      </c>
      <c r="H4203" s="1" t="s">
        <v>48</v>
      </c>
      <c r="I4203" s="1" t="s">
        <v>111</v>
      </c>
      <c r="J4203" s="58">
        <v>2181675</v>
      </c>
      <c r="K4203" s="1" t="s">
        <v>106</v>
      </c>
      <c r="L4203" s="1" t="s">
        <v>120</v>
      </c>
      <c r="M4203" s="1" t="s">
        <v>115</v>
      </c>
      <c r="N4203" s="1">
        <v>1</v>
      </c>
      <c r="O4203" s="58"/>
      <c r="P4203" s="58">
        <v>40188.75</v>
      </c>
      <c r="Q4203" t="s">
        <v>107</v>
      </c>
      <c r="R4203" s="1" t="s">
        <v>48</v>
      </c>
    </row>
    <row r="4204" spans="3:18" x14ac:dyDescent="0.35">
      <c r="C4204" t="s">
        <v>51</v>
      </c>
      <c r="D4204" t="s">
        <v>24</v>
      </c>
      <c r="E4204" t="s">
        <v>55</v>
      </c>
      <c r="F4204" t="s">
        <v>46</v>
      </c>
      <c r="G4204" s="58">
        <v>961993</v>
      </c>
      <c r="H4204" s="1" t="s">
        <v>54</v>
      </c>
      <c r="I4204" s="1" t="s">
        <v>119</v>
      </c>
      <c r="J4204" s="58">
        <v>7695944</v>
      </c>
      <c r="K4204" s="1" t="s">
        <v>106</v>
      </c>
      <c r="L4204" s="1" t="s">
        <v>114</v>
      </c>
      <c r="N4204" s="1">
        <v>1</v>
      </c>
      <c r="O4204" s="58"/>
      <c r="P4204" s="58">
        <v>452136.71</v>
      </c>
      <c r="Q4204" t="s">
        <v>113</v>
      </c>
      <c r="R4204" s="1" t="s">
        <v>158</v>
      </c>
    </row>
    <row r="4205" spans="3:18" x14ac:dyDescent="0.35">
      <c r="C4205" t="s">
        <v>51</v>
      </c>
      <c r="D4205" t="s">
        <v>20</v>
      </c>
      <c r="E4205" t="s">
        <v>49</v>
      </c>
      <c r="F4205" t="s">
        <v>64</v>
      </c>
      <c r="G4205" s="58">
        <v>995355</v>
      </c>
      <c r="H4205" s="1" t="s">
        <v>48</v>
      </c>
      <c r="I4205" s="1" t="s">
        <v>111</v>
      </c>
      <c r="J4205" s="58">
        <v>18911745</v>
      </c>
      <c r="K4205" s="1" t="s">
        <v>112</v>
      </c>
      <c r="N4205" s="1">
        <v>1</v>
      </c>
      <c r="O4205" s="58"/>
      <c r="P4205" s="58">
        <v>507631.05</v>
      </c>
      <c r="Q4205" t="s">
        <v>113</v>
      </c>
      <c r="R4205" s="1" t="s">
        <v>48</v>
      </c>
    </row>
    <row r="4206" spans="3:18" x14ac:dyDescent="0.35">
      <c r="C4206" t="s">
        <v>51</v>
      </c>
      <c r="D4206" t="s">
        <v>19</v>
      </c>
      <c r="E4206" t="s">
        <v>49</v>
      </c>
      <c r="F4206" t="s">
        <v>46</v>
      </c>
      <c r="G4206" s="58">
        <v>73602</v>
      </c>
      <c r="H4206" s="1" t="s">
        <v>47</v>
      </c>
      <c r="I4206" s="1" t="s">
        <v>119</v>
      </c>
      <c r="J4206" s="58">
        <v>515214</v>
      </c>
      <c r="K4206" s="1" t="s">
        <v>106</v>
      </c>
      <c r="L4206" s="1" t="s">
        <v>114</v>
      </c>
      <c r="N4206" s="1">
        <v>1</v>
      </c>
      <c r="O4206" s="58"/>
      <c r="P4206" s="58">
        <v>36064.980000000003</v>
      </c>
      <c r="Q4206" t="s">
        <v>113</v>
      </c>
      <c r="R4206" s="1" t="s">
        <v>158</v>
      </c>
    </row>
    <row r="4207" spans="3:18" x14ac:dyDescent="0.35">
      <c r="C4207" t="s">
        <v>51</v>
      </c>
      <c r="D4207" t="s">
        <v>24</v>
      </c>
      <c r="E4207" t="s">
        <v>49</v>
      </c>
      <c r="F4207" t="s">
        <v>46</v>
      </c>
      <c r="G4207" s="58">
        <v>369463</v>
      </c>
      <c r="H4207" s="1" t="s">
        <v>59</v>
      </c>
      <c r="I4207" s="1" t="s">
        <v>108</v>
      </c>
      <c r="J4207" s="58">
        <v>10714427</v>
      </c>
      <c r="K4207" s="1" t="s">
        <v>106</v>
      </c>
      <c r="L4207" s="1" t="s">
        <v>124</v>
      </c>
      <c r="N4207" s="1">
        <v>1</v>
      </c>
      <c r="O4207" s="58"/>
      <c r="P4207" s="58">
        <v>107144.27</v>
      </c>
      <c r="Q4207" t="s">
        <v>107</v>
      </c>
      <c r="R4207" s="1" t="s">
        <v>158</v>
      </c>
    </row>
    <row r="4208" spans="3:18" x14ac:dyDescent="0.35">
      <c r="C4208" t="s">
        <v>53</v>
      </c>
      <c r="D4208" t="s">
        <v>20</v>
      </c>
      <c r="E4208" t="s">
        <v>45</v>
      </c>
      <c r="F4208" t="s">
        <v>46</v>
      </c>
      <c r="G4208" s="58">
        <v>224155</v>
      </c>
      <c r="H4208" s="1" t="s">
        <v>47</v>
      </c>
      <c r="I4208" s="1" t="s">
        <v>105</v>
      </c>
      <c r="J4208" s="58"/>
      <c r="K4208" s="1" t="s">
        <v>106</v>
      </c>
      <c r="L4208" s="1" t="s">
        <v>120</v>
      </c>
      <c r="N4208" s="1">
        <v>0</v>
      </c>
      <c r="O4208" s="58"/>
      <c r="P4208" s="58">
        <v>0</v>
      </c>
      <c r="Q4208" t="s">
        <v>107</v>
      </c>
      <c r="R4208" s="1" t="s">
        <v>158</v>
      </c>
    </row>
    <row r="4209" spans="3:18" x14ac:dyDescent="0.35">
      <c r="C4209" t="s">
        <v>51</v>
      </c>
      <c r="D4209" t="s">
        <v>91</v>
      </c>
      <c r="E4209" t="s">
        <v>49</v>
      </c>
      <c r="F4209" t="s">
        <v>46</v>
      </c>
      <c r="G4209" s="58">
        <v>26938257</v>
      </c>
      <c r="H4209" s="1" t="s">
        <v>47</v>
      </c>
      <c r="I4209" s="1" t="s">
        <v>108</v>
      </c>
      <c r="J4209" s="58">
        <v>700394682</v>
      </c>
      <c r="K4209" s="1" t="s">
        <v>106</v>
      </c>
      <c r="L4209" s="1" t="s">
        <v>124</v>
      </c>
      <c r="N4209" s="1">
        <v>1</v>
      </c>
      <c r="O4209" s="58"/>
      <c r="P4209" s="58">
        <v>7812094.5300000003</v>
      </c>
      <c r="Q4209" t="s">
        <v>107</v>
      </c>
      <c r="R4209" s="1" t="s">
        <v>158</v>
      </c>
    </row>
    <row r="4210" spans="3:18" x14ac:dyDescent="0.35">
      <c r="C4210" t="s">
        <v>51</v>
      </c>
      <c r="D4210" t="s">
        <v>25</v>
      </c>
      <c r="E4210" t="s">
        <v>55</v>
      </c>
      <c r="F4210" t="s">
        <v>46</v>
      </c>
      <c r="G4210" s="58">
        <v>294966</v>
      </c>
      <c r="H4210" s="1" t="s">
        <v>54</v>
      </c>
      <c r="I4210" s="1" t="s">
        <v>111</v>
      </c>
      <c r="J4210" s="58">
        <v>3539592</v>
      </c>
      <c r="K4210" s="1" t="s">
        <v>106</v>
      </c>
      <c r="L4210" s="1" t="s">
        <v>120</v>
      </c>
      <c r="N4210" s="1">
        <v>1</v>
      </c>
      <c r="O4210" s="58"/>
      <c r="P4210" s="58">
        <v>85540.14</v>
      </c>
      <c r="Q4210" t="s">
        <v>107</v>
      </c>
      <c r="R4210" s="1" t="s">
        <v>158</v>
      </c>
    </row>
    <row r="4211" spans="3:18" x14ac:dyDescent="0.35">
      <c r="C4211" t="s">
        <v>53</v>
      </c>
      <c r="D4211" t="s">
        <v>24</v>
      </c>
      <c r="E4211" t="s">
        <v>50</v>
      </c>
      <c r="F4211" t="s">
        <v>46</v>
      </c>
      <c r="G4211" s="58">
        <v>351122</v>
      </c>
      <c r="H4211" s="1" t="s">
        <v>54</v>
      </c>
      <c r="I4211" s="1" t="s">
        <v>105</v>
      </c>
      <c r="J4211" s="58">
        <v>1053366</v>
      </c>
      <c r="K4211" s="1" t="s">
        <v>106</v>
      </c>
      <c r="L4211" s="1" t="s">
        <v>109</v>
      </c>
      <c r="N4211" s="1">
        <v>1</v>
      </c>
      <c r="O4211" s="58"/>
      <c r="P4211" s="58">
        <v>49157.08</v>
      </c>
      <c r="Q4211" t="s">
        <v>107</v>
      </c>
      <c r="R4211" s="1" t="s">
        <v>158</v>
      </c>
    </row>
    <row r="4212" spans="3:18" x14ac:dyDescent="0.35">
      <c r="C4212" t="s">
        <v>53</v>
      </c>
      <c r="D4212" t="s">
        <v>19</v>
      </c>
      <c r="E4212" t="s">
        <v>49</v>
      </c>
      <c r="F4212" t="s">
        <v>46</v>
      </c>
      <c r="G4212" s="58">
        <v>74895</v>
      </c>
      <c r="H4212" s="1" t="s">
        <v>48</v>
      </c>
      <c r="I4212" s="1" t="s">
        <v>119</v>
      </c>
      <c r="J4212" s="58">
        <v>524265</v>
      </c>
      <c r="K4212" s="1" t="s">
        <v>106</v>
      </c>
      <c r="L4212" s="1" t="s">
        <v>124</v>
      </c>
      <c r="M4212" s="1" t="s">
        <v>122</v>
      </c>
      <c r="N4212" s="1">
        <v>1</v>
      </c>
      <c r="O4212" s="58"/>
      <c r="P4212" s="58">
        <v>41192.25</v>
      </c>
      <c r="Q4212" t="s">
        <v>113</v>
      </c>
      <c r="R4212" s="1" t="s">
        <v>158</v>
      </c>
    </row>
    <row r="4213" spans="3:18" x14ac:dyDescent="0.35">
      <c r="C4213" t="s">
        <v>51</v>
      </c>
      <c r="D4213" t="s">
        <v>24</v>
      </c>
      <c r="E4213" t="s">
        <v>50</v>
      </c>
      <c r="F4213" t="s">
        <v>46</v>
      </c>
      <c r="G4213" s="58">
        <v>218097</v>
      </c>
      <c r="H4213" s="1" t="s">
        <v>48</v>
      </c>
      <c r="I4213" s="1" t="s">
        <v>108</v>
      </c>
      <c r="J4213" s="58">
        <v>7415298</v>
      </c>
      <c r="K4213" s="1" t="s">
        <v>106</v>
      </c>
      <c r="L4213" s="1" t="s">
        <v>124</v>
      </c>
      <c r="M4213" s="1" t="s">
        <v>121</v>
      </c>
      <c r="N4213" s="1">
        <v>1</v>
      </c>
      <c r="O4213" s="58"/>
      <c r="P4213" s="58">
        <v>146124.99</v>
      </c>
      <c r="Q4213" t="s">
        <v>118</v>
      </c>
      <c r="R4213" s="1" t="s">
        <v>48</v>
      </c>
    </row>
    <row r="4214" spans="3:18" x14ac:dyDescent="0.35">
      <c r="C4214" t="s">
        <v>53</v>
      </c>
      <c r="D4214" t="s">
        <v>24</v>
      </c>
      <c r="E4214" t="s">
        <v>55</v>
      </c>
      <c r="F4214" t="s">
        <v>46</v>
      </c>
      <c r="G4214" s="58">
        <v>85653</v>
      </c>
      <c r="H4214" s="1" t="s">
        <v>47</v>
      </c>
      <c r="I4214" s="1" t="s">
        <v>108</v>
      </c>
      <c r="J4214" s="58">
        <v>1798713</v>
      </c>
      <c r="K4214" s="1" t="s">
        <v>106</v>
      </c>
      <c r="L4214" s="1" t="s">
        <v>114</v>
      </c>
      <c r="N4214" s="1">
        <v>1</v>
      </c>
      <c r="O4214" s="58"/>
      <c r="P4214" s="58">
        <v>41969.97</v>
      </c>
      <c r="Q4214" t="s">
        <v>113</v>
      </c>
      <c r="R4214" s="1" t="s">
        <v>158</v>
      </c>
    </row>
    <row r="4215" spans="3:18" x14ac:dyDescent="0.35">
      <c r="C4215" t="s">
        <v>51</v>
      </c>
      <c r="D4215" t="s">
        <v>20</v>
      </c>
      <c r="E4215" t="s">
        <v>45</v>
      </c>
      <c r="F4215" t="s">
        <v>46</v>
      </c>
      <c r="G4215" s="58">
        <v>195378</v>
      </c>
      <c r="H4215" s="1" t="s">
        <v>48</v>
      </c>
      <c r="I4215" s="1" t="s">
        <v>108</v>
      </c>
      <c r="J4215" s="58">
        <v>4298316</v>
      </c>
      <c r="K4215" s="1" t="s">
        <v>106</v>
      </c>
      <c r="L4215" s="1" t="s">
        <v>124</v>
      </c>
      <c r="M4215" s="1" t="s">
        <v>123</v>
      </c>
      <c r="N4215" s="1">
        <v>1</v>
      </c>
      <c r="O4215" s="58"/>
      <c r="P4215" s="58">
        <v>64474.74</v>
      </c>
      <c r="Q4215" t="s">
        <v>107</v>
      </c>
      <c r="R4215" s="1" t="s">
        <v>48</v>
      </c>
    </row>
    <row r="4216" spans="3:18" x14ac:dyDescent="0.35">
      <c r="C4216" t="s">
        <v>51</v>
      </c>
      <c r="D4216" t="s">
        <v>91</v>
      </c>
      <c r="E4216" t="s">
        <v>49</v>
      </c>
      <c r="F4216" t="s">
        <v>46</v>
      </c>
      <c r="G4216" s="58">
        <v>1240609</v>
      </c>
      <c r="H4216" s="1" t="s">
        <v>48</v>
      </c>
      <c r="I4216" s="1" t="s">
        <v>108</v>
      </c>
      <c r="J4216" s="58">
        <v>37218270</v>
      </c>
      <c r="K4216" s="1" t="s">
        <v>112</v>
      </c>
      <c r="N4216" s="1">
        <v>1</v>
      </c>
      <c r="O4216" s="58"/>
      <c r="P4216" s="58">
        <v>310152.25</v>
      </c>
      <c r="Q4216" t="s">
        <v>107</v>
      </c>
      <c r="R4216" s="1" t="s">
        <v>158</v>
      </c>
    </row>
    <row r="4217" spans="3:18" x14ac:dyDescent="0.35">
      <c r="C4217" t="s">
        <v>51</v>
      </c>
      <c r="D4217" t="s">
        <v>91</v>
      </c>
      <c r="E4217" t="s">
        <v>50</v>
      </c>
      <c r="F4217" t="s">
        <v>46</v>
      </c>
      <c r="G4217" s="58">
        <v>611115</v>
      </c>
      <c r="H4217" s="1" t="s">
        <v>48</v>
      </c>
      <c r="I4217" s="1" t="s">
        <v>108</v>
      </c>
      <c r="J4217" s="58">
        <v>21389025</v>
      </c>
      <c r="K4217" s="1" t="s">
        <v>106</v>
      </c>
      <c r="L4217" s="1" t="s">
        <v>109</v>
      </c>
      <c r="M4217" s="1" t="s">
        <v>122</v>
      </c>
      <c r="N4217" s="1">
        <v>1</v>
      </c>
      <c r="O4217" s="58"/>
      <c r="P4217" s="58">
        <v>433891.65</v>
      </c>
      <c r="Q4217" t="s">
        <v>118</v>
      </c>
      <c r="R4217" s="1" t="s">
        <v>158</v>
      </c>
    </row>
    <row r="4218" spans="3:18" x14ac:dyDescent="0.35">
      <c r="C4218" t="s">
        <v>51</v>
      </c>
      <c r="D4218" t="s">
        <v>22</v>
      </c>
      <c r="E4218" t="s">
        <v>45</v>
      </c>
      <c r="F4218" t="s">
        <v>46</v>
      </c>
      <c r="G4218" s="58">
        <v>31043291</v>
      </c>
      <c r="H4218" s="1" t="s">
        <v>48</v>
      </c>
      <c r="I4218" s="1" t="s">
        <v>119</v>
      </c>
      <c r="J4218" s="58">
        <v>217303037</v>
      </c>
      <c r="K4218" s="1" t="s">
        <v>106</v>
      </c>
      <c r="L4218" s="1" t="s">
        <v>120</v>
      </c>
      <c r="M4218" s="1" t="s">
        <v>115</v>
      </c>
      <c r="N4218" s="1">
        <v>1</v>
      </c>
      <c r="O4218" s="58"/>
      <c r="P4218" s="58">
        <v>7450389.8399999999</v>
      </c>
      <c r="Q4218" t="s">
        <v>107</v>
      </c>
      <c r="R4218" s="1" t="s">
        <v>158</v>
      </c>
    </row>
    <row r="4219" spans="3:18" x14ac:dyDescent="0.35">
      <c r="C4219" t="s">
        <v>51</v>
      </c>
      <c r="D4219" t="s">
        <v>23</v>
      </c>
      <c r="E4219" t="s">
        <v>62</v>
      </c>
      <c r="F4219" t="s">
        <v>46</v>
      </c>
      <c r="G4219" s="58">
        <v>97618</v>
      </c>
      <c r="H4219" s="1" t="s">
        <v>48</v>
      </c>
      <c r="I4219" s="1" t="s">
        <v>108</v>
      </c>
      <c r="J4219" s="58">
        <v>2342832</v>
      </c>
      <c r="K4219" s="1" t="s">
        <v>106</v>
      </c>
      <c r="L4219" s="1" t="s">
        <v>114</v>
      </c>
      <c r="M4219" s="1" t="s">
        <v>125</v>
      </c>
      <c r="N4219" s="1">
        <v>1</v>
      </c>
      <c r="O4219" s="58"/>
      <c r="P4219" s="58">
        <v>36118.660000000003</v>
      </c>
      <c r="Q4219" t="s">
        <v>107</v>
      </c>
      <c r="R4219" s="1" t="s">
        <v>48</v>
      </c>
    </row>
    <row r="4220" spans="3:18" x14ac:dyDescent="0.35">
      <c r="C4220" t="s">
        <v>51</v>
      </c>
      <c r="D4220" t="s">
        <v>24</v>
      </c>
      <c r="E4220" t="s">
        <v>62</v>
      </c>
      <c r="F4220" t="s">
        <v>46</v>
      </c>
      <c r="G4220" s="58">
        <v>3290577</v>
      </c>
      <c r="H4220" s="1" t="s">
        <v>48</v>
      </c>
      <c r="I4220" s="1" t="s">
        <v>108</v>
      </c>
      <c r="J4220" s="58">
        <v>108589041</v>
      </c>
      <c r="K4220" s="1" t="s">
        <v>106</v>
      </c>
      <c r="L4220" s="1" t="s">
        <v>114</v>
      </c>
      <c r="M4220" s="1" t="s">
        <v>121</v>
      </c>
      <c r="N4220" s="1">
        <v>1</v>
      </c>
      <c r="O4220" s="58"/>
      <c r="P4220" s="58">
        <v>2336309.67</v>
      </c>
      <c r="Q4220" t="s">
        <v>118</v>
      </c>
      <c r="R4220" s="1" t="s">
        <v>48</v>
      </c>
    </row>
    <row r="4221" spans="3:18" x14ac:dyDescent="0.35">
      <c r="C4221" t="s">
        <v>53</v>
      </c>
      <c r="D4221" t="s">
        <v>21</v>
      </c>
      <c r="E4221" t="s">
        <v>45</v>
      </c>
      <c r="F4221" t="s">
        <v>46</v>
      </c>
      <c r="G4221" s="58">
        <v>5674659</v>
      </c>
      <c r="H4221" s="1" t="s">
        <v>56</v>
      </c>
      <c r="I4221" s="1" t="s">
        <v>111</v>
      </c>
      <c r="J4221" s="58">
        <v>68095908</v>
      </c>
      <c r="K4221" s="1" t="s">
        <v>106</v>
      </c>
      <c r="L4221" s="1" t="s">
        <v>120</v>
      </c>
      <c r="N4221" s="1">
        <v>1</v>
      </c>
      <c r="O4221" s="58"/>
      <c r="P4221" s="58">
        <v>2894076.09</v>
      </c>
      <c r="Q4221" t="s">
        <v>113</v>
      </c>
      <c r="R4221" s="1" t="s">
        <v>158</v>
      </c>
    </row>
    <row r="4222" spans="3:18" x14ac:dyDescent="0.35">
      <c r="C4222" t="s">
        <v>51</v>
      </c>
      <c r="D4222" t="s">
        <v>24</v>
      </c>
      <c r="E4222" t="s">
        <v>50</v>
      </c>
      <c r="F4222" t="s">
        <v>46</v>
      </c>
      <c r="G4222" s="58">
        <v>23253594</v>
      </c>
      <c r="H4222" s="1" t="s">
        <v>48</v>
      </c>
      <c r="I4222" s="1" t="s">
        <v>108</v>
      </c>
      <c r="J4222" s="58">
        <v>720861414</v>
      </c>
      <c r="K4222" s="1" t="s">
        <v>106</v>
      </c>
      <c r="L4222" s="1" t="s">
        <v>109</v>
      </c>
      <c r="M4222" s="1" t="s">
        <v>121</v>
      </c>
      <c r="N4222" s="1">
        <v>1</v>
      </c>
      <c r="O4222" s="58"/>
      <c r="P4222" s="58">
        <v>12091868.880000001</v>
      </c>
      <c r="Q4222" t="s">
        <v>113</v>
      </c>
      <c r="R4222" s="1" t="s">
        <v>158</v>
      </c>
    </row>
    <row r="4223" spans="3:18" x14ac:dyDescent="0.35">
      <c r="C4223" t="s">
        <v>51</v>
      </c>
      <c r="D4223" t="s">
        <v>24</v>
      </c>
      <c r="E4223" t="s">
        <v>45</v>
      </c>
      <c r="F4223" t="s">
        <v>46</v>
      </c>
      <c r="G4223" s="58">
        <v>301075</v>
      </c>
      <c r="H4223" s="1" t="s">
        <v>48</v>
      </c>
      <c r="I4223" s="1" t="s">
        <v>108</v>
      </c>
      <c r="J4223" s="58">
        <v>8731175</v>
      </c>
      <c r="K4223" s="1" t="s">
        <v>106</v>
      </c>
      <c r="L4223" s="1" t="s">
        <v>120</v>
      </c>
      <c r="M4223" s="1" t="s">
        <v>115</v>
      </c>
      <c r="N4223" s="1">
        <v>1</v>
      </c>
      <c r="O4223" s="58"/>
      <c r="P4223" s="58">
        <v>138494.5</v>
      </c>
      <c r="Q4223" t="s">
        <v>113</v>
      </c>
      <c r="R4223" s="1" t="s">
        <v>158</v>
      </c>
    </row>
    <row r="4224" spans="3:18" x14ac:dyDescent="0.35">
      <c r="C4224" t="s">
        <v>51</v>
      </c>
      <c r="D4224" t="s">
        <v>92</v>
      </c>
      <c r="E4224" t="s">
        <v>49</v>
      </c>
      <c r="F4224" t="s">
        <v>46</v>
      </c>
      <c r="G4224" s="58">
        <v>2383073</v>
      </c>
      <c r="H4224" s="1" t="s">
        <v>59</v>
      </c>
      <c r="I4224" s="1" t="s">
        <v>108</v>
      </c>
      <c r="J4224" s="58">
        <v>73875263</v>
      </c>
      <c r="K4224" s="1" t="s">
        <v>112</v>
      </c>
      <c r="N4224" s="1">
        <v>1</v>
      </c>
      <c r="O4224" s="58"/>
      <c r="P4224" s="58">
        <v>1167705.77</v>
      </c>
      <c r="Q4224" t="s">
        <v>113</v>
      </c>
      <c r="R4224" s="1" t="s">
        <v>158</v>
      </c>
    </row>
    <row r="4225" spans="3:18" x14ac:dyDescent="0.35">
      <c r="C4225" t="s">
        <v>51</v>
      </c>
      <c r="D4225" t="s">
        <v>22</v>
      </c>
      <c r="E4225" t="s">
        <v>45</v>
      </c>
      <c r="F4225" t="s">
        <v>64</v>
      </c>
      <c r="G4225" s="58">
        <v>883949</v>
      </c>
      <c r="H4225" s="1" t="s">
        <v>48</v>
      </c>
      <c r="I4225" s="1" t="s">
        <v>108</v>
      </c>
      <c r="J4225" s="58">
        <v>32706113</v>
      </c>
      <c r="K4225" s="1" t="s">
        <v>106</v>
      </c>
      <c r="L4225" s="1" t="s">
        <v>120</v>
      </c>
      <c r="M4225" s="1" t="s">
        <v>115</v>
      </c>
      <c r="N4225" s="1">
        <v>1</v>
      </c>
      <c r="O4225" s="58"/>
      <c r="P4225" s="58">
        <v>742517.16</v>
      </c>
      <c r="Q4225" t="s">
        <v>127</v>
      </c>
      <c r="R4225" s="1" t="s">
        <v>158</v>
      </c>
    </row>
    <row r="4226" spans="3:18" x14ac:dyDescent="0.35">
      <c r="C4226" t="s">
        <v>51</v>
      </c>
      <c r="D4226" t="s">
        <v>22</v>
      </c>
      <c r="E4226" t="s">
        <v>45</v>
      </c>
      <c r="F4226" t="s">
        <v>46</v>
      </c>
      <c r="G4226" s="58">
        <v>142899</v>
      </c>
      <c r="H4226" s="1" t="s">
        <v>47</v>
      </c>
      <c r="I4226" s="1" t="s">
        <v>111</v>
      </c>
      <c r="J4226" s="58">
        <v>2715081</v>
      </c>
      <c r="K4226" s="1" t="s">
        <v>106</v>
      </c>
      <c r="L4226" s="1" t="s">
        <v>109</v>
      </c>
      <c r="N4226" s="1">
        <v>1</v>
      </c>
      <c r="O4226" s="58"/>
      <c r="P4226" s="58">
        <v>75736.47</v>
      </c>
      <c r="Q4226" t="s">
        <v>113</v>
      </c>
      <c r="R4226" s="1" t="s">
        <v>158</v>
      </c>
    </row>
    <row r="4227" spans="3:18" x14ac:dyDescent="0.35">
      <c r="C4227" t="s">
        <v>51</v>
      </c>
      <c r="D4227" t="s">
        <v>22</v>
      </c>
      <c r="E4227" t="s">
        <v>45</v>
      </c>
      <c r="F4227" t="s">
        <v>46</v>
      </c>
      <c r="G4227" s="58">
        <v>427253</v>
      </c>
      <c r="H4227" s="1" t="s">
        <v>54</v>
      </c>
      <c r="I4227" s="1" t="s">
        <v>105</v>
      </c>
      <c r="J4227" s="58"/>
      <c r="K4227" s="1" t="s">
        <v>106</v>
      </c>
      <c r="L4227" s="1" t="s">
        <v>120</v>
      </c>
      <c r="N4227" s="1">
        <v>0</v>
      </c>
      <c r="O4227" s="58"/>
      <c r="P4227" s="58">
        <v>29907.71</v>
      </c>
      <c r="Q4227" t="s">
        <v>107</v>
      </c>
      <c r="R4227" s="1" t="s">
        <v>158</v>
      </c>
    </row>
    <row r="4228" spans="3:18" x14ac:dyDescent="0.35">
      <c r="C4228" t="s">
        <v>51</v>
      </c>
      <c r="D4228" t="s">
        <v>19</v>
      </c>
      <c r="E4228" t="s">
        <v>49</v>
      </c>
      <c r="F4228" t="s">
        <v>46</v>
      </c>
      <c r="G4228" s="58">
        <v>347993</v>
      </c>
      <c r="H4228" s="1" t="s">
        <v>54</v>
      </c>
      <c r="I4228" s="1" t="s">
        <v>111</v>
      </c>
      <c r="J4228" s="58">
        <v>6959860</v>
      </c>
      <c r="K4228" s="1" t="s">
        <v>112</v>
      </c>
      <c r="N4228" s="1">
        <v>1</v>
      </c>
      <c r="O4228" s="58"/>
      <c r="P4228" s="58">
        <v>233155.31</v>
      </c>
      <c r="Q4228" t="s">
        <v>118</v>
      </c>
      <c r="R4228" s="1" t="s">
        <v>158</v>
      </c>
    </row>
    <row r="4229" spans="3:18" x14ac:dyDescent="0.35">
      <c r="C4229" t="s">
        <v>51</v>
      </c>
      <c r="D4229" t="s">
        <v>24</v>
      </c>
      <c r="E4229" t="s">
        <v>55</v>
      </c>
      <c r="F4229" t="s">
        <v>46</v>
      </c>
      <c r="G4229" s="58">
        <v>11458143</v>
      </c>
      <c r="H4229" s="1" t="s">
        <v>48</v>
      </c>
      <c r="I4229" s="1" t="s">
        <v>108</v>
      </c>
      <c r="J4229" s="58">
        <v>423951291</v>
      </c>
      <c r="K4229" s="1" t="s">
        <v>112</v>
      </c>
      <c r="N4229" s="1">
        <v>1</v>
      </c>
      <c r="O4229" s="58"/>
      <c r="P4229" s="58">
        <v>10197747.27</v>
      </c>
      <c r="Q4229" t="s">
        <v>127</v>
      </c>
      <c r="R4229" s="1" t="s">
        <v>48</v>
      </c>
    </row>
    <row r="4230" spans="3:18" x14ac:dyDescent="0.35">
      <c r="C4230" t="s">
        <v>51</v>
      </c>
      <c r="D4230" t="s">
        <v>24</v>
      </c>
      <c r="E4230" t="s">
        <v>45</v>
      </c>
      <c r="F4230" t="s">
        <v>46</v>
      </c>
      <c r="G4230" s="58">
        <v>6351187</v>
      </c>
      <c r="H4230" s="1" t="s">
        <v>47</v>
      </c>
      <c r="I4230" s="1" t="s">
        <v>108</v>
      </c>
      <c r="J4230" s="58">
        <v>177833236</v>
      </c>
      <c r="K4230" s="1" t="s">
        <v>106</v>
      </c>
      <c r="L4230" s="1" t="s">
        <v>120</v>
      </c>
      <c r="N4230" s="1">
        <v>1</v>
      </c>
      <c r="O4230" s="58"/>
      <c r="P4230" s="58">
        <v>4255295.29</v>
      </c>
      <c r="Q4230" t="s">
        <v>118</v>
      </c>
      <c r="R4230" s="1" t="s">
        <v>158</v>
      </c>
    </row>
    <row r="4231" spans="3:18" x14ac:dyDescent="0.35">
      <c r="C4231" t="s">
        <v>51</v>
      </c>
      <c r="D4231" t="s">
        <v>24</v>
      </c>
      <c r="E4231" t="s">
        <v>52</v>
      </c>
      <c r="F4231" t="s">
        <v>64</v>
      </c>
      <c r="G4231" s="58">
        <v>127488</v>
      </c>
      <c r="H4231" s="1" t="s">
        <v>48</v>
      </c>
      <c r="I4231" s="1" t="s">
        <v>108</v>
      </c>
      <c r="J4231" s="58">
        <v>4717056</v>
      </c>
      <c r="K4231" s="1" t="s">
        <v>106</v>
      </c>
      <c r="L4231" s="1" t="s">
        <v>130</v>
      </c>
      <c r="M4231" s="1" t="s">
        <v>121</v>
      </c>
      <c r="N4231" s="1">
        <v>1</v>
      </c>
      <c r="O4231" s="58"/>
      <c r="P4231" s="58">
        <v>71393.279999999999</v>
      </c>
      <c r="Q4231" t="s">
        <v>113</v>
      </c>
      <c r="R4231" s="1" t="s">
        <v>48</v>
      </c>
    </row>
    <row r="4232" spans="3:18" x14ac:dyDescent="0.35">
      <c r="C4232" t="s">
        <v>51</v>
      </c>
      <c r="D4232" t="s">
        <v>20</v>
      </c>
      <c r="E4232" t="s">
        <v>49</v>
      </c>
      <c r="F4232" t="s">
        <v>46</v>
      </c>
      <c r="G4232" s="58">
        <v>277291</v>
      </c>
      <c r="H4232" s="1" t="s">
        <v>47</v>
      </c>
      <c r="I4232" s="1" t="s">
        <v>119</v>
      </c>
      <c r="J4232" s="58">
        <v>1941037</v>
      </c>
      <c r="K4232" s="1" t="s">
        <v>106</v>
      </c>
      <c r="L4232" s="1" t="s">
        <v>120</v>
      </c>
      <c r="N4232" s="1">
        <v>1</v>
      </c>
      <c r="O4232" s="58"/>
      <c r="P4232" s="58">
        <v>63776.93</v>
      </c>
      <c r="Q4232" t="s">
        <v>107</v>
      </c>
      <c r="R4232" s="1" t="s">
        <v>158</v>
      </c>
    </row>
    <row r="4233" spans="3:18" x14ac:dyDescent="0.35">
      <c r="C4233" t="s">
        <v>51</v>
      </c>
      <c r="D4233" t="s">
        <v>91</v>
      </c>
      <c r="E4233" t="s">
        <v>45</v>
      </c>
      <c r="F4233" t="s">
        <v>46</v>
      </c>
      <c r="G4233" s="58">
        <v>1324172</v>
      </c>
      <c r="H4233" s="1" t="s">
        <v>48</v>
      </c>
      <c r="I4233" s="1" t="s">
        <v>108</v>
      </c>
      <c r="J4233" s="58">
        <v>47670192</v>
      </c>
      <c r="K4233" s="1" t="s">
        <v>106</v>
      </c>
      <c r="L4233" s="1" t="s">
        <v>120</v>
      </c>
      <c r="M4233" s="1" t="s">
        <v>122</v>
      </c>
      <c r="N4233" s="1">
        <v>1</v>
      </c>
      <c r="O4233" s="58"/>
      <c r="P4233" s="58">
        <v>1085821.04</v>
      </c>
      <c r="Q4233" t="s">
        <v>127</v>
      </c>
      <c r="R4233" s="1" t="s">
        <v>158</v>
      </c>
    </row>
    <row r="4234" spans="3:18" x14ac:dyDescent="0.35">
      <c r="C4234" t="s">
        <v>53</v>
      </c>
      <c r="D4234" t="s">
        <v>92</v>
      </c>
      <c r="E4234" t="s">
        <v>45</v>
      </c>
      <c r="F4234" t="s">
        <v>46</v>
      </c>
      <c r="G4234" s="58">
        <v>167166</v>
      </c>
      <c r="H4234" s="1" t="s">
        <v>59</v>
      </c>
      <c r="I4234" s="1" t="s">
        <v>111</v>
      </c>
      <c r="J4234" s="58">
        <v>3008988</v>
      </c>
      <c r="K4234" s="1" t="s">
        <v>106</v>
      </c>
      <c r="L4234" s="1" t="s">
        <v>120</v>
      </c>
      <c r="N4234" s="1">
        <v>1</v>
      </c>
      <c r="O4234" s="58"/>
      <c r="P4234" s="58">
        <v>135404.46</v>
      </c>
      <c r="Q4234" t="s">
        <v>127</v>
      </c>
      <c r="R4234" s="1" t="s">
        <v>158</v>
      </c>
    </row>
    <row r="4235" spans="3:18" x14ac:dyDescent="0.35">
      <c r="C4235" t="s">
        <v>51</v>
      </c>
      <c r="D4235" t="s">
        <v>21</v>
      </c>
      <c r="E4235" t="s">
        <v>45</v>
      </c>
      <c r="F4235" t="s">
        <v>46</v>
      </c>
      <c r="G4235" s="58">
        <v>130073</v>
      </c>
      <c r="H4235" s="1" t="s">
        <v>48</v>
      </c>
      <c r="I4235" s="1" t="s">
        <v>108</v>
      </c>
      <c r="J4235" s="58">
        <v>4552555</v>
      </c>
      <c r="K4235" s="1" t="s">
        <v>106</v>
      </c>
      <c r="L4235" s="1" t="s">
        <v>114</v>
      </c>
      <c r="M4235" s="1" t="s">
        <v>126</v>
      </c>
      <c r="N4235" s="1">
        <v>1</v>
      </c>
      <c r="O4235" s="58"/>
      <c r="P4235" s="58">
        <v>76743.070000000007</v>
      </c>
      <c r="Q4235" t="s">
        <v>113</v>
      </c>
      <c r="R4235" s="1" t="s">
        <v>158</v>
      </c>
    </row>
    <row r="4236" spans="3:18" x14ac:dyDescent="0.35">
      <c r="C4236" t="s">
        <v>51</v>
      </c>
      <c r="D4236" t="s">
        <v>21</v>
      </c>
      <c r="E4236" t="s">
        <v>55</v>
      </c>
      <c r="F4236" t="s">
        <v>64</v>
      </c>
      <c r="G4236" s="58">
        <v>1053565</v>
      </c>
      <c r="H4236" s="1" t="s">
        <v>48</v>
      </c>
      <c r="I4236" s="1" t="s">
        <v>108</v>
      </c>
      <c r="J4236" s="58">
        <v>32660515</v>
      </c>
      <c r="K4236" s="1" t="s">
        <v>112</v>
      </c>
      <c r="N4236" s="1">
        <v>1</v>
      </c>
      <c r="O4236" s="58"/>
      <c r="P4236" s="58">
        <v>748031.15</v>
      </c>
      <c r="Q4236" t="s">
        <v>118</v>
      </c>
      <c r="R4236" s="1" t="s">
        <v>48</v>
      </c>
    </row>
    <row r="4237" spans="3:18" x14ac:dyDescent="0.35">
      <c r="C4237" t="s">
        <v>51</v>
      </c>
      <c r="D4237" t="s">
        <v>21</v>
      </c>
      <c r="E4237" t="s">
        <v>49</v>
      </c>
      <c r="F4237" t="s">
        <v>46</v>
      </c>
      <c r="G4237" s="58">
        <v>27935</v>
      </c>
      <c r="H4237" s="1" t="s">
        <v>48</v>
      </c>
      <c r="I4237" s="1" t="s">
        <v>105</v>
      </c>
      <c r="J4237" s="58"/>
      <c r="K4237" s="1" t="s">
        <v>106</v>
      </c>
      <c r="L4237" s="1" t="s">
        <v>124</v>
      </c>
      <c r="M4237" s="1" t="s">
        <v>126</v>
      </c>
      <c r="N4237" s="1">
        <v>0</v>
      </c>
      <c r="O4237" s="58"/>
      <c r="P4237" s="58">
        <v>1117.4000000000001</v>
      </c>
      <c r="Q4237" t="s">
        <v>107</v>
      </c>
      <c r="R4237" s="1" t="s">
        <v>158</v>
      </c>
    </row>
    <row r="4238" spans="3:18" x14ac:dyDescent="0.35">
      <c r="C4238" t="s">
        <v>53</v>
      </c>
      <c r="D4238" t="s">
        <v>21</v>
      </c>
      <c r="E4238" t="s">
        <v>55</v>
      </c>
      <c r="F4238" t="s">
        <v>46</v>
      </c>
      <c r="G4238" s="58">
        <v>311189</v>
      </c>
      <c r="H4238" s="1" t="s">
        <v>59</v>
      </c>
      <c r="I4238" s="1" t="s">
        <v>119</v>
      </c>
      <c r="J4238" s="58">
        <v>2489512</v>
      </c>
      <c r="K4238" s="1" t="s">
        <v>106</v>
      </c>
      <c r="L4238" s="1" t="s">
        <v>114</v>
      </c>
      <c r="N4238" s="1">
        <v>1</v>
      </c>
      <c r="O4238" s="58"/>
      <c r="P4238" s="58">
        <v>149370.72</v>
      </c>
      <c r="Q4238" t="s">
        <v>113</v>
      </c>
      <c r="R4238" s="1" t="s">
        <v>158</v>
      </c>
    </row>
    <row r="4239" spans="3:18" x14ac:dyDescent="0.35">
      <c r="C4239" t="s">
        <v>53</v>
      </c>
      <c r="D4239" t="s">
        <v>24</v>
      </c>
      <c r="E4239" t="s">
        <v>55</v>
      </c>
      <c r="F4239" t="s">
        <v>46</v>
      </c>
      <c r="G4239" s="58">
        <v>62881</v>
      </c>
      <c r="H4239" s="1" t="s">
        <v>56</v>
      </c>
      <c r="I4239" s="1" t="s">
        <v>108</v>
      </c>
      <c r="J4239" s="58">
        <v>1320501</v>
      </c>
      <c r="K4239" s="1" t="s">
        <v>106</v>
      </c>
      <c r="L4239" s="1" t="s">
        <v>114</v>
      </c>
      <c r="N4239" s="1">
        <v>1</v>
      </c>
      <c r="O4239" s="58"/>
      <c r="P4239" s="58">
        <v>30811.69</v>
      </c>
      <c r="Q4239" t="s">
        <v>113</v>
      </c>
      <c r="R4239" s="1" t="s">
        <v>158</v>
      </c>
    </row>
    <row r="4240" spans="3:18" x14ac:dyDescent="0.35">
      <c r="C4240" t="s">
        <v>51</v>
      </c>
      <c r="D4240" t="s">
        <v>92</v>
      </c>
      <c r="E4240" t="s">
        <v>55</v>
      </c>
      <c r="F4240" t="s">
        <v>46</v>
      </c>
      <c r="G4240" s="58">
        <v>986723</v>
      </c>
      <c r="H4240" s="1" t="s">
        <v>48</v>
      </c>
      <c r="I4240" s="1" t="s">
        <v>108</v>
      </c>
      <c r="J4240" s="58">
        <v>37495474</v>
      </c>
      <c r="K4240" s="1" t="s">
        <v>112</v>
      </c>
      <c r="N4240" s="1">
        <v>1</v>
      </c>
      <c r="O4240" s="58"/>
      <c r="P4240" s="58">
        <v>858449.01</v>
      </c>
      <c r="Q4240" t="s">
        <v>127</v>
      </c>
      <c r="R4240" s="1" t="s">
        <v>48</v>
      </c>
    </row>
    <row r="4241" spans="3:18" x14ac:dyDescent="0.35">
      <c r="C4241" t="s">
        <v>53</v>
      </c>
      <c r="D4241" t="s">
        <v>22</v>
      </c>
      <c r="E4241" t="s">
        <v>45</v>
      </c>
      <c r="F4241" t="s">
        <v>46</v>
      </c>
      <c r="G4241" s="58">
        <v>102270</v>
      </c>
      <c r="H4241" s="1" t="s">
        <v>56</v>
      </c>
      <c r="I4241" s="1" t="s">
        <v>111</v>
      </c>
      <c r="J4241" s="58">
        <v>1431780</v>
      </c>
      <c r="K4241" s="1" t="s">
        <v>106</v>
      </c>
      <c r="L4241" s="1" t="s">
        <v>120</v>
      </c>
      <c r="N4241" s="1">
        <v>1</v>
      </c>
      <c r="O4241" s="58"/>
      <c r="P4241" s="58">
        <v>17385.900000000001</v>
      </c>
      <c r="Q4241" t="s">
        <v>107</v>
      </c>
      <c r="R4241" s="1" t="s">
        <v>158</v>
      </c>
    </row>
    <row r="4242" spans="3:18" x14ac:dyDescent="0.35">
      <c r="C4242" t="s">
        <v>51</v>
      </c>
      <c r="D4242" t="s">
        <v>21</v>
      </c>
      <c r="E4242" t="s">
        <v>49</v>
      </c>
      <c r="F4242" t="s">
        <v>46</v>
      </c>
      <c r="G4242" s="58">
        <v>658798</v>
      </c>
      <c r="H4242" s="1" t="s">
        <v>48</v>
      </c>
      <c r="I4242" s="1" t="s">
        <v>111</v>
      </c>
      <c r="J4242" s="58">
        <v>9881970</v>
      </c>
      <c r="K4242" s="1" t="s">
        <v>106</v>
      </c>
      <c r="L4242" s="1" t="s">
        <v>120</v>
      </c>
      <c r="M4242" s="1" t="s">
        <v>125</v>
      </c>
      <c r="N4242" s="1">
        <v>1</v>
      </c>
      <c r="O4242" s="58"/>
      <c r="P4242" s="58">
        <v>151523.54</v>
      </c>
      <c r="Q4242" t="s">
        <v>107</v>
      </c>
      <c r="R4242" s="1" t="s">
        <v>48</v>
      </c>
    </row>
    <row r="4243" spans="3:18" x14ac:dyDescent="0.35">
      <c r="C4243" t="s">
        <v>51</v>
      </c>
      <c r="D4243" t="s">
        <v>24</v>
      </c>
      <c r="E4243" t="s">
        <v>50</v>
      </c>
      <c r="F4243" t="s">
        <v>46</v>
      </c>
      <c r="G4243" s="58">
        <v>520346</v>
      </c>
      <c r="H4243" s="1" t="s">
        <v>54</v>
      </c>
      <c r="I4243" s="1" t="s">
        <v>105</v>
      </c>
      <c r="J4243" s="58">
        <v>1561038</v>
      </c>
      <c r="K4243" s="1" t="s">
        <v>106</v>
      </c>
      <c r="L4243" s="1" t="s">
        <v>109</v>
      </c>
      <c r="N4243" s="1">
        <v>1</v>
      </c>
      <c r="O4243" s="58"/>
      <c r="P4243" s="58">
        <v>57238.06</v>
      </c>
      <c r="Q4243" t="s">
        <v>107</v>
      </c>
      <c r="R4243" s="1" t="s">
        <v>158</v>
      </c>
    </row>
    <row r="4244" spans="3:18" x14ac:dyDescent="0.35">
      <c r="C4244" t="s">
        <v>51</v>
      </c>
      <c r="D4244" t="s">
        <v>21</v>
      </c>
      <c r="E4244" t="s">
        <v>49</v>
      </c>
      <c r="F4244" t="s">
        <v>46</v>
      </c>
      <c r="G4244" s="58">
        <v>817798526</v>
      </c>
      <c r="H4244" s="1" t="s">
        <v>48</v>
      </c>
      <c r="I4244" s="1" t="s">
        <v>108</v>
      </c>
      <c r="J4244" s="58">
        <v>23716157254</v>
      </c>
      <c r="K4244" s="1" t="s">
        <v>106</v>
      </c>
      <c r="L4244" s="1" t="s">
        <v>124</v>
      </c>
      <c r="M4244" s="1" t="s">
        <v>126</v>
      </c>
      <c r="N4244" s="1">
        <v>1</v>
      </c>
      <c r="O4244" s="58"/>
      <c r="P4244" s="58">
        <v>417077248.25999999</v>
      </c>
      <c r="Q4244" t="s">
        <v>113</v>
      </c>
      <c r="R4244" s="1" t="s">
        <v>158</v>
      </c>
    </row>
    <row r="4245" spans="3:18" x14ac:dyDescent="0.35">
      <c r="C4245" t="s">
        <v>51</v>
      </c>
      <c r="D4245" t="s">
        <v>92</v>
      </c>
      <c r="E4245" t="s">
        <v>49</v>
      </c>
      <c r="F4245" t="s">
        <v>46</v>
      </c>
      <c r="G4245" s="58">
        <v>1488030</v>
      </c>
      <c r="H4245" s="1" t="s">
        <v>56</v>
      </c>
      <c r="I4245" s="1" t="s">
        <v>108</v>
      </c>
      <c r="J4245" s="58">
        <v>50593020</v>
      </c>
      <c r="K4245" s="1" t="s">
        <v>112</v>
      </c>
      <c r="N4245" s="1">
        <v>1</v>
      </c>
      <c r="O4245" s="58"/>
      <c r="P4245" s="58">
        <v>1190424</v>
      </c>
      <c r="Q4245" t="s">
        <v>127</v>
      </c>
      <c r="R4245" s="1" t="s">
        <v>158</v>
      </c>
    </row>
    <row r="4246" spans="3:18" x14ac:dyDescent="0.35">
      <c r="C4246" t="s">
        <v>51</v>
      </c>
      <c r="D4246" t="s">
        <v>21</v>
      </c>
      <c r="E4246" t="s">
        <v>49</v>
      </c>
      <c r="F4246" t="s">
        <v>46</v>
      </c>
      <c r="G4246" s="58">
        <v>1060546</v>
      </c>
      <c r="H4246" s="1" t="s">
        <v>59</v>
      </c>
      <c r="I4246" s="1" t="s">
        <v>108</v>
      </c>
      <c r="J4246" s="58">
        <v>25453104</v>
      </c>
      <c r="K4246" s="1" t="s">
        <v>106</v>
      </c>
      <c r="L4246" s="1" t="s">
        <v>120</v>
      </c>
      <c r="N4246" s="1">
        <v>1</v>
      </c>
      <c r="O4246" s="58"/>
      <c r="P4246" s="58">
        <v>562089.38</v>
      </c>
      <c r="Q4246" t="s">
        <v>113</v>
      </c>
      <c r="R4246" s="1" t="s">
        <v>158</v>
      </c>
    </row>
    <row r="4247" spans="3:18" x14ac:dyDescent="0.35">
      <c r="C4247" t="s">
        <v>53</v>
      </c>
      <c r="D4247" t="s">
        <v>21</v>
      </c>
      <c r="E4247" t="s">
        <v>49</v>
      </c>
      <c r="F4247" t="s">
        <v>46</v>
      </c>
      <c r="G4247" s="58">
        <v>5769341</v>
      </c>
      <c r="H4247" s="1" t="s">
        <v>56</v>
      </c>
      <c r="I4247" s="1" t="s">
        <v>119</v>
      </c>
      <c r="J4247" s="58">
        <v>40385387</v>
      </c>
      <c r="K4247" s="1" t="s">
        <v>106</v>
      </c>
      <c r="L4247" s="1" t="s">
        <v>124</v>
      </c>
      <c r="N4247" s="1">
        <v>1</v>
      </c>
      <c r="O4247" s="58"/>
      <c r="P4247" s="58">
        <v>2826977.09</v>
      </c>
      <c r="Q4247" t="s">
        <v>113</v>
      </c>
      <c r="R4247" s="1" t="s">
        <v>158</v>
      </c>
    </row>
    <row r="4248" spans="3:18" x14ac:dyDescent="0.35">
      <c r="C4248" t="s">
        <v>51</v>
      </c>
      <c r="D4248" t="s">
        <v>25</v>
      </c>
      <c r="E4248" t="s">
        <v>55</v>
      </c>
      <c r="F4248" t="s">
        <v>46</v>
      </c>
      <c r="G4248" s="58">
        <v>535145</v>
      </c>
      <c r="H4248" s="1" t="s">
        <v>48</v>
      </c>
      <c r="I4248" s="1" t="s">
        <v>108</v>
      </c>
      <c r="J4248" s="58">
        <v>17124640</v>
      </c>
      <c r="K4248" s="1" t="s">
        <v>106</v>
      </c>
      <c r="L4248" s="1" t="s">
        <v>114</v>
      </c>
      <c r="M4248" s="1" t="s">
        <v>117</v>
      </c>
      <c r="N4248" s="1">
        <v>1</v>
      </c>
      <c r="O4248" s="58"/>
      <c r="P4248" s="58">
        <v>353195.7</v>
      </c>
      <c r="Q4248" t="s">
        <v>118</v>
      </c>
      <c r="R4248" s="1" t="s">
        <v>158</v>
      </c>
    </row>
    <row r="4249" spans="3:18" x14ac:dyDescent="0.35">
      <c r="C4249" t="s">
        <v>51</v>
      </c>
      <c r="D4249" t="s">
        <v>19</v>
      </c>
      <c r="E4249" t="s">
        <v>49</v>
      </c>
      <c r="F4249" t="s">
        <v>46</v>
      </c>
      <c r="G4249" s="58">
        <v>14292767</v>
      </c>
      <c r="H4249" s="1" t="s">
        <v>56</v>
      </c>
      <c r="I4249" s="1" t="s">
        <v>108</v>
      </c>
      <c r="J4249" s="58">
        <v>400197476</v>
      </c>
      <c r="K4249" s="1" t="s">
        <v>106</v>
      </c>
      <c r="L4249" s="1" t="s">
        <v>124</v>
      </c>
      <c r="N4249" s="1">
        <v>1</v>
      </c>
      <c r="O4249" s="58"/>
      <c r="P4249" s="58">
        <v>4144902.43</v>
      </c>
      <c r="Q4249" t="s">
        <v>107</v>
      </c>
      <c r="R4249" s="1" t="s">
        <v>158</v>
      </c>
    </row>
    <row r="4250" spans="3:18" x14ac:dyDescent="0.35">
      <c r="C4250" t="s">
        <v>51</v>
      </c>
      <c r="D4250" t="s">
        <v>20</v>
      </c>
      <c r="E4250" t="s">
        <v>49</v>
      </c>
      <c r="F4250" t="s">
        <v>46</v>
      </c>
      <c r="G4250" s="58">
        <v>137519</v>
      </c>
      <c r="H4250" s="1" t="s">
        <v>48</v>
      </c>
      <c r="I4250" s="1" t="s">
        <v>111</v>
      </c>
      <c r="J4250" s="58">
        <v>1512709</v>
      </c>
      <c r="K4250" s="1" t="s">
        <v>106</v>
      </c>
      <c r="L4250" s="1" t="s">
        <v>120</v>
      </c>
      <c r="M4250" s="1" t="s">
        <v>122</v>
      </c>
      <c r="N4250" s="1">
        <v>1</v>
      </c>
      <c r="O4250" s="58"/>
      <c r="P4250" s="58">
        <v>27503.8</v>
      </c>
      <c r="Q4250" t="s">
        <v>107</v>
      </c>
      <c r="R4250" s="1" t="s">
        <v>48</v>
      </c>
    </row>
    <row r="4251" spans="3:18" x14ac:dyDescent="0.35">
      <c r="C4251" t="s">
        <v>53</v>
      </c>
      <c r="D4251" t="s">
        <v>20</v>
      </c>
      <c r="E4251" t="s">
        <v>49</v>
      </c>
      <c r="F4251" t="s">
        <v>46</v>
      </c>
      <c r="G4251" s="58">
        <v>1372954</v>
      </c>
      <c r="H4251" s="1" t="s">
        <v>48</v>
      </c>
      <c r="I4251" s="1" t="s">
        <v>119</v>
      </c>
      <c r="J4251" s="58">
        <v>13729540</v>
      </c>
      <c r="K4251" s="1" t="s">
        <v>106</v>
      </c>
      <c r="L4251" s="1" t="s">
        <v>120</v>
      </c>
      <c r="M4251" s="1" t="s">
        <v>123</v>
      </c>
      <c r="N4251" s="1">
        <v>1</v>
      </c>
      <c r="O4251" s="58"/>
      <c r="P4251" s="58">
        <v>755124.7</v>
      </c>
      <c r="Q4251" t="s">
        <v>113</v>
      </c>
      <c r="R4251" s="1" t="s">
        <v>158</v>
      </c>
    </row>
    <row r="4252" spans="3:18" x14ac:dyDescent="0.35">
      <c r="C4252" t="s">
        <v>51</v>
      </c>
      <c r="D4252" t="s">
        <v>24</v>
      </c>
      <c r="E4252" t="s">
        <v>55</v>
      </c>
      <c r="F4252" t="s">
        <v>46</v>
      </c>
      <c r="G4252" s="58">
        <v>59473</v>
      </c>
      <c r="H4252" s="1" t="s">
        <v>56</v>
      </c>
      <c r="I4252" s="1" t="s">
        <v>119</v>
      </c>
      <c r="J4252" s="58">
        <v>416311</v>
      </c>
      <c r="K4252" s="1" t="s">
        <v>106</v>
      </c>
      <c r="L4252" s="1" t="s">
        <v>114</v>
      </c>
      <c r="N4252" s="1">
        <v>1</v>
      </c>
      <c r="O4252" s="58"/>
      <c r="P4252" s="58">
        <v>37467.99</v>
      </c>
      <c r="Q4252" t="s">
        <v>118</v>
      </c>
      <c r="R4252" s="1" t="s">
        <v>158</v>
      </c>
    </row>
    <row r="4253" spans="3:18" x14ac:dyDescent="0.35">
      <c r="C4253" t="s">
        <v>51</v>
      </c>
      <c r="D4253" t="s">
        <v>23</v>
      </c>
      <c r="E4253" t="s">
        <v>55</v>
      </c>
      <c r="F4253" t="s">
        <v>46</v>
      </c>
      <c r="G4253" s="58">
        <v>559350</v>
      </c>
      <c r="H4253" s="1" t="s">
        <v>48</v>
      </c>
      <c r="I4253" s="1" t="s">
        <v>111</v>
      </c>
      <c r="J4253" s="58">
        <v>8949600</v>
      </c>
      <c r="K4253" s="1" t="s">
        <v>106</v>
      </c>
      <c r="L4253" s="1" t="s">
        <v>120</v>
      </c>
      <c r="M4253" s="1" t="s">
        <v>125</v>
      </c>
      <c r="N4253" s="1">
        <v>1</v>
      </c>
      <c r="O4253" s="58"/>
      <c r="P4253" s="58">
        <v>380358</v>
      </c>
      <c r="Q4253" t="s">
        <v>118</v>
      </c>
      <c r="R4253" s="1" t="s">
        <v>48</v>
      </c>
    </row>
    <row r="4254" spans="3:18" x14ac:dyDescent="0.35">
      <c r="C4254" t="s">
        <v>51</v>
      </c>
      <c r="D4254" t="s">
        <v>22</v>
      </c>
      <c r="E4254" t="s">
        <v>45</v>
      </c>
      <c r="F4254" t="s">
        <v>46</v>
      </c>
      <c r="G4254" s="58">
        <v>67738512</v>
      </c>
      <c r="H4254" s="1" t="s">
        <v>47</v>
      </c>
      <c r="I4254" s="1" t="s">
        <v>105</v>
      </c>
      <c r="J4254" s="58">
        <v>203215536</v>
      </c>
      <c r="K4254" s="1" t="s">
        <v>106</v>
      </c>
      <c r="L4254" s="1" t="s">
        <v>120</v>
      </c>
      <c r="N4254" s="1">
        <v>1</v>
      </c>
      <c r="O4254" s="58"/>
      <c r="P4254" s="58">
        <v>32514485.760000002</v>
      </c>
      <c r="Q4254" t="s">
        <v>113</v>
      </c>
      <c r="R4254" s="1" t="s">
        <v>158</v>
      </c>
    </row>
    <row r="4255" spans="3:18" x14ac:dyDescent="0.35">
      <c r="C4255" t="s">
        <v>51</v>
      </c>
      <c r="D4255" t="s">
        <v>20</v>
      </c>
      <c r="E4255" t="s">
        <v>49</v>
      </c>
      <c r="F4255" t="s">
        <v>46</v>
      </c>
      <c r="G4255" s="58">
        <v>8466577</v>
      </c>
      <c r="H4255" s="1" t="s">
        <v>59</v>
      </c>
      <c r="I4255" s="1" t="s">
        <v>111</v>
      </c>
      <c r="J4255" s="58">
        <v>143931809</v>
      </c>
      <c r="K4255" s="1" t="s">
        <v>106</v>
      </c>
      <c r="L4255" s="1" t="s">
        <v>124</v>
      </c>
      <c r="N4255" s="1">
        <v>1</v>
      </c>
      <c r="O4255" s="58"/>
      <c r="P4255" s="58">
        <v>5672606.5899999999</v>
      </c>
      <c r="Q4255" t="s">
        <v>118</v>
      </c>
      <c r="R4255" s="1" t="s">
        <v>158</v>
      </c>
    </row>
    <row r="4256" spans="3:18" x14ac:dyDescent="0.35">
      <c r="C4256" t="s">
        <v>51</v>
      </c>
      <c r="D4256" t="s">
        <v>91</v>
      </c>
      <c r="E4256" t="s">
        <v>49</v>
      </c>
      <c r="F4256" t="s">
        <v>46</v>
      </c>
      <c r="G4256" s="58">
        <v>1214353</v>
      </c>
      <c r="H4256" s="1" t="s">
        <v>47</v>
      </c>
      <c r="I4256" s="1" t="s">
        <v>108</v>
      </c>
      <c r="J4256" s="58">
        <v>31573178</v>
      </c>
      <c r="K4256" s="1" t="s">
        <v>106</v>
      </c>
      <c r="L4256" s="1" t="s">
        <v>114</v>
      </c>
      <c r="N4256" s="1">
        <v>1</v>
      </c>
      <c r="O4256" s="58"/>
      <c r="P4256" s="58">
        <v>364305.9</v>
      </c>
      <c r="Q4256" t="s">
        <v>107</v>
      </c>
      <c r="R4256" s="1" t="s">
        <v>158</v>
      </c>
    </row>
    <row r="4257" spans="3:18" x14ac:dyDescent="0.35">
      <c r="C4257" t="s">
        <v>51</v>
      </c>
      <c r="D4257" t="s">
        <v>21</v>
      </c>
      <c r="E4257" t="s">
        <v>49</v>
      </c>
      <c r="F4257" t="s">
        <v>46</v>
      </c>
      <c r="G4257" s="58">
        <v>75223</v>
      </c>
      <c r="H4257" s="1" t="s">
        <v>48</v>
      </c>
      <c r="I4257" s="1" t="s">
        <v>105</v>
      </c>
      <c r="J4257" s="58">
        <v>376115</v>
      </c>
      <c r="K4257" s="1" t="s">
        <v>106</v>
      </c>
      <c r="L4257" s="1" t="s">
        <v>120</v>
      </c>
      <c r="M4257" s="1" t="s">
        <v>115</v>
      </c>
      <c r="N4257" s="1">
        <v>1</v>
      </c>
      <c r="O4257" s="58"/>
      <c r="P4257" s="58">
        <v>10531.22</v>
      </c>
      <c r="Q4257" t="s">
        <v>107</v>
      </c>
      <c r="R4257" s="1" t="s">
        <v>48</v>
      </c>
    </row>
    <row r="4258" spans="3:18" x14ac:dyDescent="0.35">
      <c r="C4258" t="s">
        <v>53</v>
      </c>
      <c r="D4258" t="s">
        <v>92</v>
      </c>
      <c r="E4258" t="s">
        <v>45</v>
      </c>
      <c r="F4258" t="s">
        <v>46</v>
      </c>
      <c r="G4258" s="58">
        <v>22914110</v>
      </c>
      <c r="H4258" s="1" t="s">
        <v>48</v>
      </c>
      <c r="I4258" s="1" t="s">
        <v>119</v>
      </c>
      <c r="J4258" s="58">
        <v>160398770</v>
      </c>
      <c r="K4258" s="1" t="s">
        <v>106</v>
      </c>
      <c r="L4258" s="1" t="s">
        <v>120</v>
      </c>
      <c r="M4258" s="1" t="s">
        <v>123</v>
      </c>
      <c r="N4258" s="1">
        <v>1</v>
      </c>
      <c r="O4258" s="58"/>
      <c r="P4258" s="58">
        <v>11686196.1</v>
      </c>
      <c r="Q4258" t="s">
        <v>113</v>
      </c>
      <c r="R4258" s="1" t="s">
        <v>158</v>
      </c>
    </row>
    <row r="4259" spans="3:18" x14ac:dyDescent="0.35">
      <c r="C4259" t="s">
        <v>53</v>
      </c>
      <c r="D4259" t="s">
        <v>25</v>
      </c>
      <c r="E4259" t="s">
        <v>55</v>
      </c>
      <c r="F4259" t="s">
        <v>46</v>
      </c>
      <c r="G4259" s="58">
        <v>708465</v>
      </c>
      <c r="H4259" s="1" t="s">
        <v>54</v>
      </c>
      <c r="I4259" s="1" t="s">
        <v>119</v>
      </c>
      <c r="J4259" s="58">
        <v>4959255</v>
      </c>
      <c r="K4259" s="1" t="s">
        <v>106</v>
      </c>
      <c r="L4259" s="1" t="s">
        <v>114</v>
      </c>
      <c r="N4259" s="1">
        <v>1</v>
      </c>
      <c r="O4259" s="58"/>
      <c r="P4259" s="58">
        <v>439248.3</v>
      </c>
      <c r="Q4259" t="s">
        <v>118</v>
      </c>
      <c r="R4259" s="1" t="s">
        <v>158</v>
      </c>
    </row>
    <row r="4260" spans="3:18" x14ac:dyDescent="0.35">
      <c r="C4260" t="s">
        <v>51</v>
      </c>
      <c r="D4260" t="s">
        <v>24</v>
      </c>
      <c r="E4260" t="s">
        <v>50</v>
      </c>
      <c r="F4260" t="s">
        <v>46</v>
      </c>
      <c r="G4260" s="58">
        <v>4063443</v>
      </c>
      <c r="H4260" s="1" t="s">
        <v>48</v>
      </c>
      <c r="I4260" s="1" t="s">
        <v>111</v>
      </c>
      <c r="J4260" s="58">
        <v>65015088</v>
      </c>
      <c r="K4260" s="1" t="s">
        <v>106</v>
      </c>
      <c r="L4260" s="1" t="s">
        <v>109</v>
      </c>
      <c r="M4260" s="1" t="s">
        <v>121</v>
      </c>
      <c r="N4260" s="1">
        <v>1</v>
      </c>
      <c r="O4260" s="58"/>
      <c r="P4260" s="58">
        <v>2031721.5</v>
      </c>
      <c r="Q4260" t="s">
        <v>113</v>
      </c>
      <c r="R4260" s="1" t="s">
        <v>158</v>
      </c>
    </row>
    <row r="4261" spans="3:18" x14ac:dyDescent="0.35">
      <c r="C4261" t="s">
        <v>53</v>
      </c>
      <c r="D4261" t="s">
        <v>21</v>
      </c>
      <c r="E4261" t="s">
        <v>55</v>
      </c>
      <c r="F4261" t="s">
        <v>46</v>
      </c>
      <c r="G4261" s="58">
        <v>185256</v>
      </c>
      <c r="H4261" s="1" t="s">
        <v>56</v>
      </c>
      <c r="I4261" s="1" t="s">
        <v>111</v>
      </c>
      <c r="J4261" s="58">
        <v>2037816</v>
      </c>
      <c r="K4261" s="1" t="s">
        <v>106</v>
      </c>
      <c r="L4261" s="1" t="s">
        <v>114</v>
      </c>
      <c r="N4261" s="1">
        <v>1</v>
      </c>
      <c r="O4261" s="58"/>
      <c r="P4261" s="58">
        <v>142647.12</v>
      </c>
      <c r="Q4261" t="s">
        <v>118</v>
      </c>
      <c r="R4261" s="1" t="s">
        <v>158</v>
      </c>
    </row>
    <row r="4262" spans="3:18" x14ac:dyDescent="0.35">
      <c r="C4262" t="s">
        <v>51</v>
      </c>
      <c r="D4262" t="s">
        <v>24</v>
      </c>
      <c r="E4262" t="s">
        <v>45</v>
      </c>
      <c r="F4262" t="s">
        <v>46</v>
      </c>
      <c r="G4262" s="58">
        <v>268544</v>
      </c>
      <c r="H4262" s="1" t="s">
        <v>59</v>
      </c>
      <c r="I4262" s="1" t="s">
        <v>108</v>
      </c>
      <c r="J4262" s="58">
        <v>9667584</v>
      </c>
      <c r="K4262" s="1" t="s">
        <v>112</v>
      </c>
      <c r="N4262" s="1">
        <v>1</v>
      </c>
      <c r="O4262" s="58"/>
      <c r="P4262" s="58">
        <v>126215.67999999999</v>
      </c>
      <c r="Q4262" t="s">
        <v>113</v>
      </c>
      <c r="R4262" s="1" t="s">
        <v>158</v>
      </c>
    </row>
    <row r="4263" spans="3:18" x14ac:dyDescent="0.35">
      <c r="C4263" t="s">
        <v>53</v>
      </c>
      <c r="D4263" t="s">
        <v>22</v>
      </c>
      <c r="E4263" t="s">
        <v>55</v>
      </c>
      <c r="F4263" t="s">
        <v>46</v>
      </c>
      <c r="G4263" s="58">
        <v>782524</v>
      </c>
      <c r="H4263" s="1" t="s">
        <v>54</v>
      </c>
      <c r="I4263" s="1" t="s">
        <v>119</v>
      </c>
      <c r="J4263" s="58">
        <v>6260192</v>
      </c>
      <c r="K4263" s="1" t="s">
        <v>112</v>
      </c>
      <c r="N4263" s="1">
        <v>1</v>
      </c>
      <c r="O4263" s="58"/>
      <c r="P4263" s="58">
        <v>399087.24</v>
      </c>
      <c r="Q4263" t="s">
        <v>113</v>
      </c>
      <c r="R4263" s="1" t="s">
        <v>158</v>
      </c>
    </row>
    <row r="4264" spans="3:18" x14ac:dyDescent="0.35">
      <c r="C4264" t="s">
        <v>51</v>
      </c>
      <c r="D4264" t="s">
        <v>23</v>
      </c>
      <c r="E4264" t="s">
        <v>50</v>
      </c>
      <c r="F4264" t="s">
        <v>46</v>
      </c>
      <c r="G4264" s="58">
        <v>218215</v>
      </c>
      <c r="H4264" s="1" t="s">
        <v>48</v>
      </c>
      <c r="I4264" s="1" t="s">
        <v>111</v>
      </c>
      <c r="J4264" s="58">
        <v>3273225</v>
      </c>
      <c r="K4264" s="1" t="s">
        <v>106</v>
      </c>
      <c r="L4264" s="1" t="s">
        <v>120</v>
      </c>
      <c r="M4264" s="1" t="s">
        <v>125</v>
      </c>
      <c r="N4264" s="1">
        <v>1</v>
      </c>
      <c r="O4264" s="58"/>
      <c r="P4264" s="58">
        <v>78557.399999999994</v>
      </c>
      <c r="Q4264" t="s">
        <v>107</v>
      </c>
      <c r="R4264" s="1" t="s">
        <v>48</v>
      </c>
    </row>
    <row r="4265" spans="3:18" x14ac:dyDescent="0.35">
      <c r="C4265" t="s">
        <v>51</v>
      </c>
      <c r="D4265" t="s">
        <v>24</v>
      </c>
      <c r="E4265" t="s">
        <v>55</v>
      </c>
      <c r="F4265" t="s">
        <v>46</v>
      </c>
      <c r="G4265" s="58">
        <v>4327051</v>
      </c>
      <c r="H4265" s="1" t="s">
        <v>47</v>
      </c>
      <c r="I4265" s="1" t="s">
        <v>108</v>
      </c>
      <c r="J4265" s="58">
        <v>121157428</v>
      </c>
      <c r="K4265" s="1" t="s">
        <v>106</v>
      </c>
      <c r="L4265" s="1" t="s">
        <v>124</v>
      </c>
      <c r="N4265" s="1">
        <v>1</v>
      </c>
      <c r="O4265" s="58"/>
      <c r="P4265" s="58">
        <v>2336607.54</v>
      </c>
      <c r="Q4265" t="s">
        <v>113</v>
      </c>
      <c r="R4265" s="1" t="s">
        <v>158</v>
      </c>
    </row>
    <row r="4266" spans="3:18" x14ac:dyDescent="0.35">
      <c r="C4266" t="s">
        <v>51</v>
      </c>
      <c r="D4266" t="s">
        <v>22</v>
      </c>
      <c r="E4266" t="s">
        <v>49</v>
      </c>
      <c r="F4266" t="s">
        <v>46</v>
      </c>
      <c r="G4266" s="58">
        <v>640000</v>
      </c>
      <c r="H4266" s="1" t="s">
        <v>48</v>
      </c>
      <c r="I4266" s="1" t="s">
        <v>108</v>
      </c>
      <c r="J4266" s="58">
        <v>25600000</v>
      </c>
      <c r="K4266" s="1" t="s">
        <v>112</v>
      </c>
      <c r="N4266" s="1">
        <v>1</v>
      </c>
      <c r="O4266" s="58"/>
      <c r="P4266" s="58">
        <v>640000</v>
      </c>
      <c r="Q4266" t="s">
        <v>110</v>
      </c>
      <c r="R4266" s="1" t="s">
        <v>48</v>
      </c>
    </row>
    <row r="4267" spans="3:18" x14ac:dyDescent="0.35">
      <c r="C4267" t="s">
        <v>51</v>
      </c>
      <c r="D4267" t="s">
        <v>92</v>
      </c>
      <c r="E4267" t="s">
        <v>45</v>
      </c>
      <c r="F4267" t="s">
        <v>46</v>
      </c>
      <c r="G4267" s="58">
        <v>16871127</v>
      </c>
      <c r="H4267" s="1" t="s">
        <v>48</v>
      </c>
      <c r="I4267" s="1" t="s">
        <v>108</v>
      </c>
      <c r="J4267" s="58">
        <v>506133810</v>
      </c>
      <c r="K4267" s="1" t="s">
        <v>106</v>
      </c>
      <c r="L4267" s="1" t="s">
        <v>120</v>
      </c>
      <c r="M4267" s="1" t="s">
        <v>123</v>
      </c>
      <c r="N4267" s="1">
        <v>1</v>
      </c>
      <c r="O4267" s="58"/>
      <c r="P4267" s="58">
        <v>11472366.359999999</v>
      </c>
      <c r="Q4267" t="s">
        <v>118</v>
      </c>
      <c r="R4267" s="1" t="s">
        <v>48</v>
      </c>
    </row>
    <row r="4268" spans="3:18" x14ac:dyDescent="0.35">
      <c r="C4268" t="s">
        <v>53</v>
      </c>
      <c r="D4268" t="s">
        <v>22</v>
      </c>
      <c r="E4268" t="s">
        <v>45</v>
      </c>
      <c r="F4268" t="s">
        <v>46</v>
      </c>
      <c r="G4268" s="58">
        <v>1278962</v>
      </c>
      <c r="H4268" s="1" t="s">
        <v>56</v>
      </c>
      <c r="I4268" s="1" t="s">
        <v>105</v>
      </c>
      <c r="J4268" s="58">
        <v>3836886</v>
      </c>
      <c r="K4268" s="1" t="s">
        <v>106</v>
      </c>
      <c r="L4268" s="1" t="s">
        <v>120</v>
      </c>
      <c r="N4268" s="1">
        <v>1</v>
      </c>
      <c r="O4268" s="58"/>
      <c r="P4268" s="58">
        <v>255792.4</v>
      </c>
      <c r="Q4268" t="s">
        <v>107</v>
      </c>
      <c r="R4268" s="1" t="s">
        <v>158</v>
      </c>
    </row>
    <row r="4269" spans="3:18" x14ac:dyDescent="0.35">
      <c r="C4269" t="s">
        <v>51</v>
      </c>
      <c r="D4269" t="s">
        <v>21</v>
      </c>
      <c r="E4269" t="s">
        <v>49</v>
      </c>
      <c r="F4269" t="s">
        <v>46</v>
      </c>
      <c r="G4269" s="58">
        <v>403236967</v>
      </c>
      <c r="H4269" s="1" t="s">
        <v>59</v>
      </c>
      <c r="I4269" s="1" t="s">
        <v>108</v>
      </c>
      <c r="J4269" s="58">
        <v>11290635076</v>
      </c>
      <c r="K4269" s="1" t="s">
        <v>106</v>
      </c>
      <c r="L4269" s="1" t="s">
        <v>124</v>
      </c>
      <c r="N4269" s="1">
        <v>1</v>
      </c>
      <c r="O4269" s="58"/>
      <c r="P4269" s="58">
        <v>278233507.23000002</v>
      </c>
      <c r="Q4269" t="s">
        <v>118</v>
      </c>
      <c r="R4269" s="1" t="s">
        <v>158</v>
      </c>
    </row>
    <row r="4270" spans="3:18" x14ac:dyDescent="0.35">
      <c r="C4270" t="s">
        <v>53</v>
      </c>
      <c r="D4270" t="s">
        <v>24</v>
      </c>
      <c r="E4270" t="s">
        <v>55</v>
      </c>
      <c r="F4270" t="s">
        <v>46</v>
      </c>
      <c r="G4270" s="58">
        <v>1182309</v>
      </c>
      <c r="H4270" s="1" t="s">
        <v>47</v>
      </c>
      <c r="I4270" s="1" t="s">
        <v>111</v>
      </c>
      <c r="J4270" s="58">
        <v>20099253</v>
      </c>
      <c r="K4270" s="1" t="s">
        <v>106</v>
      </c>
      <c r="L4270" s="1" t="s">
        <v>114</v>
      </c>
      <c r="N4270" s="1">
        <v>1</v>
      </c>
      <c r="O4270" s="58"/>
      <c r="P4270" s="58">
        <v>650269.94999999995</v>
      </c>
      <c r="Q4270" t="s">
        <v>113</v>
      </c>
      <c r="R4270" s="1" t="s">
        <v>158</v>
      </c>
    </row>
    <row r="4271" spans="3:18" x14ac:dyDescent="0.35">
      <c r="C4271" t="s">
        <v>51</v>
      </c>
      <c r="D4271" t="s">
        <v>92</v>
      </c>
      <c r="E4271" t="s">
        <v>49</v>
      </c>
      <c r="F4271" t="s">
        <v>46</v>
      </c>
      <c r="G4271" s="58">
        <v>781988</v>
      </c>
      <c r="H4271" s="1" t="s">
        <v>47</v>
      </c>
      <c r="I4271" s="1" t="s">
        <v>108</v>
      </c>
      <c r="J4271" s="58">
        <v>28151568</v>
      </c>
      <c r="K4271" s="1" t="s">
        <v>112</v>
      </c>
      <c r="N4271" s="1">
        <v>1</v>
      </c>
      <c r="O4271" s="58"/>
      <c r="P4271" s="58">
        <v>649050.04</v>
      </c>
      <c r="Q4271" t="s">
        <v>127</v>
      </c>
      <c r="R4271" s="1" t="s">
        <v>158</v>
      </c>
    </row>
    <row r="4272" spans="3:18" x14ac:dyDescent="0.35">
      <c r="C4272" t="s">
        <v>51</v>
      </c>
      <c r="D4272" t="s">
        <v>91</v>
      </c>
      <c r="E4272" t="s">
        <v>49</v>
      </c>
      <c r="F4272" t="s">
        <v>46</v>
      </c>
      <c r="G4272" s="58">
        <v>143200</v>
      </c>
      <c r="H4272" s="1" t="s">
        <v>48</v>
      </c>
      <c r="I4272" s="1" t="s">
        <v>108</v>
      </c>
      <c r="J4272" s="58">
        <v>4582400</v>
      </c>
      <c r="K4272" s="1" t="s">
        <v>106</v>
      </c>
      <c r="L4272" s="1" t="s">
        <v>124</v>
      </c>
      <c r="M4272" s="1" t="s">
        <v>123</v>
      </c>
      <c r="N4272" s="1">
        <v>1</v>
      </c>
      <c r="O4272" s="58"/>
      <c r="P4272" s="58">
        <v>58712</v>
      </c>
      <c r="Q4272" t="s">
        <v>113</v>
      </c>
      <c r="R4272" s="1" t="s">
        <v>48</v>
      </c>
    </row>
    <row r="4273" spans="3:18" x14ac:dyDescent="0.35">
      <c r="C4273" t="s">
        <v>53</v>
      </c>
      <c r="D4273" t="s">
        <v>19</v>
      </c>
      <c r="E4273" t="s">
        <v>45</v>
      </c>
      <c r="F4273" t="s">
        <v>46</v>
      </c>
      <c r="G4273" s="58">
        <v>2112225</v>
      </c>
      <c r="H4273" s="1" t="s">
        <v>54</v>
      </c>
      <c r="I4273" s="1" t="s">
        <v>119</v>
      </c>
      <c r="J4273" s="58">
        <v>14785575</v>
      </c>
      <c r="K4273" s="1" t="s">
        <v>106</v>
      </c>
      <c r="L4273" s="1" t="s">
        <v>120</v>
      </c>
      <c r="N4273" s="1">
        <v>1</v>
      </c>
      <c r="O4273" s="58"/>
      <c r="P4273" s="58">
        <v>718156.5</v>
      </c>
      <c r="Q4273" t="s">
        <v>107</v>
      </c>
      <c r="R4273" s="1" t="s">
        <v>158</v>
      </c>
    </row>
    <row r="4274" spans="3:18" x14ac:dyDescent="0.35">
      <c r="C4274" t="s">
        <v>51</v>
      </c>
      <c r="D4274" t="s">
        <v>21</v>
      </c>
      <c r="E4274" t="s">
        <v>49</v>
      </c>
      <c r="F4274" t="s">
        <v>46</v>
      </c>
      <c r="G4274" s="58">
        <v>93421</v>
      </c>
      <c r="H4274" s="1" t="s">
        <v>48</v>
      </c>
      <c r="I4274" s="1" t="s">
        <v>111</v>
      </c>
      <c r="J4274" s="58">
        <v>1307894</v>
      </c>
      <c r="K4274" s="1" t="s">
        <v>106</v>
      </c>
      <c r="L4274" s="1" t="s">
        <v>114</v>
      </c>
      <c r="M4274" s="1" t="s">
        <v>117</v>
      </c>
      <c r="N4274" s="1">
        <v>1</v>
      </c>
      <c r="O4274" s="58"/>
      <c r="P4274" s="58">
        <v>47644.71</v>
      </c>
      <c r="Q4274" t="s">
        <v>113</v>
      </c>
      <c r="R4274" s="1" t="s">
        <v>48</v>
      </c>
    </row>
    <row r="4275" spans="3:18" x14ac:dyDescent="0.35">
      <c r="C4275" t="s">
        <v>51</v>
      </c>
      <c r="D4275" t="s">
        <v>19</v>
      </c>
      <c r="E4275" t="s">
        <v>49</v>
      </c>
      <c r="F4275" t="s">
        <v>46</v>
      </c>
      <c r="G4275" s="58">
        <v>830906309</v>
      </c>
      <c r="H4275" s="1" t="s">
        <v>48</v>
      </c>
      <c r="I4275" s="1" t="s">
        <v>108</v>
      </c>
      <c r="J4275" s="58">
        <v>26589001888</v>
      </c>
      <c r="K4275" s="1" t="s">
        <v>106</v>
      </c>
      <c r="L4275" s="1" t="s">
        <v>124</v>
      </c>
      <c r="M4275" s="1" t="s">
        <v>122</v>
      </c>
      <c r="N4275" s="1">
        <v>1</v>
      </c>
      <c r="O4275" s="58"/>
      <c r="P4275" s="58">
        <v>589943479.38999999</v>
      </c>
      <c r="Q4275" t="s">
        <v>118</v>
      </c>
      <c r="R4275" s="1" t="s">
        <v>158</v>
      </c>
    </row>
    <row r="4276" spans="3:18" x14ac:dyDescent="0.35">
      <c r="C4276" t="s">
        <v>51</v>
      </c>
      <c r="D4276" t="s">
        <v>91</v>
      </c>
      <c r="E4276" t="s">
        <v>45</v>
      </c>
      <c r="F4276" t="s">
        <v>46</v>
      </c>
      <c r="G4276" s="58">
        <v>299839</v>
      </c>
      <c r="H4276" s="1" t="s">
        <v>48</v>
      </c>
      <c r="I4276" s="1" t="s">
        <v>108</v>
      </c>
      <c r="J4276" s="58">
        <v>10194526</v>
      </c>
      <c r="K4276" s="1" t="s">
        <v>112</v>
      </c>
      <c r="N4276" s="1">
        <v>1</v>
      </c>
      <c r="O4276" s="58"/>
      <c r="P4276" s="58">
        <v>209887.3</v>
      </c>
      <c r="Q4276" t="s">
        <v>118</v>
      </c>
      <c r="R4276" s="1" t="s">
        <v>158</v>
      </c>
    </row>
    <row r="4277" spans="3:18" x14ac:dyDescent="0.35">
      <c r="C4277" t="s">
        <v>51</v>
      </c>
      <c r="D4277" t="s">
        <v>21</v>
      </c>
      <c r="E4277" t="s">
        <v>55</v>
      </c>
      <c r="F4277" t="s">
        <v>46</v>
      </c>
      <c r="G4277" s="58">
        <v>372855</v>
      </c>
      <c r="H4277" s="1" t="s">
        <v>48</v>
      </c>
      <c r="I4277" s="1" t="s">
        <v>108</v>
      </c>
      <c r="J4277" s="58">
        <v>12304215</v>
      </c>
      <c r="K4277" s="1" t="s">
        <v>106</v>
      </c>
      <c r="L4277" s="1" t="s">
        <v>120</v>
      </c>
      <c r="M4277" s="1" t="s">
        <v>126</v>
      </c>
      <c r="N4277" s="1">
        <v>1</v>
      </c>
      <c r="O4277" s="58"/>
      <c r="P4277" s="58">
        <v>193884.6</v>
      </c>
      <c r="Q4277" t="s">
        <v>113</v>
      </c>
      <c r="R4277" s="1" t="s">
        <v>48</v>
      </c>
    </row>
    <row r="4278" spans="3:18" x14ac:dyDescent="0.35">
      <c r="C4278" t="s">
        <v>51</v>
      </c>
      <c r="D4278" t="s">
        <v>20</v>
      </c>
      <c r="E4278" t="s">
        <v>49</v>
      </c>
      <c r="F4278" t="s">
        <v>46</v>
      </c>
      <c r="G4278" s="58">
        <v>625591</v>
      </c>
      <c r="H4278" s="1" t="s">
        <v>48</v>
      </c>
      <c r="I4278" s="1" t="s">
        <v>108</v>
      </c>
      <c r="J4278" s="58">
        <v>14388593</v>
      </c>
      <c r="K4278" s="1" t="s">
        <v>106</v>
      </c>
      <c r="L4278" s="1" t="s">
        <v>120</v>
      </c>
      <c r="M4278" s="1" t="s">
        <v>115</v>
      </c>
      <c r="N4278" s="1">
        <v>1</v>
      </c>
      <c r="O4278" s="58"/>
      <c r="P4278" s="58">
        <v>175165.48</v>
      </c>
      <c r="Q4278" t="s">
        <v>107</v>
      </c>
      <c r="R4278" s="1" t="s">
        <v>48</v>
      </c>
    </row>
    <row r="4279" spans="3:18" x14ac:dyDescent="0.35">
      <c r="C4279" t="s">
        <v>51</v>
      </c>
      <c r="D4279" t="s">
        <v>22</v>
      </c>
      <c r="E4279" t="s">
        <v>49</v>
      </c>
      <c r="F4279" t="s">
        <v>46</v>
      </c>
      <c r="G4279" s="58">
        <v>71400</v>
      </c>
      <c r="H4279" s="1" t="s">
        <v>47</v>
      </c>
      <c r="I4279" s="1" t="s">
        <v>119</v>
      </c>
      <c r="J4279" s="58">
        <v>571200</v>
      </c>
      <c r="K4279" s="1" t="s">
        <v>106</v>
      </c>
      <c r="L4279" s="1" t="s">
        <v>124</v>
      </c>
      <c r="N4279" s="1">
        <v>1</v>
      </c>
      <c r="O4279" s="58"/>
      <c r="P4279" s="58">
        <v>105672</v>
      </c>
      <c r="Q4279" t="s">
        <v>110</v>
      </c>
      <c r="R4279" s="1" t="s">
        <v>158</v>
      </c>
    </row>
    <row r="4280" spans="3:18" x14ac:dyDescent="0.35">
      <c r="C4280" t="s">
        <v>53</v>
      </c>
      <c r="D4280" t="s">
        <v>21</v>
      </c>
      <c r="E4280" t="s">
        <v>45</v>
      </c>
      <c r="F4280" t="s">
        <v>46</v>
      </c>
      <c r="G4280" s="58">
        <v>5749775</v>
      </c>
      <c r="H4280" s="1" t="s">
        <v>58</v>
      </c>
      <c r="I4280" s="1" t="s">
        <v>128</v>
      </c>
      <c r="J4280" s="58"/>
      <c r="K4280" s="1" t="s">
        <v>106</v>
      </c>
      <c r="L4280" s="1" t="s">
        <v>120</v>
      </c>
      <c r="N4280" s="1">
        <v>0</v>
      </c>
      <c r="O4280" s="58"/>
      <c r="P4280" s="58">
        <v>0</v>
      </c>
      <c r="Q4280" t="s">
        <v>107</v>
      </c>
      <c r="R4280" s="1" t="s">
        <v>158</v>
      </c>
    </row>
    <row r="4281" spans="3:18" x14ac:dyDescent="0.35">
      <c r="C4281" t="s">
        <v>53</v>
      </c>
      <c r="D4281" t="s">
        <v>92</v>
      </c>
      <c r="E4281" t="s">
        <v>45</v>
      </c>
      <c r="F4281" t="s">
        <v>46</v>
      </c>
      <c r="G4281" s="58">
        <v>20158356</v>
      </c>
      <c r="H4281" s="1" t="s">
        <v>48</v>
      </c>
      <c r="I4281" s="1" t="s">
        <v>119</v>
      </c>
      <c r="J4281" s="58">
        <v>161266848</v>
      </c>
      <c r="K4281" s="1" t="s">
        <v>106</v>
      </c>
      <c r="L4281" s="1" t="s">
        <v>120</v>
      </c>
      <c r="M4281" s="1" t="s">
        <v>123</v>
      </c>
      <c r="N4281" s="1">
        <v>1</v>
      </c>
      <c r="O4281" s="58"/>
      <c r="P4281" s="58">
        <v>13707682.08</v>
      </c>
      <c r="Q4281" t="s">
        <v>118</v>
      </c>
      <c r="R4281" s="1" t="s">
        <v>158</v>
      </c>
    </row>
    <row r="4282" spans="3:18" x14ac:dyDescent="0.35">
      <c r="C4282" t="s">
        <v>51</v>
      </c>
      <c r="D4282" t="s">
        <v>91</v>
      </c>
      <c r="E4282" t="s">
        <v>49</v>
      </c>
      <c r="F4282" t="s">
        <v>46</v>
      </c>
      <c r="G4282" s="58">
        <v>202619</v>
      </c>
      <c r="H4282" s="1" t="s">
        <v>48</v>
      </c>
      <c r="I4282" s="1" t="s">
        <v>108</v>
      </c>
      <c r="J4282" s="58">
        <v>7294284</v>
      </c>
      <c r="K4282" s="1" t="s">
        <v>106</v>
      </c>
      <c r="L4282" s="1" t="s">
        <v>114</v>
      </c>
      <c r="M4282" s="1" t="s">
        <v>122</v>
      </c>
      <c r="N4282" s="1">
        <v>1</v>
      </c>
      <c r="O4282" s="58"/>
      <c r="P4282" s="58">
        <v>158042.82</v>
      </c>
      <c r="Q4282" t="s">
        <v>118</v>
      </c>
      <c r="R4282" s="1" t="s">
        <v>48</v>
      </c>
    </row>
    <row r="4283" spans="3:18" x14ac:dyDescent="0.35">
      <c r="C4283" t="s">
        <v>51</v>
      </c>
      <c r="D4283" t="s">
        <v>60</v>
      </c>
      <c r="E4283" t="s">
        <v>60</v>
      </c>
      <c r="F4283" t="s">
        <v>46</v>
      </c>
      <c r="G4283" s="58">
        <v>52005</v>
      </c>
      <c r="H4283" s="1" t="s">
        <v>61</v>
      </c>
      <c r="I4283" s="1" t="s">
        <v>111</v>
      </c>
      <c r="J4283" s="58">
        <v>988095</v>
      </c>
      <c r="K4283" s="1" t="s">
        <v>106</v>
      </c>
      <c r="N4283" s="1">
        <v>1</v>
      </c>
      <c r="O4283" s="58"/>
      <c r="P4283" s="58">
        <v>34323.300000000003</v>
      </c>
      <c r="Q4283" t="s">
        <v>118</v>
      </c>
    </row>
    <row r="4284" spans="3:18" x14ac:dyDescent="0.35">
      <c r="C4284" t="s">
        <v>51</v>
      </c>
      <c r="D4284" t="s">
        <v>20</v>
      </c>
      <c r="E4284" t="s">
        <v>49</v>
      </c>
      <c r="F4284" t="s">
        <v>46</v>
      </c>
      <c r="G4284" s="58">
        <v>86457</v>
      </c>
      <c r="H4284" s="1" t="s">
        <v>47</v>
      </c>
      <c r="I4284" s="1" t="s">
        <v>108</v>
      </c>
      <c r="J4284" s="58">
        <v>2334339</v>
      </c>
      <c r="K4284" s="1" t="s">
        <v>106</v>
      </c>
      <c r="L4284" s="1" t="s">
        <v>116</v>
      </c>
      <c r="N4284" s="1">
        <v>1</v>
      </c>
      <c r="O4284" s="58"/>
      <c r="P4284" s="58">
        <v>46686.78</v>
      </c>
      <c r="Q4284" t="s">
        <v>113</v>
      </c>
      <c r="R4284" s="1" t="s">
        <v>158</v>
      </c>
    </row>
    <row r="4285" spans="3:18" x14ac:dyDescent="0.35">
      <c r="C4285" t="s">
        <v>51</v>
      </c>
      <c r="D4285" t="s">
        <v>24</v>
      </c>
      <c r="E4285" t="s">
        <v>52</v>
      </c>
      <c r="F4285" t="s">
        <v>46</v>
      </c>
      <c r="G4285" s="58">
        <v>259956</v>
      </c>
      <c r="H4285" s="1" t="s">
        <v>48</v>
      </c>
      <c r="I4285" s="1" t="s">
        <v>108</v>
      </c>
      <c r="J4285" s="58">
        <v>9358416</v>
      </c>
      <c r="K4285" s="1" t="s">
        <v>106</v>
      </c>
      <c r="L4285" s="1" t="s">
        <v>130</v>
      </c>
      <c r="M4285" s="1" t="s">
        <v>122</v>
      </c>
      <c r="N4285" s="1">
        <v>1</v>
      </c>
      <c r="O4285" s="58"/>
      <c r="P4285" s="58">
        <v>218363.04</v>
      </c>
      <c r="Q4285" t="s">
        <v>127</v>
      </c>
      <c r="R4285" s="1" t="s">
        <v>48</v>
      </c>
    </row>
    <row r="4286" spans="3:18" x14ac:dyDescent="0.35">
      <c r="C4286" t="s">
        <v>51</v>
      </c>
      <c r="D4286" t="s">
        <v>20</v>
      </c>
      <c r="E4286" t="s">
        <v>49</v>
      </c>
      <c r="F4286" t="s">
        <v>46</v>
      </c>
      <c r="G4286" s="58">
        <v>3760032</v>
      </c>
      <c r="H4286" s="1" t="s">
        <v>48</v>
      </c>
      <c r="I4286" s="1" t="s">
        <v>119</v>
      </c>
      <c r="J4286" s="58">
        <v>30080256</v>
      </c>
      <c r="K4286" s="1" t="s">
        <v>106</v>
      </c>
      <c r="L4286" s="1" t="s">
        <v>124</v>
      </c>
      <c r="M4286" s="1" t="s">
        <v>123</v>
      </c>
      <c r="N4286" s="1">
        <v>1</v>
      </c>
      <c r="O4286" s="58"/>
      <c r="P4286" s="58">
        <v>1729614.72</v>
      </c>
      <c r="Q4286" t="s">
        <v>113</v>
      </c>
      <c r="R4286" s="1" t="s">
        <v>158</v>
      </c>
    </row>
    <row r="4287" spans="3:18" x14ac:dyDescent="0.35">
      <c r="C4287" t="s">
        <v>51</v>
      </c>
      <c r="D4287" t="s">
        <v>25</v>
      </c>
      <c r="E4287" t="s">
        <v>45</v>
      </c>
      <c r="F4287" t="s">
        <v>46</v>
      </c>
      <c r="G4287" s="58">
        <v>154329</v>
      </c>
      <c r="H4287" s="1" t="s">
        <v>59</v>
      </c>
      <c r="I4287" s="1" t="s">
        <v>108</v>
      </c>
      <c r="J4287" s="58">
        <v>4938528</v>
      </c>
      <c r="K4287" s="1" t="s">
        <v>112</v>
      </c>
      <c r="N4287" s="1">
        <v>1</v>
      </c>
      <c r="O4287" s="58"/>
      <c r="P4287" s="58">
        <v>80251.08</v>
      </c>
      <c r="Q4287" t="s">
        <v>113</v>
      </c>
      <c r="R4287" s="1" t="s">
        <v>158</v>
      </c>
    </row>
    <row r="4288" spans="3:18" x14ac:dyDescent="0.35">
      <c r="C4288" t="s">
        <v>51</v>
      </c>
      <c r="D4288" t="s">
        <v>23</v>
      </c>
      <c r="E4288" t="s">
        <v>55</v>
      </c>
      <c r="F4288" t="s">
        <v>46</v>
      </c>
      <c r="G4288" s="58">
        <v>104193</v>
      </c>
      <c r="H4288" s="1" t="s">
        <v>48</v>
      </c>
      <c r="I4288" s="1" t="s">
        <v>111</v>
      </c>
      <c r="J4288" s="58">
        <v>1979667</v>
      </c>
      <c r="K4288" s="1" t="s">
        <v>112</v>
      </c>
      <c r="N4288" s="1">
        <v>1</v>
      </c>
      <c r="O4288" s="58"/>
      <c r="P4288" s="58">
        <v>44802.99</v>
      </c>
      <c r="Q4288" t="s">
        <v>113</v>
      </c>
      <c r="R4288" s="1" t="s">
        <v>158</v>
      </c>
    </row>
    <row r="4289" spans="3:18" x14ac:dyDescent="0.35">
      <c r="C4289" t="s">
        <v>51</v>
      </c>
      <c r="D4289" t="s">
        <v>24</v>
      </c>
      <c r="E4289" t="s">
        <v>49</v>
      </c>
      <c r="F4289" t="s">
        <v>46</v>
      </c>
      <c r="G4289" s="58">
        <v>91020</v>
      </c>
      <c r="H4289" s="1" t="s">
        <v>48</v>
      </c>
      <c r="I4289" s="1" t="s">
        <v>111</v>
      </c>
      <c r="J4289" s="58">
        <v>1547340</v>
      </c>
      <c r="K4289" s="1" t="s">
        <v>106</v>
      </c>
      <c r="L4289" s="1" t="s">
        <v>124</v>
      </c>
      <c r="M4289" s="1" t="s">
        <v>121</v>
      </c>
      <c r="N4289" s="1">
        <v>1</v>
      </c>
      <c r="O4289" s="58"/>
      <c r="P4289" s="58">
        <v>52791.6</v>
      </c>
      <c r="Q4289" t="s">
        <v>113</v>
      </c>
      <c r="R4289" s="1" t="s">
        <v>48</v>
      </c>
    </row>
    <row r="4290" spans="3:18" x14ac:dyDescent="0.35">
      <c r="C4290" t="s">
        <v>51</v>
      </c>
      <c r="D4290" t="s">
        <v>21</v>
      </c>
      <c r="E4290" t="s">
        <v>45</v>
      </c>
      <c r="F4290" t="s">
        <v>46</v>
      </c>
      <c r="G4290" s="58">
        <v>2391035</v>
      </c>
      <c r="H4290" s="1" t="s">
        <v>47</v>
      </c>
      <c r="I4290" s="1" t="s">
        <v>108</v>
      </c>
      <c r="J4290" s="58">
        <v>69340015</v>
      </c>
      <c r="K4290" s="1" t="s">
        <v>106</v>
      </c>
      <c r="L4290" s="1" t="s">
        <v>124</v>
      </c>
      <c r="N4290" s="1">
        <v>1</v>
      </c>
      <c r="O4290" s="58"/>
      <c r="P4290" s="58">
        <v>1578083.1</v>
      </c>
      <c r="Q4290" t="s">
        <v>118</v>
      </c>
      <c r="R4290" s="1" t="s">
        <v>158</v>
      </c>
    </row>
    <row r="4291" spans="3:18" x14ac:dyDescent="0.35">
      <c r="C4291" t="s">
        <v>51</v>
      </c>
      <c r="D4291" t="s">
        <v>21</v>
      </c>
      <c r="E4291" t="s">
        <v>49</v>
      </c>
      <c r="F4291" t="s">
        <v>46</v>
      </c>
      <c r="G4291" s="58">
        <v>25804</v>
      </c>
      <c r="H4291" s="1" t="s">
        <v>59</v>
      </c>
      <c r="I4291" s="1" t="s">
        <v>119</v>
      </c>
      <c r="J4291" s="58">
        <v>180628</v>
      </c>
      <c r="K4291" s="1" t="s">
        <v>106</v>
      </c>
      <c r="L4291" s="1" t="s">
        <v>116</v>
      </c>
      <c r="N4291" s="1">
        <v>1</v>
      </c>
      <c r="O4291" s="58"/>
      <c r="P4291" s="58">
        <v>4128.6400000000003</v>
      </c>
      <c r="Q4291" t="s">
        <v>107</v>
      </c>
      <c r="R4291" s="1" t="s">
        <v>158</v>
      </c>
    </row>
    <row r="4292" spans="3:18" x14ac:dyDescent="0.35">
      <c r="C4292" t="s">
        <v>44</v>
      </c>
      <c r="D4292" t="s">
        <v>23</v>
      </c>
      <c r="E4292" t="s">
        <v>55</v>
      </c>
      <c r="F4292" t="s">
        <v>46</v>
      </c>
      <c r="G4292" s="58">
        <v>743356</v>
      </c>
      <c r="H4292" s="1" t="s">
        <v>47</v>
      </c>
      <c r="I4292" s="1" t="s">
        <v>108</v>
      </c>
      <c r="J4292" s="58"/>
      <c r="N4292" s="1">
        <v>0</v>
      </c>
      <c r="O4292" s="58"/>
      <c r="P4292" s="58"/>
      <c r="R4292" s="1" t="s">
        <v>158</v>
      </c>
    </row>
    <row r="4293" spans="3:18" x14ac:dyDescent="0.35">
      <c r="C4293" t="s">
        <v>51</v>
      </c>
      <c r="D4293" t="s">
        <v>22</v>
      </c>
      <c r="E4293" t="s">
        <v>55</v>
      </c>
      <c r="F4293" t="s">
        <v>46</v>
      </c>
      <c r="G4293" s="58">
        <v>57891</v>
      </c>
      <c r="H4293" s="1" t="s">
        <v>47</v>
      </c>
      <c r="I4293" s="1" t="s">
        <v>119</v>
      </c>
      <c r="J4293" s="58">
        <v>347346</v>
      </c>
      <c r="K4293" s="1" t="s">
        <v>106</v>
      </c>
      <c r="L4293" s="1" t="s">
        <v>114</v>
      </c>
      <c r="N4293" s="1">
        <v>1</v>
      </c>
      <c r="O4293" s="58"/>
      <c r="P4293" s="58">
        <v>14472.75</v>
      </c>
      <c r="Q4293" t="s">
        <v>107</v>
      </c>
      <c r="R4293" s="1" t="s">
        <v>158</v>
      </c>
    </row>
    <row r="4294" spans="3:18" x14ac:dyDescent="0.35">
      <c r="C4294" t="s">
        <v>44</v>
      </c>
      <c r="D4294" t="s">
        <v>22</v>
      </c>
      <c r="E4294" t="s">
        <v>45</v>
      </c>
      <c r="F4294" t="s">
        <v>46</v>
      </c>
      <c r="G4294" s="58">
        <v>247643</v>
      </c>
      <c r="H4294" s="1" t="s">
        <v>59</v>
      </c>
      <c r="I4294" s="1" t="s">
        <v>108</v>
      </c>
      <c r="J4294" s="58"/>
      <c r="N4294" s="1">
        <v>0</v>
      </c>
      <c r="O4294" s="58"/>
      <c r="P4294" s="58"/>
      <c r="R4294" s="1" t="s">
        <v>158</v>
      </c>
    </row>
    <row r="4295" spans="3:18" x14ac:dyDescent="0.35">
      <c r="C4295" t="s">
        <v>51</v>
      </c>
      <c r="D4295" t="s">
        <v>23</v>
      </c>
      <c r="E4295" t="s">
        <v>45</v>
      </c>
      <c r="F4295" t="s">
        <v>46</v>
      </c>
      <c r="G4295" s="58">
        <v>16667</v>
      </c>
      <c r="H4295" s="1" t="s">
        <v>59</v>
      </c>
      <c r="I4295" s="1" t="s">
        <v>105</v>
      </c>
      <c r="J4295" s="58">
        <v>66668</v>
      </c>
      <c r="K4295" s="1" t="s">
        <v>106</v>
      </c>
      <c r="L4295" s="1" t="s">
        <v>124</v>
      </c>
      <c r="N4295" s="1">
        <v>1</v>
      </c>
      <c r="O4295" s="58"/>
      <c r="P4295" s="58">
        <v>3000.06</v>
      </c>
      <c r="Q4295" t="s">
        <v>107</v>
      </c>
      <c r="R4295" s="1" t="s">
        <v>158</v>
      </c>
    </row>
    <row r="4296" spans="3:18" x14ac:dyDescent="0.35">
      <c r="C4296" t="s">
        <v>51</v>
      </c>
      <c r="D4296" t="s">
        <v>23</v>
      </c>
      <c r="E4296" t="s">
        <v>49</v>
      </c>
      <c r="F4296" t="s">
        <v>46</v>
      </c>
      <c r="G4296" s="58">
        <v>542834</v>
      </c>
      <c r="H4296" s="1" t="s">
        <v>54</v>
      </c>
      <c r="I4296" s="1" t="s">
        <v>108</v>
      </c>
      <c r="J4296" s="58">
        <v>18456356</v>
      </c>
      <c r="K4296" s="1" t="s">
        <v>106</v>
      </c>
      <c r="L4296" s="1" t="s">
        <v>124</v>
      </c>
      <c r="N4296" s="1">
        <v>1</v>
      </c>
      <c r="O4296" s="58"/>
      <c r="P4296" s="58">
        <v>613402.42000000004</v>
      </c>
      <c r="Q4296" t="s">
        <v>110</v>
      </c>
      <c r="R4296" s="1" t="s">
        <v>158</v>
      </c>
    </row>
    <row r="4297" spans="3:18" x14ac:dyDescent="0.35">
      <c r="C4297" t="s">
        <v>51</v>
      </c>
      <c r="D4297" t="s">
        <v>24</v>
      </c>
      <c r="E4297" t="s">
        <v>49</v>
      </c>
      <c r="F4297" t="s">
        <v>46</v>
      </c>
      <c r="G4297" s="58">
        <v>142057</v>
      </c>
      <c r="H4297" s="1" t="s">
        <v>48</v>
      </c>
      <c r="I4297" s="1" t="s">
        <v>111</v>
      </c>
      <c r="J4297" s="58">
        <v>2699083</v>
      </c>
      <c r="K4297" s="1" t="s">
        <v>106</v>
      </c>
      <c r="L4297" s="1" t="s">
        <v>124</v>
      </c>
      <c r="M4297" s="1" t="s">
        <v>121</v>
      </c>
      <c r="N4297" s="1">
        <v>1</v>
      </c>
      <c r="O4297" s="58"/>
      <c r="P4297" s="58">
        <v>48299.38</v>
      </c>
      <c r="Q4297" t="s">
        <v>107</v>
      </c>
      <c r="R4297" s="1" t="s">
        <v>48</v>
      </c>
    </row>
    <row r="4298" spans="3:18" x14ac:dyDescent="0.35">
      <c r="C4298" t="s">
        <v>51</v>
      </c>
      <c r="D4298" t="s">
        <v>22</v>
      </c>
      <c r="E4298" t="s">
        <v>45</v>
      </c>
      <c r="F4298" t="s">
        <v>46</v>
      </c>
      <c r="G4298" s="58">
        <v>6584851</v>
      </c>
      <c r="H4298" s="1" t="s">
        <v>47</v>
      </c>
      <c r="I4298" s="1" t="s">
        <v>111</v>
      </c>
      <c r="J4298" s="58">
        <v>105357616</v>
      </c>
      <c r="K4298" s="1" t="s">
        <v>106</v>
      </c>
      <c r="L4298" s="1" t="s">
        <v>124</v>
      </c>
      <c r="N4298" s="1">
        <v>1</v>
      </c>
      <c r="O4298" s="58"/>
      <c r="P4298" s="58">
        <v>3226576.99</v>
      </c>
      <c r="Q4298" t="s">
        <v>113</v>
      </c>
      <c r="R4298" s="1" t="s">
        <v>158</v>
      </c>
    </row>
    <row r="4299" spans="3:18" x14ac:dyDescent="0.35">
      <c r="C4299" t="s">
        <v>51</v>
      </c>
      <c r="D4299" t="s">
        <v>19</v>
      </c>
      <c r="E4299" t="s">
        <v>49</v>
      </c>
      <c r="F4299" t="s">
        <v>46</v>
      </c>
      <c r="G4299" s="58">
        <v>7790</v>
      </c>
      <c r="H4299" s="1" t="s">
        <v>47</v>
      </c>
      <c r="I4299" s="1" t="s">
        <v>119</v>
      </c>
      <c r="J4299" s="58">
        <v>46740</v>
      </c>
      <c r="K4299" s="1" t="s">
        <v>106</v>
      </c>
      <c r="L4299" s="1" t="s">
        <v>124</v>
      </c>
      <c r="N4299" s="1">
        <v>1</v>
      </c>
      <c r="O4299" s="58"/>
      <c r="P4299" s="58">
        <v>6933.1</v>
      </c>
      <c r="Q4299" t="s">
        <v>127</v>
      </c>
      <c r="R4299" s="1" t="s">
        <v>158</v>
      </c>
    </row>
    <row r="4300" spans="3:18" x14ac:dyDescent="0.35">
      <c r="C4300" t="s">
        <v>51</v>
      </c>
      <c r="D4300" t="s">
        <v>20</v>
      </c>
      <c r="E4300" t="s">
        <v>55</v>
      </c>
      <c r="F4300" t="s">
        <v>46</v>
      </c>
      <c r="G4300" s="58">
        <v>9335385</v>
      </c>
      <c r="H4300" s="1" t="s">
        <v>48</v>
      </c>
      <c r="I4300" s="1" t="s">
        <v>108</v>
      </c>
      <c r="J4300" s="58">
        <v>308067705</v>
      </c>
      <c r="K4300" s="1" t="s">
        <v>106</v>
      </c>
      <c r="L4300" s="1" t="s">
        <v>114</v>
      </c>
      <c r="M4300" s="1" t="s">
        <v>123</v>
      </c>
      <c r="N4300" s="1">
        <v>1</v>
      </c>
      <c r="O4300" s="58"/>
      <c r="P4300" s="58">
        <v>6534769.5</v>
      </c>
      <c r="Q4300" t="s">
        <v>118</v>
      </c>
      <c r="R4300" s="1" t="s">
        <v>158</v>
      </c>
    </row>
    <row r="4301" spans="3:18" x14ac:dyDescent="0.35">
      <c r="C4301" t="s">
        <v>51</v>
      </c>
      <c r="D4301" t="s">
        <v>22</v>
      </c>
      <c r="E4301" t="s">
        <v>55</v>
      </c>
      <c r="F4301" t="s">
        <v>64</v>
      </c>
      <c r="G4301" s="58">
        <v>398486</v>
      </c>
      <c r="H4301" s="1" t="s">
        <v>48</v>
      </c>
      <c r="I4301" s="1" t="s">
        <v>108</v>
      </c>
      <c r="J4301" s="58">
        <v>14743982</v>
      </c>
      <c r="K4301" s="1" t="s">
        <v>106</v>
      </c>
      <c r="L4301" s="1" t="s">
        <v>114</v>
      </c>
      <c r="M4301" s="1" t="s">
        <v>115</v>
      </c>
      <c r="N4301" s="1">
        <v>1</v>
      </c>
      <c r="O4301" s="58"/>
      <c r="P4301" s="58">
        <v>231121.88</v>
      </c>
      <c r="Q4301" t="s">
        <v>113</v>
      </c>
      <c r="R4301" s="1" t="s">
        <v>48</v>
      </c>
    </row>
    <row r="4302" spans="3:18" x14ac:dyDescent="0.35">
      <c r="C4302" t="s">
        <v>51</v>
      </c>
      <c r="D4302" t="s">
        <v>20</v>
      </c>
      <c r="E4302" t="s">
        <v>49</v>
      </c>
      <c r="F4302" t="s">
        <v>46</v>
      </c>
      <c r="G4302" s="58">
        <v>156211</v>
      </c>
      <c r="H4302" s="1" t="s">
        <v>48</v>
      </c>
      <c r="I4302" s="1" t="s">
        <v>108</v>
      </c>
      <c r="J4302" s="58">
        <v>3592853</v>
      </c>
      <c r="K4302" s="1" t="s">
        <v>106</v>
      </c>
      <c r="L4302" s="1" t="s">
        <v>120</v>
      </c>
      <c r="M4302" s="1" t="s">
        <v>123</v>
      </c>
      <c r="N4302" s="1">
        <v>1</v>
      </c>
      <c r="O4302" s="58"/>
      <c r="P4302" s="58">
        <v>42176.97</v>
      </c>
      <c r="Q4302" t="s">
        <v>107</v>
      </c>
      <c r="R4302" s="1" t="s">
        <v>48</v>
      </c>
    </row>
    <row r="4303" spans="3:18" x14ac:dyDescent="0.35">
      <c r="C4303" t="s">
        <v>51</v>
      </c>
      <c r="D4303" t="s">
        <v>21</v>
      </c>
      <c r="E4303" t="s">
        <v>49</v>
      </c>
      <c r="F4303" t="s">
        <v>46</v>
      </c>
      <c r="G4303" s="58">
        <v>4438613</v>
      </c>
      <c r="H4303" s="1" t="s">
        <v>56</v>
      </c>
      <c r="I4303" s="1" t="s">
        <v>108</v>
      </c>
      <c r="J4303" s="58">
        <v>142035616</v>
      </c>
      <c r="K4303" s="1" t="s">
        <v>112</v>
      </c>
      <c r="N4303" s="1">
        <v>1</v>
      </c>
      <c r="O4303" s="58"/>
      <c r="P4303" s="58">
        <v>3684048.79</v>
      </c>
      <c r="Q4303" t="s">
        <v>127</v>
      </c>
      <c r="R4303" s="1" t="s">
        <v>158</v>
      </c>
    </row>
    <row r="4304" spans="3:18" x14ac:dyDescent="0.35">
      <c r="C4304" t="s">
        <v>51</v>
      </c>
      <c r="D4304" t="s">
        <v>24</v>
      </c>
      <c r="E4304" t="s">
        <v>49</v>
      </c>
      <c r="F4304" t="s">
        <v>46</v>
      </c>
      <c r="G4304" s="58">
        <v>1642655</v>
      </c>
      <c r="H4304" s="1" t="s">
        <v>48</v>
      </c>
      <c r="I4304" s="1" t="s">
        <v>108</v>
      </c>
      <c r="J4304" s="58">
        <v>55850270</v>
      </c>
      <c r="K4304" s="1" t="s">
        <v>106</v>
      </c>
      <c r="L4304" s="1" t="s">
        <v>124</v>
      </c>
      <c r="M4304" s="1" t="s">
        <v>121</v>
      </c>
      <c r="N4304" s="1">
        <v>1</v>
      </c>
      <c r="O4304" s="58"/>
      <c r="P4304" s="58">
        <v>1363403.65</v>
      </c>
      <c r="Q4304" t="s">
        <v>127</v>
      </c>
      <c r="R4304" s="1" t="s">
        <v>48</v>
      </c>
    </row>
    <row r="4305" spans="3:18" x14ac:dyDescent="0.35">
      <c r="C4305" t="s">
        <v>53</v>
      </c>
      <c r="D4305" t="s">
        <v>25</v>
      </c>
      <c r="E4305" t="s">
        <v>55</v>
      </c>
      <c r="F4305" t="s">
        <v>46</v>
      </c>
      <c r="G4305" s="58">
        <v>1223707</v>
      </c>
      <c r="H4305" s="1" t="s">
        <v>54</v>
      </c>
      <c r="I4305" s="1" t="s">
        <v>105</v>
      </c>
      <c r="J4305" s="58">
        <v>3671121</v>
      </c>
      <c r="K4305" s="1" t="s">
        <v>106</v>
      </c>
      <c r="L4305" s="1" t="s">
        <v>114</v>
      </c>
      <c r="N4305" s="1">
        <v>1</v>
      </c>
      <c r="O4305" s="58"/>
      <c r="P4305" s="58">
        <v>269215.53999999998</v>
      </c>
      <c r="Q4305" t="s">
        <v>107</v>
      </c>
      <c r="R4305" s="1" t="s">
        <v>158</v>
      </c>
    </row>
    <row r="4306" spans="3:18" x14ac:dyDescent="0.35">
      <c r="C4306" t="s">
        <v>51</v>
      </c>
      <c r="D4306" t="s">
        <v>21</v>
      </c>
      <c r="E4306" t="s">
        <v>45</v>
      </c>
      <c r="F4306" t="s">
        <v>46</v>
      </c>
      <c r="G4306" s="58">
        <v>13660200</v>
      </c>
      <c r="H4306" s="1" t="s">
        <v>48</v>
      </c>
      <c r="I4306" s="1" t="s">
        <v>108</v>
      </c>
      <c r="J4306" s="58">
        <v>532747800</v>
      </c>
      <c r="K4306" s="1" t="s">
        <v>112</v>
      </c>
      <c r="N4306" s="1">
        <v>1</v>
      </c>
      <c r="O4306" s="58"/>
      <c r="P4306" s="58">
        <v>13660200</v>
      </c>
      <c r="Q4306" t="s">
        <v>110</v>
      </c>
      <c r="R4306" s="1" t="s">
        <v>48</v>
      </c>
    </row>
    <row r="4307" spans="3:18" x14ac:dyDescent="0.35">
      <c r="C4307" t="s">
        <v>53</v>
      </c>
      <c r="D4307" t="s">
        <v>21</v>
      </c>
      <c r="E4307" t="s">
        <v>45</v>
      </c>
      <c r="F4307" t="s">
        <v>46</v>
      </c>
      <c r="G4307" s="58">
        <v>193405</v>
      </c>
      <c r="H4307" s="1" t="s">
        <v>56</v>
      </c>
      <c r="I4307" s="1" t="s">
        <v>105</v>
      </c>
      <c r="J4307" s="58">
        <v>967025</v>
      </c>
      <c r="K4307" s="1" t="s">
        <v>106</v>
      </c>
      <c r="L4307" s="1" t="s">
        <v>120</v>
      </c>
      <c r="N4307" s="1">
        <v>1</v>
      </c>
      <c r="O4307" s="58"/>
      <c r="P4307" s="58">
        <v>121845.15</v>
      </c>
      <c r="Q4307" t="s">
        <v>118</v>
      </c>
      <c r="R4307" s="1" t="s">
        <v>158</v>
      </c>
    </row>
    <row r="4308" spans="3:18" x14ac:dyDescent="0.35">
      <c r="C4308" t="s">
        <v>51</v>
      </c>
      <c r="D4308" t="s">
        <v>23</v>
      </c>
      <c r="E4308" t="s">
        <v>45</v>
      </c>
      <c r="F4308" t="s">
        <v>46</v>
      </c>
      <c r="G4308" s="58">
        <v>3282772</v>
      </c>
      <c r="H4308" s="1" t="s">
        <v>56</v>
      </c>
      <c r="I4308" s="1" t="s">
        <v>108</v>
      </c>
      <c r="J4308" s="58">
        <v>95200388</v>
      </c>
      <c r="K4308" s="1" t="s">
        <v>112</v>
      </c>
      <c r="N4308" s="1">
        <v>1</v>
      </c>
      <c r="O4308" s="58"/>
      <c r="P4308" s="58">
        <v>2297940.4</v>
      </c>
      <c r="Q4308" t="s">
        <v>118</v>
      </c>
      <c r="R4308" s="1" t="s">
        <v>158</v>
      </c>
    </row>
    <row r="4309" spans="3:18" x14ac:dyDescent="0.35">
      <c r="C4309" t="s">
        <v>51</v>
      </c>
      <c r="D4309" t="s">
        <v>22</v>
      </c>
      <c r="E4309" t="s">
        <v>55</v>
      </c>
      <c r="F4309" t="s">
        <v>46</v>
      </c>
      <c r="G4309" s="58">
        <v>50186</v>
      </c>
      <c r="H4309" s="1" t="s">
        <v>59</v>
      </c>
      <c r="I4309" s="1" t="s">
        <v>108</v>
      </c>
      <c r="J4309" s="58">
        <v>1756510</v>
      </c>
      <c r="K4309" s="1" t="s">
        <v>112</v>
      </c>
      <c r="N4309" s="1">
        <v>1</v>
      </c>
      <c r="O4309" s="58"/>
      <c r="P4309" s="58">
        <v>31617.18</v>
      </c>
      <c r="Q4309" t="s">
        <v>118</v>
      </c>
      <c r="R4309" s="1" t="s">
        <v>158</v>
      </c>
    </row>
    <row r="4310" spans="3:18" x14ac:dyDescent="0.35">
      <c r="C4310" t="s">
        <v>51</v>
      </c>
      <c r="D4310" t="s">
        <v>19</v>
      </c>
      <c r="E4310" t="s">
        <v>49</v>
      </c>
      <c r="F4310" t="s">
        <v>46</v>
      </c>
      <c r="G4310" s="58">
        <v>351647</v>
      </c>
      <c r="H4310" s="1" t="s">
        <v>58</v>
      </c>
      <c r="I4310" s="1" t="s">
        <v>108</v>
      </c>
      <c r="J4310" s="58">
        <v>8087881</v>
      </c>
      <c r="K4310" s="1" t="s">
        <v>106</v>
      </c>
      <c r="L4310" s="1" t="s">
        <v>124</v>
      </c>
      <c r="N4310" s="1">
        <v>1</v>
      </c>
      <c r="O4310" s="58"/>
      <c r="P4310" s="58">
        <v>246152.9</v>
      </c>
      <c r="Q4310" t="s">
        <v>118</v>
      </c>
      <c r="R4310" s="1" t="s">
        <v>158</v>
      </c>
    </row>
    <row r="4311" spans="3:18" x14ac:dyDescent="0.35">
      <c r="C4311" t="s">
        <v>51</v>
      </c>
      <c r="D4311" t="s">
        <v>22</v>
      </c>
      <c r="E4311" t="s">
        <v>55</v>
      </c>
      <c r="F4311" t="s">
        <v>46</v>
      </c>
      <c r="G4311" s="58">
        <v>82886</v>
      </c>
      <c r="H4311" s="1" t="s">
        <v>59</v>
      </c>
      <c r="I4311" s="1" t="s">
        <v>108</v>
      </c>
      <c r="J4311" s="58">
        <v>2072150</v>
      </c>
      <c r="K4311" s="1" t="s">
        <v>106</v>
      </c>
      <c r="L4311" s="1" t="s">
        <v>109</v>
      </c>
      <c r="N4311" s="1">
        <v>1</v>
      </c>
      <c r="O4311" s="58"/>
      <c r="P4311" s="58">
        <v>50560.46</v>
      </c>
      <c r="Q4311" t="s">
        <v>118</v>
      </c>
      <c r="R4311" s="1" t="s">
        <v>158</v>
      </c>
    </row>
    <row r="4312" spans="3:18" x14ac:dyDescent="0.35">
      <c r="C4312" t="s">
        <v>51</v>
      </c>
      <c r="D4312" t="s">
        <v>20</v>
      </c>
      <c r="E4312" t="s">
        <v>49</v>
      </c>
      <c r="F4312" t="s">
        <v>46</v>
      </c>
      <c r="G4312" s="58">
        <v>54019</v>
      </c>
      <c r="H4312" s="1" t="s">
        <v>59</v>
      </c>
      <c r="I4312" s="1" t="s">
        <v>111</v>
      </c>
      <c r="J4312" s="58">
        <v>540190</v>
      </c>
      <c r="K4312" s="1" t="s">
        <v>112</v>
      </c>
      <c r="N4312" s="1">
        <v>1</v>
      </c>
      <c r="O4312" s="58"/>
      <c r="P4312" s="58">
        <v>21067.41</v>
      </c>
      <c r="Q4312" t="s">
        <v>107</v>
      </c>
      <c r="R4312" s="1" t="s">
        <v>158</v>
      </c>
    </row>
    <row r="4313" spans="3:18" x14ac:dyDescent="0.35">
      <c r="C4313" t="s">
        <v>51</v>
      </c>
      <c r="D4313" t="s">
        <v>25</v>
      </c>
      <c r="E4313" t="s">
        <v>55</v>
      </c>
      <c r="F4313" t="s">
        <v>46</v>
      </c>
      <c r="G4313" s="58">
        <v>72731</v>
      </c>
      <c r="H4313" s="1" t="s">
        <v>54</v>
      </c>
      <c r="I4313" s="1" t="s">
        <v>119</v>
      </c>
      <c r="J4313" s="58">
        <v>727310</v>
      </c>
      <c r="K4313" s="1" t="s">
        <v>106</v>
      </c>
      <c r="L4313" s="1" t="s">
        <v>114</v>
      </c>
      <c r="N4313" s="1">
        <v>1</v>
      </c>
      <c r="O4313" s="58"/>
      <c r="P4313" s="58">
        <v>29092.400000000001</v>
      </c>
      <c r="Q4313" t="s">
        <v>113</v>
      </c>
      <c r="R4313" s="1" t="s">
        <v>158</v>
      </c>
    </row>
    <row r="4314" spans="3:18" x14ac:dyDescent="0.35">
      <c r="C4314" t="s">
        <v>53</v>
      </c>
      <c r="D4314" t="s">
        <v>23</v>
      </c>
      <c r="E4314" t="s">
        <v>55</v>
      </c>
      <c r="F4314" t="s">
        <v>46</v>
      </c>
      <c r="G4314" s="58">
        <v>19952</v>
      </c>
      <c r="H4314" s="1" t="s">
        <v>56</v>
      </c>
      <c r="I4314" s="1" t="s">
        <v>108</v>
      </c>
      <c r="J4314" s="58">
        <v>478848</v>
      </c>
      <c r="K4314" s="1" t="s">
        <v>106</v>
      </c>
      <c r="L4314" s="1" t="s">
        <v>114</v>
      </c>
      <c r="N4314" s="1">
        <v>1</v>
      </c>
      <c r="O4314" s="58"/>
      <c r="P4314" s="58">
        <v>29928</v>
      </c>
      <c r="Q4314" t="s">
        <v>110</v>
      </c>
      <c r="R4314" s="1" t="s">
        <v>158</v>
      </c>
    </row>
    <row r="4315" spans="3:18" x14ac:dyDescent="0.35">
      <c r="C4315" t="s">
        <v>53</v>
      </c>
      <c r="D4315" t="s">
        <v>20</v>
      </c>
      <c r="E4315" t="s">
        <v>45</v>
      </c>
      <c r="F4315" t="s">
        <v>46</v>
      </c>
      <c r="G4315" s="58">
        <v>1175409</v>
      </c>
      <c r="H4315" s="1" t="s">
        <v>47</v>
      </c>
      <c r="I4315" s="1" t="s">
        <v>119</v>
      </c>
      <c r="J4315" s="58">
        <v>11754090</v>
      </c>
      <c r="K4315" s="1" t="s">
        <v>112</v>
      </c>
      <c r="N4315" s="1">
        <v>1</v>
      </c>
      <c r="O4315" s="58"/>
      <c r="P4315" s="58">
        <v>317360.43</v>
      </c>
      <c r="Q4315" t="s">
        <v>107</v>
      </c>
      <c r="R4315" s="1" t="s">
        <v>158</v>
      </c>
    </row>
    <row r="4316" spans="3:18" x14ac:dyDescent="0.35">
      <c r="C4316" t="s">
        <v>51</v>
      </c>
      <c r="D4316" t="s">
        <v>21</v>
      </c>
      <c r="E4316" t="s">
        <v>45</v>
      </c>
      <c r="F4316" t="s">
        <v>46</v>
      </c>
      <c r="G4316" s="58">
        <v>1320570</v>
      </c>
      <c r="H4316" s="1" t="s">
        <v>48</v>
      </c>
      <c r="I4316" s="1" t="s">
        <v>108</v>
      </c>
      <c r="J4316" s="58">
        <v>44899380</v>
      </c>
      <c r="K4316" s="1" t="s">
        <v>106</v>
      </c>
      <c r="L4316" s="1" t="s">
        <v>124</v>
      </c>
      <c r="M4316" s="1" t="s">
        <v>123</v>
      </c>
      <c r="N4316" s="1">
        <v>1</v>
      </c>
      <c r="O4316" s="58"/>
      <c r="P4316" s="58">
        <v>964016.1</v>
      </c>
      <c r="Q4316" t="s">
        <v>118</v>
      </c>
      <c r="R4316" s="1" t="s">
        <v>48</v>
      </c>
    </row>
    <row r="4317" spans="3:18" x14ac:dyDescent="0.35">
      <c r="C4317" t="s">
        <v>53</v>
      </c>
      <c r="D4317" t="s">
        <v>20</v>
      </c>
      <c r="E4317" t="s">
        <v>49</v>
      </c>
      <c r="F4317" t="s">
        <v>46</v>
      </c>
      <c r="G4317" s="58">
        <v>217455</v>
      </c>
      <c r="H4317" s="1" t="s">
        <v>47</v>
      </c>
      <c r="I4317" s="1" t="s">
        <v>108</v>
      </c>
      <c r="J4317" s="58">
        <v>5436375</v>
      </c>
      <c r="K4317" s="1" t="s">
        <v>106</v>
      </c>
      <c r="L4317" s="1" t="s">
        <v>124</v>
      </c>
      <c r="N4317" s="1">
        <v>1</v>
      </c>
      <c r="O4317" s="58"/>
      <c r="P4317" s="58">
        <v>126123.9</v>
      </c>
      <c r="Q4317" t="s">
        <v>113</v>
      </c>
      <c r="R4317" s="1" t="s">
        <v>158</v>
      </c>
    </row>
    <row r="4318" spans="3:18" x14ac:dyDescent="0.35">
      <c r="C4318" t="s">
        <v>51</v>
      </c>
      <c r="D4318" t="s">
        <v>22</v>
      </c>
      <c r="E4318" t="s">
        <v>45</v>
      </c>
      <c r="F4318" t="s">
        <v>46</v>
      </c>
      <c r="G4318" s="58">
        <v>413194</v>
      </c>
      <c r="H4318" s="1" t="s">
        <v>56</v>
      </c>
      <c r="I4318" s="1" t="s">
        <v>108</v>
      </c>
      <c r="J4318" s="58">
        <v>13635402</v>
      </c>
      <c r="K4318" s="1" t="s">
        <v>106</v>
      </c>
      <c r="L4318" s="1" t="s">
        <v>124</v>
      </c>
      <c r="N4318" s="1">
        <v>1</v>
      </c>
      <c r="O4318" s="58"/>
      <c r="P4318" s="58">
        <v>293367.74</v>
      </c>
      <c r="Q4318" t="s">
        <v>118</v>
      </c>
      <c r="R4318" s="1" t="s">
        <v>158</v>
      </c>
    </row>
    <row r="4319" spans="3:18" x14ac:dyDescent="0.35">
      <c r="C4319" t="s">
        <v>51</v>
      </c>
      <c r="D4319" t="s">
        <v>21</v>
      </c>
      <c r="E4319" t="s">
        <v>49</v>
      </c>
      <c r="F4319" t="s">
        <v>64</v>
      </c>
      <c r="G4319" s="58">
        <v>159385</v>
      </c>
      <c r="H4319" s="1" t="s">
        <v>47</v>
      </c>
      <c r="I4319" s="1" t="s">
        <v>111</v>
      </c>
      <c r="J4319" s="58">
        <v>3028315</v>
      </c>
      <c r="K4319" s="1" t="s">
        <v>106</v>
      </c>
      <c r="L4319" s="1" t="s">
        <v>124</v>
      </c>
      <c r="N4319" s="1">
        <v>1</v>
      </c>
      <c r="O4319" s="58"/>
      <c r="P4319" s="58">
        <v>49409.35</v>
      </c>
      <c r="Q4319" t="s">
        <v>107</v>
      </c>
      <c r="R4319" s="1" t="s">
        <v>158</v>
      </c>
    </row>
    <row r="4320" spans="3:18" x14ac:dyDescent="0.35">
      <c r="C4320" t="s">
        <v>53</v>
      </c>
      <c r="D4320" t="s">
        <v>21</v>
      </c>
      <c r="E4320" t="s">
        <v>49</v>
      </c>
      <c r="F4320" t="s">
        <v>46</v>
      </c>
      <c r="G4320" s="58">
        <v>3320516</v>
      </c>
      <c r="H4320" s="1" t="s">
        <v>59</v>
      </c>
      <c r="I4320" s="1" t="s">
        <v>105</v>
      </c>
      <c r="J4320" s="58">
        <v>13282064</v>
      </c>
      <c r="K4320" s="1" t="s">
        <v>106</v>
      </c>
      <c r="L4320" s="1" t="s">
        <v>124</v>
      </c>
      <c r="N4320" s="1">
        <v>1</v>
      </c>
      <c r="O4320" s="58"/>
      <c r="P4320" s="58">
        <v>796923.84</v>
      </c>
      <c r="Q4320" t="s">
        <v>107</v>
      </c>
      <c r="R4320" s="1" t="s">
        <v>158</v>
      </c>
    </row>
    <row r="4321" spans="3:18" x14ac:dyDescent="0.35">
      <c r="C4321" t="s">
        <v>51</v>
      </c>
      <c r="D4321" t="s">
        <v>22</v>
      </c>
      <c r="E4321" t="s">
        <v>55</v>
      </c>
      <c r="F4321" t="s">
        <v>46</v>
      </c>
      <c r="G4321" s="58">
        <v>141921</v>
      </c>
      <c r="H4321" s="1" t="s">
        <v>48</v>
      </c>
      <c r="I4321" s="1" t="s">
        <v>108</v>
      </c>
      <c r="J4321" s="58">
        <v>3831867</v>
      </c>
      <c r="K4321" s="1" t="s">
        <v>106</v>
      </c>
      <c r="L4321" s="1" t="s">
        <v>124</v>
      </c>
      <c r="M4321" s="1" t="s">
        <v>115</v>
      </c>
      <c r="N4321" s="1">
        <v>1</v>
      </c>
      <c r="O4321" s="58"/>
      <c r="P4321" s="58">
        <v>41157.089999999997</v>
      </c>
      <c r="Q4321" t="s">
        <v>107</v>
      </c>
      <c r="R4321" s="1" t="s">
        <v>48</v>
      </c>
    </row>
    <row r="4322" spans="3:18" x14ac:dyDescent="0.35">
      <c r="C4322" t="s">
        <v>51</v>
      </c>
      <c r="D4322" t="s">
        <v>21</v>
      </c>
      <c r="E4322" t="s">
        <v>45</v>
      </c>
      <c r="F4322" t="s">
        <v>46</v>
      </c>
      <c r="G4322" s="58">
        <v>12177074</v>
      </c>
      <c r="H4322" s="1" t="s">
        <v>47</v>
      </c>
      <c r="I4322" s="1" t="s">
        <v>108</v>
      </c>
      <c r="J4322" s="58">
        <v>340958072</v>
      </c>
      <c r="K4322" s="1" t="s">
        <v>106</v>
      </c>
      <c r="L4322" s="1" t="s">
        <v>120</v>
      </c>
      <c r="N4322" s="1">
        <v>1</v>
      </c>
      <c r="O4322" s="58"/>
      <c r="P4322" s="58">
        <v>3287809.98</v>
      </c>
      <c r="Q4322" t="s">
        <v>107</v>
      </c>
      <c r="R4322" s="1" t="s">
        <v>158</v>
      </c>
    </row>
    <row r="4323" spans="3:18" x14ac:dyDescent="0.35">
      <c r="C4323" t="s">
        <v>51</v>
      </c>
      <c r="D4323" t="s">
        <v>22</v>
      </c>
      <c r="E4323" t="s">
        <v>45</v>
      </c>
      <c r="F4323" t="s">
        <v>46</v>
      </c>
      <c r="G4323" s="58">
        <v>155214</v>
      </c>
      <c r="H4323" s="1" t="s">
        <v>47</v>
      </c>
      <c r="I4323" s="1" t="s">
        <v>108</v>
      </c>
      <c r="J4323" s="58">
        <v>3259494</v>
      </c>
      <c r="K4323" s="1" t="s">
        <v>106</v>
      </c>
      <c r="L4323" s="1" t="s">
        <v>116</v>
      </c>
      <c r="N4323" s="1">
        <v>1</v>
      </c>
      <c r="O4323" s="58"/>
      <c r="P4323" s="58">
        <v>23282.1</v>
      </c>
      <c r="Q4323" t="s">
        <v>107</v>
      </c>
      <c r="R4323" s="1" t="s">
        <v>158</v>
      </c>
    </row>
    <row r="4324" spans="3:18" x14ac:dyDescent="0.35">
      <c r="C4324" t="s">
        <v>51</v>
      </c>
      <c r="D4324" t="s">
        <v>22</v>
      </c>
      <c r="E4324" t="s">
        <v>45</v>
      </c>
      <c r="F4324" t="s">
        <v>46</v>
      </c>
      <c r="G4324" s="58">
        <v>72739020</v>
      </c>
      <c r="H4324" s="1" t="s">
        <v>48</v>
      </c>
      <c r="I4324" s="1" t="s">
        <v>108</v>
      </c>
      <c r="J4324" s="58">
        <v>2545865700</v>
      </c>
      <c r="K4324" s="1" t="s">
        <v>106</v>
      </c>
      <c r="L4324" s="1" t="s">
        <v>120</v>
      </c>
      <c r="M4324" s="1" t="s">
        <v>115</v>
      </c>
      <c r="N4324" s="1">
        <v>1</v>
      </c>
      <c r="O4324" s="58"/>
      <c r="P4324" s="58">
        <v>60373386.600000001</v>
      </c>
      <c r="Q4324" t="s">
        <v>127</v>
      </c>
      <c r="R4324" s="1" t="s">
        <v>48</v>
      </c>
    </row>
    <row r="4325" spans="3:18" x14ac:dyDescent="0.35">
      <c r="C4325" t="s">
        <v>51</v>
      </c>
      <c r="D4325" t="s">
        <v>19</v>
      </c>
      <c r="E4325" t="s">
        <v>45</v>
      </c>
      <c r="F4325" t="s">
        <v>46</v>
      </c>
      <c r="G4325" s="58">
        <v>83624</v>
      </c>
      <c r="H4325" s="1" t="s">
        <v>48</v>
      </c>
      <c r="I4325" s="1" t="s">
        <v>108</v>
      </c>
      <c r="J4325" s="58">
        <v>3094088</v>
      </c>
      <c r="K4325" s="1" t="s">
        <v>112</v>
      </c>
      <c r="N4325" s="1">
        <v>1</v>
      </c>
      <c r="O4325" s="58"/>
      <c r="P4325" s="58">
        <v>71080.399999999994</v>
      </c>
      <c r="Q4325" t="s">
        <v>127</v>
      </c>
      <c r="R4325" s="1" t="s">
        <v>158</v>
      </c>
    </row>
    <row r="4326" spans="3:18" x14ac:dyDescent="0.35">
      <c r="C4326" t="s">
        <v>51</v>
      </c>
      <c r="D4326" t="s">
        <v>22</v>
      </c>
      <c r="E4326" t="s">
        <v>62</v>
      </c>
      <c r="F4326" t="s">
        <v>64</v>
      </c>
      <c r="G4326" s="58">
        <v>95988</v>
      </c>
      <c r="H4326" s="1" t="s">
        <v>48</v>
      </c>
      <c r="I4326" s="1" t="s">
        <v>108</v>
      </c>
      <c r="J4326" s="58">
        <v>3551556</v>
      </c>
      <c r="K4326" s="1" t="s">
        <v>112</v>
      </c>
      <c r="N4326" s="1">
        <v>1</v>
      </c>
      <c r="O4326" s="58"/>
      <c r="P4326" s="58">
        <v>67191.600000000006</v>
      </c>
      <c r="Q4326" t="s">
        <v>118</v>
      </c>
      <c r="R4326" s="1" t="s">
        <v>48</v>
      </c>
    </row>
    <row r="4327" spans="3:18" x14ac:dyDescent="0.35">
      <c r="C4327" t="s">
        <v>51</v>
      </c>
      <c r="D4327" t="s">
        <v>23</v>
      </c>
      <c r="E4327" t="s">
        <v>55</v>
      </c>
      <c r="F4327" t="s">
        <v>46</v>
      </c>
      <c r="G4327" s="58">
        <v>648552</v>
      </c>
      <c r="H4327" s="1" t="s">
        <v>54</v>
      </c>
      <c r="I4327" s="1" t="s">
        <v>108</v>
      </c>
      <c r="J4327" s="58">
        <v>17510904</v>
      </c>
      <c r="K4327" s="1" t="s">
        <v>106</v>
      </c>
      <c r="L4327" s="1" t="s">
        <v>114</v>
      </c>
      <c r="N4327" s="1">
        <v>1</v>
      </c>
      <c r="O4327" s="58"/>
      <c r="P4327" s="58">
        <v>791233.44</v>
      </c>
      <c r="Q4327" t="s">
        <v>110</v>
      </c>
      <c r="R4327" s="1" t="s">
        <v>158</v>
      </c>
    </row>
    <row r="4328" spans="3:18" x14ac:dyDescent="0.35">
      <c r="C4328" t="s">
        <v>51</v>
      </c>
      <c r="D4328" t="s">
        <v>20</v>
      </c>
      <c r="E4328" t="s">
        <v>49</v>
      </c>
      <c r="F4328" t="s">
        <v>46</v>
      </c>
      <c r="G4328" s="58">
        <v>2743200</v>
      </c>
      <c r="H4328" s="1" t="s">
        <v>48</v>
      </c>
      <c r="I4328" s="1" t="s">
        <v>108</v>
      </c>
      <c r="J4328" s="58">
        <v>106984800</v>
      </c>
      <c r="K4328" s="1" t="s">
        <v>112</v>
      </c>
      <c r="N4328" s="1">
        <v>1</v>
      </c>
      <c r="O4328" s="58"/>
      <c r="P4328" s="58">
        <v>2743200</v>
      </c>
      <c r="Q4328" t="s">
        <v>110</v>
      </c>
      <c r="R4328" s="1" t="s">
        <v>48</v>
      </c>
    </row>
    <row r="4329" spans="3:18" x14ac:dyDescent="0.35">
      <c r="C4329" t="s">
        <v>51</v>
      </c>
      <c r="D4329" t="s">
        <v>92</v>
      </c>
      <c r="E4329" t="s">
        <v>49</v>
      </c>
      <c r="F4329" t="s">
        <v>46</v>
      </c>
      <c r="G4329" s="58">
        <v>76642</v>
      </c>
      <c r="H4329" s="1" t="s">
        <v>48</v>
      </c>
      <c r="I4329" s="1" t="s">
        <v>119</v>
      </c>
      <c r="J4329" s="58">
        <v>766420</v>
      </c>
      <c r="K4329" s="1" t="s">
        <v>106</v>
      </c>
      <c r="L4329" s="1" t="s">
        <v>120</v>
      </c>
      <c r="M4329" s="1" t="s">
        <v>125</v>
      </c>
      <c r="N4329" s="1">
        <v>1</v>
      </c>
      <c r="O4329" s="58"/>
      <c r="P4329" s="58">
        <v>13029.14</v>
      </c>
      <c r="Q4329" t="s">
        <v>107</v>
      </c>
      <c r="R4329" s="1" t="s">
        <v>48</v>
      </c>
    </row>
    <row r="4330" spans="3:18" x14ac:dyDescent="0.35">
      <c r="C4330" t="s">
        <v>51</v>
      </c>
      <c r="D4330" t="s">
        <v>23</v>
      </c>
      <c r="E4330" t="s">
        <v>45</v>
      </c>
      <c r="F4330" t="s">
        <v>46</v>
      </c>
      <c r="G4330" s="58">
        <v>6760357</v>
      </c>
      <c r="H4330" s="1" t="s">
        <v>47</v>
      </c>
      <c r="I4330" s="1" t="s">
        <v>108</v>
      </c>
      <c r="J4330" s="58">
        <v>202810710</v>
      </c>
      <c r="K4330" s="1" t="s">
        <v>112</v>
      </c>
      <c r="N4330" s="1">
        <v>1</v>
      </c>
      <c r="O4330" s="58"/>
      <c r="P4330" s="58">
        <v>3244971.36</v>
      </c>
      <c r="Q4330" t="s">
        <v>113</v>
      </c>
      <c r="R4330" s="1" t="s">
        <v>158</v>
      </c>
    </row>
    <row r="4331" spans="3:18" x14ac:dyDescent="0.35">
      <c r="C4331" t="s">
        <v>51</v>
      </c>
      <c r="D4331" t="s">
        <v>21</v>
      </c>
      <c r="E4331" t="s">
        <v>55</v>
      </c>
      <c r="F4331" t="s">
        <v>46</v>
      </c>
      <c r="G4331" s="58">
        <v>199614</v>
      </c>
      <c r="H4331" s="1" t="s">
        <v>48</v>
      </c>
      <c r="I4331" s="1" t="s">
        <v>108</v>
      </c>
      <c r="J4331" s="58">
        <v>6188034</v>
      </c>
      <c r="K4331" s="1" t="s">
        <v>106</v>
      </c>
      <c r="L4331" s="1" t="s">
        <v>120</v>
      </c>
      <c r="M4331" s="1" t="s">
        <v>115</v>
      </c>
      <c r="N4331" s="1">
        <v>1</v>
      </c>
      <c r="O4331" s="58"/>
      <c r="P4331" s="58">
        <v>53895.78</v>
      </c>
      <c r="Q4331" t="s">
        <v>107</v>
      </c>
      <c r="R4331" s="1" t="s">
        <v>48</v>
      </c>
    </row>
    <row r="4332" spans="3:18" x14ac:dyDescent="0.35">
      <c r="C4332" t="s">
        <v>51</v>
      </c>
      <c r="D4332" t="s">
        <v>25</v>
      </c>
      <c r="E4332" t="s">
        <v>55</v>
      </c>
      <c r="F4332" t="s">
        <v>46</v>
      </c>
      <c r="G4332" s="58">
        <v>5212723</v>
      </c>
      <c r="H4332" s="1" t="s">
        <v>54</v>
      </c>
      <c r="I4332" s="1" t="s">
        <v>111</v>
      </c>
      <c r="J4332" s="58">
        <v>83403568</v>
      </c>
      <c r="K4332" s="1" t="s">
        <v>106</v>
      </c>
      <c r="L4332" s="1" t="s">
        <v>114</v>
      </c>
      <c r="N4332" s="1">
        <v>1</v>
      </c>
      <c r="O4332" s="58"/>
      <c r="P4332" s="58">
        <v>2606361.5</v>
      </c>
      <c r="Q4332" t="s">
        <v>113</v>
      </c>
      <c r="R4332" s="1" t="s">
        <v>158</v>
      </c>
    </row>
    <row r="4333" spans="3:18" x14ac:dyDescent="0.35">
      <c r="C4333" t="s">
        <v>51</v>
      </c>
      <c r="D4333" t="s">
        <v>24</v>
      </c>
      <c r="E4333" t="s">
        <v>55</v>
      </c>
      <c r="F4333" t="s">
        <v>46</v>
      </c>
      <c r="G4333" s="58">
        <v>251180</v>
      </c>
      <c r="H4333" s="1" t="s">
        <v>47</v>
      </c>
      <c r="I4333" s="1" t="s">
        <v>119</v>
      </c>
      <c r="J4333" s="58">
        <v>2009440</v>
      </c>
      <c r="K4333" s="1" t="s">
        <v>106</v>
      </c>
      <c r="L4333" s="1" t="s">
        <v>114</v>
      </c>
      <c r="N4333" s="1">
        <v>1</v>
      </c>
      <c r="O4333" s="58"/>
      <c r="P4333" s="58">
        <v>175826</v>
      </c>
      <c r="Q4333" t="s">
        <v>118</v>
      </c>
      <c r="R4333" s="1" t="s">
        <v>158</v>
      </c>
    </row>
    <row r="4334" spans="3:18" x14ac:dyDescent="0.35">
      <c r="C4334" t="s">
        <v>53</v>
      </c>
      <c r="D4334" t="s">
        <v>91</v>
      </c>
      <c r="E4334" t="s">
        <v>49</v>
      </c>
      <c r="F4334" t="s">
        <v>46</v>
      </c>
      <c r="G4334" s="58">
        <v>68909</v>
      </c>
      <c r="H4334" s="1" t="s">
        <v>54</v>
      </c>
      <c r="I4334" s="1" t="s">
        <v>105</v>
      </c>
      <c r="J4334" s="58">
        <v>68909</v>
      </c>
      <c r="K4334" s="1" t="s">
        <v>106</v>
      </c>
      <c r="L4334" s="1" t="s">
        <v>124</v>
      </c>
      <c r="N4334" s="1">
        <v>1</v>
      </c>
      <c r="O4334" s="58"/>
      <c r="P4334" s="58">
        <v>5512.72</v>
      </c>
      <c r="Q4334" t="s">
        <v>107</v>
      </c>
      <c r="R4334" s="1" t="s">
        <v>158</v>
      </c>
    </row>
    <row r="4335" spans="3:18" x14ac:dyDescent="0.35">
      <c r="C4335" t="s">
        <v>51</v>
      </c>
      <c r="D4335" t="s">
        <v>22</v>
      </c>
      <c r="E4335" t="s">
        <v>55</v>
      </c>
      <c r="F4335" t="s">
        <v>46</v>
      </c>
      <c r="G4335" s="58">
        <v>1929829</v>
      </c>
      <c r="H4335" s="1" t="s">
        <v>48</v>
      </c>
      <c r="I4335" s="1" t="s">
        <v>108</v>
      </c>
      <c r="J4335" s="58">
        <v>55965041</v>
      </c>
      <c r="K4335" s="1" t="s">
        <v>106</v>
      </c>
      <c r="L4335" s="1" t="s">
        <v>124</v>
      </c>
      <c r="M4335" s="1" t="s">
        <v>115</v>
      </c>
      <c r="N4335" s="1">
        <v>1</v>
      </c>
      <c r="O4335" s="58"/>
      <c r="P4335" s="58">
        <v>984212.79</v>
      </c>
      <c r="Q4335" t="s">
        <v>113</v>
      </c>
      <c r="R4335" s="1" t="s">
        <v>48</v>
      </c>
    </row>
    <row r="4336" spans="3:18" x14ac:dyDescent="0.35">
      <c r="C4336" t="s">
        <v>51</v>
      </c>
      <c r="D4336" t="s">
        <v>23</v>
      </c>
      <c r="E4336" t="s">
        <v>55</v>
      </c>
      <c r="F4336" t="s">
        <v>46</v>
      </c>
      <c r="G4336" s="58">
        <v>3632219</v>
      </c>
      <c r="H4336" s="1" t="s">
        <v>59</v>
      </c>
      <c r="I4336" s="1" t="s">
        <v>108</v>
      </c>
      <c r="J4336" s="58">
        <v>98069913</v>
      </c>
      <c r="K4336" s="1" t="s">
        <v>106</v>
      </c>
      <c r="L4336" s="1" t="s">
        <v>114</v>
      </c>
      <c r="N4336" s="1">
        <v>1</v>
      </c>
      <c r="O4336" s="58"/>
      <c r="P4336" s="58">
        <v>1089665.7</v>
      </c>
      <c r="Q4336" t="s">
        <v>107</v>
      </c>
      <c r="R4336" s="1" t="s">
        <v>158</v>
      </c>
    </row>
    <row r="4337" spans="3:18" x14ac:dyDescent="0.35">
      <c r="C4337" t="s">
        <v>51</v>
      </c>
      <c r="D4337" t="s">
        <v>24</v>
      </c>
      <c r="E4337" t="s">
        <v>50</v>
      </c>
      <c r="F4337" t="s">
        <v>64</v>
      </c>
      <c r="G4337" s="58">
        <v>138528</v>
      </c>
      <c r="H4337" s="1" t="s">
        <v>48</v>
      </c>
      <c r="I4337" s="1" t="s">
        <v>108</v>
      </c>
      <c r="J4337" s="58">
        <v>3186144</v>
      </c>
      <c r="K4337" s="1" t="s">
        <v>106</v>
      </c>
      <c r="L4337" s="1" t="s">
        <v>109</v>
      </c>
      <c r="M4337" s="1" t="s">
        <v>121</v>
      </c>
      <c r="N4337" s="1">
        <v>1</v>
      </c>
      <c r="O4337" s="58"/>
      <c r="P4337" s="58">
        <v>96969.600000000006</v>
      </c>
      <c r="Q4337" t="s">
        <v>118</v>
      </c>
      <c r="R4337" s="1" t="s">
        <v>158</v>
      </c>
    </row>
    <row r="4338" spans="3:18" x14ac:dyDescent="0.35">
      <c r="C4338" t="s">
        <v>51</v>
      </c>
      <c r="D4338" t="s">
        <v>23</v>
      </c>
      <c r="E4338" t="s">
        <v>55</v>
      </c>
      <c r="F4338" t="s">
        <v>46</v>
      </c>
      <c r="G4338" s="58">
        <v>44615</v>
      </c>
      <c r="H4338" s="1" t="s">
        <v>47</v>
      </c>
      <c r="I4338" s="1" t="s">
        <v>105</v>
      </c>
      <c r="J4338" s="58">
        <v>223075</v>
      </c>
      <c r="K4338" s="1" t="s">
        <v>106</v>
      </c>
      <c r="L4338" s="1" t="s">
        <v>114</v>
      </c>
      <c r="N4338" s="1">
        <v>1</v>
      </c>
      <c r="O4338" s="58"/>
      <c r="P4338" s="58">
        <v>52645.7</v>
      </c>
      <c r="Q4338" t="s">
        <v>110</v>
      </c>
      <c r="R4338" s="1" t="s">
        <v>158</v>
      </c>
    </row>
    <row r="4339" spans="3:18" x14ac:dyDescent="0.35">
      <c r="C4339" t="s">
        <v>51</v>
      </c>
      <c r="D4339" t="s">
        <v>21</v>
      </c>
      <c r="E4339" t="s">
        <v>49</v>
      </c>
      <c r="F4339" t="s">
        <v>46</v>
      </c>
      <c r="G4339" s="58">
        <v>4730754</v>
      </c>
      <c r="H4339" s="1" t="s">
        <v>54</v>
      </c>
      <c r="I4339" s="1" t="s">
        <v>108</v>
      </c>
      <c r="J4339" s="58">
        <v>137191866</v>
      </c>
      <c r="K4339" s="1" t="s">
        <v>112</v>
      </c>
      <c r="N4339" s="1">
        <v>1</v>
      </c>
      <c r="O4339" s="58"/>
      <c r="P4339" s="58">
        <v>2412684.54</v>
      </c>
      <c r="Q4339" t="s">
        <v>113</v>
      </c>
      <c r="R4339" s="1" t="s">
        <v>158</v>
      </c>
    </row>
    <row r="4340" spans="3:18" x14ac:dyDescent="0.35">
      <c r="C4340" t="s">
        <v>51</v>
      </c>
      <c r="D4340" t="s">
        <v>19</v>
      </c>
      <c r="E4340" t="s">
        <v>49</v>
      </c>
      <c r="F4340" t="s">
        <v>46</v>
      </c>
      <c r="G4340" s="58">
        <v>333365</v>
      </c>
      <c r="H4340" s="1" t="s">
        <v>56</v>
      </c>
      <c r="I4340" s="1" t="s">
        <v>108</v>
      </c>
      <c r="J4340" s="58">
        <v>8334125</v>
      </c>
      <c r="K4340" s="1" t="s">
        <v>106</v>
      </c>
      <c r="L4340" s="1" t="s">
        <v>120</v>
      </c>
      <c r="N4340" s="1">
        <v>1</v>
      </c>
      <c r="O4340" s="58"/>
      <c r="P4340" s="58">
        <v>136679.65</v>
      </c>
      <c r="Q4340" t="s">
        <v>113</v>
      </c>
      <c r="R4340" s="1" t="s">
        <v>158</v>
      </c>
    </row>
    <row r="4341" spans="3:18" x14ac:dyDescent="0.35">
      <c r="C4341" t="s">
        <v>51</v>
      </c>
      <c r="D4341" t="s">
        <v>92</v>
      </c>
      <c r="E4341" t="s">
        <v>45</v>
      </c>
      <c r="F4341" t="s">
        <v>46</v>
      </c>
      <c r="G4341" s="58">
        <v>158434</v>
      </c>
      <c r="H4341" s="1" t="s">
        <v>54</v>
      </c>
      <c r="I4341" s="1" t="s">
        <v>108</v>
      </c>
      <c r="J4341" s="58">
        <v>6020492</v>
      </c>
      <c r="K4341" s="1" t="s">
        <v>106</v>
      </c>
      <c r="L4341" s="1" t="s">
        <v>120</v>
      </c>
      <c r="N4341" s="1">
        <v>1</v>
      </c>
      <c r="O4341" s="58"/>
      <c r="P4341" s="58">
        <v>134668.9</v>
      </c>
      <c r="Q4341" t="s">
        <v>127</v>
      </c>
      <c r="R4341" s="1" t="s">
        <v>158</v>
      </c>
    </row>
    <row r="4342" spans="3:18" x14ac:dyDescent="0.35">
      <c r="C4342" t="s">
        <v>51</v>
      </c>
      <c r="D4342" t="s">
        <v>22</v>
      </c>
      <c r="E4342" t="s">
        <v>45</v>
      </c>
      <c r="F4342" t="s">
        <v>46</v>
      </c>
      <c r="G4342" s="58">
        <v>3635402</v>
      </c>
      <c r="H4342" s="1" t="s">
        <v>48</v>
      </c>
      <c r="I4342" s="1" t="s">
        <v>119</v>
      </c>
      <c r="J4342" s="58">
        <v>32718618</v>
      </c>
      <c r="K4342" s="1" t="s">
        <v>106</v>
      </c>
      <c r="L4342" s="1" t="s">
        <v>120</v>
      </c>
      <c r="M4342" s="1" t="s">
        <v>115</v>
      </c>
      <c r="N4342" s="1">
        <v>1</v>
      </c>
      <c r="O4342" s="58"/>
      <c r="P4342" s="58">
        <v>2435719.34</v>
      </c>
      <c r="Q4342" t="s">
        <v>118</v>
      </c>
      <c r="R4342" s="1" t="s">
        <v>158</v>
      </c>
    </row>
    <row r="4343" spans="3:18" x14ac:dyDescent="0.35">
      <c r="C4343" t="s">
        <v>51</v>
      </c>
      <c r="D4343" t="s">
        <v>20</v>
      </c>
      <c r="E4343" t="s">
        <v>55</v>
      </c>
      <c r="F4343" t="s">
        <v>46</v>
      </c>
      <c r="G4343" s="58">
        <v>193370</v>
      </c>
      <c r="H4343" s="1" t="s">
        <v>48</v>
      </c>
      <c r="I4343" s="1" t="s">
        <v>108</v>
      </c>
      <c r="J4343" s="58">
        <v>5414360</v>
      </c>
      <c r="K4343" s="1" t="s">
        <v>106</v>
      </c>
      <c r="L4343" s="1" t="s">
        <v>114</v>
      </c>
      <c r="M4343" s="1" t="s">
        <v>123</v>
      </c>
      <c r="N4343" s="1">
        <v>1</v>
      </c>
      <c r="O4343" s="58"/>
      <c r="P4343" s="58">
        <v>90883.9</v>
      </c>
      <c r="Q4343" t="s">
        <v>113</v>
      </c>
      <c r="R4343" s="1" t="s">
        <v>48</v>
      </c>
    </row>
    <row r="4344" spans="3:18" x14ac:dyDescent="0.35">
      <c r="C4344" t="s">
        <v>51</v>
      </c>
      <c r="D4344" t="s">
        <v>22</v>
      </c>
      <c r="E4344" t="s">
        <v>55</v>
      </c>
      <c r="F4344" t="s">
        <v>46</v>
      </c>
      <c r="G4344" s="58">
        <v>289831</v>
      </c>
      <c r="H4344" s="1" t="s">
        <v>48</v>
      </c>
      <c r="I4344" s="1" t="s">
        <v>108</v>
      </c>
      <c r="J4344" s="58">
        <v>7245775</v>
      </c>
      <c r="K4344" s="1" t="s">
        <v>106</v>
      </c>
      <c r="L4344" s="1" t="s">
        <v>114</v>
      </c>
      <c r="M4344" s="1" t="s">
        <v>122</v>
      </c>
      <c r="N4344" s="1">
        <v>1</v>
      </c>
      <c r="O4344" s="58"/>
      <c r="P4344" s="58">
        <v>223169.87</v>
      </c>
      <c r="Q4344" t="s">
        <v>118</v>
      </c>
      <c r="R4344" s="1" t="s">
        <v>48</v>
      </c>
    </row>
    <row r="4345" spans="3:18" x14ac:dyDescent="0.35">
      <c r="C4345" t="s">
        <v>51</v>
      </c>
      <c r="D4345" t="s">
        <v>92</v>
      </c>
      <c r="E4345" t="s">
        <v>45</v>
      </c>
      <c r="F4345" t="s">
        <v>46</v>
      </c>
      <c r="G4345" s="58">
        <v>1979936</v>
      </c>
      <c r="H4345" s="1" t="s">
        <v>48</v>
      </c>
      <c r="I4345" s="1" t="s">
        <v>111</v>
      </c>
      <c r="J4345" s="58">
        <v>29699040</v>
      </c>
      <c r="K4345" s="1" t="s">
        <v>106</v>
      </c>
      <c r="L4345" s="1" t="s">
        <v>120</v>
      </c>
      <c r="M4345" s="1" t="s">
        <v>123</v>
      </c>
      <c r="N4345" s="1">
        <v>1</v>
      </c>
      <c r="O4345" s="58"/>
      <c r="P4345" s="58">
        <v>1049366.08</v>
      </c>
      <c r="Q4345" t="s">
        <v>113</v>
      </c>
      <c r="R4345" s="1" t="s">
        <v>48</v>
      </c>
    </row>
    <row r="4346" spans="3:18" x14ac:dyDescent="0.35">
      <c r="C4346" t="s">
        <v>51</v>
      </c>
      <c r="D4346" t="s">
        <v>21</v>
      </c>
      <c r="E4346" t="s">
        <v>45</v>
      </c>
      <c r="F4346" t="s">
        <v>46</v>
      </c>
      <c r="G4346" s="58">
        <v>4839030</v>
      </c>
      <c r="H4346" s="1" t="s">
        <v>47</v>
      </c>
      <c r="I4346" s="1" t="s">
        <v>105</v>
      </c>
      <c r="J4346" s="58">
        <v>14517090</v>
      </c>
      <c r="K4346" s="1" t="s">
        <v>106</v>
      </c>
      <c r="L4346" s="1" t="s">
        <v>120</v>
      </c>
      <c r="N4346" s="1">
        <v>1</v>
      </c>
      <c r="O4346" s="58"/>
      <c r="P4346" s="58">
        <v>532293.30000000005</v>
      </c>
      <c r="Q4346" t="s">
        <v>107</v>
      </c>
      <c r="R4346" s="1" t="s">
        <v>158</v>
      </c>
    </row>
    <row r="4347" spans="3:18" x14ac:dyDescent="0.35">
      <c r="C4347" t="s">
        <v>51</v>
      </c>
      <c r="D4347" t="s">
        <v>22</v>
      </c>
      <c r="E4347" t="s">
        <v>49</v>
      </c>
      <c r="F4347" t="s">
        <v>46</v>
      </c>
      <c r="G4347" s="58">
        <v>1942746</v>
      </c>
      <c r="H4347" s="1" t="s">
        <v>54</v>
      </c>
      <c r="I4347" s="1" t="s">
        <v>119</v>
      </c>
      <c r="J4347" s="58">
        <v>15541968</v>
      </c>
      <c r="K4347" s="1" t="s">
        <v>106</v>
      </c>
      <c r="L4347" s="1" t="s">
        <v>124</v>
      </c>
      <c r="N4347" s="1">
        <v>1</v>
      </c>
      <c r="O4347" s="58"/>
      <c r="P4347" s="58">
        <v>1282212.3600000001</v>
      </c>
      <c r="Q4347" t="s">
        <v>118</v>
      </c>
      <c r="R4347" s="1" t="s">
        <v>158</v>
      </c>
    </row>
    <row r="4348" spans="3:18" x14ac:dyDescent="0.35">
      <c r="C4348" t="s">
        <v>51</v>
      </c>
      <c r="D4348" t="s">
        <v>91</v>
      </c>
      <c r="E4348" t="s">
        <v>49</v>
      </c>
      <c r="F4348" t="s">
        <v>46</v>
      </c>
      <c r="G4348" s="58">
        <v>927462</v>
      </c>
      <c r="H4348" s="1" t="s">
        <v>47</v>
      </c>
      <c r="I4348" s="1" t="s">
        <v>111</v>
      </c>
      <c r="J4348" s="58">
        <v>15766854</v>
      </c>
      <c r="K4348" s="1" t="s">
        <v>106</v>
      </c>
      <c r="L4348" s="1" t="s">
        <v>120</v>
      </c>
      <c r="N4348" s="1">
        <v>1</v>
      </c>
      <c r="O4348" s="58"/>
      <c r="P4348" s="58">
        <v>454456.38</v>
      </c>
      <c r="Q4348" t="s">
        <v>113</v>
      </c>
      <c r="R4348" s="1" t="s">
        <v>158</v>
      </c>
    </row>
    <row r="4349" spans="3:18" x14ac:dyDescent="0.35">
      <c r="C4349" t="s">
        <v>53</v>
      </c>
      <c r="D4349" t="s">
        <v>21</v>
      </c>
      <c r="E4349" t="s">
        <v>45</v>
      </c>
      <c r="F4349" t="s">
        <v>46</v>
      </c>
      <c r="G4349" s="58">
        <v>478400</v>
      </c>
      <c r="H4349" s="1" t="s">
        <v>47</v>
      </c>
      <c r="I4349" s="1" t="s">
        <v>105</v>
      </c>
      <c r="J4349" s="58"/>
      <c r="K4349" s="1" t="s">
        <v>106</v>
      </c>
      <c r="L4349" s="1" t="s">
        <v>124</v>
      </c>
      <c r="N4349" s="1">
        <v>0</v>
      </c>
      <c r="O4349" s="58"/>
      <c r="P4349" s="58">
        <v>66976</v>
      </c>
      <c r="Q4349" t="s">
        <v>107</v>
      </c>
      <c r="R4349" s="1" t="s">
        <v>158</v>
      </c>
    </row>
    <row r="4350" spans="3:18" x14ac:dyDescent="0.35">
      <c r="C4350" t="s">
        <v>53</v>
      </c>
      <c r="D4350" t="s">
        <v>23</v>
      </c>
      <c r="E4350" t="s">
        <v>55</v>
      </c>
      <c r="F4350" t="s">
        <v>46</v>
      </c>
      <c r="G4350" s="58">
        <v>132000</v>
      </c>
      <c r="H4350" s="1" t="s">
        <v>47</v>
      </c>
      <c r="I4350" s="1" t="s">
        <v>108</v>
      </c>
      <c r="J4350" s="58">
        <v>2904000</v>
      </c>
      <c r="K4350" s="1" t="s">
        <v>106</v>
      </c>
      <c r="L4350" s="1" t="s">
        <v>114</v>
      </c>
      <c r="N4350" s="1">
        <v>1</v>
      </c>
      <c r="O4350" s="58"/>
      <c r="P4350" s="58">
        <v>155760</v>
      </c>
      <c r="Q4350" t="s">
        <v>110</v>
      </c>
      <c r="R4350" s="1" t="s">
        <v>158</v>
      </c>
    </row>
    <row r="4351" spans="3:18" x14ac:dyDescent="0.35">
      <c r="C4351" t="s">
        <v>51</v>
      </c>
      <c r="D4351" t="s">
        <v>24</v>
      </c>
      <c r="E4351" t="s">
        <v>45</v>
      </c>
      <c r="F4351" t="s">
        <v>46</v>
      </c>
      <c r="G4351" s="58">
        <v>5130510</v>
      </c>
      <c r="H4351" s="1" t="s">
        <v>56</v>
      </c>
      <c r="I4351" s="1" t="s">
        <v>108</v>
      </c>
      <c r="J4351" s="58">
        <v>153915300</v>
      </c>
      <c r="K4351" s="1" t="s">
        <v>106</v>
      </c>
      <c r="L4351" s="1" t="s">
        <v>120</v>
      </c>
      <c r="N4351" s="1">
        <v>1</v>
      </c>
      <c r="O4351" s="58"/>
      <c r="P4351" s="58">
        <v>3591357</v>
      </c>
      <c r="Q4351" t="s">
        <v>118</v>
      </c>
      <c r="R4351" s="1" t="s">
        <v>158</v>
      </c>
    </row>
    <row r="4352" spans="3:18" x14ac:dyDescent="0.35">
      <c r="C4352" t="s">
        <v>44</v>
      </c>
      <c r="D4352" t="s">
        <v>24</v>
      </c>
      <c r="E4352" t="s">
        <v>50</v>
      </c>
      <c r="F4352" t="s">
        <v>46</v>
      </c>
      <c r="G4352" s="58">
        <v>360847</v>
      </c>
      <c r="H4352" s="1" t="s">
        <v>47</v>
      </c>
      <c r="I4352" s="1" t="s">
        <v>108</v>
      </c>
      <c r="J4352" s="58"/>
      <c r="N4352" s="1">
        <v>0</v>
      </c>
      <c r="O4352" s="58"/>
      <c r="P4352" s="58"/>
      <c r="R4352" s="1" t="s">
        <v>158</v>
      </c>
    </row>
    <row r="4353" spans="3:18" x14ac:dyDescent="0.35">
      <c r="C4353" t="s">
        <v>51</v>
      </c>
      <c r="D4353" t="s">
        <v>22</v>
      </c>
      <c r="E4353" t="s">
        <v>45</v>
      </c>
      <c r="F4353" t="s">
        <v>46</v>
      </c>
      <c r="G4353" s="58">
        <v>73835780</v>
      </c>
      <c r="H4353" s="1" t="s">
        <v>56</v>
      </c>
      <c r="I4353" s="1" t="s">
        <v>108</v>
      </c>
      <c r="J4353" s="58">
        <v>1919730280</v>
      </c>
      <c r="K4353" s="1" t="s">
        <v>106</v>
      </c>
      <c r="L4353" s="1" t="s">
        <v>120</v>
      </c>
      <c r="N4353" s="1">
        <v>1</v>
      </c>
      <c r="O4353" s="58"/>
      <c r="P4353" s="58">
        <v>21412376.199999999</v>
      </c>
      <c r="Q4353" t="s">
        <v>107</v>
      </c>
      <c r="R4353" s="1" t="s">
        <v>158</v>
      </c>
    </row>
    <row r="4354" spans="3:18" x14ac:dyDescent="0.35">
      <c r="C4354" t="s">
        <v>51</v>
      </c>
      <c r="D4354" t="s">
        <v>19</v>
      </c>
      <c r="E4354" t="s">
        <v>49</v>
      </c>
      <c r="F4354" t="s">
        <v>46</v>
      </c>
      <c r="G4354" s="58">
        <v>1550644</v>
      </c>
      <c r="H4354" s="1" t="s">
        <v>56</v>
      </c>
      <c r="I4354" s="1" t="s">
        <v>111</v>
      </c>
      <c r="J4354" s="58">
        <v>26360948</v>
      </c>
      <c r="K4354" s="1" t="s">
        <v>106</v>
      </c>
      <c r="L4354" s="1" t="s">
        <v>124</v>
      </c>
      <c r="N4354" s="1">
        <v>1</v>
      </c>
      <c r="O4354" s="58"/>
      <c r="P4354" s="58">
        <v>1038931.48</v>
      </c>
      <c r="Q4354" t="s">
        <v>118</v>
      </c>
      <c r="R4354" s="1" t="s">
        <v>158</v>
      </c>
    </row>
    <row r="4355" spans="3:18" x14ac:dyDescent="0.35">
      <c r="C4355" t="s">
        <v>51</v>
      </c>
      <c r="D4355" t="s">
        <v>22</v>
      </c>
      <c r="E4355" t="s">
        <v>49</v>
      </c>
      <c r="F4355" t="s">
        <v>46</v>
      </c>
      <c r="G4355" s="58">
        <v>4973227</v>
      </c>
      <c r="H4355" s="1" t="s">
        <v>48</v>
      </c>
      <c r="I4355" s="1" t="s">
        <v>108</v>
      </c>
      <c r="J4355" s="58">
        <v>144223583</v>
      </c>
      <c r="K4355" s="1" t="s">
        <v>112</v>
      </c>
      <c r="N4355" s="1">
        <v>1</v>
      </c>
      <c r="O4355" s="58"/>
      <c r="P4355" s="58">
        <v>2586078.04</v>
      </c>
      <c r="Q4355" t="s">
        <v>113</v>
      </c>
      <c r="R4355" s="1" t="s">
        <v>48</v>
      </c>
    </row>
    <row r="4356" spans="3:18" x14ac:dyDescent="0.35">
      <c r="C4356" t="s">
        <v>51</v>
      </c>
      <c r="D4356" t="s">
        <v>20</v>
      </c>
      <c r="E4356" t="s">
        <v>49</v>
      </c>
      <c r="F4356" t="s">
        <v>46</v>
      </c>
      <c r="G4356" s="58">
        <v>649874</v>
      </c>
      <c r="H4356" s="1" t="s">
        <v>47</v>
      </c>
      <c r="I4356" s="1" t="s">
        <v>108</v>
      </c>
      <c r="J4356" s="58">
        <v>23395464</v>
      </c>
      <c r="K4356" s="1" t="s">
        <v>112</v>
      </c>
      <c r="N4356" s="1">
        <v>1</v>
      </c>
      <c r="O4356" s="58"/>
      <c r="P4356" s="58">
        <v>539395.42000000004</v>
      </c>
      <c r="Q4356" t="s">
        <v>127</v>
      </c>
      <c r="R4356" s="1" t="s">
        <v>158</v>
      </c>
    </row>
    <row r="4357" spans="3:18" x14ac:dyDescent="0.35">
      <c r="C4357" t="s">
        <v>51</v>
      </c>
      <c r="D4357" t="s">
        <v>22</v>
      </c>
      <c r="E4357" t="s">
        <v>45</v>
      </c>
      <c r="F4357" t="s">
        <v>46</v>
      </c>
      <c r="G4357" s="58">
        <v>616735</v>
      </c>
      <c r="H4357" s="1" t="s">
        <v>54</v>
      </c>
      <c r="I4357" s="1" t="s">
        <v>111</v>
      </c>
      <c r="J4357" s="58">
        <v>10484495</v>
      </c>
      <c r="K4357" s="1" t="s">
        <v>106</v>
      </c>
      <c r="L4357" s="1" t="s">
        <v>120</v>
      </c>
      <c r="N4357" s="1">
        <v>1</v>
      </c>
      <c r="O4357" s="58"/>
      <c r="P4357" s="58">
        <v>542726.80000000005</v>
      </c>
      <c r="Q4357" t="s">
        <v>127</v>
      </c>
      <c r="R4357" s="1" t="s">
        <v>158</v>
      </c>
    </row>
    <row r="4358" spans="3:18" x14ac:dyDescent="0.35">
      <c r="C4358" t="s">
        <v>51</v>
      </c>
      <c r="D4358" t="s">
        <v>23</v>
      </c>
      <c r="E4358" t="s">
        <v>45</v>
      </c>
      <c r="F4358" t="s">
        <v>46</v>
      </c>
      <c r="G4358" s="58">
        <v>107971901</v>
      </c>
      <c r="H4358" s="1" t="s">
        <v>59</v>
      </c>
      <c r="I4358" s="1" t="s">
        <v>108</v>
      </c>
      <c r="J4358" s="58">
        <v>3023213228</v>
      </c>
      <c r="K4358" s="1" t="s">
        <v>106</v>
      </c>
      <c r="L4358" s="1" t="s">
        <v>120</v>
      </c>
      <c r="N4358" s="1">
        <v>1</v>
      </c>
      <c r="O4358" s="58"/>
      <c r="P4358" s="58">
        <v>74500611.689999998</v>
      </c>
      <c r="Q4358" t="s">
        <v>118</v>
      </c>
      <c r="R4358" s="1" t="s">
        <v>158</v>
      </c>
    </row>
    <row r="4359" spans="3:18" x14ac:dyDescent="0.35">
      <c r="C4359" t="s">
        <v>51</v>
      </c>
      <c r="D4359" t="s">
        <v>21</v>
      </c>
      <c r="E4359" t="s">
        <v>49</v>
      </c>
      <c r="F4359" t="s">
        <v>46</v>
      </c>
      <c r="G4359" s="58">
        <v>177550</v>
      </c>
      <c r="H4359" s="1" t="s">
        <v>48</v>
      </c>
      <c r="I4359" s="1" t="s">
        <v>108</v>
      </c>
      <c r="J4359" s="58">
        <v>5326500</v>
      </c>
      <c r="K4359" s="1" t="s">
        <v>106</v>
      </c>
      <c r="L4359" s="1" t="s">
        <v>124</v>
      </c>
      <c r="M4359" s="1" t="s">
        <v>115</v>
      </c>
      <c r="N4359" s="1">
        <v>1</v>
      </c>
      <c r="O4359" s="58"/>
      <c r="P4359" s="58">
        <v>113632</v>
      </c>
      <c r="Q4359" t="s">
        <v>118</v>
      </c>
      <c r="R4359" s="1" t="s">
        <v>158</v>
      </c>
    </row>
    <row r="4360" spans="3:18" x14ac:dyDescent="0.35">
      <c r="C4360" t="s">
        <v>51</v>
      </c>
      <c r="D4360" t="s">
        <v>22</v>
      </c>
      <c r="E4360" t="s">
        <v>45</v>
      </c>
      <c r="F4360" t="s">
        <v>46</v>
      </c>
      <c r="G4360" s="58">
        <v>10334709</v>
      </c>
      <c r="H4360" s="1" t="s">
        <v>56</v>
      </c>
      <c r="I4360" s="1" t="s">
        <v>119</v>
      </c>
      <c r="J4360" s="58">
        <v>82677672</v>
      </c>
      <c r="K4360" s="1" t="s">
        <v>106</v>
      </c>
      <c r="L4360" s="1" t="s">
        <v>120</v>
      </c>
      <c r="N4360" s="1">
        <v>1</v>
      </c>
      <c r="O4360" s="58"/>
      <c r="P4360" s="58">
        <v>4857313.2300000004</v>
      </c>
      <c r="Q4360" t="s">
        <v>113</v>
      </c>
      <c r="R4360" s="1" t="s">
        <v>158</v>
      </c>
    </row>
    <row r="4361" spans="3:18" x14ac:dyDescent="0.35">
      <c r="C4361" t="s">
        <v>51</v>
      </c>
      <c r="D4361" t="s">
        <v>24</v>
      </c>
      <c r="E4361" t="s">
        <v>45</v>
      </c>
      <c r="F4361" t="s">
        <v>46</v>
      </c>
      <c r="G4361" s="58">
        <v>5029084</v>
      </c>
      <c r="H4361" s="1" t="s">
        <v>47</v>
      </c>
      <c r="I4361" s="1" t="s">
        <v>108</v>
      </c>
      <c r="J4361" s="58">
        <v>125727100</v>
      </c>
      <c r="K4361" s="1" t="s">
        <v>106</v>
      </c>
      <c r="L4361" s="1" t="s">
        <v>120</v>
      </c>
      <c r="N4361" s="1">
        <v>1</v>
      </c>
      <c r="O4361" s="58"/>
      <c r="P4361" s="58">
        <v>1307561.8400000001</v>
      </c>
      <c r="Q4361" t="s">
        <v>107</v>
      </c>
      <c r="R4361" s="1" t="s">
        <v>158</v>
      </c>
    </row>
    <row r="4362" spans="3:18" x14ac:dyDescent="0.35">
      <c r="C4362" t="s">
        <v>51</v>
      </c>
      <c r="D4362" t="s">
        <v>21</v>
      </c>
      <c r="E4362" t="s">
        <v>49</v>
      </c>
      <c r="F4362" t="s">
        <v>46</v>
      </c>
      <c r="G4362" s="58">
        <v>218349</v>
      </c>
      <c r="H4362" s="1" t="s">
        <v>48</v>
      </c>
      <c r="I4362" s="1" t="s">
        <v>108</v>
      </c>
      <c r="J4362" s="58">
        <v>8297262</v>
      </c>
      <c r="K4362" s="1" t="s">
        <v>106</v>
      </c>
      <c r="L4362" s="1" t="s">
        <v>116</v>
      </c>
      <c r="M4362" s="1" t="s">
        <v>129</v>
      </c>
      <c r="N4362" s="1">
        <v>1</v>
      </c>
      <c r="O4362" s="58"/>
      <c r="P4362" s="58">
        <v>185596.65</v>
      </c>
      <c r="Q4362" t="s">
        <v>127</v>
      </c>
      <c r="R4362" s="1" t="s">
        <v>158</v>
      </c>
    </row>
    <row r="4363" spans="3:18" x14ac:dyDescent="0.35">
      <c r="C4363" t="s">
        <v>51</v>
      </c>
      <c r="D4363" t="s">
        <v>21</v>
      </c>
      <c r="E4363" t="s">
        <v>45</v>
      </c>
      <c r="F4363" t="s">
        <v>46</v>
      </c>
      <c r="G4363" s="58">
        <v>636448</v>
      </c>
      <c r="H4363" s="1" t="s">
        <v>47</v>
      </c>
      <c r="I4363" s="1" t="s">
        <v>108</v>
      </c>
      <c r="J4363" s="58">
        <v>18456992</v>
      </c>
      <c r="K4363" s="1" t="s">
        <v>106</v>
      </c>
      <c r="L4363" s="1" t="s">
        <v>109</v>
      </c>
      <c r="N4363" s="1">
        <v>1</v>
      </c>
      <c r="O4363" s="58"/>
      <c r="P4363" s="58">
        <v>114560.64</v>
      </c>
      <c r="Q4363" t="s">
        <v>107</v>
      </c>
      <c r="R4363" s="1" t="s">
        <v>158</v>
      </c>
    </row>
    <row r="4364" spans="3:18" x14ac:dyDescent="0.35">
      <c r="C4364" t="s">
        <v>51</v>
      </c>
      <c r="D4364" t="s">
        <v>24</v>
      </c>
      <c r="E4364" t="s">
        <v>50</v>
      </c>
      <c r="F4364" t="s">
        <v>46</v>
      </c>
      <c r="G4364" s="58">
        <v>311092</v>
      </c>
      <c r="H4364" s="1" t="s">
        <v>54</v>
      </c>
      <c r="I4364" s="1" t="s">
        <v>105</v>
      </c>
      <c r="J4364" s="58">
        <v>1555460</v>
      </c>
      <c r="K4364" s="1" t="s">
        <v>106</v>
      </c>
      <c r="L4364" s="1" t="s">
        <v>109</v>
      </c>
      <c r="N4364" s="1">
        <v>1</v>
      </c>
      <c r="O4364" s="58"/>
      <c r="P4364" s="58">
        <v>192877.04</v>
      </c>
      <c r="Q4364" t="s">
        <v>118</v>
      </c>
      <c r="R4364" s="1" t="s">
        <v>158</v>
      </c>
    </row>
    <row r="4365" spans="3:18" x14ac:dyDescent="0.35">
      <c r="C4365" t="s">
        <v>53</v>
      </c>
      <c r="D4365" t="s">
        <v>23</v>
      </c>
      <c r="E4365" t="s">
        <v>55</v>
      </c>
      <c r="F4365" t="s">
        <v>46</v>
      </c>
      <c r="G4365" s="58">
        <v>106429</v>
      </c>
      <c r="H4365" s="1" t="s">
        <v>48</v>
      </c>
      <c r="I4365" s="1" t="s">
        <v>108</v>
      </c>
      <c r="J4365" s="58">
        <v>2235009</v>
      </c>
      <c r="K4365" s="1" t="s">
        <v>106</v>
      </c>
      <c r="L4365" s="1" t="s">
        <v>114</v>
      </c>
      <c r="M4365" s="1" t="s">
        <v>125</v>
      </c>
      <c r="N4365" s="1">
        <v>1</v>
      </c>
      <c r="O4365" s="58"/>
      <c r="P4365" s="58">
        <v>94721.81</v>
      </c>
      <c r="Q4365" t="s">
        <v>127</v>
      </c>
      <c r="R4365" s="1" t="s">
        <v>158</v>
      </c>
    </row>
    <row r="4366" spans="3:18" x14ac:dyDescent="0.35">
      <c r="C4366" t="s">
        <v>53</v>
      </c>
      <c r="D4366" t="s">
        <v>91</v>
      </c>
      <c r="E4366" t="s">
        <v>49</v>
      </c>
      <c r="F4366" t="s">
        <v>46</v>
      </c>
      <c r="G4366" s="58">
        <v>2039299</v>
      </c>
      <c r="H4366" s="1" t="s">
        <v>54</v>
      </c>
      <c r="I4366" s="1" t="s">
        <v>119</v>
      </c>
      <c r="J4366" s="58">
        <v>20392990</v>
      </c>
      <c r="K4366" s="1" t="s">
        <v>106</v>
      </c>
      <c r="L4366" s="1" t="s">
        <v>124</v>
      </c>
      <c r="N4366" s="1">
        <v>1</v>
      </c>
      <c r="O4366" s="58"/>
      <c r="P4366" s="58">
        <v>1019649.5</v>
      </c>
      <c r="Q4366" t="s">
        <v>113</v>
      </c>
      <c r="R4366" s="1" t="s">
        <v>158</v>
      </c>
    </row>
    <row r="4367" spans="3:18" x14ac:dyDescent="0.35">
      <c r="C4367" t="s">
        <v>51</v>
      </c>
      <c r="D4367" t="s">
        <v>92</v>
      </c>
      <c r="E4367" t="s">
        <v>45</v>
      </c>
      <c r="F4367" t="s">
        <v>46</v>
      </c>
      <c r="G4367" s="58">
        <v>938493</v>
      </c>
      <c r="H4367" s="1" t="s">
        <v>48</v>
      </c>
      <c r="I4367" s="1" t="s">
        <v>119</v>
      </c>
      <c r="J4367" s="58">
        <v>6569451</v>
      </c>
      <c r="K4367" s="1" t="s">
        <v>106</v>
      </c>
      <c r="L4367" s="1" t="s">
        <v>120</v>
      </c>
      <c r="M4367" s="1" t="s">
        <v>123</v>
      </c>
      <c r="N4367" s="1">
        <v>1</v>
      </c>
      <c r="O4367" s="58"/>
      <c r="P4367" s="58">
        <v>431706.78</v>
      </c>
      <c r="Q4367" t="s">
        <v>113</v>
      </c>
      <c r="R4367" s="1" t="s">
        <v>158</v>
      </c>
    </row>
    <row r="4368" spans="3:18" x14ac:dyDescent="0.35">
      <c r="C4368" t="s">
        <v>53</v>
      </c>
      <c r="D4368" t="s">
        <v>21</v>
      </c>
      <c r="E4368" t="s">
        <v>49</v>
      </c>
      <c r="F4368" t="s">
        <v>46</v>
      </c>
      <c r="G4368" s="58">
        <v>146491</v>
      </c>
      <c r="H4368" s="1" t="s">
        <v>56</v>
      </c>
      <c r="I4368" s="1" t="s">
        <v>108</v>
      </c>
      <c r="J4368" s="58">
        <v>4980694</v>
      </c>
      <c r="K4368" s="1" t="s">
        <v>106</v>
      </c>
      <c r="L4368" s="1" t="s">
        <v>124</v>
      </c>
      <c r="N4368" s="1">
        <v>1</v>
      </c>
      <c r="O4368" s="58"/>
      <c r="P4368" s="58">
        <v>96684.06</v>
      </c>
      <c r="Q4368" t="s">
        <v>118</v>
      </c>
      <c r="R4368" s="1" t="s">
        <v>158</v>
      </c>
    </row>
    <row r="4369" spans="3:18" x14ac:dyDescent="0.35">
      <c r="C4369" t="s">
        <v>53</v>
      </c>
      <c r="D4369" t="s">
        <v>21</v>
      </c>
      <c r="E4369" t="s">
        <v>45</v>
      </c>
      <c r="F4369" t="s">
        <v>46</v>
      </c>
      <c r="G4369" s="58">
        <v>985599</v>
      </c>
      <c r="H4369" s="1" t="s">
        <v>54</v>
      </c>
      <c r="I4369" s="1" t="s">
        <v>111</v>
      </c>
      <c r="J4369" s="58">
        <v>14783985</v>
      </c>
      <c r="K4369" s="1" t="s">
        <v>112</v>
      </c>
      <c r="N4369" s="1">
        <v>1</v>
      </c>
      <c r="O4369" s="58"/>
      <c r="P4369" s="58">
        <v>157695.84</v>
      </c>
      <c r="Q4369" t="s">
        <v>107</v>
      </c>
      <c r="R4369" s="1" t="s">
        <v>158</v>
      </c>
    </row>
    <row r="4370" spans="3:18" x14ac:dyDescent="0.35">
      <c r="C4370" t="s">
        <v>51</v>
      </c>
      <c r="D4370" t="s">
        <v>92</v>
      </c>
      <c r="E4370" t="s">
        <v>49</v>
      </c>
      <c r="F4370" t="s">
        <v>64</v>
      </c>
      <c r="G4370" s="58">
        <v>80064</v>
      </c>
      <c r="H4370" s="1" t="s">
        <v>48</v>
      </c>
      <c r="I4370" s="1" t="s">
        <v>108</v>
      </c>
      <c r="J4370" s="58">
        <v>2802240</v>
      </c>
      <c r="K4370" s="1" t="s">
        <v>112</v>
      </c>
      <c r="N4370" s="1">
        <v>1</v>
      </c>
      <c r="O4370" s="58"/>
      <c r="P4370" s="58">
        <v>19215.36</v>
      </c>
      <c r="Q4370" t="s">
        <v>107</v>
      </c>
      <c r="R4370" s="1" t="s">
        <v>48</v>
      </c>
    </row>
    <row r="4371" spans="3:18" x14ac:dyDescent="0.35">
      <c r="C4371" t="s">
        <v>51</v>
      </c>
      <c r="D4371" t="s">
        <v>21</v>
      </c>
      <c r="E4371" t="s">
        <v>45</v>
      </c>
      <c r="F4371" t="s">
        <v>46</v>
      </c>
      <c r="G4371" s="58">
        <v>702838</v>
      </c>
      <c r="H4371" s="1" t="s">
        <v>48</v>
      </c>
      <c r="I4371" s="1" t="s">
        <v>108</v>
      </c>
      <c r="J4371" s="58">
        <v>18273788</v>
      </c>
      <c r="K4371" s="1" t="s">
        <v>106</v>
      </c>
      <c r="L4371" s="1" t="s">
        <v>120</v>
      </c>
      <c r="M4371" s="1" t="s">
        <v>125</v>
      </c>
      <c r="N4371" s="1">
        <v>1</v>
      </c>
      <c r="O4371" s="58"/>
      <c r="P4371" s="58">
        <v>499014.98</v>
      </c>
      <c r="Q4371" t="s">
        <v>118</v>
      </c>
      <c r="R4371" s="1" t="s">
        <v>158</v>
      </c>
    </row>
    <row r="4372" spans="3:18" x14ac:dyDescent="0.35">
      <c r="C4372" t="s">
        <v>53</v>
      </c>
      <c r="D4372" t="s">
        <v>20</v>
      </c>
      <c r="E4372" t="s">
        <v>45</v>
      </c>
      <c r="F4372" t="s">
        <v>46</v>
      </c>
      <c r="G4372" s="58">
        <v>11933205</v>
      </c>
      <c r="H4372" s="1" t="s">
        <v>48</v>
      </c>
      <c r="I4372" s="1" t="s">
        <v>105</v>
      </c>
      <c r="J4372" s="58">
        <v>23866410</v>
      </c>
      <c r="K4372" s="1" t="s">
        <v>106</v>
      </c>
      <c r="L4372" s="1" t="s">
        <v>120</v>
      </c>
      <c r="M4372" s="1" t="s">
        <v>123</v>
      </c>
      <c r="N4372" s="1">
        <v>1</v>
      </c>
      <c r="O4372" s="58"/>
      <c r="P4372" s="58">
        <v>2267308.9500000002</v>
      </c>
      <c r="Q4372" t="s">
        <v>107</v>
      </c>
      <c r="R4372" s="1" t="s">
        <v>158</v>
      </c>
    </row>
    <row r="4373" spans="3:18" x14ac:dyDescent="0.35">
      <c r="C4373" t="s">
        <v>51</v>
      </c>
      <c r="D4373" t="s">
        <v>23</v>
      </c>
      <c r="E4373" t="s">
        <v>50</v>
      </c>
      <c r="F4373" t="s">
        <v>46</v>
      </c>
      <c r="G4373" s="58">
        <v>95611</v>
      </c>
      <c r="H4373" s="1" t="s">
        <v>47</v>
      </c>
      <c r="I4373" s="1" t="s">
        <v>108</v>
      </c>
      <c r="J4373" s="58">
        <v>2103442</v>
      </c>
      <c r="K4373" s="1" t="s">
        <v>106</v>
      </c>
      <c r="L4373" s="1" t="s">
        <v>109</v>
      </c>
      <c r="N4373" s="1">
        <v>1</v>
      </c>
      <c r="O4373" s="58"/>
      <c r="P4373" s="58">
        <v>49717.72</v>
      </c>
      <c r="Q4373" t="s">
        <v>113</v>
      </c>
      <c r="R4373" s="1" t="s">
        <v>158</v>
      </c>
    </row>
    <row r="4374" spans="3:18" x14ac:dyDescent="0.35">
      <c r="C4374" t="s">
        <v>51</v>
      </c>
      <c r="D4374" t="s">
        <v>23</v>
      </c>
      <c r="E4374" t="s">
        <v>49</v>
      </c>
      <c r="F4374" t="s">
        <v>46</v>
      </c>
      <c r="G4374" s="58">
        <v>186708</v>
      </c>
      <c r="H4374" s="1" t="s">
        <v>47</v>
      </c>
      <c r="I4374" s="1" t="s">
        <v>108</v>
      </c>
      <c r="J4374" s="58">
        <v>5974656</v>
      </c>
      <c r="K4374" s="1" t="s">
        <v>112</v>
      </c>
      <c r="N4374" s="1">
        <v>1</v>
      </c>
      <c r="O4374" s="58"/>
      <c r="P4374" s="58">
        <v>158701.79999999999</v>
      </c>
      <c r="Q4374" t="s">
        <v>127</v>
      </c>
      <c r="R4374" s="1" t="s">
        <v>158</v>
      </c>
    </row>
    <row r="4375" spans="3:18" x14ac:dyDescent="0.35">
      <c r="C4375" t="s">
        <v>51</v>
      </c>
      <c r="D4375" t="s">
        <v>19</v>
      </c>
      <c r="E4375" t="s">
        <v>49</v>
      </c>
      <c r="F4375" t="s">
        <v>46</v>
      </c>
      <c r="G4375" s="58">
        <v>627407</v>
      </c>
      <c r="H4375" s="1" t="s">
        <v>54</v>
      </c>
      <c r="I4375" s="1" t="s">
        <v>108</v>
      </c>
      <c r="J4375" s="58">
        <v>15685175</v>
      </c>
      <c r="K4375" s="1" t="s">
        <v>106</v>
      </c>
      <c r="L4375" s="1" t="s">
        <v>120</v>
      </c>
      <c r="N4375" s="1">
        <v>1</v>
      </c>
      <c r="O4375" s="58"/>
      <c r="P4375" s="58">
        <v>188222.1</v>
      </c>
      <c r="Q4375" t="s">
        <v>107</v>
      </c>
      <c r="R4375" s="1" t="s">
        <v>158</v>
      </c>
    </row>
    <row r="4376" spans="3:18" x14ac:dyDescent="0.35">
      <c r="C4376" t="s">
        <v>53</v>
      </c>
      <c r="D4376" t="s">
        <v>92</v>
      </c>
      <c r="E4376" t="s">
        <v>45</v>
      </c>
      <c r="F4376" t="s">
        <v>46</v>
      </c>
      <c r="G4376" s="58">
        <v>1383398</v>
      </c>
      <c r="H4376" s="1" t="s">
        <v>59</v>
      </c>
      <c r="I4376" s="1" t="s">
        <v>105</v>
      </c>
      <c r="J4376" s="58">
        <v>6916990</v>
      </c>
      <c r="K4376" s="1" t="s">
        <v>106</v>
      </c>
      <c r="L4376" s="1" t="s">
        <v>120</v>
      </c>
      <c r="N4376" s="1">
        <v>1</v>
      </c>
      <c r="O4376" s="58"/>
      <c r="P4376" s="58">
        <v>608695.12</v>
      </c>
      <c r="Q4376" t="s">
        <v>113</v>
      </c>
      <c r="R4376" s="1" t="s">
        <v>158</v>
      </c>
    </row>
    <row r="4377" spans="3:18" x14ac:dyDescent="0.35">
      <c r="C4377" t="s">
        <v>51</v>
      </c>
      <c r="D4377" t="s">
        <v>91</v>
      </c>
      <c r="E4377" t="s">
        <v>49</v>
      </c>
      <c r="F4377" t="s">
        <v>46</v>
      </c>
      <c r="G4377" s="58">
        <v>905848</v>
      </c>
      <c r="H4377" s="1" t="s">
        <v>47</v>
      </c>
      <c r="I4377" s="1" t="s">
        <v>111</v>
      </c>
      <c r="J4377" s="58">
        <v>10870176</v>
      </c>
      <c r="K4377" s="1" t="s">
        <v>112</v>
      </c>
      <c r="N4377" s="1">
        <v>1</v>
      </c>
      <c r="O4377" s="58"/>
      <c r="P4377" s="58">
        <v>615976.64</v>
      </c>
      <c r="Q4377" t="s">
        <v>118</v>
      </c>
      <c r="R4377" s="1" t="s">
        <v>158</v>
      </c>
    </row>
    <row r="4378" spans="3:18" x14ac:dyDescent="0.35">
      <c r="C4378" t="s">
        <v>51</v>
      </c>
      <c r="D4378" t="s">
        <v>20</v>
      </c>
      <c r="E4378" t="s">
        <v>49</v>
      </c>
      <c r="F4378" t="s">
        <v>46</v>
      </c>
      <c r="G4378" s="58">
        <v>326198</v>
      </c>
      <c r="H4378" s="1" t="s">
        <v>59</v>
      </c>
      <c r="I4378" s="1" t="s">
        <v>108</v>
      </c>
      <c r="J4378" s="58">
        <v>10764534</v>
      </c>
      <c r="K4378" s="1" t="s">
        <v>106</v>
      </c>
      <c r="L4378" s="1" t="s">
        <v>120</v>
      </c>
      <c r="N4378" s="1">
        <v>1</v>
      </c>
      <c r="O4378" s="58"/>
      <c r="P4378" s="58">
        <v>270744.34000000003</v>
      </c>
      <c r="Q4378" t="s">
        <v>127</v>
      </c>
      <c r="R4378" s="1" t="s">
        <v>158</v>
      </c>
    </row>
    <row r="4379" spans="3:18" x14ac:dyDescent="0.35">
      <c r="C4379" t="s">
        <v>51</v>
      </c>
      <c r="D4379" t="s">
        <v>91</v>
      </c>
      <c r="E4379" t="s">
        <v>49</v>
      </c>
      <c r="F4379" t="s">
        <v>46</v>
      </c>
      <c r="G4379" s="58">
        <v>5324042</v>
      </c>
      <c r="H4379" s="1" t="s">
        <v>54</v>
      </c>
      <c r="I4379" s="1" t="s">
        <v>111</v>
      </c>
      <c r="J4379" s="58">
        <v>74536588</v>
      </c>
      <c r="K4379" s="1" t="s">
        <v>106</v>
      </c>
      <c r="L4379" s="1" t="s">
        <v>124</v>
      </c>
      <c r="N4379" s="1">
        <v>1</v>
      </c>
      <c r="O4379" s="58"/>
      <c r="P4379" s="58">
        <v>1490731.76</v>
      </c>
      <c r="Q4379" t="s">
        <v>107</v>
      </c>
      <c r="R4379" s="1" t="s">
        <v>158</v>
      </c>
    </row>
    <row r="4380" spans="3:18" x14ac:dyDescent="0.35">
      <c r="C4380" t="s">
        <v>51</v>
      </c>
      <c r="D4380" t="s">
        <v>23</v>
      </c>
      <c r="E4380" t="s">
        <v>55</v>
      </c>
      <c r="F4380" t="s">
        <v>46</v>
      </c>
      <c r="G4380" s="58">
        <v>1772688</v>
      </c>
      <c r="H4380" s="1" t="s">
        <v>48</v>
      </c>
      <c r="I4380" s="1" t="s">
        <v>111</v>
      </c>
      <c r="J4380" s="58">
        <v>28363008</v>
      </c>
      <c r="K4380" s="1" t="s">
        <v>106</v>
      </c>
      <c r="L4380" s="1" t="s">
        <v>114</v>
      </c>
      <c r="M4380" s="1" t="s">
        <v>125</v>
      </c>
      <c r="N4380" s="1">
        <v>1</v>
      </c>
      <c r="O4380" s="58"/>
      <c r="P4380" s="58">
        <v>1453604.16</v>
      </c>
      <c r="Q4380" t="s">
        <v>127</v>
      </c>
      <c r="R4380" s="1" t="s">
        <v>158</v>
      </c>
    </row>
    <row r="4381" spans="3:18" x14ac:dyDescent="0.35">
      <c r="C4381" t="s">
        <v>51</v>
      </c>
      <c r="D4381" t="s">
        <v>23</v>
      </c>
      <c r="E4381" t="s">
        <v>49</v>
      </c>
      <c r="F4381" t="s">
        <v>46</v>
      </c>
      <c r="G4381" s="58">
        <v>148703</v>
      </c>
      <c r="H4381" s="1" t="s">
        <v>59</v>
      </c>
      <c r="I4381" s="1" t="s">
        <v>108</v>
      </c>
      <c r="J4381" s="58">
        <v>5204605</v>
      </c>
      <c r="K4381" s="1" t="s">
        <v>106</v>
      </c>
      <c r="L4381" s="1" t="s">
        <v>124</v>
      </c>
      <c r="N4381" s="1">
        <v>1</v>
      </c>
      <c r="O4381" s="58"/>
      <c r="P4381" s="58">
        <v>120449.43</v>
      </c>
      <c r="Q4381" t="s">
        <v>127</v>
      </c>
      <c r="R4381" s="1" t="s">
        <v>158</v>
      </c>
    </row>
    <row r="4382" spans="3:18" x14ac:dyDescent="0.35">
      <c r="C4382" t="s">
        <v>51</v>
      </c>
      <c r="D4382" t="s">
        <v>23</v>
      </c>
      <c r="E4382" t="s">
        <v>55</v>
      </c>
      <c r="F4382" t="s">
        <v>46</v>
      </c>
      <c r="G4382" s="58">
        <v>112033</v>
      </c>
      <c r="H4382" s="1" t="s">
        <v>47</v>
      </c>
      <c r="I4382" s="1" t="s">
        <v>119</v>
      </c>
      <c r="J4382" s="58">
        <v>1008297</v>
      </c>
      <c r="K4382" s="1" t="s">
        <v>112</v>
      </c>
      <c r="N4382" s="1">
        <v>1</v>
      </c>
      <c r="O4382" s="58"/>
      <c r="P4382" s="58">
        <v>21286.27</v>
      </c>
      <c r="Q4382" t="s">
        <v>107</v>
      </c>
      <c r="R4382" s="1" t="s">
        <v>158</v>
      </c>
    </row>
    <row r="4383" spans="3:18" x14ac:dyDescent="0.35">
      <c r="C4383" t="s">
        <v>51</v>
      </c>
      <c r="D4383" t="s">
        <v>21</v>
      </c>
      <c r="E4383" t="s">
        <v>49</v>
      </c>
      <c r="F4383" t="s">
        <v>46</v>
      </c>
      <c r="G4383" s="58">
        <v>2411049</v>
      </c>
      <c r="H4383" s="1" t="s">
        <v>59</v>
      </c>
      <c r="I4383" s="1" t="s">
        <v>108</v>
      </c>
      <c r="J4383" s="58">
        <v>62687274</v>
      </c>
      <c r="K4383" s="1" t="s">
        <v>106</v>
      </c>
      <c r="L4383" s="1" t="s">
        <v>124</v>
      </c>
      <c r="N4383" s="1">
        <v>1</v>
      </c>
      <c r="O4383" s="58"/>
      <c r="P4383" s="58">
        <v>2700374.88</v>
      </c>
      <c r="Q4383" t="s">
        <v>110</v>
      </c>
      <c r="R4383" s="1" t="s">
        <v>158</v>
      </c>
    </row>
    <row r="4384" spans="3:18" x14ac:dyDescent="0.35">
      <c r="C4384" t="s">
        <v>51</v>
      </c>
      <c r="D4384" t="s">
        <v>19</v>
      </c>
      <c r="E4384" t="s">
        <v>49</v>
      </c>
      <c r="F4384" t="s">
        <v>46</v>
      </c>
      <c r="G4384" s="58">
        <v>220625</v>
      </c>
      <c r="H4384" s="1" t="s">
        <v>48</v>
      </c>
      <c r="I4384" s="1" t="s">
        <v>108</v>
      </c>
      <c r="J4384" s="58">
        <v>7721875</v>
      </c>
      <c r="K4384" s="1" t="s">
        <v>106</v>
      </c>
      <c r="L4384" s="1" t="s">
        <v>109</v>
      </c>
      <c r="M4384" s="1" t="s">
        <v>121</v>
      </c>
      <c r="N4384" s="1">
        <v>1</v>
      </c>
      <c r="O4384" s="58"/>
      <c r="P4384" s="58">
        <v>145612.5</v>
      </c>
      <c r="Q4384" t="s">
        <v>118</v>
      </c>
      <c r="R4384" s="1" t="s">
        <v>158</v>
      </c>
    </row>
    <row r="4385" spans="3:18" x14ac:dyDescent="0.35">
      <c r="C4385" t="s">
        <v>44</v>
      </c>
      <c r="D4385" t="s">
        <v>23</v>
      </c>
      <c r="E4385" t="s">
        <v>45</v>
      </c>
      <c r="F4385" t="s">
        <v>46</v>
      </c>
      <c r="G4385" s="58">
        <v>204143</v>
      </c>
      <c r="H4385" s="1" t="s">
        <v>48</v>
      </c>
      <c r="I4385" s="1" t="s">
        <v>108</v>
      </c>
      <c r="J4385" s="58"/>
      <c r="N4385" s="1">
        <v>0</v>
      </c>
      <c r="O4385" s="58"/>
      <c r="P4385" s="58"/>
      <c r="R4385" s="1" t="s">
        <v>158</v>
      </c>
    </row>
    <row r="4386" spans="3:18" x14ac:dyDescent="0.35">
      <c r="C4386" t="s">
        <v>51</v>
      </c>
      <c r="D4386" t="s">
        <v>23</v>
      </c>
      <c r="E4386" t="s">
        <v>55</v>
      </c>
      <c r="F4386" t="s">
        <v>46</v>
      </c>
      <c r="G4386" s="58">
        <v>134291</v>
      </c>
      <c r="H4386" s="1" t="s">
        <v>48</v>
      </c>
      <c r="I4386" s="1" t="s">
        <v>108</v>
      </c>
      <c r="J4386" s="58">
        <v>2820111</v>
      </c>
      <c r="K4386" s="1" t="s">
        <v>106</v>
      </c>
      <c r="L4386" s="1" t="s">
        <v>114</v>
      </c>
      <c r="M4386" s="1" t="s">
        <v>122</v>
      </c>
      <c r="N4386" s="1">
        <v>1</v>
      </c>
      <c r="O4386" s="58"/>
      <c r="P4386" s="58">
        <v>91317.88</v>
      </c>
      <c r="Q4386" t="s">
        <v>118</v>
      </c>
      <c r="R4386" s="1" t="s">
        <v>48</v>
      </c>
    </row>
    <row r="4387" spans="3:18" x14ac:dyDescent="0.35">
      <c r="C4387" t="s">
        <v>51</v>
      </c>
      <c r="D4387" t="s">
        <v>23</v>
      </c>
      <c r="E4387" t="s">
        <v>55</v>
      </c>
      <c r="F4387" t="s">
        <v>46</v>
      </c>
      <c r="G4387" s="58">
        <v>2153349</v>
      </c>
      <c r="H4387" s="1" t="s">
        <v>47</v>
      </c>
      <c r="I4387" s="1" t="s">
        <v>108</v>
      </c>
      <c r="J4387" s="58">
        <v>71060517</v>
      </c>
      <c r="K4387" s="1" t="s">
        <v>106</v>
      </c>
      <c r="L4387" s="1" t="s">
        <v>124</v>
      </c>
      <c r="N4387" s="1">
        <v>1</v>
      </c>
      <c r="O4387" s="58"/>
      <c r="P4387" s="58">
        <v>559870.74</v>
      </c>
      <c r="Q4387" t="s">
        <v>107</v>
      </c>
      <c r="R4387" s="1" t="s">
        <v>158</v>
      </c>
    </row>
    <row r="4388" spans="3:18" x14ac:dyDescent="0.35">
      <c r="C4388" t="s">
        <v>53</v>
      </c>
      <c r="D4388" t="s">
        <v>22</v>
      </c>
      <c r="E4388" t="s">
        <v>49</v>
      </c>
      <c r="F4388" t="s">
        <v>46</v>
      </c>
      <c r="G4388" s="58">
        <v>122406</v>
      </c>
      <c r="H4388" s="1" t="s">
        <v>47</v>
      </c>
      <c r="I4388" s="1" t="s">
        <v>119</v>
      </c>
      <c r="J4388" s="58">
        <v>856842</v>
      </c>
      <c r="K4388" s="1" t="s">
        <v>106</v>
      </c>
      <c r="L4388" s="1" t="s">
        <v>124</v>
      </c>
      <c r="N4388" s="1">
        <v>1</v>
      </c>
      <c r="O4388" s="58"/>
      <c r="P4388" s="58">
        <v>78339.839999999997</v>
      </c>
      <c r="Q4388" t="s">
        <v>118</v>
      </c>
      <c r="R4388" s="1" t="s">
        <v>158</v>
      </c>
    </row>
    <row r="4389" spans="3:18" x14ac:dyDescent="0.35">
      <c r="C4389" t="s">
        <v>53</v>
      </c>
      <c r="D4389" t="s">
        <v>20</v>
      </c>
      <c r="E4389" t="s">
        <v>49</v>
      </c>
      <c r="F4389" t="s">
        <v>46</v>
      </c>
      <c r="G4389" s="58">
        <v>2112133</v>
      </c>
      <c r="H4389" s="1" t="s">
        <v>48</v>
      </c>
      <c r="I4389" s="1" t="s">
        <v>119</v>
      </c>
      <c r="J4389" s="58">
        <v>16897064</v>
      </c>
      <c r="K4389" s="1" t="s">
        <v>106</v>
      </c>
      <c r="L4389" s="1" t="s">
        <v>124</v>
      </c>
      <c r="M4389" s="1" t="s">
        <v>123</v>
      </c>
      <c r="N4389" s="1">
        <v>1</v>
      </c>
      <c r="O4389" s="58"/>
      <c r="P4389" s="58">
        <v>528033.25</v>
      </c>
      <c r="Q4389" t="s">
        <v>107</v>
      </c>
      <c r="R4389" s="1" t="s">
        <v>158</v>
      </c>
    </row>
    <row r="4390" spans="3:18" x14ac:dyDescent="0.35">
      <c r="C4390" t="s">
        <v>51</v>
      </c>
      <c r="D4390" t="s">
        <v>24</v>
      </c>
      <c r="E4390" t="s">
        <v>62</v>
      </c>
      <c r="F4390" t="s">
        <v>46</v>
      </c>
      <c r="G4390" s="58">
        <v>445921</v>
      </c>
      <c r="H4390" s="1" t="s">
        <v>48</v>
      </c>
      <c r="I4390" s="1" t="s">
        <v>108</v>
      </c>
      <c r="J4390" s="58">
        <v>11593946</v>
      </c>
      <c r="K4390" s="1" t="s">
        <v>106</v>
      </c>
      <c r="L4390" s="1" t="s">
        <v>124</v>
      </c>
      <c r="M4390" s="1" t="s">
        <v>123</v>
      </c>
      <c r="N4390" s="1">
        <v>1</v>
      </c>
      <c r="O4390" s="58"/>
      <c r="P4390" s="58">
        <v>356736.8</v>
      </c>
      <c r="Q4390" t="s">
        <v>118</v>
      </c>
      <c r="R4390" s="1" t="s">
        <v>48</v>
      </c>
    </row>
    <row r="4391" spans="3:18" x14ac:dyDescent="0.35">
      <c r="C4391" t="s">
        <v>51</v>
      </c>
      <c r="D4391" t="s">
        <v>21</v>
      </c>
      <c r="E4391" t="s">
        <v>49</v>
      </c>
      <c r="F4391" t="s">
        <v>46</v>
      </c>
      <c r="G4391" s="58">
        <v>53925</v>
      </c>
      <c r="H4391" s="1" t="s">
        <v>47</v>
      </c>
      <c r="I4391" s="1" t="s">
        <v>105</v>
      </c>
      <c r="J4391" s="58">
        <v>161775</v>
      </c>
      <c r="K4391" s="1" t="s">
        <v>106</v>
      </c>
      <c r="L4391" s="1" t="s">
        <v>114</v>
      </c>
      <c r="N4391" s="1">
        <v>1</v>
      </c>
      <c r="O4391" s="58"/>
      <c r="P4391" s="58">
        <v>4853.25</v>
      </c>
      <c r="Q4391" t="s">
        <v>107</v>
      </c>
      <c r="R4391" s="1" t="s">
        <v>158</v>
      </c>
    </row>
    <row r="4392" spans="3:18" x14ac:dyDescent="0.35">
      <c r="C4392" t="s">
        <v>51</v>
      </c>
      <c r="D4392" t="s">
        <v>92</v>
      </c>
      <c r="E4392" t="s">
        <v>45</v>
      </c>
      <c r="F4392" t="s">
        <v>46</v>
      </c>
      <c r="G4392" s="58">
        <v>53613399</v>
      </c>
      <c r="H4392" s="1" t="s">
        <v>48</v>
      </c>
      <c r="I4392" s="1" t="s">
        <v>108</v>
      </c>
      <c r="J4392" s="58">
        <v>1662015369</v>
      </c>
      <c r="K4392" s="1" t="s">
        <v>106</v>
      </c>
      <c r="L4392" s="1" t="s">
        <v>120</v>
      </c>
      <c r="M4392" s="1" t="s">
        <v>123</v>
      </c>
      <c r="N4392" s="1">
        <v>1</v>
      </c>
      <c r="O4392" s="58"/>
      <c r="P4392" s="58">
        <v>38065513.289999999</v>
      </c>
      <c r="Q4392" t="s">
        <v>118</v>
      </c>
      <c r="R4392" s="1" t="s">
        <v>158</v>
      </c>
    </row>
    <row r="4393" spans="3:18" x14ac:dyDescent="0.35">
      <c r="C4393" t="s">
        <v>51</v>
      </c>
      <c r="D4393" t="s">
        <v>22</v>
      </c>
      <c r="E4393" t="s">
        <v>49</v>
      </c>
      <c r="F4393" t="s">
        <v>46</v>
      </c>
      <c r="G4393" s="58">
        <v>241925</v>
      </c>
      <c r="H4393" s="1" t="s">
        <v>48</v>
      </c>
      <c r="I4393" s="1" t="s">
        <v>111</v>
      </c>
      <c r="J4393" s="58">
        <v>3870800</v>
      </c>
      <c r="K4393" s="1" t="s">
        <v>106</v>
      </c>
      <c r="L4393" s="1" t="s">
        <v>124</v>
      </c>
      <c r="M4393" s="1" t="s">
        <v>115</v>
      </c>
      <c r="N4393" s="1">
        <v>1</v>
      </c>
      <c r="O4393" s="58"/>
      <c r="P4393" s="58">
        <v>154832</v>
      </c>
      <c r="Q4393" t="s">
        <v>118</v>
      </c>
      <c r="R4393" s="1" t="s">
        <v>48</v>
      </c>
    </row>
    <row r="4394" spans="3:18" x14ac:dyDescent="0.35">
      <c r="C4394" t="s">
        <v>51</v>
      </c>
      <c r="D4394" t="s">
        <v>92</v>
      </c>
      <c r="E4394" t="s">
        <v>49</v>
      </c>
      <c r="F4394" t="s">
        <v>46</v>
      </c>
      <c r="G4394" s="58">
        <v>11989962</v>
      </c>
      <c r="H4394" s="1" t="s">
        <v>54</v>
      </c>
      <c r="I4394" s="1" t="s">
        <v>108</v>
      </c>
      <c r="J4394" s="58">
        <v>359698860</v>
      </c>
      <c r="K4394" s="1" t="s">
        <v>106</v>
      </c>
      <c r="L4394" s="1" t="s">
        <v>124</v>
      </c>
      <c r="N4394" s="1">
        <v>1</v>
      </c>
      <c r="O4394" s="58"/>
      <c r="P4394" s="58">
        <v>10311367.32</v>
      </c>
      <c r="Q4394" t="s">
        <v>127</v>
      </c>
      <c r="R4394" s="1" t="s">
        <v>158</v>
      </c>
    </row>
    <row r="4395" spans="3:18" x14ac:dyDescent="0.35">
      <c r="C4395" t="s">
        <v>53</v>
      </c>
      <c r="D4395" t="s">
        <v>20</v>
      </c>
      <c r="E4395" t="s">
        <v>45</v>
      </c>
      <c r="F4395" t="s">
        <v>46</v>
      </c>
      <c r="G4395" s="58">
        <v>4642287</v>
      </c>
      <c r="H4395" s="1" t="s">
        <v>47</v>
      </c>
      <c r="I4395" s="1" t="s">
        <v>119</v>
      </c>
      <c r="J4395" s="58">
        <v>32496009</v>
      </c>
      <c r="K4395" s="1" t="s">
        <v>106</v>
      </c>
      <c r="L4395" s="1" t="s">
        <v>120</v>
      </c>
      <c r="N4395" s="1">
        <v>1</v>
      </c>
      <c r="O4395" s="58"/>
      <c r="P4395" s="58">
        <v>2089029.15</v>
      </c>
      <c r="Q4395" t="s">
        <v>113</v>
      </c>
      <c r="R4395" s="1" t="s">
        <v>158</v>
      </c>
    </row>
    <row r="4396" spans="3:18" x14ac:dyDescent="0.35">
      <c r="C4396" t="s">
        <v>51</v>
      </c>
      <c r="D4396" t="s">
        <v>24</v>
      </c>
      <c r="E4396" t="s">
        <v>55</v>
      </c>
      <c r="F4396" t="s">
        <v>46</v>
      </c>
      <c r="G4396" s="58">
        <v>10890851</v>
      </c>
      <c r="H4396" s="1" t="s">
        <v>59</v>
      </c>
      <c r="I4396" s="1" t="s">
        <v>108</v>
      </c>
      <c r="J4396" s="58">
        <v>304943828</v>
      </c>
      <c r="K4396" s="1" t="s">
        <v>106</v>
      </c>
      <c r="L4396" s="1" t="s">
        <v>114</v>
      </c>
      <c r="N4396" s="1">
        <v>1</v>
      </c>
      <c r="O4396" s="58"/>
      <c r="P4396" s="58">
        <v>3376163.81</v>
      </c>
      <c r="Q4396" t="s">
        <v>107</v>
      </c>
      <c r="R4396" s="1" t="s">
        <v>158</v>
      </c>
    </row>
    <row r="4397" spans="3:18" x14ac:dyDescent="0.35">
      <c r="C4397" t="s">
        <v>53</v>
      </c>
      <c r="D4397" t="s">
        <v>21</v>
      </c>
      <c r="E4397" t="s">
        <v>45</v>
      </c>
      <c r="F4397" t="s">
        <v>46</v>
      </c>
      <c r="G4397" s="58">
        <v>18257351</v>
      </c>
      <c r="H4397" s="1" t="s">
        <v>54</v>
      </c>
      <c r="I4397" s="1" t="s">
        <v>111</v>
      </c>
      <c r="J4397" s="58">
        <v>219088212</v>
      </c>
      <c r="K4397" s="1" t="s">
        <v>106</v>
      </c>
      <c r="L4397" s="1" t="s">
        <v>120</v>
      </c>
      <c r="N4397" s="1">
        <v>1</v>
      </c>
      <c r="O4397" s="58"/>
      <c r="P4397" s="58">
        <v>12049851.66</v>
      </c>
      <c r="Q4397" t="s">
        <v>118</v>
      </c>
      <c r="R4397" s="1" t="s">
        <v>158</v>
      </c>
    </row>
    <row r="4398" spans="3:18" x14ac:dyDescent="0.35">
      <c r="C4398" t="s">
        <v>51</v>
      </c>
      <c r="D4398" t="s">
        <v>23</v>
      </c>
      <c r="E4398" t="s">
        <v>49</v>
      </c>
      <c r="F4398" t="s">
        <v>46</v>
      </c>
      <c r="G4398" s="58">
        <v>5181826</v>
      </c>
      <c r="H4398" s="1" t="s">
        <v>54</v>
      </c>
      <c r="I4398" s="1" t="s">
        <v>108</v>
      </c>
      <c r="J4398" s="58">
        <v>134727476</v>
      </c>
      <c r="K4398" s="1" t="s">
        <v>106</v>
      </c>
      <c r="L4398" s="1" t="s">
        <v>124</v>
      </c>
      <c r="N4398" s="1">
        <v>1</v>
      </c>
      <c r="O4398" s="58"/>
      <c r="P4398" s="58">
        <v>2539094.7400000002</v>
      </c>
      <c r="Q4398" t="s">
        <v>113</v>
      </c>
      <c r="R4398" s="1" t="s">
        <v>158</v>
      </c>
    </row>
    <row r="4399" spans="3:18" x14ac:dyDescent="0.35">
      <c r="C4399" t="s">
        <v>53</v>
      </c>
      <c r="D4399" t="s">
        <v>92</v>
      </c>
      <c r="E4399" t="s">
        <v>55</v>
      </c>
      <c r="F4399" t="s">
        <v>46</v>
      </c>
      <c r="G4399" s="58">
        <v>96</v>
      </c>
      <c r="H4399" s="1" t="s">
        <v>59</v>
      </c>
      <c r="I4399" s="1" t="s">
        <v>105</v>
      </c>
      <c r="J4399" s="58"/>
      <c r="K4399" s="1" t="s">
        <v>106</v>
      </c>
      <c r="L4399" s="1" t="s">
        <v>114</v>
      </c>
      <c r="N4399" s="1">
        <v>0</v>
      </c>
      <c r="O4399" s="58"/>
      <c r="P4399" s="58">
        <v>0</v>
      </c>
      <c r="Q4399" t="s">
        <v>107</v>
      </c>
      <c r="R4399" s="1" t="s">
        <v>158</v>
      </c>
    </row>
    <row r="4400" spans="3:18" x14ac:dyDescent="0.35">
      <c r="C4400" t="s">
        <v>51</v>
      </c>
      <c r="D4400" t="s">
        <v>92</v>
      </c>
      <c r="E4400" t="s">
        <v>49</v>
      </c>
      <c r="F4400" t="s">
        <v>46</v>
      </c>
      <c r="G4400" s="58">
        <v>120068</v>
      </c>
      <c r="H4400" s="1" t="s">
        <v>48</v>
      </c>
      <c r="I4400" s="1" t="s">
        <v>108</v>
      </c>
      <c r="J4400" s="58">
        <v>3962244</v>
      </c>
      <c r="K4400" s="1" t="s">
        <v>106</v>
      </c>
      <c r="L4400" s="1" t="s">
        <v>114</v>
      </c>
      <c r="M4400" s="1" t="s">
        <v>125</v>
      </c>
      <c r="N4400" s="1">
        <v>1</v>
      </c>
      <c r="O4400" s="58"/>
      <c r="P4400" s="58">
        <v>134476.16</v>
      </c>
      <c r="Q4400" t="s">
        <v>110</v>
      </c>
      <c r="R4400" s="1" t="s">
        <v>158</v>
      </c>
    </row>
    <row r="4401" spans="3:18" x14ac:dyDescent="0.35">
      <c r="C4401" t="s">
        <v>53</v>
      </c>
      <c r="D4401" t="s">
        <v>60</v>
      </c>
      <c r="E4401" t="s">
        <v>60</v>
      </c>
      <c r="F4401" t="s">
        <v>46</v>
      </c>
      <c r="G4401" s="58">
        <v>220726705</v>
      </c>
      <c r="H4401" s="1" t="s">
        <v>90</v>
      </c>
      <c r="I4401" s="1" t="s">
        <v>105</v>
      </c>
      <c r="J4401" s="58">
        <v>441453410</v>
      </c>
      <c r="K4401" s="1" t="s">
        <v>106</v>
      </c>
      <c r="N4401" s="1">
        <v>1</v>
      </c>
      <c r="O4401" s="58"/>
      <c r="P4401" s="58">
        <v>200861301.55000001</v>
      </c>
      <c r="Q4401" t="s">
        <v>127</v>
      </c>
      <c r="R4401" s="1" t="s">
        <v>90</v>
      </c>
    </row>
    <row r="4402" spans="3:18" x14ac:dyDescent="0.35">
      <c r="C4402" t="s">
        <v>51</v>
      </c>
      <c r="D4402" t="s">
        <v>92</v>
      </c>
      <c r="E4402" t="s">
        <v>45</v>
      </c>
      <c r="F4402" t="s">
        <v>46</v>
      </c>
      <c r="G4402" s="58">
        <v>404655</v>
      </c>
      <c r="H4402" s="1" t="s">
        <v>48</v>
      </c>
      <c r="I4402" s="1" t="s">
        <v>108</v>
      </c>
      <c r="J4402" s="58">
        <v>11734995</v>
      </c>
      <c r="K4402" s="1" t="s">
        <v>106</v>
      </c>
      <c r="L4402" s="1" t="s">
        <v>124</v>
      </c>
      <c r="M4402" s="1" t="s">
        <v>126</v>
      </c>
      <c r="N4402" s="1">
        <v>1</v>
      </c>
      <c r="O4402" s="58"/>
      <c r="P4402" s="58">
        <v>335863.65</v>
      </c>
      <c r="Q4402" t="s">
        <v>127</v>
      </c>
      <c r="R4402" s="1" t="s">
        <v>48</v>
      </c>
    </row>
    <row r="4403" spans="3:18" x14ac:dyDescent="0.35">
      <c r="C4403" t="s">
        <v>51</v>
      </c>
      <c r="D4403" t="s">
        <v>22</v>
      </c>
      <c r="E4403" t="s">
        <v>50</v>
      </c>
      <c r="F4403" t="s">
        <v>46</v>
      </c>
      <c r="G4403" s="58">
        <v>54595999</v>
      </c>
      <c r="H4403" s="1" t="s">
        <v>48</v>
      </c>
      <c r="I4403" s="1" t="s">
        <v>108</v>
      </c>
      <c r="J4403" s="58">
        <v>1692475969</v>
      </c>
      <c r="K4403" s="1" t="s">
        <v>106</v>
      </c>
      <c r="L4403" s="1" t="s">
        <v>109</v>
      </c>
      <c r="M4403" s="1" t="s">
        <v>115</v>
      </c>
      <c r="N4403" s="1">
        <v>1</v>
      </c>
      <c r="O4403" s="58"/>
      <c r="P4403" s="58">
        <v>38763159.289999999</v>
      </c>
      <c r="Q4403" t="s">
        <v>118</v>
      </c>
      <c r="R4403" s="1" t="s">
        <v>48</v>
      </c>
    </row>
    <row r="4404" spans="3:18" x14ac:dyDescent="0.35">
      <c r="C4404" t="s">
        <v>51</v>
      </c>
      <c r="D4404" t="s">
        <v>19</v>
      </c>
      <c r="E4404" t="s">
        <v>49</v>
      </c>
      <c r="F4404" t="s">
        <v>46</v>
      </c>
      <c r="G4404" s="58">
        <v>638140</v>
      </c>
      <c r="H4404" s="1" t="s">
        <v>48</v>
      </c>
      <c r="I4404" s="1" t="s">
        <v>108</v>
      </c>
      <c r="J4404" s="58">
        <v>15315360</v>
      </c>
      <c r="K4404" s="1" t="s">
        <v>106</v>
      </c>
      <c r="L4404" s="1" t="s">
        <v>124</v>
      </c>
      <c r="M4404" s="1" t="s">
        <v>126</v>
      </c>
      <c r="N4404" s="1">
        <v>1</v>
      </c>
      <c r="O4404" s="58"/>
      <c r="P4404" s="58">
        <v>344595.6</v>
      </c>
      <c r="Q4404" t="s">
        <v>113</v>
      </c>
      <c r="R4404" s="1" t="s">
        <v>48</v>
      </c>
    </row>
    <row r="4405" spans="3:18" x14ac:dyDescent="0.35">
      <c r="C4405" t="s">
        <v>51</v>
      </c>
      <c r="D4405" t="s">
        <v>19</v>
      </c>
      <c r="E4405" t="s">
        <v>50</v>
      </c>
      <c r="F4405" t="s">
        <v>46</v>
      </c>
      <c r="G4405" s="58">
        <v>96677</v>
      </c>
      <c r="H4405" s="1" t="s">
        <v>48</v>
      </c>
      <c r="I4405" s="1" t="s">
        <v>108</v>
      </c>
      <c r="J4405" s="58">
        <v>3093664</v>
      </c>
      <c r="K4405" s="1" t="s">
        <v>106</v>
      </c>
      <c r="L4405" s="1" t="s">
        <v>109</v>
      </c>
      <c r="M4405" s="1" t="s">
        <v>122</v>
      </c>
      <c r="N4405" s="1">
        <v>1</v>
      </c>
      <c r="O4405" s="58"/>
      <c r="P4405" s="58">
        <v>77341.600000000006</v>
      </c>
      <c r="Q4405" t="s">
        <v>127</v>
      </c>
      <c r="R4405" s="1" t="s">
        <v>158</v>
      </c>
    </row>
    <row r="4406" spans="3:18" x14ac:dyDescent="0.35">
      <c r="C4406" t="s">
        <v>51</v>
      </c>
      <c r="D4406" t="s">
        <v>19</v>
      </c>
      <c r="E4406" t="s">
        <v>49</v>
      </c>
      <c r="F4406" t="s">
        <v>46</v>
      </c>
      <c r="G4406" s="58">
        <v>50277</v>
      </c>
      <c r="H4406" s="1" t="s">
        <v>56</v>
      </c>
      <c r="I4406" s="1" t="s">
        <v>119</v>
      </c>
      <c r="J4406" s="58">
        <v>351939</v>
      </c>
      <c r="K4406" s="1" t="s">
        <v>106</v>
      </c>
      <c r="L4406" s="1" t="s">
        <v>124</v>
      </c>
      <c r="N4406" s="1">
        <v>1</v>
      </c>
      <c r="O4406" s="58"/>
      <c r="P4406" s="58">
        <v>41729.910000000003</v>
      </c>
      <c r="Q4406" t="s">
        <v>127</v>
      </c>
      <c r="R4406" s="1" t="s">
        <v>158</v>
      </c>
    </row>
    <row r="4407" spans="3:18" x14ac:dyDescent="0.35">
      <c r="C4407" t="s">
        <v>51</v>
      </c>
      <c r="D4407" t="s">
        <v>19</v>
      </c>
      <c r="E4407" t="s">
        <v>49</v>
      </c>
      <c r="F4407" t="s">
        <v>64</v>
      </c>
      <c r="G4407" s="58">
        <v>1901464</v>
      </c>
      <c r="H4407" s="1" t="s">
        <v>48</v>
      </c>
      <c r="I4407" s="1" t="s">
        <v>108</v>
      </c>
      <c r="J4407" s="58">
        <v>66551240</v>
      </c>
      <c r="K4407" s="1" t="s">
        <v>112</v>
      </c>
      <c r="N4407" s="1">
        <v>1</v>
      </c>
      <c r="O4407" s="58"/>
      <c r="P4407" s="58">
        <v>1597229.76</v>
      </c>
      <c r="Q4407" t="s">
        <v>127</v>
      </c>
      <c r="R4407" s="1" t="s">
        <v>48</v>
      </c>
    </row>
    <row r="4408" spans="3:18" x14ac:dyDescent="0.35">
      <c r="C4408" t="s">
        <v>51</v>
      </c>
      <c r="D4408" t="s">
        <v>92</v>
      </c>
      <c r="E4408" t="s">
        <v>62</v>
      </c>
      <c r="F4408" t="s">
        <v>46</v>
      </c>
      <c r="G4408" s="58">
        <v>803900</v>
      </c>
      <c r="H4408" s="1" t="s">
        <v>48</v>
      </c>
      <c r="I4408" s="1" t="s">
        <v>108</v>
      </c>
      <c r="J4408" s="58">
        <v>30548200</v>
      </c>
      <c r="K4408" s="1" t="s">
        <v>106</v>
      </c>
      <c r="L4408" s="1" t="s">
        <v>131</v>
      </c>
      <c r="M4408" s="1" t="s">
        <v>123</v>
      </c>
      <c r="N4408" s="1">
        <v>1</v>
      </c>
      <c r="O4408" s="58"/>
      <c r="P4408" s="58">
        <v>619003</v>
      </c>
      <c r="Q4408" t="s">
        <v>118</v>
      </c>
      <c r="R4408" s="1" t="s">
        <v>48</v>
      </c>
    </row>
    <row r="4409" spans="3:18" x14ac:dyDescent="0.35">
      <c r="C4409" t="s">
        <v>51</v>
      </c>
      <c r="D4409" t="s">
        <v>19</v>
      </c>
      <c r="E4409" t="s">
        <v>49</v>
      </c>
      <c r="F4409" t="s">
        <v>46</v>
      </c>
      <c r="G4409" s="58">
        <v>861394</v>
      </c>
      <c r="H4409" s="1" t="s">
        <v>59</v>
      </c>
      <c r="I4409" s="1" t="s">
        <v>119</v>
      </c>
      <c r="J4409" s="58">
        <v>6891152</v>
      </c>
      <c r="K4409" s="1" t="s">
        <v>106</v>
      </c>
      <c r="L4409" s="1" t="s">
        <v>124</v>
      </c>
      <c r="N4409" s="1">
        <v>1</v>
      </c>
      <c r="O4409" s="58"/>
      <c r="P4409" s="58">
        <v>413469.12</v>
      </c>
      <c r="Q4409" t="s">
        <v>113</v>
      </c>
      <c r="R4409" s="1" t="s">
        <v>158</v>
      </c>
    </row>
    <row r="4410" spans="3:18" x14ac:dyDescent="0.35">
      <c r="C4410" t="s">
        <v>51</v>
      </c>
      <c r="D4410" t="s">
        <v>91</v>
      </c>
      <c r="E4410" t="s">
        <v>49</v>
      </c>
      <c r="F4410" t="s">
        <v>46</v>
      </c>
      <c r="G4410" s="58">
        <v>2802895</v>
      </c>
      <c r="H4410" s="1" t="s">
        <v>59</v>
      </c>
      <c r="I4410" s="1" t="s">
        <v>111</v>
      </c>
      <c r="J4410" s="58">
        <v>50452110</v>
      </c>
      <c r="K4410" s="1" t="s">
        <v>106</v>
      </c>
      <c r="L4410" s="1" t="s">
        <v>124</v>
      </c>
      <c r="N4410" s="1">
        <v>1</v>
      </c>
      <c r="O4410" s="58"/>
      <c r="P4410" s="58">
        <v>1345389.6</v>
      </c>
      <c r="Q4410" t="s">
        <v>113</v>
      </c>
      <c r="R4410" s="1" t="s">
        <v>158</v>
      </c>
    </row>
    <row r="4411" spans="3:18" x14ac:dyDescent="0.35">
      <c r="C4411" t="s">
        <v>51</v>
      </c>
      <c r="D4411" t="s">
        <v>24</v>
      </c>
      <c r="E4411" t="s">
        <v>49</v>
      </c>
      <c r="F4411" t="s">
        <v>46</v>
      </c>
      <c r="G4411" s="58">
        <v>159917</v>
      </c>
      <c r="H4411" s="1" t="s">
        <v>48</v>
      </c>
      <c r="I4411" s="1" t="s">
        <v>108</v>
      </c>
      <c r="J4411" s="58">
        <v>6236763</v>
      </c>
      <c r="K4411" s="1" t="s">
        <v>106</v>
      </c>
      <c r="L4411" s="1" t="s">
        <v>120</v>
      </c>
      <c r="M4411" s="1" t="s">
        <v>121</v>
      </c>
      <c r="N4411" s="1">
        <v>1</v>
      </c>
      <c r="O4411" s="58"/>
      <c r="P4411" s="58">
        <v>134330.28</v>
      </c>
      <c r="Q4411" t="s">
        <v>127</v>
      </c>
      <c r="R4411" s="1" t="s">
        <v>48</v>
      </c>
    </row>
    <row r="4412" spans="3:18" x14ac:dyDescent="0.35">
      <c r="C4412" t="s">
        <v>51</v>
      </c>
      <c r="D4412" t="s">
        <v>19</v>
      </c>
      <c r="E4412" t="s">
        <v>49</v>
      </c>
      <c r="F4412" t="s">
        <v>46</v>
      </c>
      <c r="G4412" s="58">
        <v>449041</v>
      </c>
      <c r="H4412" s="1" t="s">
        <v>48</v>
      </c>
      <c r="I4412" s="1" t="s">
        <v>108</v>
      </c>
      <c r="J4412" s="58">
        <v>13920271</v>
      </c>
      <c r="K4412" s="1" t="s">
        <v>106</v>
      </c>
      <c r="L4412" s="1" t="s">
        <v>124</v>
      </c>
      <c r="M4412" s="1" t="s">
        <v>126</v>
      </c>
      <c r="N4412" s="1">
        <v>1</v>
      </c>
      <c r="O4412" s="58"/>
      <c r="P4412" s="58">
        <v>175125.99</v>
      </c>
      <c r="Q4412" t="s">
        <v>107</v>
      </c>
      <c r="R4412" s="1" t="s">
        <v>48</v>
      </c>
    </row>
    <row r="4413" spans="3:18" x14ac:dyDescent="0.35">
      <c r="C4413" t="s">
        <v>51</v>
      </c>
      <c r="D4413" t="s">
        <v>22</v>
      </c>
      <c r="E4413" t="s">
        <v>55</v>
      </c>
      <c r="F4413" t="s">
        <v>46</v>
      </c>
      <c r="G4413" s="58">
        <v>6768408</v>
      </c>
      <c r="H4413" s="1" t="s">
        <v>48</v>
      </c>
      <c r="I4413" s="1" t="s">
        <v>108</v>
      </c>
      <c r="J4413" s="58">
        <v>216589056</v>
      </c>
      <c r="K4413" s="1" t="s">
        <v>112</v>
      </c>
      <c r="N4413" s="1">
        <v>1</v>
      </c>
      <c r="O4413" s="58"/>
      <c r="P4413" s="58">
        <v>1895154.24</v>
      </c>
      <c r="Q4413" t="s">
        <v>107</v>
      </c>
      <c r="R4413" s="1" t="s">
        <v>48</v>
      </c>
    </row>
    <row r="4414" spans="3:18" x14ac:dyDescent="0.35">
      <c r="C4414" t="s">
        <v>51</v>
      </c>
      <c r="D4414" t="s">
        <v>92</v>
      </c>
      <c r="E4414" t="s">
        <v>45</v>
      </c>
      <c r="F4414" t="s">
        <v>46</v>
      </c>
      <c r="G4414" s="58">
        <v>121887</v>
      </c>
      <c r="H4414" s="1" t="s">
        <v>48</v>
      </c>
      <c r="I4414" s="1" t="s">
        <v>108</v>
      </c>
      <c r="J4414" s="58">
        <v>3412836</v>
      </c>
      <c r="K4414" s="1" t="s">
        <v>106</v>
      </c>
      <c r="L4414" s="1" t="s">
        <v>120</v>
      </c>
      <c r="M4414" s="1" t="s">
        <v>122</v>
      </c>
      <c r="N4414" s="1">
        <v>1</v>
      </c>
      <c r="O4414" s="58"/>
      <c r="P4414" s="58">
        <v>78007.679999999993</v>
      </c>
      <c r="Q4414" t="s">
        <v>118</v>
      </c>
      <c r="R4414" s="1" t="s">
        <v>48</v>
      </c>
    </row>
    <row r="4415" spans="3:18" x14ac:dyDescent="0.35">
      <c r="C4415" t="s">
        <v>51</v>
      </c>
      <c r="D4415" t="s">
        <v>91</v>
      </c>
      <c r="E4415" t="s">
        <v>49</v>
      </c>
      <c r="F4415" t="s">
        <v>46</v>
      </c>
      <c r="G4415" s="58">
        <v>1321647</v>
      </c>
      <c r="H4415" s="1" t="s">
        <v>59</v>
      </c>
      <c r="I4415" s="1" t="s">
        <v>108</v>
      </c>
      <c r="J4415" s="58">
        <v>40971057</v>
      </c>
      <c r="K4415" s="1" t="s">
        <v>112</v>
      </c>
      <c r="N4415" s="1">
        <v>1</v>
      </c>
      <c r="O4415" s="58"/>
      <c r="P4415" s="58">
        <v>964802.31</v>
      </c>
      <c r="Q4415" t="s">
        <v>118</v>
      </c>
      <c r="R4415" s="1" t="s">
        <v>158</v>
      </c>
    </row>
    <row r="4416" spans="3:18" x14ac:dyDescent="0.35">
      <c r="C4416" t="s">
        <v>51</v>
      </c>
      <c r="D4416" t="s">
        <v>24</v>
      </c>
      <c r="E4416" t="s">
        <v>49</v>
      </c>
      <c r="F4416" t="s">
        <v>46</v>
      </c>
      <c r="G4416" s="58">
        <v>82962</v>
      </c>
      <c r="H4416" s="1" t="s">
        <v>47</v>
      </c>
      <c r="I4416" s="1" t="s">
        <v>108</v>
      </c>
      <c r="J4416" s="58">
        <v>1825164</v>
      </c>
      <c r="K4416" s="1" t="s">
        <v>106</v>
      </c>
      <c r="L4416" s="1" t="s">
        <v>124</v>
      </c>
      <c r="N4416" s="1">
        <v>1</v>
      </c>
      <c r="O4416" s="58"/>
      <c r="P4416" s="58">
        <v>12444.3</v>
      </c>
      <c r="Q4416" t="s">
        <v>107</v>
      </c>
      <c r="R4416" s="1" t="s">
        <v>158</v>
      </c>
    </row>
    <row r="4417" spans="3:18" x14ac:dyDescent="0.35">
      <c r="C4417" t="s">
        <v>51</v>
      </c>
      <c r="D4417" t="s">
        <v>21</v>
      </c>
      <c r="E4417" t="s">
        <v>50</v>
      </c>
      <c r="F4417" t="s">
        <v>46</v>
      </c>
      <c r="G4417" s="58">
        <v>560876</v>
      </c>
      <c r="H4417" s="1" t="s">
        <v>48</v>
      </c>
      <c r="I4417" s="1" t="s">
        <v>108</v>
      </c>
      <c r="J4417" s="58">
        <v>14021900</v>
      </c>
      <c r="K4417" s="1" t="s">
        <v>106</v>
      </c>
      <c r="L4417" s="1" t="s">
        <v>109</v>
      </c>
      <c r="M4417" s="1" t="s">
        <v>126</v>
      </c>
      <c r="N4417" s="1">
        <v>1</v>
      </c>
      <c r="O4417" s="58"/>
      <c r="P4417" s="58">
        <v>179480.32000000001</v>
      </c>
      <c r="Q4417" t="s">
        <v>107</v>
      </c>
      <c r="R4417" s="1" t="s">
        <v>48</v>
      </c>
    </row>
    <row r="4418" spans="3:18" x14ac:dyDescent="0.35">
      <c r="C4418" t="s">
        <v>51</v>
      </c>
      <c r="D4418" t="s">
        <v>22</v>
      </c>
      <c r="E4418" t="s">
        <v>49</v>
      </c>
      <c r="F4418" t="s">
        <v>46</v>
      </c>
      <c r="G4418" s="58">
        <v>262711</v>
      </c>
      <c r="H4418" s="1" t="s">
        <v>47</v>
      </c>
      <c r="I4418" s="1" t="s">
        <v>108</v>
      </c>
      <c r="J4418" s="58">
        <v>8406752</v>
      </c>
      <c r="K4418" s="1" t="s">
        <v>106</v>
      </c>
      <c r="L4418" s="1" t="s">
        <v>120</v>
      </c>
      <c r="N4418" s="1">
        <v>1</v>
      </c>
      <c r="O4418" s="58"/>
      <c r="P4418" s="58">
        <v>42033.760000000002</v>
      </c>
      <c r="Q4418" t="s">
        <v>107</v>
      </c>
      <c r="R4418" s="1" t="s">
        <v>158</v>
      </c>
    </row>
    <row r="4419" spans="3:18" x14ac:dyDescent="0.35">
      <c r="C4419" t="s">
        <v>51</v>
      </c>
      <c r="D4419" t="s">
        <v>91</v>
      </c>
      <c r="E4419" t="s">
        <v>62</v>
      </c>
      <c r="F4419" t="s">
        <v>46</v>
      </c>
      <c r="G4419" s="58">
        <v>293696</v>
      </c>
      <c r="H4419" s="1" t="s">
        <v>48</v>
      </c>
      <c r="I4419" s="1" t="s">
        <v>108</v>
      </c>
      <c r="J4419" s="58">
        <v>10866752</v>
      </c>
      <c r="K4419" s="1" t="s">
        <v>106</v>
      </c>
      <c r="L4419" s="1" t="s">
        <v>131</v>
      </c>
      <c r="M4419" s="1" t="s">
        <v>122</v>
      </c>
      <c r="N4419" s="1">
        <v>1</v>
      </c>
      <c r="O4419" s="58"/>
      <c r="P4419" s="58">
        <v>240830.72</v>
      </c>
      <c r="Q4419" t="s">
        <v>127</v>
      </c>
      <c r="R4419" s="1" t="s">
        <v>48</v>
      </c>
    </row>
    <row r="4420" spans="3:18" x14ac:dyDescent="0.35">
      <c r="C4420" t="s">
        <v>51</v>
      </c>
      <c r="D4420" t="s">
        <v>21</v>
      </c>
      <c r="E4420" t="s">
        <v>49</v>
      </c>
      <c r="F4420" t="s">
        <v>46</v>
      </c>
      <c r="G4420" s="58">
        <v>594230</v>
      </c>
      <c r="H4420" s="1" t="s">
        <v>48</v>
      </c>
      <c r="I4420" s="1" t="s">
        <v>119</v>
      </c>
      <c r="J4420" s="58">
        <v>4753840</v>
      </c>
      <c r="K4420" s="1" t="s">
        <v>112</v>
      </c>
      <c r="N4420" s="1">
        <v>1</v>
      </c>
      <c r="O4420" s="58"/>
      <c r="P4420" s="58">
        <v>101019.1</v>
      </c>
      <c r="Q4420" t="s">
        <v>107</v>
      </c>
      <c r="R4420" s="1" t="s">
        <v>158</v>
      </c>
    </row>
    <row r="4421" spans="3:18" x14ac:dyDescent="0.35">
      <c r="C4421" t="s">
        <v>53</v>
      </c>
      <c r="D4421" t="s">
        <v>25</v>
      </c>
      <c r="E4421" t="s">
        <v>55</v>
      </c>
      <c r="F4421" t="s">
        <v>46</v>
      </c>
      <c r="G4421" s="58">
        <v>256738</v>
      </c>
      <c r="H4421" s="1" t="s">
        <v>59</v>
      </c>
      <c r="I4421" s="1" t="s">
        <v>105</v>
      </c>
      <c r="J4421" s="58">
        <v>770214</v>
      </c>
      <c r="K4421" s="1" t="s">
        <v>106</v>
      </c>
      <c r="L4421" s="1" t="s">
        <v>114</v>
      </c>
      <c r="N4421" s="1">
        <v>1</v>
      </c>
      <c r="O4421" s="58"/>
      <c r="P4421" s="58">
        <v>136071.14000000001</v>
      </c>
      <c r="Q4421" t="s">
        <v>113</v>
      </c>
      <c r="R4421" s="1" t="s">
        <v>158</v>
      </c>
    </row>
    <row r="4422" spans="3:18" x14ac:dyDescent="0.35">
      <c r="C4422" t="s">
        <v>53</v>
      </c>
      <c r="D4422" t="s">
        <v>23</v>
      </c>
      <c r="E4422" t="s">
        <v>55</v>
      </c>
      <c r="F4422" t="s">
        <v>46</v>
      </c>
      <c r="G4422" s="58">
        <v>829198</v>
      </c>
      <c r="H4422" s="1" t="s">
        <v>54</v>
      </c>
      <c r="I4422" s="1" t="s">
        <v>119</v>
      </c>
      <c r="J4422" s="58">
        <v>5804386</v>
      </c>
      <c r="K4422" s="1" t="s">
        <v>106</v>
      </c>
      <c r="L4422" s="1" t="s">
        <v>114</v>
      </c>
      <c r="N4422" s="1">
        <v>1</v>
      </c>
      <c r="O4422" s="58"/>
      <c r="P4422" s="58">
        <v>389723.06</v>
      </c>
      <c r="Q4422" t="s">
        <v>113</v>
      </c>
      <c r="R4422" s="1" t="s">
        <v>158</v>
      </c>
    </row>
    <row r="4423" spans="3:18" x14ac:dyDescent="0.35">
      <c r="C4423" t="s">
        <v>51</v>
      </c>
      <c r="D4423" t="s">
        <v>92</v>
      </c>
      <c r="E4423" t="s">
        <v>45</v>
      </c>
      <c r="F4423" t="s">
        <v>46</v>
      </c>
      <c r="G4423" s="58">
        <v>228127</v>
      </c>
      <c r="H4423" s="1" t="s">
        <v>56</v>
      </c>
      <c r="I4423" s="1" t="s">
        <v>111</v>
      </c>
      <c r="J4423" s="58">
        <v>4562540</v>
      </c>
      <c r="K4423" s="1" t="s">
        <v>106</v>
      </c>
      <c r="L4423" s="1" t="s">
        <v>120</v>
      </c>
      <c r="N4423" s="1">
        <v>1</v>
      </c>
      <c r="O4423" s="58"/>
      <c r="P4423" s="58">
        <v>134594.93</v>
      </c>
      <c r="Q4423" t="s">
        <v>113</v>
      </c>
      <c r="R4423" s="1" t="s">
        <v>158</v>
      </c>
    </row>
    <row r="4424" spans="3:18" x14ac:dyDescent="0.35">
      <c r="C4424" t="s">
        <v>51</v>
      </c>
      <c r="D4424" t="s">
        <v>22</v>
      </c>
      <c r="E4424" t="s">
        <v>49</v>
      </c>
      <c r="F4424" t="s">
        <v>46</v>
      </c>
      <c r="G4424" s="58">
        <v>3995074</v>
      </c>
      <c r="H4424" s="1" t="s">
        <v>59</v>
      </c>
      <c r="I4424" s="1" t="s">
        <v>108</v>
      </c>
      <c r="J4424" s="58">
        <v>123847294</v>
      </c>
      <c r="K4424" s="1" t="s">
        <v>106</v>
      </c>
      <c r="L4424" s="1" t="s">
        <v>124</v>
      </c>
      <c r="N4424" s="1">
        <v>1</v>
      </c>
      <c r="O4424" s="58"/>
      <c r="P4424" s="58">
        <v>3355862.16</v>
      </c>
      <c r="Q4424" t="s">
        <v>127</v>
      </c>
      <c r="R4424" s="1" t="s">
        <v>158</v>
      </c>
    </row>
    <row r="4425" spans="3:18" x14ac:dyDescent="0.35">
      <c r="C4425" t="s">
        <v>51</v>
      </c>
      <c r="D4425" t="s">
        <v>20</v>
      </c>
      <c r="E4425" t="s">
        <v>49</v>
      </c>
      <c r="F4425" t="s">
        <v>46</v>
      </c>
      <c r="G4425" s="58">
        <v>153066</v>
      </c>
      <c r="H4425" s="1" t="s">
        <v>48</v>
      </c>
      <c r="I4425" s="1" t="s">
        <v>111</v>
      </c>
      <c r="J4425" s="58">
        <v>1836792</v>
      </c>
      <c r="K4425" s="1" t="s">
        <v>106</v>
      </c>
      <c r="L4425" s="1" t="s">
        <v>124</v>
      </c>
      <c r="M4425" s="1" t="s">
        <v>126</v>
      </c>
      <c r="N4425" s="1">
        <v>1</v>
      </c>
      <c r="O4425" s="58"/>
      <c r="P4425" s="58">
        <v>73471.679999999993</v>
      </c>
      <c r="Q4425" t="s">
        <v>113</v>
      </c>
      <c r="R4425" s="1" t="s">
        <v>158</v>
      </c>
    </row>
    <row r="4426" spans="3:18" x14ac:dyDescent="0.35">
      <c r="C4426" t="s">
        <v>53</v>
      </c>
      <c r="D4426" t="s">
        <v>21</v>
      </c>
      <c r="E4426" t="s">
        <v>45</v>
      </c>
      <c r="F4426" t="s">
        <v>46</v>
      </c>
      <c r="G4426" s="58">
        <v>133560</v>
      </c>
      <c r="H4426" s="1" t="s">
        <v>59</v>
      </c>
      <c r="I4426" s="1" t="s">
        <v>105</v>
      </c>
      <c r="J4426" s="58">
        <v>400680</v>
      </c>
      <c r="K4426" s="1" t="s">
        <v>106</v>
      </c>
      <c r="L4426" s="1" t="s">
        <v>120</v>
      </c>
      <c r="N4426" s="1">
        <v>1</v>
      </c>
      <c r="O4426" s="58"/>
      <c r="P4426" s="58">
        <v>158936.4</v>
      </c>
      <c r="Q4426" t="s">
        <v>110</v>
      </c>
      <c r="R4426" s="1" t="s">
        <v>158</v>
      </c>
    </row>
    <row r="4427" spans="3:18" x14ac:dyDescent="0.35">
      <c r="C4427" t="s">
        <v>51</v>
      </c>
      <c r="D4427" t="s">
        <v>24</v>
      </c>
      <c r="E4427" t="s">
        <v>50</v>
      </c>
      <c r="F4427" t="s">
        <v>46</v>
      </c>
      <c r="G4427" s="58">
        <v>842331</v>
      </c>
      <c r="H4427" s="1" t="s">
        <v>59</v>
      </c>
      <c r="I4427" s="1" t="s">
        <v>108</v>
      </c>
      <c r="J4427" s="58">
        <v>25269930</v>
      </c>
      <c r="K4427" s="1" t="s">
        <v>112</v>
      </c>
      <c r="N4427" s="1">
        <v>1</v>
      </c>
      <c r="O4427" s="58"/>
      <c r="P4427" s="58">
        <v>640171.56000000006</v>
      </c>
      <c r="Q4427" t="s">
        <v>118</v>
      </c>
      <c r="R4427" s="1" t="s">
        <v>158</v>
      </c>
    </row>
    <row r="4428" spans="3:18" x14ac:dyDescent="0.35">
      <c r="C4428" t="s">
        <v>51</v>
      </c>
      <c r="D4428" t="s">
        <v>24</v>
      </c>
      <c r="E4428" t="s">
        <v>49</v>
      </c>
      <c r="F4428" t="s">
        <v>46</v>
      </c>
      <c r="G4428" s="58">
        <v>406771</v>
      </c>
      <c r="H4428" s="1" t="s">
        <v>48</v>
      </c>
      <c r="I4428" s="1" t="s">
        <v>108</v>
      </c>
      <c r="J4428" s="58">
        <v>13016672</v>
      </c>
      <c r="K4428" s="1" t="s">
        <v>106</v>
      </c>
      <c r="L4428" s="1" t="s">
        <v>124</v>
      </c>
      <c r="M4428" s="1" t="s">
        <v>121</v>
      </c>
      <c r="N4428" s="1">
        <v>1</v>
      </c>
      <c r="O4428" s="58"/>
      <c r="P4428" s="58">
        <v>126099.01</v>
      </c>
      <c r="Q4428" t="s">
        <v>107</v>
      </c>
      <c r="R4428" s="1" t="s">
        <v>48</v>
      </c>
    </row>
    <row r="4429" spans="3:18" x14ac:dyDescent="0.35">
      <c r="C4429" t="s">
        <v>51</v>
      </c>
      <c r="D4429" t="s">
        <v>23</v>
      </c>
      <c r="E4429" t="s">
        <v>49</v>
      </c>
      <c r="F4429" t="s">
        <v>46</v>
      </c>
      <c r="G4429" s="58">
        <v>3065492</v>
      </c>
      <c r="H4429" s="1" t="s">
        <v>48</v>
      </c>
      <c r="I4429" s="1" t="s">
        <v>108</v>
      </c>
      <c r="J4429" s="58">
        <v>91964760</v>
      </c>
      <c r="K4429" s="1" t="s">
        <v>106</v>
      </c>
      <c r="L4429" s="1" t="s">
        <v>124</v>
      </c>
      <c r="M4429" s="1" t="s">
        <v>125</v>
      </c>
      <c r="N4429" s="1">
        <v>1</v>
      </c>
      <c r="O4429" s="58"/>
      <c r="P4429" s="58">
        <v>2207154.2400000002</v>
      </c>
      <c r="Q4429" t="s">
        <v>118</v>
      </c>
      <c r="R4429" s="1" t="s">
        <v>48</v>
      </c>
    </row>
    <row r="4430" spans="3:18" x14ac:dyDescent="0.35">
      <c r="C4430" t="s">
        <v>51</v>
      </c>
      <c r="D4430" t="s">
        <v>24</v>
      </c>
      <c r="E4430" t="s">
        <v>55</v>
      </c>
      <c r="F4430" t="s">
        <v>46</v>
      </c>
      <c r="G4430" s="58">
        <v>78775</v>
      </c>
      <c r="H4430" s="1" t="s">
        <v>48</v>
      </c>
      <c r="I4430" s="1" t="s">
        <v>105</v>
      </c>
      <c r="J4430" s="58">
        <v>393875</v>
      </c>
      <c r="K4430" s="1" t="s">
        <v>106</v>
      </c>
      <c r="L4430" s="1" t="s">
        <v>114</v>
      </c>
      <c r="M4430" s="1" t="s">
        <v>121</v>
      </c>
      <c r="N4430" s="1">
        <v>1</v>
      </c>
      <c r="O4430" s="58"/>
      <c r="P4430" s="58">
        <v>37812</v>
      </c>
      <c r="Q4430" t="s">
        <v>113</v>
      </c>
      <c r="R4430" s="1" t="s">
        <v>158</v>
      </c>
    </row>
    <row r="4431" spans="3:18" x14ac:dyDescent="0.35">
      <c r="C4431" t="s">
        <v>51</v>
      </c>
      <c r="D4431" t="s">
        <v>91</v>
      </c>
      <c r="E4431" t="s">
        <v>50</v>
      </c>
      <c r="F4431" t="s">
        <v>46</v>
      </c>
      <c r="G4431" s="58">
        <v>372752</v>
      </c>
      <c r="H4431" s="1" t="s">
        <v>48</v>
      </c>
      <c r="I4431" s="1" t="s">
        <v>108</v>
      </c>
      <c r="J4431" s="58">
        <v>12673568</v>
      </c>
      <c r="K4431" s="1" t="s">
        <v>106</v>
      </c>
      <c r="L4431" s="1" t="s">
        <v>109</v>
      </c>
      <c r="M4431" s="1" t="s">
        <v>122</v>
      </c>
      <c r="N4431" s="1">
        <v>1</v>
      </c>
      <c r="O4431" s="58"/>
      <c r="P4431" s="58">
        <v>313111.67999999999</v>
      </c>
      <c r="Q4431" t="s">
        <v>127</v>
      </c>
      <c r="R4431" s="1" t="s">
        <v>48</v>
      </c>
    </row>
    <row r="4432" spans="3:18" x14ac:dyDescent="0.35">
      <c r="C4432" t="s">
        <v>51</v>
      </c>
      <c r="D4432" t="s">
        <v>92</v>
      </c>
      <c r="E4432" t="s">
        <v>45</v>
      </c>
      <c r="F4432" t="s">
        <v>46</v>
      </c>
      <c r="G4432" s="58">
        <v>681386</v>
      </c>
      <c r="H4432" s="1" t="s">
        <v>48</v>
      </c>
      <c r="I4432" s="1" t="s">
        <v>108</v>
      </c>
      <c r="J4432" s="58">
        <v>21804352</v>
      </c>
      <c r="K4432" s="1" t="s">
        <v>112</v>
      </c>
      <c r="N4432" s="1">
        <v>1</v>
      </c>
      <c r="O4432" s="58"/>
      <c r="P4432" s="58">
        <v>204415.8</v>
      </c>
      <c r="Q4432" t="s">
        <v>107</v>
      </c>
      <c r="R4432" s="1" t="s">
        <v>48</v>
      </c>
    </row>
    <row r="4433" spans="3:18" x14ac:dyDescent="0.35">
      <c r="C4433" t="s">
        <v>51</v>
      </c>
      <c r="D4433" t="s">
        <v>23</v>
      </c>
      <c r="E4433" t="s">
        <v>55</v>
      </c>
      <c r="F4433" t="s">
        <v>64</v>
      </c>
      <c r="G4433" s="58">
        <v>4776</v>
      </c>
      <c r="H4433" s="1" t="s">
        <v>54</v>
      </c>
      <c r="I4433" s="1" t="s">
        <v>105</v>
      </c>
      <c r="J4433" s="58">
        <v>0</v>
      </c>
      <c r="K4433" s="1" t="s">
        <v>106</v>
      </c>
      <c r="L4433" s="1" t="s">
        <v>114</v>
      </c>
      <c r="N4433" s="1">
        <v>1</v>
      </c>
      <c r="O4433" s="58"/>
      <c r="P4433" s="58">
        <v>95.52</v>
      </c>
      <c r="Q4433" t="s">
        <v>107</v>
      </c>
      <c r="R4433" s="1" t="s">
        <v>158</v>
      </c>
    </row>
    <row r="4434" spans="3:18" x14ac:dyDescent="0.35">
      <c r="C4434" t="s">
        <v>51</v>
      </c>
      <c r="D4434" t="s">
        <v>92</v>
      </c>
      <c r="E4434" t="s">
        <v>45</v>
      </c>
      <c r="F4434" t="s">
        <v>46</v>
      </c>
      <c r="G4434" s="58">
        <v>276507</v>
      </c>
      <c r="H4434" s="1" t="s">
        <v>59</v>
      </c>
      <c r="I4434" s="1" t="s">
        <v>108</v>
      </c>
      <c r="J4434" s="58">
        <v>6912675</v>
      </c>
      <c r="K4434" s="1" t="s">
        <v>106</v>
      </c>
      <c r="L4434" s="1" t="s">
        <v>120</v>
      </c>
      <c r="N4434" s="1">
        <v>1</v>
      </c>
      <c r="O4434" s="58"/>
      <c r="P4434" s="58">
        <v>129958.29</v>
      </c>
      <c r="Q4434" t="s">
        <v>113</v>
      </c>
      <c r="R4434" s="1" t="s">
        <v>158</v>
      </c>
    </row>
    <row r="4435" spans="3:18" x14ac:dyDescent="0.35">
      <c r="C4435" t="s">
        <v>51</v>
      </c>
      <c r="D4435" t="s">
        <v>91</v>
      </c>
      <c r="E4435" t="s">
        <v>49</v>
      </c>
      <c r="F4435" t="s">
        <v>46</v>
      </c>
      <c r="G4435" s="58">
        <v>979586</v>
      </c>
      <c r="H4435" s="1" t="s">
        <v>48</v>
      </c>
      <c r="I4435" s="1" t="s">
        <v>111</v>
      </c>
      <c r="J4435" s="58">
        <v>14693790</v>
      </c>
      <c r="K4435" s="1" t="s">
        <v>112</v>
      </c>
      <c r="N4435" s="1">
        <v>1</v>
      </c>
      <c r="O4435" s="58"/>
      <c r="P4435" s="58">
        <v>646526.76</v>
      </c>
      <c r="Q4435" t="s">
        <v>118</v>
      </c>
      <c r="R4435" s="1" t="s">
        <v>158</v>
      </c>
    </row>
    <row r="4436" spans="3:18" x14ac:dyDescent="0.35">
      <c r="C4436" t="s">
        <v>51</v>
      </c>
      <c r="D4436" t="s">
        <v>23</v>
      </c>
      <c r="E4436" t="s">
        <v>45</v>
      </c>
      <c r="F4436" t="s">
        <v>64</v>
      </c>
      <c r="G4436" s="58">
        <v>640265</v>
      </c>
      <c r="H4436" s="1" t="s">
        <v>47</v>
      </c>
      <c r="I4436" s="1" t="s">
        <v>108</v>
      </c>
      <c r="J4436" s="58">
        <v>19848215</v>
      </c>
      <c r="K4436" s="1" t="s">
        <v>112</v>
      </c>
      <c r="N4436" s="1">
        <v>1</v>
      </c>
      <c r="O4436" s="58"/>
      <c r="P4436" s="58">
        <v>147260.95000000001</v>
      </c>
      <c r="Q4436" t="s">
        <v>107</v>
      </c>
      <c r="R4436" s="1" t="s">
        <v>158</v>
      </c>
    </row>
    <row r="4437" spans="3:18" x14ac:dyDescent="0.35">
      <c r="C4437" t="s">
        <v>51</v>
      </c>
      <c r="D4437" t="s">
        <v>24</v>
      </c>
      <c r="E4437" t="s">
        <v>45</v>
      </c>
      <c r="F4437" t="s">
        <v>46</v>
      </c>
      <c r="G4437" s="58">
        <v>77859</v>
      </c>
      <c r="H4437" s="1" t="s">
        <v>48</v>
      </c>
      <c r="I4437" s="1" t="s">
        <v>108</v>
      </c>
      <c r="J4437" s="58">
        <v>3036501</v>
      </c>
      <c r="K4437" s="1" t="s">
        <v>106</v>
      </c>
      <c r="L4437" s="1" t="s">
        <v>114</v>
      </c>
      <c r="M4437" s="1" t="s">
        <v>121</v>
      </c>
      <c r="N4437" s="1">
        <v>1</v>
      </c>
      <c r="O4437" s="58"/>
      <c r="P4437" s="58">
        <v>85644.9</v>
      </c>
      <c r="Q4437" t="s">
        <v>110</v>
      </c>
      <c r="R4437" s="1" t="s">
        <v>158</v>
      </c>
    </row>
    <row r="4438" spans="3:18" x14ac:dyDescent="0.35">
      <c r="C4438" t="s">
        <v>51</v>
      </c>
      <c r="D4438" t="s">
        <v>25</v>
      </c>
      <c r="E4438" t="s">
        <v>55</v>
      </c>
      <c r="F4438" t="s">
        <v>46</v>
      </c>
      <c r="G4438" s="58">
        <v>194511</v>
      </c>
      <c r="H4438" s="1" t="s">
        <v>59</v>
      </c>
      <c r="I4438" s="1" t="s">
        <v>105</v>
      </c>
      <c r="J4438" s="58">
        <v>583533</v>
      </c>
      <c r="K4438" s="1" t="s">
        <v>106</v>
      </c>
      <c r="L4438" s="1" t="s">
        <v>114</v>
      </c>
      <c r="N4438" s="1">
        <v>1</v>
      </c>
      <c r="O4438" s="58"/>
      <c r="P4438" s="58">
        <v>29176.65</v>
      </c>
      <c r="Q4438" t="s">
        <v>107</v>
      </c>
      <c r="R4438" s="1" t="s">
        <v>158</v>
      </c>
    </row>
    <row r="4439" spans="3:18" x14ac:dyDescent="0.35">
      <c r="C4439" t="s">
        <v>51</v>
      </c>
      <c r="D4439" t="s">
        <v>20</v>
      </c>
      <c r="E4439" t="s">
        <v>49</v>
      </c>
      <c r="F4439" t="s">
        <v>46</v>
      </c>
      <c r="G4439" s="58">
        <v>2298683</v>
      </c>
      <c r="I4439" s="1" t="s">
        <v>108</v>
      </c>
      <c r="J4439" s="58">
        <v>68960490</v>
      </c>
      <c r="K4439" s="1" t="s">
        <v>106</v>
      </c>
      <c r="L4439" s="1" t="s">
        <v>124</v>
      </c>
      <c r="N4439" s="1">
        <v>1</v>
      </c>
      <c r="O4439" s="58"/>
      <c r="P4439" s="58">
        <v>1218301.99</v>
      </c>
      <c r="Q4439" t="s">
        <v>113</v>
      </c>
      <c r="R4439" s="1" t="s">
        <v>158</v>
      </c>
    </row>
    <row r="4440" spans="3:18" x14ac:dyDescent="0.35">
      <c r="C4440" t="s">
        <v>51</v>
      </c>
      <c r="D4440" t="s">
        <v>22</v>
      </c>
      <c r="E4440" t="s">
        <v>55</v>
      </c>
      <c r="F4440" t="s">
        <v>46</v>
      </c>
      <c r="G4440" s="58">
        <v>60092</v>
      </c>
      <c r="H4440" s="1" t="s">
        <v>54</v>
      </c>
      <c r="I4440" s="1" t="s">
        <v>108</v>
      </c>
      <c r="J4440" s="58">
        <v>2103220</v>
      </c>
      <c r="K4440" s="1" t="s">
        <v>112</v>
      </c>
      <c r="N4440" s="1">
        <v>1</v>
      </c>
      <c r="O4440" s="58"/>
      <c r="P4440" s="58">
        <v>31247.84</v>
      </c>
      <c r="Q4440" t="s">
        <v>113</v>
      </c>
      <c r="R4440" s="1" t="s">
        <v>158</v>
      </c>
    </row>
    <row r="4441" spans="3:18" x14ac:dyDescent="0.35">
      <c r="C4441" t="s">
        <v>51</v>
      </c>
      <c r="D4441" t="s">
        <v>92</v>
      </c>
      <c r="E4441" t="s">
        <v>45</v>
      </c>
      <c r="F4441" t="s">
        <v>46</v>
      </c>
      <c r="G4441" s="58">
        <v>51531</v>
      </c>
      <c r="H4441" s="1" t="s">
        <v>59</v>
      </c>
      <c r="I4441" s="1" t="s">
        <v>119</v>
      </c>
      <c r="J4441" s="58">
        <v>412248</v>
      </c>
      <c r="K4441" s="1" t="s">
        <v>106</v>
      </c>
      <c r="L4441" s="1" t="s">
        <v>120</v>
      </c>
      <c r="N4441" s="1">
        <v>1</v>
      </c>
      <c r="O4441" s="58"/>
      <c r="P4441" s="58">
        <v>10821.51</v>
      </c>
      <c r="Q4441" t="s">
        <v>107</v>
      </c>
      <c r="R4441" s="1" t="s">
        <v>158</v>
      </c>
    </row>
    <row r="4442" spans="3:18" x14ac:dyDescent="0.35">
      <c r="C4442" t="s">
        <v>51</v>
      </c>
      <c r="D4442" t="s">
        <v>19</v>
      </c>
      <c r="E4442" t="s">
        <v>49</v>
      </c>
      <c r="F4442" t="s">
        <v>46</v>
      </c>
      <c r="G4442" s="58">
        <v>10670010</v>
      </c>
      <c r="H4442" s="1" t="s">
        <v>47</v>
      </c>
      <c r="I4442" s="1" t="s">
        <v>108</v>
      </c>
      <c r="J4442" s="58">
        <v>320100300</v>
      </c>
      <c r="K4442" s="1" t="s">
        <v>112</v>
      </c>
      <c r="N4442" s="1">
        <v>1</v>
      </c>
      <c r="O4442" s="58"/>
      <c r="P4442" s="58">
        <v>5335005</v>
      </c>
      <c r="Q4442" t="s">
        <v>113</v>
      </c>
      <c r="R4442" s="1" t="s">
        <v>158</v>
      </c>
    </row>
    <row r="4443" spans="3:18" x14ac:dyDescent="0.35">
      <c r="C4443" t="s">
        <v>51</v>
      </c>
      <c r="D4443" t="s">
        <v>20</v>
      </c>
      <c r="E4443" t="s">
        <v>49</v>
      </c>
      <c r="F4443" t="s">
        <v>46</v>
      </c>
      <c r="G4443" s="58">
        <v>4519656</v>
      </c>
      <c r="H4443" s="1" t="s">
        <v>56</v>
      </c>
      <c r="I4443" s="1" t="s">
        <v>119</v>
      </c>
      <c r="J4443" s="58">
        <v>31637592</v>
      </c>
      <c r="K4443" s="1" t="s">
        <v>106</v>
      </c>
      <c r="L4443" s="1" t="s">
        <v>124</v>
      </c>
      <c r="N4443" s="1">
        <v>1</v>
      </c>
      <c r="O4443" s="58"/>
      <c r="P4443" s="58">
        <v>2124238.3199999998</v>
      </c>
      <c r="Q4443" t="s">
        <v>113</v>
      </c>
      <c r="R4443" s="1" t="s">
        <v>158</v>
      </c>
    </row>
    <row r="4444" spans="3:18" x14ac:dyDescent="0.35">
      <c r="C4444" t="s">
        <v>51</v>
      </c>
      <c r="D4444" t="s">
        <v>20</v>
      </c>
      <c r="E4444" t="s">
        <v>49</v>
      </c>
      <c r="F4444" t="s">
        <v>46</v>
      </c>
      <c r="G4444" s="58">
        <v>13443123</v>
      </c>
      <c r="H4444" s="1" t="s">
        <v>56</v>
      </c>
      <c r="I4444" s="1" t="s">
        <v>108</v>
      </c>
      <c r="J4444" s="58">
        <v>362964321</v>
      </c>
      <c r="K4444" s="1" t="s">
        <v>106</v>
      </c>
      <c r="L4444" s="1" t="s">
        <v>124</v>
      </c>
      <c r="N4444" s="1">
        <v>1</v>
      </c>
      <c r="O4444" s="58"/>
      <c r="P4444" s="58">
        <v>3764074.44</v>
      </c>
      <c r="Q4444" t="s">
        <v>107</v>
      </c>
      <c r="R4444" s="1" t="s">
        <v>158</v>
      </c>
    </row>
    <row r="4445" spans="3:18" x14ac:dyDescent="0.35">
      <c r="C4445" t="s">
        <v>51</v>
      </c>
      <c r="D4445" t="s">
        <v>19</v>
      </c>
      <c r="E4445" t="s">
        <v>49</v>
      </c>
      <c r="F4445" t="s">
        <v>46</v>
      </c>
      <c r="G4445" s="58">
        <v>392493</v>
      </c>
      <c r="H4445" s="1" t="s">
        <v>54</v>
      </c>
      <c r="I4445" s="1" t="s">
        <v>111</v>
      </c>
      <c r="J4445" s="58">
        <v>5494902</v>
      </c>
      <c r="K4445" s="1" t="s">
        <v>106</v>
      </c>
      <c r="L4445" s="1" t="s">
        <v>120</v>
      </c>
      <c r="N4445" s="1">
        <v>1</v>
      </c>
      <c r="O4445" s="58"/>
      <c r="P4445" s="58">
        <v>98123.25</v>
      </c>
      <c r="Q4445" t="s">
        <v>107</v>
      </c>
      <c r="R4445" s="1" t="s">
        <v>158</v>
      </c>
    </row>
    <row r="4446" spans="3:18" x14ac:dyDescent="0.35">
      <c r="C4446" t="s">
        <v>51</v>
      </c>
      <c r="D4446" t="s">
        <v>21</v>
      </c>
      <c r="E4446" t="s">
        <v>49</v>
      </c>
      <c r="F4446" t="s">
        <v>46</v>
      </c>
      <c r="G4446" s="58">
        <v>23885197</v>
      </c>
      <c r="H4446" s="1" t="s">
        <v>47</v>
      </c>
      <c r="I4446" s="1" t="s">
        <v>119</v>
      </c>
      <c r="J4446" s="58">
        <v>191081576</v>
      </c>
      <c r="K4446" s="1" t="s">
        <v>106</v>
      </c>
      <c r="L4446" s="1" t="s">
        <v>124</v>
      </c>
      <c r="N4446" s="1">
        <v>1</v>
      </c>
      <c r="O4446" s="58"/>
      <c r="P4446" s="58">
        <v>10987190.619999999</v>
      </c>
      <c r="Q4446" t="s">
        <v>113</v>
      </c>
      <c r="R4446" s="1" t="s">
        <v>158</v>
      </c>
    </row>
    <row r="4447" spans="3:18" x14ac:dyDescent="0.35">
      <c r="C4447" t="s">
        <v>53</v>
      </c>
      <c r="D4447" t="s">
        <v>92</v>
      </c>
      <c r="E4447" t="s">
        <v>45</v>
      </c>
      <c r="F4447" t="s">
        <v>46</v>
      </c>
      <c r="G4447" s="58">
        <v>5541224</v>
      </c>
      <c r="H4447" s="1" t="s">
        <v>48</v>
      </c>
      <c r="I4447" s="1" t="s">
        <v>111</v>
      </c>
      <c r="J4447" s="58">
        <v>66494688</v>
      </c>
      <c r="K4447" s="1" t="s">
        <v>112</v>
      </c>
      <c r="N4447" s="1">
        <v>1</v>
      </c>
      <c r="O4447" s="58"/>
      <c r="P4447" s="58">
        <v>5319575.04</v>
      </c>
      <c r="Q4447" t="s">
        <v>127</v>
      </c>
      <c r="R4447" s="1" t="s">
        <v>158</v>
      </c>
    </row>
    <row r="4448" spans="3:18" x14ac:dyDescent="0.35">
      <c r="C4448" t="s">
        <v>53</v>
      </c>
      <c r="D4448" t="s">
        <v>23</v>
      </c>
      <c r="E4448" t="s">
        <v>55</v>
      </c>
      <c r="F4448" t="s">
        <v>46</v>
      </c>
      <c r="G4448" s="58">
        <v>2183896</v>
      </c>
      <c r="H4448" s="1" t="s">
        <v>54</v>
      </c>
      <c r="I4448" s="1" t="s">
        <v>105</v>
      </c>
      <c r="J4448" s="58">
        <v>6551688</v>
      </c>
      <c r="K4448" s="1" t="s">
        <v>106</v>
      </c>
      <c r="L4448" s="1" t="s">
        <v>114</v>
      </c>
      <c r="N4448" s="1">
        <v>1</v>
      </c>
      <c r="O4448" s="58"/>
      <c r="P4448" s="58">
        <v>414940.24</v>
      </c>
      <c r="Q4448" t="s">
        <v>107</v>
      </c>
      <c r="R4448" s="1" t="s">
        <v>158</v>
      </c>
    </row>
    <row r="4449" spans="3:18" x14ac:dyDescent="0.35">
      <c r="C4449" t="s">
        <v>51</v>
      </c>
      <c r="D4449" t="s">
        <v>23</v>
      </c>
      <c r="E4449" t="s">
        <v>55</v>
      </c>
      <c r="F4449" t="s">
        <v>46</v>
      </c>
      <c r="G4449" s="58">
        <v>116412176</v>
      </c>
      <c r="H4449" s="1" t="s">
        <v>48</v>
      </c>
      <c r="I4449" s="1" t="s">
        <v>108</v>
      </c>
      <c r="J4449" s="58">
        <v>3958013984</v>
      </c>
      <c r="K4449" s="1" t="s">
        <v>106</v>
      </c>
      <c r="L4449" s="1" t="s">
        <v>114</v>
      </c>
      <c r="M4449" s="1" t="s">
        <v>125</v>
      </c>
      <c r="N4449" s="1">
        <v>1</v>
      </c>
      <c r="O4449" s="58"/>
      <c r="P4449" s="58">
        <v>96622106.079999998</v>
      </c>
      <c r="Q4449" t="s">
        <v>127</v>
      </c>
      <c r="R4449" s="1" t="s">
        <v>158</v>
      </c>
    </row>
    <row r="4450" spans="3:18" x14ac:dyDescent="0.35">
      <c r="C4450" t="s">
        <v>51</v>
      </c>
      <c r="D4450" t="s">
        <v>21</v>
      </c>
      <c r="E4450" t="s">
        <v>49</v>
      </c>
      <c r="F4450" t="s">
        <v>46</v>
      </c>
      <c r="G4450" s="58">
        <v>15842574</v>
      </c>
      <c r="H4450" s="1" t="s">
        <v>47</v>
      </c>
      <c r="I4450" s="1" t="s">
        <v>108</v>
      </c>
      <c r="J4450" s="58">
        <v>475277220</v>
      </c>
      <c r="K4450" s="1" t="s">
        <v>112</v>
      </c>
      <c r="N4450" s="1">
        <v>1</v>
      </c>
      <c r="O4450" s="58"/>
      <c r="P4450" s="58">
        <v>7921287</v>
      </c>
      <c r="Q4450" t="s">
        <v>113</v>
      </c>
      <c r="R4450" s="1" t="s">
        <v>158</v>
      </c>
    </row>
    <row r="4451" spans="3:18" x14ac:dyDescent="0.35">
      <c r="C4451" t="s">
        <v>51</v>
      </c>
      <c r="D4451" t="s">
        <v>19</v>
      </c>
      <c r="E4451" t="s">
        <v>49</v>
      </c>
      <c r="F4451" t="s">
        <v>64</v>
      </c>
      <c r="G4451" s="58">
        <v>197639</v>
      </c>
      <c r="H4451" s="1" t="s">
        <v>48</v>
      </c>
      <c r="I4451" s="1" t="s">
        <v>111</v>
      </c>
      <c r="J4451" s="58">
        <v>3359863</v>
      </c>
      <c r="K4451" s="1" t="s">
        <v>112</v>
      </c>
      <c r="N4451" s="1">
        <v>1</v>
      </c>
      <c r="O4451" s="58"/>
      <c r="P4451" s="58">
        <v>84984.77</v>
      </c>
      <c r="Q4451" t="s">
        <v>113</v>
      </c>
      <c r="R4451" s="1" t="s">
        <v>158</v>
      </c>
    </row>
    <row r="4452" spans="3:18" x14ac:dyDescent="0.35">
      <c r="C4452" t="s">
        <v>51</v>
      </c>
      <c r="D4452" t="s">
        <v>22</v>
      </c>
      <c r="E4452" t="s">
        <v>45</v>
      </c>
      <c r="F4452" t="s">
        <v>46</v>
      </c>
      <c r="G4452" s="58">
        <v>120639</v>
      </c>
      <c r="H4452" s="1" t="s">
        <v>58</v>
      </c>
      <c r="I4452" s="1" t="s">
        <v>111</v>
      </c>
      <c r="J4452" s="58">
        <v>1568307</v>
      </c>
      <c r="K4452" s="1" t="s">
        <v>106</v>
      </c>
      <c r="L4452" s="1" t="s">
        <v>120</v>
      </c>
      <c r="N4452" s="1">
        <v>1</v>
      </c>
      <c r="O4452" s="58"/>
      <c r="P4452" s="58">
        <v>33778.92</v>
      </c>
      <c r="Q4452" t="s">
        <v>107</v>
      </c>
      <c r="R4452" s="1" t="s">
        <v>158</v>
      </c>
    </row>
    <row r="4453" spans="3:18" x14ac:dyDescent="0.35">
      <c r="C4453" t="s">
        <v>51</v>
      </c>
      <c r="D4453" t="s">
        <v>92</v>
      </c>
      <c r="E4453" t="s">
        <v>45</v>
      </c>
      <c r="F4453" t="s">
        <v>46</v>
      </c>
      <c r="G4453" s="58">
        <v>87734</v>
      </c>
      <c r="H4453" s="1" t="s">
        <v>56</v>
      </c>
      <c r="I4453" s="1" t="s">
        <v>111</v>
      </c>
      <c r="J4453" s="58">
        <v>1316010</v>
      </c>
      <c r="K4453" s="1" t="s">
        <v>106</v>
      </c>
      <c r="L4453" s="1" t="s">
        <v>120</v>
      </c>
      <c r="N4453" s="1">
        <v>1</v>
      </c>
      <c r="O4453" s="58"/>
      <c r="P4453" s="58">
        <v>28074.880000000001</v>
      </c>
      <c r="Q4453" t="s">
        <v>107</v>
      </c>
      <c r="R4453" s="1" t="s">
        <v>158</v>
      </c>
    </row>
    <row r="4454" spans="3:18" x14ac:dyDescent="0.35">
      <c r="C4454" t="s">
        <v>51</v>
      </c>
      <c r="D4454" t="s">
        <v>22</v>
      </c>
      <c r="E4454" t="s">
        <v>55</v>
      </c>
      <c r="F4454" t="s">
        <v>46</v>
      </c>
      <c r="G4454" s="58">
        <v>5768354</v>
      </c>
      <c r="H4454" s="1" t="s">
        <v>48</v>
      </c>
      <c r="I4454" s="1" t="s">
        <v>108</v>
      </c>
      <c r="J4454" s="58">
        <v>167282266</v>
      </c>
      <c r="K4454" s="1" t="s">
        <v>106</v>
      </c>
      <c r="L4454" s="1" t="s">
        <v>120</v>
      </c>
      <c r="M4454" s="1" t="s">
        <v>115</v>
      </c>
      <c r="N4454" s="1">
        <v>1</v>
      </c>
      <c r="O4454" s="58"/>
      <c r="P4454" s="58">
        <v>2999544.08</v>
      </c>
      <c r="Q4454" t="s">
        <v>113</v>
      </c>
      <c r="R4454" s="1" t="s">
        <v>48</v>
      </c>
    </row>
    <row r="4455" spans="3:18" x14ac:dyDescent="0.35">
      <c r="C4455" t="s">
        <v>51</v>
      </c>
      <c r="D4455" t="s">
        <v>24</v>
      </c>
      <c r="E4455" t="s">
        <v>52</v>
      </c>
      <c r="F4455" t="s">
        <v>46</v>
      </c>
      <c r="G4455" s="58">
        <v>138695</v>
      </c>
      <c r="H4455" s="1" t="s">
        <v>54</v>
      </c>
      <c r="I4455" s="1" t="s">
        <v>108</v>
      </c>
      <c r="J4455" s="58">
        <v>4715630</v>
      </c>
      <c r="K4455" s="1" t="s">
        <v>106</v>
      </c>
      <c r="L4455" s="1" t="s">
        <v>130</v>
      </c>
      <c r="N4455" s="1">
        <v>1</v>
      </c>
      <c r="O4455" s="58"/>
      <c r="P4455" s="58">
        <v>95699.55</v>
      </c>
      <c r="Q4455" t="s">
        <v>118</v>
      </c>
      <c r="R4455" s="1" t="s">
        <v>158</v>
      </c>
    </row>
    <row r="4456" spans="3:18" x14ac:dyDescent="0.35">
      <c r="C4456" t="s">
        <v>51</v>
      </c>
      <c r="D4456" t="s">
        <v>21</v>
      </c>
      <c r="E4456" t="s">
        <v>45</v>
      </c>
      <c r="F4456" t="s">
        <v>46</v>
      </c>
      <c r="G4456" s="58">
        <v>489141</v>
      </c>
      <c r="H4456" s="1" t="s">
        <v>48</v>
      </c>
      <c r="I4456" s="1" t="s">
        <v>111</v>
      </c>
      <c r="J4456" s="58">
        <v>9293679</v>
      </c>
      <c r="K4456" s="1" t="s">
        <v>112</v>
      </c>
      <c r="N4456" s="1">
        <v>1</v>
      </c>
      <c r="O4456" s="58"/>
      <c r="P4456" s="58">
        <v>234787.68</v>
      </c>
      <c r="Q4456" t="s">
        <v>113</v>
      </c>
      <c r="R4456" s="1" t="s">
        <v>158</v>
      </c>
    </row>
    <row r="4457" spans="3:18" x14ac:dyDescent="0.35">
      <c r="C4457" t="s">
        <v>51</v>
      </c>
      <c r="D4457" t="s">
        <v>23</v>
      </c>
      <c r="E4457" t="s">
        <v>45</v>
      </c>
      <c r="F4457" t="s">
        <v>46</v>
      </c>
      <c r="G4457" s="58">
        <v>330916</v>
      </c>
      <c r="H4457" s="1" t="s">
        <v>56</v>
      </c>
      <c r="I4457" s="1" t="s">
        <v>108</v>
      </c>
      <c r="J4457" s="58">
        <v>9265648</v>
      </c>
      <c r="K4457" s="1" t="s">
        <v>106</v>
      </c>
      <c r="L4457" s="1" t="s">
        <v>124</v>
      </c>
      <c r="N4457" s="1">
        <v>1</v>
      </c>
      <c r="O4457" s="58"/>
      <c r="P4457" s="58">
        <v>264732.79999999999</v>
      </c>
      <c r="Q4457" t="s">
        <v>118</v>
      </c>
      <c r="R4457" s="1" t="s">
        <v>158</v>
      </c>
    </row>
    <row r="4458" spans="3:18" x14ac:dyDescent="0.35">
      <c r="C4458" t="s">
        <v>51</v>
      </c>
      <c r="D4458" t="s">
        <v>92</v>
      </c>
      <c r="E4458" t="s">
        <v>49</v>
      </c>
      <c r="F4458" t="s">
        <v>46</v>
      </c>
      <c r="G4458" s="58">
        <v>968364</v>
      </c>
      <c r="H4458" s="1" t="s">
        <v>48</v>
      </c>
      <c r="I4458" s="1" t="s">
        <v>119</v>
      </c>
      <c r="J4458" s="58">
        <v>8715276</v>
      </c>
      <c r="K4458" s="1" t="s">
        <v>106</v>
      </c>
      <c r="L4458" s="1" t="s">
        <v>124</v>
      </c>
      <c r="M4458" s="1" t="s">
        <v>123</v>
      </c>
      <c r="N4458" s="1">
        <v>1</v>
      </c>
      <c r="O4458" s="58"/>
      <c r="P4458" s="58">
        <v>629436.6</v>
      </c>
      <c r="Q4458" t="s">
        <v>118</v>
      </c>
      <c r="R4458" s="1" t="s">
        <v>158</v>
      </c>
    </row>
    <row r="4459" spans="3:18" x14ac:dyDescent="0.35">
      <c r="C4459" t="s">
        <v>51</v>
      </c>
      <c r="D4459" t="s">
        <v>22</v>
      </c>
      <c r="E4459" t="s">
        <v>45</v>
      </c>
      <c r="F4459" t="s">
        <v>46</v>
      </c>
      <c r="G4459" s="58">
        <v>13881364</v>
      </c>
      <c r="H4459" s="1" t="s">
        <v>54</v>
      </c>
      <c r="I4459" s="1" t="s">
        <v>111</v>
      </c>
      <c r="J4459" s="58">
        <v>235983188</v>
      </c>
      <c r="K4459" s="1" t="s">
        <v>106</v>
      </c>
      <c r="L4459" s="1" t="s">
        <v>120</v>
      </c>
      <c r="N4459" s="1">
        <v>1</v>
      </c>
      <c r="O4459" s="58"/>
      <c r="P4459" s="58">
        <v>9300513.8800000008</v>
      </c>
      <c r="Q4459" t="s">
        <v>118</v>
      </c>
      <c r="R4459" s="1" t="s">
        <v>158</v>
      </c>
    </row>
    <row r="4460" spans="3:18" x14ac:dyDescent="0.35">
      <c r="C4460" t="s">
        <v>51</v>
      </c>
      <c r="D4460" t="s">
        <v>21</v>
      </c>
      <c r="E4460" t="s">
        <v>49</v>
      </c>
      <c r="F4460" t="s">
        <v>46</v>
      </c>
      <c r="G4460" s="58">
        <v>31626289</v>
      </c>
      <c r="H4460" s="1" t="s">
        <v>47</v>
      </c>
      <c r="I4460" s="1" t="s">
        <v>105</v>
      </c>
      <c r="J4460" s="58">
        <v>94878867</v>
      </c>
      <c r="K4460" s="1" t="s">
        <v>106</v>
      </c>
      <c r="L4460" s="1" t="s">
        <v>124</v>
      </c>
      <c r="N4460" s="1">
        <v>1</v>
      </c>
      <c r="O4460" s="58"/>
      <c r="P4460" s="58">
        <v>14864355.83</v>
      </c>
      <c r="Q4460" t="s">
        <v>113</v>
      </c>
      <c r="R4460" s="1" t="s">
        <v>158</v>
      </c>
    </row>
    <row r="4461" spans="3:18" x14ac:dyDescent="0.35">
      <c r="C4461" t="s">
        <v>53</v>
      </c>
      <c r="D4461" t="s">
        <v>25</v>
      </c>
      <c r="E4461" t="s">
        <v>52</v>
      </c>
      <c r="F4461" t="s">
        <v>46</v>
      </c>
      <c r="G4461" s="58">
        <v>20</v>
      </c>
      <c r="H4461" s="1" t="s">
        <v>59</v>
      </c>
      <c r="I4461" s="1" t="s">
        <v>105</v>
      </c>
      <c r="J4461" s="58"/>
      <c r="K4461" s="1" t="s">
        <v>106</v>
      </c>
      <c r="L4461" s="1" t="s">
        <v>130</v>
      </c>
      <c r="N4461" s="1">
        <v>0</v>
      </c>
      <c r="O4461" s="58"/>
      <c r="P4461" s="58">
        <v>0</v>
      </c>
      <c r="Q4461" t="s">
        <v>107</v>
      </c>
      <c r="R4461" s="1" t="s">
        <v>158</v>
      </c>
    </row>
    <row r="4462" spans="3:18" x14ac:dyDescent="0.35">
      <c r="C4462" t="s">
        <v>51</v>
      </c>
      <c r="D4462" t="s">
        <v>21</v>
      </c>
      <c r="E4462" t="s">
        <v>45</v>
      </c>
      <c r="F4462" t="s">
        <v>46</v>
      </c>
      <c r="G4462" s="58">
        <v>219840</v>
      </c>
      <c r="H4462" s="1" t="s">
        <v>59</v>
      </c>
      <c r="I4462" s="1" t="s">
        <v>108</v>
      </c>
      <c r="J4462" s="58">
        <v>7254720</v>
      </c>
      <c r="K4462" s="1" t="s">
        <v>106</v>
      </c>
      <c r="L4462" s="1" t="s">
        <v>120</v>
      </c>
      <c r="N4462" s="1">
        <v>1</v>
      </c>
      <c r="O4462" s="58"/>
      <c r="P4462" s="58">
        <v>239625.60000000001</v>
      </c>
      <c r="Q4462" t="s">
        <v>110</v>
      </c>
      <c r="R4462" s="1" t="s">
        <v>158</v>
      </c>
    </row>
    <row r="4463" spans="3:18" x14ac:dyDescent="0.35">
      <c r="C4463" t="s">
        <v>51</v>
      </c>
      <c r="D4463" t="s">
        <v>60</v>
      </c>
      <c r="E4463" t="s">
        <v>60</v>
      </c>
      <c r="F4463" t="s">
        <v>46</v>
      </c>
      <c r="G4463" s="58">
        <v>39745</v>
      </c>
      <c r="H4463" s="1" t="s">
        <v>90</v>
      </c>
      <c r="I4463" s="1" t="s">
        <v>128</v>
      </c>
      <c r="J4463" s="58"/>
      <c r="K4463" s="1" t="s">
        <v>106</v>
      </c>
      <c r="N4463" s="1">
        <v>0</v>
      </c>
      <c r="O4463" s="58"/>
      <c r="P4463" s="58">
        <v>42527.15</v>
      </c>
      <c r="Q4463" t="s">
        <v>110</v>
      </c>
      <c r="R4463" s="1" t="s">
        <v>90</v>
      </c>
    </row>
    <row r="4464" spans="3:18" x14ac:dyDescent="0.35">
      <c r="C4464" t="s">
        <v>51</v>
      </c>
      <c r="D4464" t="s">
        <v>21</v>
      </c>
      <c r="E4464" t="s">
        <v>49</v>
      </c>
      <c r="F4464" t="s">
        <v>46</v>
      </c>
      <c r="G4464" s="58">
        <v>2321155</v>
      </c>
      <c r="H4464" s="1" t="s">
        <v>54</v>
      </c>
      <c r="I4464" s="1" t="s">
        <v>111</v>
      </c>
      <c r="J4464" s="58">
        <v>39459635</v>
      </c>
      <c r="K4464" s="1" t="s">
        <v>106</v>
      </c>
      <c r="L4464" s="1" t="s">
        <v>124</v>
      </c>
      <c r="N4464" s="1">
        <v>1</v>
      </c>
      <c r="O4464" s="58"/>
      <c r="P4464" s="58">
        <v>1972981.75</v>
      </c>
      <c r="Q4464" t="s">
        <v>127</v>
      </c>
      <c r="R4464" s="1" t="s">
        <v>158</v>
      </c>
    </row>
    <row r="4465" spans="3:18" x14ac:dyDescent="0.35">
      <c r="C4465" t="s">
        <v>51</v>
      </c>
      <c r="D4465" t="s">
        <v>22</v>
      </c>
      <c r="E4465" t="s">
        <v>52</v>
      </c>
      <c r="F4465" t="s">
        <v>46</v>
      </c>
      <c r="G4465" s="58">
        <v>110937</v>
      </c>
      <c r="H4465" s="1" t="s">
        <v>48</v>
      </c>
      <c r="I4465" s="1" t="s">
        <v>108</v>
      </c>
      <c r="J4465" s="58">
        <v>2440614</v>
      </c>
      <c r="K4465" s="1" t="s">
        <v>106</v>
      </c>
      <c r="L4465" s="1" t="s">
        <v>124</v>
      </c>
      <c r="M4465" s="1" t="s">
        <v>126</v>
      </c>
      <c r="N4465" s="1">
        <v>1</v>
      </c>
      <c r="O4465" s="58"/>
      <c r="P4465" s="58">
        <v>63234.09</v>
      </c>
      <c r="Q4465" t="s">
        <v>113</v>
      </c>
      <c r="R4465" s="1" t="s">
        <v>48</v>
      </c>
    </row>
    <row r="4466" spans="3:18" x14ac:dyDescent="0.35">
      <c r="C4466" t="s">
        <v>51</v>
      </c>
      <c r="D4466" t="s">
        <v>23</v>
      </c>
      <c r="E4466" t="s">
        <v>55</v>
      </c>
      <c r="F4466" t="s">
        <v>46</v>
      </c>
      <c r="G4466" s="58">
        <v>301913</v>
      </c>
      <c r="H4466" s="1" t="s">
        <v>48</v>
      </c>
      <c r="I4466" s="1" t="s">
        <v>108</v>
      </c>
      <c r="J4466" s="58">
        <v>9963129</v>
      </c>
      <c r="K4466" s="1" t="s">
        <v>106</v>
      </c>
      <c r="L4466" s="1" t="s">
        <v>124</v>
      </c>
      <c r="M4466" s="1" t="s">
        <v>125</v>
      </c>
      <c r="N4466" s="1">
        <v>1</v>
      </c>
      <c r="O4466" s="58"/>
      <c r="P4466" s="58">
        <v>160013.89000000001</v>
      </c>
      <c r="Q4466" t="s">
        <v>113</v>
      </c>
      <c r="R4466" s="1" t="s">
        <v>48</v>
      </c>
    </row>
    <row r="4467" spans="3:18" x14ac:dyDescent="0.35">
      <c r="C4467" t="s">
        <v>51</v>
      </c>
      <c r="D4467" t="s">
        <v>22</v>
      </c>
      <c r="E4467" t="s">
        <v>55</v>
      </c>
      <c r="F4467" t="s">
        <v>64</v>
      </c>
      <c r="G4467" s="58">
        <v>165929</v>
      </c>
      <c r="H4467" s="1" t="s">
        <v>48</v>
      </c>
      <c r="I4467" s="1" t="s">
        <v>111</v>
      </c>
      <c r="J4467" s="58">
        <v>2986722</v>
      </c>
      <c r="K4467" s="1" t="s">
        <v>112</v>
      </c>
      <c r="N4467" s="1">
        <v>1</v>
      </c>
      <c r="O4467" s="58"/>
      <c r="P4467" s="58">
        <v>66371.600000000006</v>
      </c>
      <c r="Q4467" t="s">
        <v>107</v>
      </c>
      <c r="R4467" s="1" t="s">
        <v>48</v>
      </c>
    </row>
    <row r="4468" spans="3:18" x14ac:dyDescent="0.35">
      <c r="C4468" t="s">
        <v>53</v>
      </c>
      <c r="D4468" t="s">
        <v>20</v>
      </c>
      <c r="E4468" t="s">
        <v>55</v>
      </c>
      <c r="F4468" t="s">
        <v>46</v>
      </c>
      <c r="G4468" s="58">
        <v>55952</v>
      </c>
      <c r="H4468" s="1" t="s">
        <v>47</v>
      </c>
      <c r="I4468" s="1" t="s">
        <v>111</v>
      </c>
      <c r="J4468" s="58">
        <v>615472</v>
      </c>
      <c r="K4468" s="1" t="s">
        <v>106</v>
      </c>
      <c r="L4468" s="1" t="s">
        <v>114</v>
      </c>
      <c r="N4468" s="1">
        <v>1</v>
      </c>
      <c r="O4468" s="58"/>
      <c r="P4468" s="58">
        <v>39166.400000000001</v>
      </c>
      <c r="Q4468" t="s">
        <v>118</v>
      </c>
      <c r="R4468" s="1" t="s">
        <v>158</v>
      </c>
    </row>
    <row r="4469" spans="3:18" x14ac:dyDescent="0.35">
      <c r="C4469" t="s">
        <v>51</v>
      </c>
      <c r="D4469" t="s">
        <v>23</v>
      </c>
      <c r="E4469" t="s">
        <v>55</v>
      </c>
      <c r="F4469" t="s">
        <v>46</v>
      </c>
      <c r="G4469" s="58">
        <v>10372518</v>
      </c>
      <c r="H4469" s="1" t="s">
        <v>47</v>
      </c>
      <c r="I4469" s="1" t="s">
        <v>108</v>
      </c>
      <c r="J4469" s="58">
        <v>290430504</v>
      </c>
      <c r="K4469" s="1" t="s">
        <v>106</v>
      </c>
      <c r="L4469" s="1" t="s">
        <v>120</v>
      </c>
      <c r="N4469" s="1">
        <v>1</v>
      </c>
      <c r="O4469" s="58"/>
      <c r="P4469" s="58">
        <v>6949587.0599999996</v>
      </c>
      <c r="Q4469" t="s">
        <v>118</v>
      </c>
      <c r="R4469" s="1" t="s">
        <v>158</v>
      </c>
    </row>
    <row r="4470" spans="3:18" x14ac:dyDescent="0.35">
      <c r="C4470" t="s">
        <v>51</v>
      </c>
      <c r="D4470" t="s">
        <v>22</v>
      </c>
      <c r="E4470" t="s">
        <v>55</v>
      </c>
      <c r="F4470" t="s">
        <v>46</v>
      </c>
      <c r="G4470" s="58">
        <v>299231</v>
      </c>
      <c r="H4470" s="1" t="s">
        <v>48</v>
      </c>
      <c r="I4470" s="1" t="s">
        <v>108</v>
      </c>
      <c r="J4470" s="58">
        <v>11071547</v>
      </c>
      <c r="K4470" s="1" t="s">
        <v>106</v>
      </c>
      <c r="L4470" s="1" t="s">
        <v>120</v>
      </c>
      <c r="M4470" s="1" t="s">
        <v>122</v>
      </c>
      <c r="N4470" s="1">
        <v>1</v>
      </c>
      <c r="O4470" s="58"/>
      <c r="P4470" s="58">
        <v>248361.73</v>
      </c>
      <c r="Q4470" t="s">
        <v>127</v>
      </c>
      <c r="R4470" s="1" t="s">
        <v>48</v>
      </c>
    </row>
    <row r="4471" spans="3:18" x14ac:dyDescent="0.35">
      <c r="C4471" t="s">
        <v>51</v>
      </c>
      <c r="D4471" t="s">
        <v>19</v>
      </c>
      <c r="E4471" t="s">
        <v>49</v>
      </c>
      <c r="F4471" t="s">
        <v>46</v>
      </c>
      <c r="G4471" s="58">
        <v>1986682</v>
      </c>
      <c r="H4471" s="1" t="s">
        <v>48</v>
      </c>
      <c r="I4471" s="1" t="s">
        <v>119</v>
      </c>
      <c r="J4471" s="58">
        <v>17880138</v>
      </c>
      <c r="K4471" s="1" t="s">
        <v>106</v>
      </c>
      <c r="L4471" s="1" t="s">
        <v>124</v>
      </c>
      <c r="M4471" s="1" t="s">
        <v>122</v>
      </c>
      <c r="N4471" s="1">
        <v>1</v>
      </c>
      <c r="O4471" s="58"/>
      <c r="P4471" s="58">
        <v>1291343.3</v>
      </c>
      <c r="Q4471" t="s">
        <v>118</v>
      </c>
      <c r="R4471" s="1" t="s">
        <v>158</v>
      </c>
    </row>
    <row r="4472" spans="3:18" x14ac:dyDescent="0.35">
      <c r="C4472" t="s">
        <v>51</v>
      </c>
      <c r="D4472" t="s">
        <v>21</v>
      </c>
      <c r="E4472" t="s">
        <v>45</v>
      </c>
      <c r="F4472" t="s">
        <v>46</v>
      </c>
      <c r="G4472" s="58">
        <v>181741407</v>
      </c>
      <c r="H4472" s="1" t="s">
        <v>48</v>
      </c>
      <c r="I4472" s="1" t="s">
        <v>108</v>
      </c>
      <c r="J4472" s="58">
        <v>5815725024</v>
      </c>
      <c r="K4472" s="1" t="s">
        <v>106</v>
      </c>
      <c r="L4472" s="1" t="s">
        <v>120</v>
      </c>
      <c r="M4472" s="1" t="s">
        <v>126</v>
      </c>
      <c r="N4472" s="1">
        <v>1</v>
      </c>
      <c r="O4472" s="58"/>
      <c r="P4472" s="58">
        <v>129036398.97</v>
      </c>
      <c r="Q4472" t="s">
        <v>118</v>
      </c>
      <c r="R4472" s="1" t="s">
        <v>48</v>
      </c>
    </row>
    <row r="4473" spans="3:18" x14ac:dyDescent="0.35">
      <c r="C4473" t="s">
        <v>53</v>
      </c>
      <c r="D4473" t="s">
        <v>91</v>
      </c>
      <c r="E4473" t="s">
        <v>45</v>
      </c>
      <c r="F4473" t="s">
        <v>46</v>
      </c>
      <c r="G4473" s="58">
        <v>312602</v>
      </c>
      <c r="H4473" s="1" t="s">
        <v>54</v>
      </c>
      <c r="I4473" s="1" t="s">
        <v>111</v>
      </c>
      <c r="J4473" s="58">
        <v>3438622</v>
      </c>
      <c r="K4473" s="1" t="s">
        <v>106</v>
      </c>
      <c r="L4473" s="1" t="s">
        <v>120</v>
      </c>
      <c r="N4473" s="1">
        <v>1</v>
      </c>
      <c r="O4473" s="58"/>
      <c r="P4473" s="58">
        <v>162553.04</v>
      </c>
      <c r="Q4473" t="s">
        <v>113</v>
      </c>
      <c r="R4473" s="1" t="s">
        <v>158</v>
      </c>
    </row>
    <row r="4474" spans="3:18" x14ac:dyDescent="0.35">
      <c r="C4474" t="s">
        <v>51</v>
      </c>
      <c r="D4474" t="s">
        <v>25</v>
      </c>
      <c r="E4474" t="s">
        <v>45</v>
      </c>
      <c r="F4474" t="s">
        <v>46</v>
      </c>
      <c r="G4474" s="58">
        <v>2415684</v>
      </c>
      <c r="H4474" s="1" t="s">
        <v>47</v>
      </c>
      <c r="I4474" s="1" t="s">
        <v>108</v>
      </c>
      <c r="J4474" s="58">
        <v>77301888</v>
      </c>
      <c r="K4474" s="1" t="s">
        <v>106</v>
      </c>
      <c r="L4474" s="1" t="s">
        <v>124</v>
      </c>
      <c r="N4474" s="1">
        <v>1</v>
      </c>
      <c r="O4474" s="58"/>
      <c r="P4474" s="58">
        <v>1666821.96</v>
      </c>
      <c r="Q4474" t="s">
        <v>118</v>
      </c>
      <c r="R4474" s="1" t="s">
        <v>158</v>
      </c>
    </row>
    <row r="4475" spans="3:18" x14ac:dyDescent="0.35">
      <c r="C4475" t="s">
        <v>53</v>
      </c>
      <c r="D4475" t="s">
        <v>22</v>
      </c>
      <c r="E4475" t="s">
        <v>49</v>
      </c>
      <c r="F4475" t="s">
        <v>46</v>
      </c>
      <c r="G4475" s="58">
        <v>104483</v>
      </c>
      <c r="H4475" s="1" t="s">
        <v>54</v>
      </c>
      <c r="I4475" s="1" t="s">
        <v>119</v>
      </c>
      <c r="J4475" s="58">
        <v>626898</v>
      </c>
      <c r="K4475" s="1" t="s">
        <v>106</v>
      </c>
      <c r="L4475" s="1" t="s">
        <v>124</v>
      </c>
      <c r="N4475" s="1">
        <v>1</v>
      </c>
      <c r="O4475" s="58"/>
      <c r="P4475" s="58">
        <v>98214.02</v>
      </c>
      <c r="Q4475" t="s">
        <v>127</v>
      </c>
      <c r="R4475" s="1" t="s">
        <v>158</v>
      </c>
    </row>
    <row r="4476" spans="3:18" x14ac:dyDescent="0.35">
      <c r="C4476" t="s">
        <v>53</v>
      </c>
      <c r="D4476" t="s">
        <v>21</v>
      </c>
      <c r="E4476" t="s">
        <v>49</v>
      </c>
      <c r="F4476" t="s">
        <v>46</v>
      </c>
      <c r="G4476" s="58">
        <v>84770629</v>
      </c>
      <c r="H4476" s="1" t="s">
        <v>47</v>
      </c>
      <c r="I4476" s="1" t="s">
        <v>119</v>
      </c>
      <c r="J4476" s="58">
        <v>593394403</v>
      </c>
      <c r="K4476" s="1" t="s">
        <v>106</v>
      </c>
      <c r="L4476" s="1" t="s">
        <v>124</v>
      </c>
      <c r="N4476" s="1">
        <v>1</v>
      </c>
      <c r="O4476" s="58"/>
      <c r="P4476" s="58">
        <v>18649538.379999999</v>
      </c>
      <c r="Q4476" t="s">
        <v>107</v>
      </c>
      <c r="R4476" s="1" t="s">
        <v>158</v>
      </c>
    </row>
    <row r="4477" spans="3:18" x14ac:dyDescent="0.35">
      <c r="C4477" t="s">
        <v>51</v>
      </c>
      <c r="D4477" t="s">
        <v>23</v>
      </c>
      <c r="E4477" t="s">
        <v>45</v>
      </c>
      <c r="F4477" t="s">
        <v>46</v>
      </c>
      <c r="G4477" s="58">
        <v>2638751</v>
      </c>
      <c r="H4477" s="1" t="s">
        <v>48</v>
      </c>
      <c r="I4477" s="1" t="s">
        <v>111</v>
      </c>
      <c r="J4477" s="58">
        <v>42220016</v>
      </c>
      <c r="K4477" s="1" t="s">
        <v>106</v>
      </c>
      <c r="L4477" s="1" t="s">
        <v>120</v>
      </c>
      <c r="M4477" s="1" t="s">
        <v>125</v>
      </c>
      <c r="N4477" s="1">
        <v>1</v>
      </c>
      <c r="O4477" s="58"/>
      <c r="P4477" s="58">
        <v>1345763.01</v>
      </c>
      <c r="Q4477" t="s">
        <v>113</v>
      </c>
      <c r="R4477" s="1" t="s">
        <v>48</v>
      </c>
    </row>
    <row r="4478" spans="3:18" x14ac:dyDescent="0.35">
      <c r="C4478" t="s">
        <v>51</v>
      </c>
      <c r="D4478" t="s">
        <v>22</v>
      </c>
      <c r="E4478" t="s">
        <v>49</v>
      </c>
      <c r="F4478" t="s">
        <v>46</v>
      </c>
      <c r="G4478" s="58">
        <v>884160</v>
      </c>
      <c r="H4478" s="1" t="s">
        <v>58</v>
      </c>
      <c r="I4478" s="1" t="s">
        <v>108</v>
      </c>
      <c r="J4478" s="58">
        <v>22988160</v>
      </c>
      <c r="K4478" s="1" t="s">
        <v>106</v>
      </c>
      <c r="L4478" s="1" t="s">
        <v>124</v>
      </c>
      <c r="N4478" s="1">
        <v>1</v>
      </c>
      <c r="O4478" s="58"/>
      <c r="P4478" s="58">
        <v>468604.8</v>
      </c>
      <c r="Q4478" t="s">
        <v>113</v>
      </c>
      <c r="R4478" s="1" t="s">
        <v>158</v>
      </c>
    </row>
    <row r="4479" spans="3:18" x14ac:dyDescent="0.35">
      <c r="C4479" t="s">
        <v>51</v>
      </c>
      <c r="D4479" t="s">
        <v>24</v>
      </c>
      <c r="E4479" t="s">
        <v>52</v>
      </c>
      <c r="F4479" t="s">
        <v>46</v>
      </c>
      <c r="G4479" s="58">
        <v>84563</v>
      </c>
      <c r="H4479" s="1" t="s">
        <v>48</v>
      </c>
      <c r="I4479" s="1" t="s">
        <v>111</v>
      </c>
      <c r="J4479" s="58">
        <v>1606697</v>
      </c>
      <c r="K4479" s="1" t="s">
        <v>106</v>
      </c>
      <c r="L4479" s="1" t="s">
        <v>120</v>
      </c>
      <c r="M4479" s="1" t="s">
        <v>121</v>
      </c>
      <c r="N4479" s="1">
        <v>1</v>
      </c>
      <c r="O4479" s="58"/>
      <c r="P4479" s="58">
        <v>27905.79</v>
      </c>
      <c r="Q4479" t="s">
        <v>107</v>
      </c>
      <c r="R4479" s="1" t="s">
        <v>48</v>
      </c>
    </row>
    <row r="4480" spans="3:18" x14ac:dyDescent="0.35">
      <c r="C4480" t="s">
        <v>51</v>
      </c>
      <c r="D4480" t="s">
        <v>92</v>
      </c>
      <c r="E4480" t="s">
        <v>49</v>
      </c>
      <c r="F4480" t="s">
        <v>46</v>
      </c>
      <c r="G4480" s="58">
        <v>1306549</v>
      </c>
      <c r="H4480" s="1" t="s">
        <v>47</v>
      </c>
      <c r="I4480" s="1" t="s">
        <v>108</v>
      </c>
      <c r="J4480" s="58">
        <v>37889921</v>
      </c>
      <c r="K4480" s="1" t="s">
        <v>106</v>
      </c>
      <c r="L4480" s="1" t="s">
        <v>120</v>
      </c>
      <c r="N4480" s="1">
        <v>1</v>
      </c>
      <c r="O4480" s="58"/>
      <c r="P4480" s="58">
        <v>914584.3</v>
      </c>
      <c r="Q4480" t="s">
        <v>118</v>
      </c>
      <c r="R4480" s="1" t="s">
        <v>158</v>
      </c>
    </row>
    <row r="4481" spans="3:18" x14ac:dyDescent="0.35">
      <c r="C4481" t="s">
        <v>51</v>
      </c>
      <c r="D4481" t="s">
        <v>23</v>
      </c>
      <c r="E4481" t="s">
        <v>55</v>
      </c>
      <c r="F4481" t="s">
        <v>46</v>
      </c>
      <c r="G4481" s="58">
        <v>782923</v>
      </c>
      <c r="H4481" s="1" t="s">
        <v>54</v>
      </c>
      <c r="I4481" s="1" t="s">
        <v>108</v>
      </c>
      <c r="J4481" s="58">
        <v>21138921</v>
      </c>
      <c r="K4481" s="1" t="s">
        <v>106</v>
      </c>
      <c r="L4481" s="1" t="s">
        <v>120</v>
      </c>
      <c r="N4481" s="1">
        <v>1</v>
      </c>
      <c r="O4481" s="58"/>
      <c r="P4481" s="58">
        <v>540216.87</v>
      </c>
      <c r="Q4481" t="s">
        <v>118</v>
      </c>
      <c r="R4481" s="1" t="s">
        <v>158</v>
      </c>
    </row>
    <row r="4482" spans="3:18" x14ac:dyDescent="0.35">
      <c r="C4482" t="s">
        <v>51</v>
      </c>
      <c r="D4482" t="s">
        <v>20</v>
      </c>
      <c r="E4482" t="s">
        <v>49</v>
      </c>
      <c r="F4482" t="s">
        <v>46</v>
      </c>
      <c r="G4482" s="58">
        <v>36834270</v>
      </c>
      <c r="H4482" s="1" t="s">
        <v>56</v>
      </c>
      <c r="I4482" s="1" t="s">
        <v>108</v>
      </c>
      <c r="J4482" s="58">
        <v>994525290</v>
      </c>
      <c r="K4482" s="1" t="s">
        <v>106</v>
      </c>
      <c r="L4482" s="1" t="s">
        <v>124</v>
      </c>
      <c r="N4482" s="1">
        <v>1</v>
      </c>
      <c r="O4482" s="58"/>
      <c r="P4482" s="58">
        <v>18785477.699999999</v>
      </c>
      <c r="Q4482" t="s">
        <v>113</v>
      </c>
      <c r="R4482" s="1" t="s">
        <v>158</v>
      </c>
    </row>
    <row r="4483" spans="3:18" x14ac:dyDescent="0.35">
      <c r="C4483" t="s">
        <v>51</v>
      </c>
      <c r="D4483" t="s">
        <v>19</v>
      </c>
      <c r="E4483" t="s">
        <v>49</v>
      </c>
      <c r="F4483" t="s">
        <v>46</v>
      </c>
      <c r="G4483" s="58">
        <v>1602786</v>
      </c>
      <c r="H4483" s="1" t="s">
        <v>54</v>
      </c>
      <c r="I4483" s="1" t="s">
        <v>111</v>
      </c>
      <c r="J4483" s="58">
        <v>25644576</v>
      </c>
      <c r="K4483" s="1" t="s">
        <v>106</v>
      </c>
      <c r="L4483" s="1" t="s">
        <v>120</v>
      </c>
      <c r="N4483" s="1">
        <v>1</v>
      </c>
      <c r="O4483" s="58"/>
      <c r="P4483" s="58">
        <v>737281.56</v>
      </c>
      <c r="Q4483" t="s">
        <v>113</v>
      </c>
      <c r="R4483" s="1" t="s">
        <v>158</v>
      </c>
    </row>
    <row r="4484" spans="3:18" x14ac:dyDescent="0.35">
      <c r="C4484" t="s">
        <v>53</v>
      </c>
      <c r="D4484" t="s">
        <v>23</v>
      </c>
      <c r="E4484" t="s">
        <v>55</v>
      </c>
      <c r="F4484" t="s">
        <v>46</v>
      </c>
      <c r="G4484" s="58">
        <v>1658774</v>
      </c>
      <c r="H4484" s="1" t="s">
        <v>56</v>
      </c>
      <c r="I4484" s="1" t="s">
        <v>111</v>
      </c>
      <c r="J4484" s="58">
        <v>18246514</v>
      </c>
      <c r="K4484" s="1" t="s">
        <v>106</v>
      </c>
      <c r="L4484" s="1" t="s">
        <v>114</v>
      </c>
      <c r="N4484" s="1">
        <v>1</v>
      </c>
      <c r="O4484" s="58"/>
      <c r="P4484" s="58">
        <v>563983.16</v>
      </c>
      <c r="Q4484" t="s">
        <v>107</v>
      </c>
      <c r="R4484" s="1" t="s">
        <v>158</v>
      </c>
    </row>
    <row r="4485" spans="3:18" x14ac:dyDescent="0.35">
      <c r="C4485" t="s">
        <v>53</v>
      </c>
      <c r="D4485" t="s">
        <v>23</v>
      </c>
      <c r="E4485" t="s">
        <v>45</v>
      </c>
      <c r="F4485" t="s">
        <v>46</v>
      </c>
      <c r="G4485" s="58">
        <v>3292630</v>
      </c>
      <c r="H4485" s="1" t="s">
        <v>48</v>
      </c>
      <c r="I4485" s="1" t="s">
        <v>105</v>
      </c>
      <c r="J4485" s="58">
        <v>13170520</v>
      </c>
      <c r="K4485" s="1" t="s">
        <v>112</v>
      </c>
      <c r="N4485" s="1">
        <v>1</v>
      </c>
      <c r="O4485" s="58"/>
      <c r="P4485" s="58">
        <v>1448757.2</v>
      </c>
      <c r="Q4485" t="s">
        <v>113</v>
      </c>
      <c r="R4485" s="1" t="s">
        <v>158</v>
      </c>
    </row>
    <row r="4486" spans="3:18" x14ac:dyDescent="0.35">
      <c r="C4486" t="s">
        <v>51</v>
      </c>
      <c r="D4486" t="s">
        <v>24</v>
      </c>
      <c r="E4486" t="s">
        <v>55</v>
      </c>
      <c r="F4486" t="s">
        <v>46</v>
      </c>
      <c r="G4486" s="58">
        <v>28361038</v>
      </c>
      <c r="H4486" s="1" t="s">
        <v>48</v>
      </c>
      <c r="I4486" s="1" t="s">
        <v>111</v>
      </c>
      <c r="J4486" s="58">
        <v>453776608</v>
      </c>
      <c r="K4486" s="1" t="s">
        <v>106</v>
      </c>
      <c r="L4486" s="1" t="s">
        <v>114</v>
      </c>
      <c r="M4486" s="1" t="s">
        <v>121</v>
      </c>
      <c r="N4486" s="1">
        <v>1</v>
      </c>
      <c r="O4486" s="58"/>
      <c r="P4486" s="58">
        <v>14180519</v>
      </c>
      <c r="Q4486" t="s">
        <v>113</v>
      </c>
      <c r="R4486" s="1" t="s">
        <v>158</v>
      </c>
    </row>
    <row r="4487" spans="3:18" x14ac:dyDescent="0.35">
      <c r="C4487" t="s">
        <v>51</v>
      </c>
      <c r="D4487" t="s">
        <v>21</v>
      </c>
      <c r="E4487" t="s">
        <v>49</v>
      </c>
      <c r="F4487" t="s">
        <v>46</v>
      </c>
      <c r="G4487" s="58">
        <v>16556225</v>
      </c>
      <c r="H4487" s="1" t="s">
        <v>47</v>
      </c>
      <c r="I4487" s="1" t="s">
        <v>108</v>
      </c>
      <c r="J4487" s="58">
        <v>496686750</v>
      </c>
      <c r="K4487" s="1" t="s">
        <v>112</v>
      </c>
      <c r="N4487" s="1">
        <v>1</v>
      </c>
      <c r="O4487" s="58"/>
      <c r="P4487" s="58">
        <v>3807931.75</v>
      </c>
      <c r="Q4487" t="s">
        <v>107</v>
      </c>
      <c r="R4487" s="1" t="s">
        <v>158</v>
      </c>
    </row>
    <row r="4488" spans="3:18" x14ac:dyDescent="0.35">
      <c r="C4488" t="s">
        <v>51</v>
      </c>
      <c r="D4488" t="s">
        <v>23</v>
      </c>
      <c r="E4488" t="s">
        <v>50</v>
      </c>
      <c r="F4488" t="s">
        <v>46</v>
      </c>
      <c r="G4488" s="58">
        <v>221485</v>
      </c>
      <c r="H4488" s="1" t="s">
        <v>48</v>
      </c>
      <c r="I4488" s="1" t="s">
        <v>105</v>
      </c>
      <c r="J4488" s="58">
        <v>664455</v>
      </c>
      <c r="K4488" s="1" t="s">
        <v>106</v>
      </c>
      <c r="L4488" s="1" t="s">
        <v>109</v>
      </c>
      <c r="M4488" s="1" t="s">
        <v>125</v>
      </c>
      <c r="N4488" s="1">
        <v>1</v>
      </c>
      <c r="O4488" s="58"/>
      <c r="P4488" s="58">
        <v>146180.1</v>
      </c>
      <c r="Q4488" t="s">
        <v>118</v>
      </c>
      <c r="R4488" s="1" t="s">
        <v>48</v>
      </c>
    </row>
    <row r="4489" spans="3:18" x14ac:dyDescent="0.35">
      <c r="C4489" t="s">
        <v>51</v>
      </c>
      <c r="D4489" t="s">
        <v>20</v>
      </c>
      <c r="E4489" t="s">
        <v>49</v>
      </c>
      <c r="F4489" t="s">
        <v>46</v>
      </c>
      <c r="G4489" s="58">
        <v>566308</v>
      </c>
      <c r="H4489" s="1" t="s">
        <v>54</v>
      </c>
      <c r="I4489" s="1" t="s">
        <v>105</v>
      </c>
      <c r="J4489" s="58">
        <v>1698924</v>
      </c>
      <c r="K4489" s="1" t="s">
        <v>106</v>
      </c>
      <c r="L4489" s="1" t="s">
        <v>124</v>
      </c>
      <c r="N4489" s="1">
        <v>1</v>
      </c>
      <c r="O4489" s="58"/>
      <c r="P4489" s="58">
        <v>237849.36</v>
      </c>
      <c r="Q4489" t="s">
        <v>113</v>
      </c>
      <c r="R4489" s="1" t="s">
        <v>158</v>
      </c>
    </row>
    <row r="4490" spans="3:18" x14ac:dyDescent="0.35">
      <c r="C4490" t="s">
        <v>51</v>
      </c>
      <c r="D4490" t="s">
        <v>24</v>
      </c>
      <c r="E4490" t="s">
        <v>55</v>
      </c>
      <c r="F4490" t="s">
        <v>46</v>
      </c>
      <c r="G4490" s="58">
        <v>4296531</v>
      </c>
      <c r="H4490" s="1" t="s">
        <v>48</v>
      </c>
      <c r="I4490" s="1" t="s">
        <v>108</v>
      </c>
      <c r="J4490" s="58">
        <v>154675116</v>
      </c>
      <c r="K4490" s="1" t="s">
        <v>106</v>
      </c>
      <c r="L4490" s="1" t="s">
        <v>114</v>
      </c>
      <c r="M4490" s="1" t="s">
        <v>121</v>
      </c>
      <c r="N4490" s="1">
        <v>1</v>
      </c>
      <c r="O4490" s="58"/>
      <c r="P4490" s="58">
        <v>3566120.73</v>
      </c>
      <c r="Q4490" t="s">
        <v>127</v>
      </c>
      <c r="R4490" s="1" t="s">
        <v>48</v>
      </c>
    </row>
    <row r="4491" spans="3:18" x14ac:dyDescent="0.35">
      <c r="C4491" t="s">
        <v>51</v>
      </c>
      <c r="D4491" t="s">
        <v>25</v>
      </c>
      <c r="E4491" t="s">
        <v>55</v>
      </c>
      <c r="F4491" t="s">
        <v>46</v>
      </c>
      <c r="G4491" s="58">
        <v>73000</v>
      </c>
      <c r="H4491" s="1" t="s">
        <v>54</v>
      </c>
      <c r="I4491" s="1" t="s">
        <v>111</v>
      </c>
      <c r="J4491" s="58">
        <v>1314000</v>
      </c>
      <c r="K4491" s="1" t="s">
        <v>106</v>
      </c>
      <c r="L4491" s="1" t="s">
        <v>114</v>
      </c>
      <c r="N4491" s="1">
        <v>1</v>
      </c>
      <c r="O4491" s="58"/>
      <c r="P4491" s="58">
        <v>86140</v>
      </c>
      <c r="Q4491" t="s">
        <v>110</v>
      </c>
      <c r="R4491" s="1" t="s">
        <v>158</v>
      </c>
    </row>
    <row r="4492" spans="3:18" x14ac:dyDescent="0.35">
      <c r="C4492" t="s">
        <v>53</v>
      </c>
      <c r="D4492" t="s">
        <v>92</v>
      </c>
      <c r="E4492" t="s">
        <v>45</v>
      </c>
      <c r="F4492" t="s">
        <v>46</v>
      </c>
      <c r="G4492" s="58">
        <v>704531</v>
      </c>
      <c r="H4492" s="1" t="s">
        <v>56</v>
      </c>
      <c r="I4492" s="1" t="s">
        <v>119</v>
      </c>
      <c r="J4492" s="58">
        <v>6340779</v>
      </c>
      <c r="K4492" s="1" t="s">
        <v>106</v>
      </c>
      <c r="L4492" s="1" t="s">
        <v>120</v>
      </c>
      <c r="N4492" s="1">
        <v>1</v>
      </c>
      <c r="O4492" s="58"/>
      <c r="P4492" s="58">
        <v>457945.15</v>
      </c>
      <c r="Q4492" t="s">
        <v>118</v>
      </c>
      <c r="R4492" s="1" t="s">
        <v>158</v>
      </c>
    </row>
    <row r="4493" spans="3:18" x14ac:dyDescent="0.35">
      <c r="C4493" t="s">
        <v>51</v>
      </c>
      <c r="D4493" t="s">
        <v>24</v>
      </c>
      <c r="E4493" t="s">
        <v>55</v>
      </c>
      <c r="F4493" t="s">
        <v>46</v>
      </c>
      <c r="G4493" s="58">
        <v>16992</v>
      </c>
      <c r="H4493" s="1" t="s">
        <v>48</v>
      </c>
      <c r="I4493" s="1" t="s">
        <v>119</v>
      </c>
      <c r="J4493" s="58">
        <v>135936</v>
      </c>
      <c r="K4493" s="1" t="s">
        <v>106</v>
      </c>
      <c r="L4493" s="1" t="s">
        <v>109</v>
      </c>
      <c r="M4493" s="1" t="s">
        <v>121</v>
      </c>
      <c r="N4493" s="1">
        <v>1</v>
      </c>
      <c r="O4493" s="58"/>
      <c r="P4493" s="58">
        <v>2888.64</v>
      </c>
      <c r="Q4493" t="s">
        <v>107</v>
      </c>
      <c r="R4493" s="1" t="s">
        <v>158</v>
      </c>
    </row>
    <row r="4494" spans="3:18" x14ac:dyDescent="0.35">
      <c r="C4494" t="s">
        <v>51</v>
      </c>
      <c r="D4494" t="s">
        <v>60</v>
      </c>
      <c r="E4494" t="s">
        <v>60</v>
      </c>
      <c r="F4494" t="s">
        <v>46</v>
      </c>
      <c r="G4494" s="58">
        <v>4769763</v>
      </c>
      <c r="H4494" s="1" t="s">
        <v>90</v>
      </c>
      <c r="I4494" s="1" t="s">
        <v>119</v>
      </c>
      <c r="J4494" s="58">
        <v>33388341</v>
      </c>
      <c r="K4494" s="1" t="s">
        <v>106</v>
      </c>
      <c r="N4494" s="1">
        <v>1</v>
      </c>
      <c r="O4494" s="58"/>
      <c r="P4494" s="58">
        <v>6152994.2699999996</v>
      </c>
      <c r="Q4494" t="s">
        <v>110</v>
      </c>
      <c r="R4494" s="1" t="s">
        <v>90</v>
      </c>
    </row>
    <row r="4495" spans="3:18" x14ac:dyDescent="0.35">
      <c r="C4495" t="s">
        <v>53</v>
      </c>
      <c r="D4495" t="s">
        <v>23</v>
      </c>
      <c r="E4495" t="s">
        <v>49</v>
      </c>
      <c r="F4495" t="s">
        <v>46</v>
      </c>
      <c r="G4495" s="58">
        <v>1440128</v>
      </c>
      <c r="H4495" s="1" t="s">
        <v>54</v>
      </c>
      <c r="I4495" s="1" t="s">
        <v>111</v>
      </c>
      <c r="J4495" s="58">
        <v>14401280</v>
      </c>
      <c r="K4495" s="1" t="s">
        <v>106</v>
      </c>
      <c r="L4495" s="1" t="s">
        <v>124</v>
      </c>
      <c r="N4495" s="1">
        <v>1</v>
      </c>
      <c r="O4495" s="58"/>
      <c r="P4495" s="58">
        <v>0</v>
      </c>
      <c r="Q4495" t="s">
        <v>107</v>
      </c>
      <c r="R4495" s="1" t="s">
        <v>158</v>
      </c>
    </row>
    <row r="4496" spans="3:18" x14ac:dyDescent="0.35">
      <c r="C4496" t="s">
        <v>51</v>
      </c>
      <c r="D4496" t="s">
        <v>24</v>
      </c>
      <c r="E4496" t="s">
        <v>50</v>
      </c>
      <c r="F4496" t="s">
        <v>46</v>
      </c>
      <c r="G4496" s="58">
        <v>1532544</v>
      </c>
      <c r="H4496" s="1" t="s">
        <v>48</v>
      </c>
      <c r="I4496" s="1" t="s">
        <v>108</v>
      </c>
      <c r="J4496" s="58">
        <v>56704128</v>
      </c>
      <c r="K4496" s="1" t="s">
        <v>112</v>
      </c>
      <c r="N4496" s="1">
        <v>1</v>
      </c>
      <c r="O4496" s="58"/>
      <c r="P4496" s="58">
        <v>1287336.96</v>
      </c>
      <c r="Q4496" t="s">
        <v>127</v>
      </c>
      <c r="R4496" s="1" t="s">
        <v>158</v>
      </c>
    </row>
    <row r="4497" spans="3:18" x14ac:dyDescent="0.35">
      <c r="C4497" t="s">
        <v>51</v>
      </c>
      <c r="D4497" t="s">
        <v>22</v>
      </c>
      <c r="E4497" t="s">
        <v>62</v>
      </c>
      <c r="F4497" t="s">
        <v>46</v>
      </c>
      <c r="G4497" s="58">
        <v>264387</v>
      </c>
      <c r="H4497" s="1" t="s">
        <v>48</v>
      </c>
      <c r="I4497" s="1" t="s">
        <v>108</v>
      </c>
      <c r="J4497" s="58">
        <v>7138449</v>
      </c>
      <c r="K4497" s="1" t="s">
        <v>106</v>
      </c>
      <c r="L4497" s="1" t="s">
        <v>120</v>
      </c>
      <c r="M4497" s="1" t="s">
        <v>115</v>
      </c>
      <c r="N4497" s="1">
        <v>1</v>
      </c>
      <c r="O4497" s="58"/>
      <c r="P4497" s="58">
        <v>216797.34</v>
      </c>
      <c r="Q4497" t="s">
        <v>127</v>
      </c>
      <c r="R4497" s="1" t="s">
        <v>48</v>
      </c>
    </row>
    <row r="4498" spans="3:18" x14ac:dyDescent="0.35">
      <c r="C4498" t="s">
        <v>53</v>
      </c>
      <c r="D4498" t="s">
        <v>22</v>
      </c>
      <c r="E4498" t="s">
        <v>45</v>
      </c>
      <c r="F4498" t="s">
        <v>46</v>
      </c>
      <c r="G4498" s="58">
        <v>20793756</v>
      </c>
      <c r="H4498" s="1" t="s">
        <v>54</v>
      </c>
      <c r="I4498" s="1" t="s">
        <v>111</v>
      </c>
      <c r="J4498" s="58">
        <v>249525072</v>
      </c>
      <c r="K4498" s="1" t="s">
        <v>106</v>
      </c>
      <c r="L4498" s="1" t="s">
        <v>120</v>
      </c>
      <c r="N4498" s="1">
        <v>1</v>
      </c>
      <c r="O4498" s="58"/>
      <c r="P4498" s="58">
        <v>13723878.960000001</v>
      </c>
      <c r="Q4498" t="s">
        <v>118</v>
      </c>
      <c r="R4498" s="1" t="s">
        <v>158</v>
      </c>
    </row>
    <row r="4499" spans="3:18" x14ac:dyDescent="0.35">
      <c r="C4499" t="s">
        <v>51</v>
      </c>
      <c r="D4499" t="s">
        <v>23</v>
      </c>
      <c r="E4499" t="s">
        <v>45</v>
      </c>
      <c r="F4499" t="s">
        <v>46</v>
      </c>
      <c r="G4499" s="58">
        <v>68626</v>
      </c>
      <c r="H4499" s="1" t="s">
        <v>47</v>
      </c>
      <c r="I4499" s="1" t="s">
        <v>119</v>
      </c>
      <c r="J4499" s="58">
        <v>686260</v>
      </c>
      <c r="K4499" s="1" t="s">
        <v>112</v>
      </c>
      <c r="N4499" s="1">
        <v>1</v>
      </c>
      <c r="O4499" s="58"/>
      <c r="P4499" s="58">
        <v>36371.78</v>
      </c>
      <c r="Q4499" t="s">
        <v>113</v>
      </c>
      <c r="R4499" s="1" t="s">
        <v>158</v>
      </c>
    </row>
    <row r="4500" spans="3:18" x14ac:dyDescent="0.35">
      <c r="C4500" t="s">
        <v>51</v>
      </c>
      <c r="D4500" t="s">
        <v>23</v>
      </c>
      <c r="E4500" t="s">
        <v>55</v>
      </c>
      <c r="F4500" t="s">
        <v>46</v>
      </c>
      <c r="G4500" s="58">
        <v>6993397</v>
      </c>
      <c r="H4500" s="1" t="s">
        <v>56</v>
      </c>
      <c r="I4500" s="1" t="s">
        <v>111</v>
      </c>
      <c r="J4500" s="58">
        <v>111894352</v>
      </c>
      <c r="K4500" s="1" t="s">
        <v>106</v>
      </c>
      <c r="L4500" s="1" t="s">
        <v>114</v>
      </c>
      <c r="N4500" s="1">
        <v>1</v>
      </c>
      <c r="O4500" s="58"/>
      <c r="P4500" s="58">
        <v>3496698.5</v>
      </c>
      <c r="Q4500" t="s">
        <v>113</v>
      </c>
      <c r="R4500" s="1" t="s">
        <v>158</v>
      </c>
    </row>
    <row r="4501" spans="3:18" x14ac:dyDescent="0.35">
      <c r="C4501" t="s">
        <v>51</v>
      </c>
      <c r="D4501" t="s">
        <v>22</v>
      </c>
      <c r="E4501" t="s">
        <v>49</v>
      </c>
      <c r="F4501" t="s">
        <v>46</v>
      </c>
      <c r="G4501" s="58">
        <v>222604</v>
      </c>
      <c r="H4501" s="1" t="s">
        <v>48</v>
      </c>
      <c r="I4501" s="1" t="s">
        <v>111</v>
      </c>
      <c r="J4501" s="58">
        <v>3339060</v>
      </c>
      <c r="K4501" s="1" t="s">
        <v>106</v>
      </c>
      <c r="L4501" s="1" t="s">
        <v>120</v>
      </c>
      <c r="M4501" s="1" t="s">
        <v>115</v>
      </c>
      <c r="N4501" s="1">
        <v>1</v>
      </c>
      <c r="O4501" s="58"/>
      <c r="P4501" s="58">
        <v>102397.84</v>
      </c>
      <c r="Q4501" t="s">
        <v>113</v>
      </c>
      <c r="R4501" s="1" t="s">
        <v>48</v>
      </c>
    </row>
    <row r="4502" spans="3:18" x14ac:dyDescent="0.35">
      <c r="C4502" t="s">
        <v>51</v>
      </c>
      <c r="D4502" t="s">
        <v>23</v>
      </c>
      <c r="E4502" t="s">
        <v>45</v>
      </c>
      <c r="F4502" t="s">
        <v>46</v>
      </c>
      <c r="G4502" s="58">
        <v>950232</v>
      </c>
      <c r="H4502" s="1" t="s">
        <v>56</v>
      </c>
      <c r="I4502" s="1" t="s">
        <v>111</v>
      </c>
      <c r="J4502" s="58">
        <v>16153944</v>
      </c>
      <c r="K4502" s="1" t="s">
        <v>112</v>
      </c>
      <c r="N4502" s="1">
        <v>1</v>
      </c>
      <c r="O4502" s="58"/>
      <c r="P4502" s="58">
        <v>465613.68</v>
      </c>
      <c r="Q4502" t="s">
        <v>113</v>
      </c>
      <c r="R4502" s="1" t="s">
        <v>158</v>
      </c>
    </row>
    <row r="4503" spans="3:18" x14ac:dyDescent="0.35">
      <c r="C4503" t="s">
        <v>51</v>
      </c>
      <c r="D4503" t="s">
        <v>25</v>
      </c>
      <c r="E4503" t="s">
        <v>55</v>
      </c>
      <c r="F4503" t="s">
        <v>46</v>
      </c>
      <c r="G4503" s="58">
        <v>5513306</v>
      </c>
      <c r="H4503" s="1" t="s">
        <v>47</v>
      </c>
      <c r="I4503" s="1" t="s">
        <v>108</v>
      </c>
      <c r="J4503" s="58">
        <v>137832650</v>
      </c>
      <c r="K4503" s="1" t="s">
        <v>106</v>
      </c>
      <c r="L4503" s="1" t="s">
        <v>114</v>
      </c>
      <c r="N4503" s="1">
        <v>1</v>
      </c>
      <c r="O4503" s="58"/>
      <c r="P4503" s="58">
        <v>2811786.06</v>
      </c>
      <c r="Q4503" t="s">
        <v>113</v>
      </c>
      <c r="R4503" s="1" t="s">
        <v>158</v>
      </c>
    </row>
    <row r="4504" spans="3:18" x14ac:dyDescent="0.35">
      <c r="C4504" t="s">
        <v>51</v>
      </c>
      <c r="D4504" t="s">
        <v>24</v>
      </c>
      <c r="E4504" t="s">
        <v>50</v>
      </c>
      <c r="F4504" t="s">
        <v>64</v>
      </c>
      <c r="G4504" s="58">
        <v>40093</v>
      </c>
      <c r="H4504" s="1" t="s">
        <v>59</v>
      </c>
      <c r="I4504" s="1" t="s">
        <v>108</v>
      </c>
      <c r="J4504" s="58">
        <v>1563627</v>
      </c>
      <c r="K4504" s="1" t="s">
        <v>112</v>
      </c>
      <c r="N4504" s="1">
        <v>1</v>
      </c>
      <c r="O4504" s="58"/>
      <c r="P4504" s="58">
        <v>2004.65</v>
      </c>
      <c r="Q4504" t="s">
        <v>107</v>
      </c>
      <c r="R4504" s="1" t="s">
        <v>158</v>
      </c>
    </row>
    <row r="4505" spans="3:18" x14ac:dyDescent="0.35">
      <c r="C4505" t="s">
        <v>51</v>
      </c>
      <c r="D4505" t="s">
        <v>23</v>
      </c>
      <c r="E4505" t="s">
        <v>55</v>
      </c>
      <c r="F4505" t="s">
        <v>64</v>
      </c>
      <c r="G4505" s="58">
        <v>196938</v>
      </c>
      <c r="H4505" s="1" t="s">
        <v>47</v>
      </c>
      <c r="I4505" s="1" t="s">
        <v>108</v>
      </c>
      <c r="J4505" s="58">
        <v>6695892</v>
      </c>
      <c r="K4505" s="1" t="s">
        <v>106</v>
      </c>
      <c r="L4505" s="1" t="s">
        <v>114</v>
      </c>
      <c r="N4505" s="1">
        <v>1</v>
      </c>
      <c r="O4505" s="58"/>
      <c r="P4505" s="58">
        <v>98469</v>
      </c>
      <c r="Q4505" t="s">
        <v>113</v>
      </c>
      <c r="R4505" s="1" t="s">
        <v>158</v>
      </c>
    </row>
    <row r="4506" spans="3:18" x14ac:dyDescent="0.35">
      <c r="C4506" t="s">
        <v>51</v>
      </c>
      <c r="D4506" t="s">
        <v>19</v>
      </c>
      <c r="E4506" t="s">
        <v>49</v>
      </c>
      <c r="F4506" t="s">
        <v>46</v>
      </c>
      <c r="G4506" s="58">
        <v>16747644</v>
      </c>
      <c r="H4506" s="1" t="s">
        <v>47</v>
      </c>
      <c r="I4506" s="1" t="s">
        <v>105</v>
      </c>
      <c r="J4506" s="58">
        <v>33495288</v>
      </c>
      <c r="K4506" s="1" t="s">
        <v>106</v>
      </c>
      <c r="L4506" s="1" t="s">
        <v>124</v>
      </c>
      <c r="N4506" s="1">
        <v>1</v>
      </c>
      <c r="O4506" s="58"/>
      <c r="P4506" s="58">
        <v>8038869.1200000001</v>
      </c>
      <c r="Q4506" t="s">
        <v>113</v>
      </c>
      <c r="R4506" s="1" t="s">
        <v>158</v>
      </c>
    </row>
    <row r="4507" spans="3:18" x14ac:dyDescent="0.35">
      <c r="C4507" t="s">
        <v>51</v>
      </c>
      <c r="D4507" t="s">
        <v>23</v>
      </c>
      <c r="E4507" t="s">
        <v>55</v>
      </c>
      <c r="F4507" t="s">
        <v>64</v>
      </c>
      <c r="G4507" s="58">
        <v>141900</v>
      </c>
      <c r="H4507" s="1" t="s">
        <v>47</v>
      </c>
      <c r="I4507" s="1" t="s">
        <v>119</v>
      </c>
      <c r="J4507" s="58">
        <v>993300</v>
      </c>
      <c r="K4507" s="1" t="s">
        <v>106</v>
      </c>
      <c r="L4507" s="1" t="s">
        <v>114</v>
      </c>
      <c r="N4507" s="1">
        <v>1</v>
      </c>
      <c r="O4507" s="58"/>
      <c r="P4507" s="58">
        <v>25542</v>
      </c>
      <c r="Q4507" t="s">
        <v>107</v>
      </c>
      <c r="R4507" s="1" t="s">
        <v>158</v>
      </c>
    </row>
    <row r="4508" spans="3:18" x14ac:dyDescent="0.35">
      <c r="C4508" t="s">
        <v>51</v>
      </c>
      <c r="D4508" t="s">
        <v>23</v>
      </c>
      <c r="E4508" t="s">
        <v>62</v>
      </c>
      <c r="F4508" t="s">
        <v>46</v>
      </c>
      <c r="G4508" s="58">
        <v>546078</v>
      </c>
      <c r="H4508" s="1" t="s">
        <v>48</v>
      </c>
      <c r="I4508" s="1" t="s">
        <v>111</v>
      </c>
      <c r="J4508" s="58">
        <v>8191170</v>
      </c>
      <c r="K4508" s="1" t="s">
        <v>106</v>
      </c>
      <c r="L4508" s="1" t="s">
        <v>131</v>
      </c>
      <c r="M4508" s="1" t="s">
        <v>125</v>
      </c>
      <c r="N4508" s="1">
        <v>1</v>
      </c>
      <c r="O4508" s="58"/>
      <c r="P4508" s="58">
        <v>486009.42</v>
      </c>
      <c r="Q4508" t="s">
        <v>127</v>
      </c>
      <c r="R4508" s="1" t="s">
        <v>48</v>
      </c>
    </row>
    <row r="4509" spans="3:18" x14ac:dyDescent="0.35">
      <c r="C4509" t="s">
        <v>51</v>
      </c>
      <c r="D4509" t="s">
        <v>23</v>
      </c>
      <c r="E4509" t="s">
        <v>49</v>
      </c>
      <c r="F4509" t="s">
        <v>46</v>
      </c>
      <c r="G4509" s="58">
        <v>49102875</v>
      </c>
      <c r="H4509" s="1" t="s">
        <v>48</v>
      </c>
      <c r="I4509" s="1" t="s">
        <v>108</v>
      </c>
      <c r="J4509" s="58">
        <v>1473086250</v>
      </c>
      <c r="K4509" s="1" t="s">
        <v>106</v>
      </c>
      <c r="L4509" s="1" t="s">
        <v>124</v>
      </c>
      <c r="M4509" s="1" t="s">
        <v>125</v>
      </c>
      <c r="N4509" s="1">
        <v>1</v>
      </c>
      <c r="O4509" s="58"/>
      <c r="P4509" s="58">
        <v>25533495</v>
      </c>
      <c r="Q4509" t="s">
        <v>113</v>
      </c>
      <c r="R4509" s="1" t="s">
        <v>158</v>
      </c>
    </row>
    <row r="4510" spans="3:18" x14ac:dyDescent="0.35">
      <c r="C4510" t="s">
        <v>51</v>
      </c>
      <c r="D4510" t="s">
        <v>21</v>
      </c>
      <c r="E4510" t="s">
        <v>49</v>
      </c>
      <c r="F4510" t="s">
        <v>46</v>
      </c>
      <c r="G4510" s="58">
        <v>124972</v>
      </c>
      <c r="H4510" s="1" t="s">
        <v>48</v>
      </c>
      <c r="I4510" s="1" t="s">
        <v>108</v>
      </c>
      <c r="J4510" s="58">
        <v>3499216</v>
      </c>
      <c r="K4510" s="1" t="s">
        <v>106</v>
      </c>
      <c r="L4510" s="1" t="s">
        <v>114</v>
      </c>
      <c r="M4510" s="1" t="s">
        <v>121</v>
      </c>
      <c r="N4510" s="1">
        <v>1</v>
      </c>
      <c r="O4510" s="58"/>
      <c r="P4510" s="58">
        <v>69984.320000000007</v>
      </c>
      <c r="Q4510" t="s">
        <v>113</v>
      </c>
      <c r="R4510" s="1" t="s">
        <v>48</v>
      </c>
    </row>
    <row r="4511" spans="3:18" x14ac:dyDescent="0.35">
      <c r="C4511" t="s">
        <v>51</v>
      </c>
      <c r="D4511" t="s">
        <v>22</v>
      </c>
      <c r="E4511" t="s">
        <v>50</v>
      </c>
      <c r="F4511" t="s">
        <v>46</v>
      </c>
      <c r="G4511" s="58">
        <v>21507</v>
      </c>
      <c r="H4511" s="1" t="s">
        <v>48</v>
      </c>
      <c r="I4511" s="1" t="s">
        <v>105</v>
      </c>
      <c r="J4511" s="58">
        <v>64521</v>
      </c>
      <c r="K4511" s="1" t="s">
        <v>106</v>
      </c>
      <c r="L4511" s="1" t="s">
        <v>120</v>
      </c>
      <c r="M4511" s="1" t="s">
        <v>115</v>
      </c>
      <c r="N4511" s="1">
        <v>1</v>
      </c>
      <c r="O4511" s="58"/>
      <c r="P4511" s="58">
        <v>4516.47</v>
      </c>
      <c r="Q4511" t="s">
        <v>107</v>
      </c>
      <c r="R4511" s="1" t="s">
        <v>48</v>
      </c>
    </row>
    <row r="4512" spans="3:18" x14ac:dyDescent="0.35">
      <c r="C4512" t="s">
        <v>51</v>
      </c>
      <c r="D4512" t="s">
        <v>23</v>
      </c>
      <c r="E4512" t="s">
        <v>45</v>
      </c>
      <c r="F4512" t="s">
        <v>46</v>
      </c>
      <c r="G4512" s="58">
        <v>151983</v>
      </c>
      <c r="H4512" s="1" t="s">
        <v>47</v>
      </c>
      <c r="I4512" s="1" t="s">
        <v>108</v>
      </c>
      <c r="J4512" s="58">
        <v>3343626</v>
      </c>
      <c r="K4512" s="1" t="s">
        <v>106</v>
      </c>
      <c r="L4512" s="1" t="s">
        <v>116</v>
      </c>
      <c r="N4512" s="1">
        <v>1</v>
      </c>
      <c r="O4512" s="58"/>
      <c r="P4512" s="58">
        <v>107907.93</v>
      </c>
      <c r="Q4512" t="s">
        <v>118</v>
      </c>
      <c r="R4512" s="1" t="s">
        <v>158</v>
      </c>
    </row>
    <row r="4513" spans="3:18" x14ac:dyDescent="0.35">
      <c r="C4513" t="s">
        <v>51</v>
      </c>
      <c r="D4513" t="s">
        <v>60</v>
      </c>
      <c r="E4513" t="s">
        <v>60</v>
      </c>
      <c r="F4513" t="s">
        <v>46</v>
      </c>
      <c r="G4513" s="58">
        <v>177436</v>
      </c>
      <c r="H4513" s="1" t="s">
        <v>90</v>
      </c>
      <c r="I4513" s="1" t="s">
        <v>108</v>
      </c>
      <c r="J4513" s="58">
        <v>6742568</v>
      </c>
      <c r="K4513" s="1" t="s">
        <v>112</v>
      </c>
      <c r="N4513" s="1">
        <v>1</v>
      </c>
      <c r="O4513" s="58"/>
      <c r="P4513" s="58">
        <v>177436</v>
      </c>
      <c r="Q4513" t="s">
        <v>110</v>
      </c>
      <c r="R4513" s="1" t="s">
        <v>90</v>
      </c>
    </row>
    <row r="4514" spans="3:18" x14ac:dyDescent="0.35">
      <c r="C4514" t="s">
        <v>51</v>
      </c>
      <c r="D4514" t="s">
        <v>24</v>
      </c>
      <c r="E4514" t="s">
        <v>52</v>
      </c>
      <c r="F4514" t="s">
        <v>46</v>
      </c>
      <c r="G4514" s="58">
        <v>2450933</v>
      </c>
      <c r="H4514" s="1" t="s">
        <v>48</v>
      </c>
      <c r="I4514" s="1" t="s">
        <v>108</v>
      </c>
      <c r="J4514" s="58">
        <v>68626124</v>
      </c>
      <c r="K4514" s="1" t="s">
        <v>106</v>
      </c>
      <c r="L4514" s="1" t="s">
        <v>130</v>
      </c>
      <c r="M4514" s="1" t="s">
        <v>121</v>
      </c>
      <c r="N4514" s="1">
        <v>1</v>
      </c>
      <c r="O4514" s="58"/>
      <c r="P4514" s="58">
        <v>661751.91</v>
      </c>
      <c r="Q4514" t="s">
        <v>107</v>
      </c>
      <c r="R4514" s="1" t="s">
        <v>48</v>
      </c>
    </row>
    <row r="4515" spans="3:18" x14ac:dyDescent="0.35">
      <c r="C4515" t="s">
        <v>51</v>
      </c>
      <c r="D4515" t="s">
        <v>19</v>
      </c>
      <c r="E4515" t="s">
        <v>49</v>
      </c>
      <c r="F4515" t="s">
        <v>46</v>
      </c>
      <c r="G4515" s="58">
        <v>35872</v>
      </c>
      <c r="H4515" s="1" t="s">
        <v>47</v>
      </c>
      <c r="I4515" s="1" t="s">
        <v>119</v>
      </c>
      <c r="J4515" s="58">
        <v>251104</v>
      </c>
      <c r="K4515" s="1" t="s">
        <v>106</v>
      </c>
      <c r="L4515" s="1" t="s">
        <v>116</v>
      </c>
      <c r="N4515" s="1">
        <v>1</v>
      </c>
      <c r="O4515" s="58"/>
      <c r="P4515" s="58">
        <v>2152.3200000000002</v>
      </c>
      <c r="Q4515" t="s">
        <v>107</v>
      </c>
      <c r="R4515" s="1" t="s">
        <v>158</v>
      </c>
    </row>
    <row r="4516" spans="3:18" x14ac:dyDescent="0.35">
      <c r="C4516" t="s">
        <v>51</v>
      </c>
      <c r="D4516" t="s">
        <v>24</v>
      </c>
      <c r="E4516" t="s">
        <v>55</v>
      </c>
      <c r="F4516" t="s">
        <v>64</v>
      </c>
      <c r="G4516" s="58">
        <v>173543</v>
      </c>
      <c r="H4516" s="1" t="s">
        <v>59</v>
      </c>
      <c r="I4516" s="1" t="s">
        <v>108</v>
      </c>
      <c r="J4516" s="58">
        <v>6421091</v>
      </c>
      <c r="K4516" s="1" t="s">
        <v>112</v>
      </c>
      <c r="N4516" s="1">
        <v>1</v>
      </c>
      <c r="O4516" s="58"/>
      <c r="P4516" s="58">
        <v>112802.95</v>
      </c>
      <c r="Q4516" t="s">
        <v>118</v>
      </c>
      <c r="R4516" s="1" t="s">
        <v>158</v>
      </c>
    </row>
    <row r="4517" spans="3:18" x14ac:dyDescent="0.35">
      <c r="C4517" t="s">
        <v>51</v>
      </c>
      <c r="D4517" t="s">
        <v>21</v>
      </c>
      <c r="E4517" t="s">
        <v>45</v>
      </c>
      <c r="F4517" t="s">
        <v>64</v>
      </c>
      <c r="G4517" s="58">
        <v>28264</v>
      </c>
      <c r="H4517" s="1" t="s">
        <v>48</v>
      </c>
      <c r="I4517" s="1" t="s">
        <v>108</v>
      </c>
      <c r="J4517" s="58">
        <v>819656</v>
      </c>
      <c r="K4517" s="1" t="s">
        <v>106</v>
      </c>
      <c r="L4517" s="1" t="s">
        <v>120</v>
      </c>
      <c r="M4517" s="1" t="s">
        <v>126</v>
      </c>
      <c r="N4517" s="1">
        <v>1</v>
      </c>
      <c r="O4517" s="58"/>
      <c r="P4517" s="58">
        <v>8761.84</v>
      </c>
      <c r="Q4517" t="s">
        <v>107</v>
      </c>
      <c r="R4517" s="1" t="s">
        <v>48</v>
      </c>
    </row>
    <row r="4518" spans="3:18" x14ac:dyDescent="0.35">
      <c r="C4518" t="s">
        <v>51</v>
      </c>
      <c r="D4518" t="s">
        <v>23</v>
      </c>
      <c r="E4518" t="s">
        <v>50</v>
      </c>
      <c r="F4518" t="s">
        <v>46</v>
      </c>
      <c r="G4518" s="58">
        <v>21487489</v>
      </c>
      <c r="H4518" s="1" t="s">
        <v>48</v>
      </c>
      <c r="I4518" s="1" t="s">
        <v>108</v>
      </c>
      <c r="J4518" s="58">
        <v>623137181</v>
      </c>
      <c r="K4518" s="1" t="s">
        <v>106</v>
      </c>
      <c r="L4518" s="1" t="s">
        <v>109</v>
      </c>
      <c r="M4518" s="1" t="s">
        <v>125</v>
      </c>
      <c r="N4518" s="1">
        <v>1</v>
      </c>
      <c r="O4518" s="58"/>
      <c r="P4518" s="58">
        <v>11173494.279999999</v>
      </c>
      <c r="Q4518" t="s">
        <v>113</v>
      </c>
      <c r="R4518" s="1" t="s">
        <v>48</v>
      </c>
    </row>
    <row r="4519" spans="3:18" x14ac:dyDescent="0.35">
      <c r="C4519" t="s">
        <v>51</v>
      </c>
      <c r="D4519" t="s">
        <v>24</v>
      </c>
      <c r="E4519" t="s">
        <v>62</v>
      </c>
      <c r="F4519" t="s">
        <v>46</v>
      </c>
      <c r="G4519" s="58">
        <v>39305988</v>
      </c>
      <c r="H4519" s="1" t="s">
        <v>48</v>
      </c>
      <c r="I4519" s="1" t="s">
        <v>108</v>
      </c>
      <c r="J4519" s="58">
        <v>1257791616</v>
      </c>
      <c r="K4519" s="1" t="s">
        <v>106</v>
      </c>
      <c r="L4519" s="1" t="s">
        <v>131</v>
      </c>
      <c r="M4519" s="1" t="s">
        <v>121</v>
      </c>
      <c r="N4519" s="1">
        <v>1</v>
      </c>
      <c r="O4519" s="58"/>
      <c r="P4519" s="58">
        <v>27907251.48</v>
      </c>
      <c r="Q4519" t="s">
        <v>118</v>
      </c>
      <c r="R4519" s="1" t="s">
        <v>48</v>
      </c>
    </row>
    <row r="4520" spans="3:18" x14ac:dyDescent="0.35">
      <c r="C4520" t="s">
        <v>53</v>
      </c>
      <c r="D4520" t="s">
        <v>22</v>
      </c>
      <c r="E4520" t="s">
        <v>55</v>
      </c>
      <c r="F4520" t="s">
        <v>46</v>
      </c>
      <c r="G4520" s="58">
        <v>110203</v>
      </c>
      <c r="H4520" s="1" t="s">
        <v>54</v>
      </c>
      <c r="I4520" s="1" t="s">
        <v>128</v>
      </c>
      <c r="J4520" s="58"/>
      <c r="K4520" s="1" t="s">
        <v>106</v>
      </c>
      <c r="L4520" s="1" t="s">
        <v>114</v>
      </c>
      <c r="N4520" s="1">
        <v>0</v>
      </c>
      <c r="O4520" s="58"/>
      <c r="P4520" s="58">
        <v>73836.009999999995</v>
      </c>
      <c r="Q4520" t="s">
        <v>118</v>
      </c>
      <c r="R4520" s="1" t="s">
        <v>158</v>
      </c>
    </row>
    <row r="4521" spans="3:18" x14ac:dyDescent="0.35">
      <c r="C4521" t="s">
        <v>51</v>
      </c>
      <c r="D4521" t="s">
        <v>21</v>
      </c>
      <c r="E4521" t="s">
        <v>45</v>
      </c>
      <c r="F4521" t="s">
        <v>46</v>
      </c>
      <c r="G4521" s="58">
        <v>257964960</v>
      </c>
      <c r="H4521" s="1" t="s">
        <v>48</v>
      </c>
      <c r="I4521" s="1" t="s">
        <v>108</v>
      </c>
      <c r="J4521" s="58">
        <v>9544703520</v>
      </c>
      <c r="K4521" s="1" t="s">
        <v>112</v>
      </c>
      <c r="N4521" s="1">
        <v>1</v>
      </c>
      <c r="O4521" s="58"/>
      <c r="P4521" s="58">
        <v>232168464</v>
      </c>
      <c r="Q4521" t="s">
        <v>127</v>
      </c>
      <c r="R4521" s="1" t="s">
        <v>48</v>
      </c>
    </row>
    <row r="4522" spans="3:18" x14ac:dyDescent="0.35">
      <c r="C4522" t="s">
        <v>51</v>
      </c>
      <c r="D4522" t="s">
        <v>21</v>
      </c>
      <c r="E4522" t="s">
        <v>49</v>
      </c>
      <c r="F4522" t="s">
        <v>46</v>
      </c>
      <c r="G4522" s="58">
        <v>148255559</v>
      </c>
      <c r="H4522" s="1" t="s">
        <v>48</v>
      </c>
      <c r="I4522" s="1" t="s">
        <v>108</v>
      </c>
      <c r="J4522" s="58">
        <v>4595922329</v>
      </c>
      <c r="K4522" s="1" t="s">
        <v>106</v>
      </c>
      <c r="L4522" s="1" t="s">
        <v>124</v>
      </c>
      <c r="M4522" s="1" t="s">
        <v>126</v>
      </c>
      <c r="N4522" s="1">
        <v>1</v>
      </c>
      <c r="O4522" s="58"/>
      <c r="P4522" s="58">
        <v>105261446.89</v>
      </c>
      <c r="Q4522" t="s">
        <v>118</v>
      </c>
      <c r="R4522" s="1" t="s">
        <v>48</v>
      </c>
    </row>
    <row r="4523" spans="3:18" x14ac:dyDescent="0.35">
      <c r="C4523" t="s">
        <v>51</v>
      </c>
      <c r="D4523" t="s">
        <v>22</v>
      </c>
      <c r="E4523" t="s">
        <v>49</v>
      </c>
      <c r="F4523" t="s">
        <v>46</v>
      </c>
      <c r="G4523" s="58">
        <v>200707</v>
      </c>
      <c r="H4523" s="1" t="s">
        <v>48</v>
      </c>
      <c r="I4523" s="1" t="s">
        <v>119</v>
      </c>
      <c r="J4523" s="58">
        <v>2007070</v>
      </c>
      <c r="K4523" s="1" t="s">
        <v>112</v>
      </c>
      <c r="N4523" s="1">
        <v>1</v>
      </c>
      <c r="O4523" s="58"/>
      <c r="P4523" s="58">
        <v>150530.25</v>
      </c>
      <c r="Q4523" t="s">
        <v>118</v>
      </c>
      <c r="R4523" s="1" t="s">
        <v>158</v>
      </c>
    </row>
    <row r="4524" spans="3:18" x14ac:dyDescent="0.35">
      <c r="C4524" t="s">
        <v>51</v>
      </c>
      <c r="D4524" t="s">
        <v>23</v>
      </c>
      <c r="E4524" t="s">
        <v>52</v>
      </c>
      <c r="F4524" t="s">
        <v>46</v>
      </c>
      <c r="G4524" s="58">
        <v>138913</v>
      </c>
      <c r="H4524" s="1" t="s">
        <v>48</v>
      </c>
      <c r="I4524" s="1" t="s">
        <v>108</v>
      </c>
      <c r="J4524" s="58">
        <v>3194999</v>
      </c>
      <c r="K4524" s="1" t="s">
        <v>106</v>
      </c>
      <c r="L4524" s="1" t="s">
        <v>124</v>
      </c>
      <c r="M4524" s="1" t="s">
        <v>126</v>
      </c>
      <c r="N4524" s="1">
        <v>1</v>
      </c>
      <c r="O4524" s="58"/>
      <c r="P4524" s="58">
        <v>87515.19</v>
      </c>
      <c r="Q4524" t="s">
        <v>118</v>
      </c>
      <c r="R4524" s="1" t="s">
        <v>48</v>
      </c>
    </row>
    <row r="4525" spans="3:18" x14ac:dyDescent="0.35">
      <c r="C4525" t="s">
        <v>51</v>
      </c>
      <c r="D4525" t="s">
        <v>20</v>
      </c>
      <c r="E4525" t="s">
        <v>45</v>
      </c>
      <c r="F4525" t="s">
        <v>46</v>
      </c>
      <c r="G4525" s="58">
        <v>185592</v>
      </c>
      <c r="H4525" s="1" t="s">
        <v>48</v>
      </c>
      <c r="I4525" s="1" t="s">
        <v>119</v>
      </c>
      <c r="J4525" s="58">
        <v>1299144</v>
      </c>
      <c r="K4525" s="1" t="s">
        <v>106</v>
      </c>
      <c r="L4525" s="1" t="s">
        <v>120</v>
      </c>
      <c r="M4525" s="1" t="s">
        <v>123</v>
      </c>
      <c r="N4525" s="1">
        <v>1</v>
      </c>
      <c r="O4525" s="58"/>
      <c r="P4525" s="58">
        <v>90940.08</v>
      </c>
      <c r="Q4525" t="s">
        <v>113</v>
      </c>
      <c r="R4525" s="1" t="s">
        <v>48</v>
      </c>
    </row>
    <row r="4526" spans="3:18" x14ac:dyDescent="0.35">
      <c r="C4526" t="s">
        <v>53</v>
      </c>
      <c r="D4526" t="s">
        <v>21</v>
      </c>
      <c r="E4526" t="s">
        <v>49</v>
      </c>
      <c r="F4526" t="s">
        <v>46</v>
      </c>
      <c r="G4526" s="58">
        <v>241126</v>
      </c>
      <c r="H4526" s="1" t="s">
        <v>48</v>
      </c>
      <c r="I4526" s="1" t="s">
        <v>105</v>
      </c>
      <c r="J4526" s="58">
        <v>482252</v>
      </c>
      <c r="K4526" s="1" t="s">
        <v>106</v>
      </c>
      <c r="L4526" s="1" t="s">
        <v>124</v>
      </c>
      <c r="M4526" s="1" t="s">
        <v>126</v>
      </c>
      <c r="N4526" s="1">
        <v>1</v>
      </c>
      <c r="O4526" s="58"/>
      <c r="P4526" s="58">
        <v>38580.160000000003</v>
      </c>
      <c r="Q4526" t="s">
        <v>107</v>
      </c>
      <c r="R4526" s="1" t="s">
        <v>158</v>
      </c>
    </row>
    <row r="4527" spans="3:18" x14ac:dyDescent="0.35">
      <c r="C4527" t="s">
        <v>53</v>
      </c>
      <c r="D4527" t="s">
        <v>24</v>
      </c>
      <c r="E4527" t="s">
        <v>55</v>
      </c>
      <c r="F4527" t="s">
        <v>46</v>
      </c>
      <c r="G4527" s="58">
        <v>5922776</v>
      </c>
      <c r="H4527" s="1" t="s">
        <v>54</v>
      </c>
      <c r="I4527" s="1" t="s">
        <v>111</v>
      </c>
      <c r="J4527" s="58">
        <v>76996088</v>
      </c>
      <c r="K4527" s="1" t="s">
        <v>106</v>
      </c>
      <c r="L4527" s="1" t="s">
        <v>114</v>
      </c>
      <c r="N4527" s="1">
        <v>1</v>
      </c>
      <c r="O4527" s="58"/>
      <c r="P4527" s="58">
        <v>3139071.28</v>
      </c>
      <c r="Q4527" t="s">
        <v>113</v>
      </c>
      <c r="R4527" s="1" t="s">
        <v>158</v>
      </c>
    </row>
    <row r="4528" spans="3:18" x14ac:dyDescent="0.35">
      <c r="C4528" t="s">
        <v>53</v>
      </c>
      <c r="D4528" t="s">
        <v>23</v>
      </c>
      <c r="E4528" t="s">
        <v>45</v>
      </c>
      <c r="F4528" t="s">
        <v>46</v>
      </c>
      <c r="G4528" s="58">
        <v>633</v>
      </c>
      <c r="H4528" s="1" t="s">
        <v>47</v>
      </c>
      <c r="I4528" s="1" t="s">
        <v>128</v>
      </c>
      <c r="J4528" s="58"/>
      <c r="K4528" s="1" t="s">
        <v>106</v>
      </c>
      <c r="L4528" s="1" t="s">
        <v>116</v>
      </c>
      <c r="N4528" s="1">
        <v>0</v>
      </c>
      <c r="O4528" s="58"/>
      <c r="P4528" s="58">
        <v>0</v>
      </c>
      <c r="Q4528" t="s">
        <v>107</v>
      </c>
      <c r="R4528" s="1" t="s">
        <v>158</v>
      </c>
    </row>
    <row r="4529" spans="3:18" x14ac:dyDescent="0.35">
      <c r="C4529" t="s">
        <v>51</v>
      </c>
      <c r="D4529" t="s">
        <v>19</v>
      </c>
      <c r="E4529" t="s">
        <v>49</v>
      </c>
      <c r="F4529" t="s">
        <v>46</v>
      </c>
      <c r="G4529" s="58">
        <v>1342721</v>
      </c>
      <c r="H4529" s="1" t="s">
        <v>59</v>
      </c>
      <c r="I4529" s="1" t="s">
        <v>108</v>
      </c>
      <c r="J4529" s="58">
        <v>49680677</v>
      </c>
      <c r="K4529" s="1" t="s">
        <v>112</v>
      </c>
      <c r="N4529" s="1">
        <v>1</v>
      </c>
      <c r="O4529" s="58"/>
      <c r="P4529" s="58">
        <v>1127885.6399999999</v>
      </c>
      <c r="Q4529" t="s">
        <v>127</v>
      </c>
      <c r="R4529" s="1" t="s">
        <v>158</v>
      </c>
    </row>
    <row r="4530" spans="3:18" x14ac:dyDescent="0.35">
      <c r="C4530" t="s">
        <v>51</v>
      </c>
      <c r="D4530" t="s">
        <v>20</v>
      </c>
      <c r="E4530" t="s">
        <v>45</v>
      </c>
      <c r="F4530" t="s">
        <v>46</v>
      </c>
      <c r="G4530" s="58">
        <v>3722466</v>
      </c>
      <c r="H4530" s="1" t="s">
        <v>48</v>
      </c>
      <c r="I4530" s="1" t="s">
        <v>119</v>
      </c>
      <c r="J4530" s="58">
        <v>29779728</v>
      </c>
      <c r="K4530" s="1" t="s">
        <v>106</v>
      </c>
      <c r="L4530" s="1" t="s">
        <v>120</v>
      </c>
      <c r="M4530" s="1" t="s">
        <v>123</v>
      </c>
      <c r="N4530" s="1">
        <v>1</v>
      </c>
      <c r="O4530" s="58"/>
      <c r="P4530" s="58">
        <v>1079515.1399999999</v>
      </c>
      <c r="Q4530" t="s">
        <v>107</v>
      </c>
      <c r="R4530" s="1" t="s">
        <v>158</v>
      </c>
    </row>
    <row r="4531" spans="3:18" x14ac:dyDescent="0.35">
      <c r="C4531" t="s">
        <v>51</v>
      </c>
      <c r="D4531" t="s">
        <v>21</v>
      </c>
      <c r="E4531" t="s">
        <v>49</v>
      </c>
      <c r="F4531" t="s">
        <v>46</v>
      </c>
      <c r="G4531" s="58">
        <v>455162</v>
      </c>
      <c r="H4531" s="1" t="s">
        <v>48</v>
      </c>
      <c r="I4531" s="1" t="s">
        <v>108</v>
      </c>
      <c r="J4531" s="58">
        <v>12289374</v>
      </c>
      <c r="K4531" s="1" t="s">
        <v>106</v>
      </c>
      <c r="L4531" s="1" t="s">
        <v>124</v>
      </c>
      <c r="M4531" s="1" t="s">
        <v>122</v>
      </c>
      <c r="N4531" s="1">
        <v>1</v>
      </c>
      <c r="O4531" s="58"/>
      <c r="P4531" s="58">
        <v>213926.14</v>
      </c>
      <c r="Q4531" t="s">
        <v>113</v>
      </c>
      <c r="R4531" s="1" t="s">
        <v>48</v>
      </c>
    </row>
    <row r="4532" spans="3:18" x14ac:dyDescent="0.35">
      <c r="C4532" t="s">
        <v>51</v>
      </c>
      <c r="D4532" t="s">
        <v>24</v>
      </c>
      <c r="E4532" t="s">
        <v>50</v>
      </c>
      <c r="F4532" t="s">
        <v>46</v>
      </c>
      <c r="G4532" s="58">
        <v>20547817</v>
      </c>
      <c r="H4532" s="1" t="s">
        <v>48</v>
      </c>
      <c r="I4532" s="1" t="s">
        <v>108</v>
      </c>
      <c r="J4532" s="58">
        <v>636982327</v>
      </c>
      <c r="K4532" s="1" t="s">
        <v>106</v>
      </c>
      <c r="L4532" s="1" t="s">
        <v>109</v>
      </c>
      <c r="M4532" s="1" t="s">
        <v>121</v>
      </c>
      <c r="N4532" s="1">
        <v>1</v>
      </c>
      <c r="O4532" s="58"/>
      <c r="P4532" s="58">
        <v>14383471.9</v>
      </c>
      <c r="Q4532" t="s">
        <v>118</v>
      </c>
      <c r="R4532" s="1" t="s">
        <v>48</v>
      </c>
    </row>
    <row r="4533" spans="3:18" x14ac:dyDescent="0.35">
      <c r="C4533" t="s">
        <v>51</v>
      </c>
      <c r="D4533" t="s">
        <v>21</v>
      </c>
      <c r="E4533" t="s">
        <v>49</v>
      </c>
      <c r="F4533" t="s">
        <v>46</v>
      </c>
      <c r="G4533" s="58">
        <v>801718</v>
      </c>
      <c r="H4533" s="1" t="s">
        <v>48</v>
      </c>
      <c r="I4533" s="1" t="s">
        <v>108</v>
      </c>
      <c r="J4533" s="58">
        <v>24051540</v>
      </c>
      <c r="K4533" s="1" t="s">
        <v>106</v>
      </c>
      <c r="L4533" s="1" t="s">
        <v>120</v>
      </c>
      <c r="M4533" s="1" t="s">
        <v>125</v>
      </c>
      <c r="N4533" s="1">
        <v>1</v>
      </c>
      <c r="O4533" s="58"/>
      <c r="P4533" s="58">
        <v>432927.72</v>
      </c>
      <c r="Q4533" t="s">
        <v>113</v>
      </c>
      <c r="R4533" s="1" t="s">
        <v>158</v>
      </c>
    </row>
    <row r="4534" spans="3:18" x14ac:dyDescent="0.35">
      <c r="C4534" t="s">
        <v>51</v>
      </c>
      <c r="D4534" t="s">
        <v>23</v>
      </c>
      <c r="E4534" t="s">
        <v>55</v>
      </c>
      <c r="F4534" t="s">
        <v>46</v>
      </c>
      <c r="G4534" s="58">
        <v>5093152</v>
      </c>
      <c r="H4534" s="1" t="s">
        <v>47</v>
      </c>
      <c r="I4534" s="1" t="s">
        <v>111</v>
      </c>
      <c r="J4534" s="58">
        <v>76397280</v>
      </c>
      <c r="K4534" s="1" t="s">
        <v>106</v>
      </c>
      <c r="L4534" s="1" t="s">
        <v>120</v>
      </c>
      <c r="N4534" s="1">
        <v>1</v>
      </c>
      <c r="O4534" s="58"/>
      <c r="P4534" s="58">
        <v>2495644.48</v>
      </c>
      <c r="Q4534" t="s">
        <v>113</v>
      </c>
      <c r="R4534" s="1" t="s">
        <v>158</v>
      </c>
    </row>
    <row r="4535" spans="3:18" x14ac:dyDescent="0.35">
      <c r="C4535" t="s">
        <v>51</v>
      </c>
      <c r="D4535" t="s">
        <v>24</v>
      </c>
      <c r="E4535" t="s">
        <v>45</v>
      </c>
      <c r="F4535" t="s">
        <v>46</v>
      </c>
      <c r="G4535" s="58">
        <v>162789</v>
      </c>
      <c r="H4535" s="1" t="s">
        <v>59</v>
      </c>
      <c r="I4535" s="1" t="s">
        <v>119</v>
      </c>
      <c r="J4535" s="58">
        <v>1139523</v>
      </c>
      <c r="K4535" s="1" t="s">
        <v>106</v>
      </c>
      <c r="L4535" s="1" t="s">
        <v>120</v>
      </c>
      <c r="N4535" s="1">
        <v>1</v>
      </c>
      <c r="O4535" s="58"/>
      <c r="P4535" s="58">
        <v>83022.39</v>
      </c>
      <c r="Q4535" t="s">
        <v>113</v>
      </c>
      <c r="R4535" s="1" t="s">
        <v>158</v>
      </c>
    </row>
    <row r="4536" spans="3:18" x14ac:dyDescent="0.35">
      <c r="C4536" t="s">
        <v>51</v>
      </c>
      <c r="D4536" t="s">
        <v>25</v>
      </c>
      <c r="E4536" t="s">
        <v>55</v>
      </c>
      <c r="F4536" t="s">
        <v>46</v>
      </c>
      <c r="G4536" s="58">
        <v>385183</v>
      </c>
      <c r="H4536" s="1" t="s">
        <v>59</v>
      </c>
      <c r="I4536" s="1" t="s">
        <v>108</v>
      </c>
      <c r="J4536" s="58">
        <v>12325856</v>
      </c>
      <c r="K4536" s="1" t="s">
        <v>112</v>
      </c>
      <c r="N4536" s="1">
        <v>1</v>
      </c>
      <c r="O4536" s="58"/>
      <c r="P4536" s="58">
        <v>223406.14</v>
      </c>
      <c r="Q4536" t="s">
        <v>113</v>
      </c>
      <c r="R4536" s="1" t="s">
        <v>158</v>
      </c>
    </row>
    <row r="4537" spans="3:18" x14ac:dyDescent="0.35">
      <c r="C4537" t="s">
        <v>53</v>
      </c>
      <c r="D4537" t="s">
        <v>22</v>
      </c>
      <c r="E4537" t="s">
        <v>49</v>
      </c>
      <c r="F4537" t="s">
        <v>46</v>
      </c>
      <c r="G4537" s="58">
        <v>431986</v>
      </c>
      <c r="H4537" s="1" t="s">
        <v>47</v>
      </c>
      <c r="I4537" s="1" t="s">
        <v>105</v>
      </c>
      <c r="J4537" s="58">
        <v>1295958</v>
      </c>
      <c r="K4537" s="1" t="s">
        <v>106</v>
      </c>
      <c r="L4537" s="1" t="s">
        <v>124</v>
      </c>
      <c r="N4537" s="1">
        <v>1</v>
      </c>
      <c r="O4537" s="58"/>
      <c r="P4537" s="58">
        <v>194393.7</v>
      </c>
      <c r="Q4537" t="s">
        <v>113</v>
      </c>
      <c r="R4537" s="1" t="s">
        <v>158</v>
      </c>
    </row>
    <row r="4538" spans="3:18" x14ac:dyDescent="0.35">
      <c r="C4538" t="s">
        <v>53</v>
      </c>
      <c r="D4538" t="s">
        <v>21</v>
      </c>
      <c r="E4538" t="s">
        <v>45</v>
      </c>
      <c r="F4538" t="s">
        <v>46</v>
      </c>
      <c r="G4538" s="58">
        <v>506000</v>
      </c>
      <c r="H4538" s="1" t="s">
        <v>56</v>
      </c>
      <c r="I4538" s="1" t="s">
        <v>119</v>
      </c>
      <c r="J4538" s="58">
        <v>4048000</v>
      </c>
      <c r="K4538" s="1" t="s">
        <v>106</v>
      </c>
      <c r="L4538" s="1" t="s">
        <v>120</v>
      </c>
      <c r="N4538" s="1">
        <v>1</v>
      </c>
      <c r="O4538" s="58"/>
      <c r="P4538" s="58">
        <v>581900</v>
      </c>
      <c r="Q4538" t="s">
        <v>110</v>
      </c>
      <c r="R4538" s="1" t="s">
        <v>158</v>
      </c>
    </row>
    <row r="4539" spans="3:18" x14ac:dyDescent="0.35">
      <c r="C4539" t="s">
        <v>53</v>
      </c>
      <c r="D4539" t="s">
        <v>21</v>
      </c>
      <c r="E4539" t="s">
        <v>45</v>
      </c>
      <c r="F4539" t="s">
        <v>46</v>
      </c>
      <c r="G4539" s="58">
        <v>10339680</v>
      </c>
      <c r="H4539" s="1" t="s">
        <v>56</v>
      </c>
      <c r="I4539" s="1" t="s">
        <v>119</v>
      </c>
      <c r="J4539" s="58">
        <v>82717440</v>
      </c>
      <c r="K4539" s="1" t="s">
        <v>106</v>
      </c>
      <c r="L4539" s="1" t="s">
        <v>120</v>
      </c>
      <c r="N4539" s="1">
        <v>1</v>
      </c>
      <c r="O4539" s="58"/>
      <c r="P4539" s="58">
        <v>5169840</v>
      </c>
      <c r="Q4539" t="s">
        <v>113</v>
      </c>
      <c r="R4539" s="1" t="s">
        <v>158</v>
      </c>
    </row>
    <row r="4540" spans="3:18" x14ac:dyDescent="0.35">
      <c r="C4540" t="s">
        <v>53</v>
      </c>
      <c r="D4540" t="s">
        <v>19</v>
      </c>
      <c r="E4540" t="s">
        <v>45</v>
      </c>
      <c r="F4540" t="s">
        <v>46</v>
      </c>
      <c r="G4540" s="58">
        <v>172436</v>
      </c>
      <c r="H4540" s="1" t="s">
        <v>47</v>
      </c>
      <c r="I4540" s="1" t="s">
        <v>119</v>
      </c>
      <c r="J4540" s="58">
        <v>1207052</v>
      </c>
      <c r="K4540" s="1" t="s">
        <v>106</v>
      </c>
      <c r="L4540" s="1" t="s">
        <v>120</v>
      </c>
      <c r="N4540" s="1">
        <v>1</v>
      </c>
      <c r="O4540" s="58"/>
      <c r="P4540" s="58">
        <v>86218</v>
      </c>
      <c r="Q4540" t="s">
        <v>113</v>
      </c>
      <c r="R4540" s="1" t="s">
        <v>158</v>
      </c>
    </row>
    <row r="4541" spans="3:18" x14ac:dyDescent="0.35">
      <c r="C4541" t="s">
        <v>51</v>
      </c>
      <c r="D4541" t="s">
        <v>22</v>
      </c>
      <c r="E4541" t="s">
        <v>45</v>
      </c>
      <c r="F4541" t="s">
        <v>64</v>
      </c>
      <c r="G4541" s="58">
        <v>326841</v>
      </c>
      <c r="H4541" s="1" t="s">
        <v>48</v>
      </c>
      <c r="I4541" s="1" t="s">
        <v>111</v>
      </c>
      <c r="J4541" s="58">
        <v>5883138</v>
      </c>
      <c r="K4541" s="1" t="s">
        <v>112</v>
      </c>
      <c r="N4541" s="1">
        <v>1</v>
      </c>
      <c r="O4541" s="58"/>
      <c r="P4541" s="58">
        <v>274546.44</v>
      </c>
      <c r="Q4541" t="s">
        <v>127</v>
      </c>
      <c r="R4541" s="1" t="s">
        <v>48</v>
      </c>
    </row>
    <row r="4542" spans="3:18" x14ac:dyDescent="0.35">
      <c r="C4542" t="s">
        <v>51</v>
      </c>
      <c r="D4542" t="s">
        <v>24</v>
      </c>
      <c r="E4542" t="s">
        <v>50</v>
      </c>
      <c r="F4542" t="s">
        <v>46</v>
      </c>
      <c r="G4542" s="58">
        <v>989273</v>
      </c>
      <c r="H4542" s="1" t="s">
        <v>48</v>
      </c>
      <c r="I4542" s="1" t="s">
        <v>111</v>
      </c>
      <c r="J4542" s="58">
        <v>14839095</v>
      </c>
      <c r="K4542" s="1" t="s">
        <v>106</v>
      </c>
      <c r="L4542" s="1" t="s">
        <v>109</v>
      </c>
      <c r="M4542" s="1" t="s">
        <v>121</v>
      </c>
      <c r="N4542" s="1">
        <v>1</v>
      </c>
      <c r="O4542" s="58"/>
      <c r="P4542" s="58">
        <v>257210.98</v>
      </c>
      <c r="Q4542" t="s">
        <v>107</v>
      </c>
      <c r="R4542" s="1" t="s">
        <v>158</v>
      </c>
    </row>
    <row r="4543" spans="3:18" x14ac:dyDescent="0.35">
      <c r="C4543" t="s">
        <v>51</v>
      </c>
      <c r="D4543" t="s">
        <v>20</v>
      </c>
      <c r="E4543" t="s">
        <v>49</v>
      </c>
      <c r="F4543" t="s">
        <v>46</v>
      </c>
      <c r="G4543" s="58">
        <v>219784</v>
      </c>
      <c r="H4543" s="1" t="s">
        <v>48</v>
      </c>
      <c r="I4543" s="1" t="s">
        <v>111</v>
      </c>
      <c r="J4543" s="58">
        <v>3956112</v>
      </c>
      <c r="K4543" s="1" t="s">
        <v>106</v>
      </c>
      <c r="L4543" s="1" t="s">
        <v>124</v>
      </c>
      <c r="M4543" s="1" t="s">
        <v>123</v>
      </c>
      <c r="N4543" s="1">
        <v>1</v>
      </c>
      <c r="O4543" s="58"/>
      <c r="P4543" s="58">
        <v>241762.4</v>
      </c>
      <c r="Q4543" t="s">
        <v>110</v>
      </c>
      <c r="R4543" s="1" t="s">
        <v>48</v>
      </c>
    </row>
    <row r="4544" spans="3:18" x14ac:dyDescent="0.35">
      <c r="C4544" t="s">
        <v>53</v>
      </c>
      <c r="D4544" t="s">
        <v>92</v>
      </c>
      <c r="E4544" t="s">
        <v>49</v>
      </c>
      <c r="F4544" t="s">
        <v>46</v>
      </c>
      <c r="G4544" s="58">
        <v>6999815</v>
      </c>
      <c r="H4544" s="1" t="s">
        <v>48</v>
      </c>
      <c r="I4544" s="1" t="s">
        <v>105</v>
      </c>
      <c r="J4544" s="58">
        <v>20999445</v>
      </c>
      <c r="K4544" s="1" t="s">
        <v>106</v>
      </c>
      <c r="L4544" s="1" t="s">
        <v>124</v>
      </c>
      <c r="M4544" s="1" t="s">
        <v>123</v>
      </c>
      <c r="N4544" s="1">
        <v>1</v>
      </c>
      <c r="O4544" s="58"/>
      <c r="P4544" s="58">
        <v>909975.95</v>
      </c>
      <c r="Q4544" t="s">
        <v>107</v>
      </c>
      <c r="R4544" s="1" t="s">
        <v>158</v>
      </c>
    </row>
    <row r="4545" spans="3:18" x14ac:dyDescent="0.35">
      <c r="C4545" t="s">
        <v>51</v>
      </c>
      <c r="D4545" t="s">
        <v>19</v>
      </c>
      <c r="E4545" t="s">
        <v>49</v>
      </c>
      <c r="F4545" t="s">
        <v>46</v>
      </c>
      <c r="G4545" s="58">
        <v>188002</v>
      </c>
      <c r="H4545" s="1" t="s">
        <v>48</v>
      </c>
      <c r="I4545" s="1" t="s">
        <v>108</v>
      </c>
      <c r="J4545" s="58">
        <v>3760040</v>
      </c>
      <c r="K4545" s="1" t="s">
        <v>106</v>
      </c>
      <c r="L4545" s="1" t="s">
        <v>114</v>
      </c>
      <c r="M4545" s="1" t="s">
        <v>121</v>
      </c>
      <c r="N4545" s="1">
        <v>1</v>
      </c>
      <c r="O4545" s="58"/>
      <c r="P4545" s="58">
        <v>99641.06</v>
      </c>
      <c r="Q4545" t="s">
        <v>113</v>
      </c>
      <c r="R4545" s="1" t="s">
        <v>48</v>
      </c>
    </row>
    <row r="4546" spans="3:18" x14ac:dyDescent="0.35">
      <c r="C4546" t="s">
        <v>51</v>
      </c>
      <c r="D4546" t="s">
        <v>24</v>
      </c>
      <c r="E4546" t="s">
        <v>45</v>
      </c>
      <c r="F4546" t="s">
        <v>46</v>
      </c>
      <c r="G4546" s="58">
        <v>2423707</v>
      </c>
      <c r="H4546" s="1" t="s">
        <v>56</v>
      </c>
      <c r="I4546" s="1" t="s">
        <v>111</v>
      </c>
      <c r="J4546" s="58">
        <v>38779312</v>
      </c>
      <c r="K4546" s="1" t="s">
        <v>106</v>
      </c>
      <c r="L4546" s="1" t="s">
        <v>120</v>
      </c>
      <c r="N4546" s="1">
        <v>1</v>
      </c>
      <c r="O4546" s="58"/>
      <c r="P4546" s="58">
        <v>1187616.43</v>
      </c>
      <c r="Q4546" t="s">
        <v>113</v>
      </c>
      <c r="R4546" s="1" t="s">
        <v>158</v>
      </c>
    </row>
    <row r="4547" spans="3:18" x14ac:dyDescent="0.35">
      <c r="C4547" t="s">
        <v>51</v>
      </c>
      <c r="D4547" t="s">
        <v>22</v>
      </c>
      <c r="E4547" t="s">
        <v>45</v>
      </c>
      <c r="F4547" t="s">
        <v>46</v>
      </c>
      <c r="G4547" s="58">
        <v>1643431</v>
      </c>
      <c r="H4547" s="1" t="s">
        <v>59</v>
      </c>
      <c r="I4547" s="1" t="s">
        <v>105</v>
      </c>
      <c r="J4547" s="58">
        <v>6573724</v>
      </c>
      <c r="K4547" s="1" t="s">
        <v>106</v>
      </c>
      <c r="L4547" s="1" t="s">
        <v>120</v>
      </c>
      <c r="N4547" s="1">
        <v>1</v>
      </c>
      <c r="O4547" s="58"/>
      <c r="P4547" s="58">
        <v>739543.95</v>
      </c>
      <c r="Q4547" t="s">
        <v>113</v>
      </c>
      <c r="R4547" s="1" t="s">
        <v>158</v>
      </c>
    </row>
    <row r="4548" spans="3:18" x14ac:dyDescent="0.35">
      <c r="C4548" t="s">
        <v>51</v>
      </c>
      <c r="D4548" t="s">
        <v>22</v>
      </c>
      <c r="E4548" t="s">
        <v>45</v>
      </c>
      <c r="F4548" t="s">
        <v>46</v>
      </c>
      <c r="G4548" s="58">
        <v>541713</v>
      </c>
      <c r="H4548" s="1" t="s">
        <v>59</v>
      </c>
      <c r="I4548" s="1" t="s">
        <v>111</v>
      </c>
      <c r="J4548" s="58">
        <v>10834260</v>
      </c>
      <c r="K4548" s="1" t="s">
        <v>106</v>
      </c>
      <c r="L4548" s="1" t="s">
        <v>124</v>
      </c>
      <c r="N4548" s="1">
        <v>1</v>
      </c>
      <c r="O4548" s="58"/>
      <c r="P4548" s="58">
        <v>368364.84</v>
      </c>
      <c r="Q4548" t="s">
        <v>118</v>
      </c>
      <c r="R4548" s="1" t="s">
        <v>158</v>
      </c>
    </row>
    <row r="4549" spans="3:18" x14ac:dyDescent="0.35">
      <c r="C4549" t="s">
        <v>53</v>
      </c>
      <c r="D4549" t="s">
        <v>60</v>
      </c>
      <c r="E4549" t="s">
        <v>60</v>
      </c>
      <c r="F4549" t="s">
        <v>46</v>
      </c>
      <c r="G4549" s="58">
        <v>119708</v>
      </c>
      <c r="H4549" s="1" t="s">
        <v>61</v>
      </c>
      <c r="I4549" s="1" t="s">
        <v>119</v>
      </c>
      <c r="J4549" s="58">
        <v>957664</v>
      </c>
      <c r="K4549" s="1" t="s">
        <v>106</v>
      </c>
      <c r="N4549" s="1">
        <v>1</v>
      </c>
      <c r="O4549" s="58"/>
      <c r="P4549" s="58">
        <v>19153.28</v>
      </c>
      <c r="Q4549" t="s">
        <v>107</v>
      </c>
    </row>
    <row r="4550" spans="3:18" x14ac:dyDescent="0.35">
      <c r="C4550" t="s">
        <v>51</v>
      </c>
      <c r="D4550" t="s">
        <v>92</v>
      </c>
      <c r="E4550" t="s">
        <v>49</v>
      </c>
      <c r="F4550" t="s">
        <v>46</v>
      </c>
      <c r="G4550" s="58">
        <v>12354182</v>
      </c>
      <c r="H4550" s="1" t="s">
        <v>47</v>
      </c>
      <c r="I4550" s="1" t="s">
        <v>108</v>
      </c>
      <c r="J4550" s="58">
        <v>370625460</v>
      </c>
      <c r="K4550" s="1" t="s">
        <v>106</v>
      </c>
      <c r="L4550" s="1" t="s">
        <v>124</v>
      </c>
      <c r="N4550" s="1">
        <v>1</v>
      </c>
      <c r="O4550" s="58"/>
      <c r="P4550" s="58">
        <v>10377512.880000001</v>
      </c>
      <c r="Q4550" t="s">
        <v>127</v>
      </c>
      <c r="R4550" s="1" t="s">
        <v>158</v>
      </c>
    </row>
    <row r="4551" spans="3:18" x14ac:dyDescent="0.35">
      <c r="C4551" t="s">
        <v>51</v>
      </c>
      <c r="D4551" t="s">
        <v>22</v>
      </c>
      <c r="E4551" t="s">
        <v>52</v>
      </c>
      <c r="F4551" t="s">
        <v>46</v>
      </c>
      <c r="G4551" s="58">
        <v>15937338</v>
      </c>
      <c r="H4551" s="1" t="s">
        <v>48</v>
      </c>
      <c r="I4551" s="1" t="s">
        <v>108</v>
      </c>
      <c r="J4551" s="58">
        <v>509994816</v>
      </c>
      <c r="K4551" s="1" t="s">
        <v>106</v>
      </c>
      <c r="L4551" s="1" t="s">
        <v>130</v>
      </c>
      <c r="M4551" s="1" t="s">
        <v>115</v>
      </c>
      <c r="N4551" s="1">
        <v>1</v>
      </c>
      <c r="O4551" s="58"/>
      <c r="P4551" s="58">
        <v>11315509.98</v>
      </c>
      <c r="Q4551" t="s">
        <v>118</v>
      </c>
      <c r="R4551" s="1" t="s">
        <v>48</v>
      </c>
    </row>
    <row r="4552" spans="3:18" x14ac:dyDescent="0.35">
      <c r="C4552" t="s">
        <v>51</v>
      </c>
      <c r="D4552" t="s">
        <v>20</v>
      </c>
      <c r="E4552" t="s">
        <v>49</v>
      </c>
      <c r="F4552" t="s">
        <v>46</v>
      </c>
      <c r="G4552" s="58">
        <v>483136</v>
      </c>
      <c r="H4552" s="1" t="s">
        <v>48</v>
      </c>
      <c r="I4552" s="1" t="s">
        <v>108</v>
      </c>
      <c r="J4552" s="58">
        <v>15943488</v>
      </c>
      <c r="K4552" s="1" t="s">
        <v>106</v>
      </c>
      <c r="L4552" s="1" t="s">
        <v>116</v>
      </c>
      <c r="M4552" s="1" t="s">
        <v>129</v>
      </c>
      <c r="N4552" s="1">
        <v>1</v>
      </c>
      <c r="O4552" s="58"/>
      <c r="P4552" s="58">
        <v>309207.03999999998</v>
      </c>
      <c r="Q4552" t="s">
        <v>118</v>
      </c>
      <c r="R4552" s="1" t="s">
        <v>158</v>
      </c>
    </row>
    <row r="4553" spans="3:18" x14ac:dyDescent="0.35">
      <c r="C4553" t="s">
        <v>51</v>
      </c>
      <c r="D4553" t="s">
        <v>22</v>
      </c>
      <c r="E4553" t="s">
        <v>49</v>
      </c>
      <c r="F4553" t="s">
        <v>46</v>
      </c>
      <c r="G4553" s="58">
        <v>8024408</v>
      </c>
      <c r="H4553" s="1" t="s">
        <v>59</v>
      </c>
      <c r="I4553" s="1" t="s">
        <v>111</v>
      </c>
      <c r="J4553" s="58">
        <v>120366120</v>
      </c>
      <c r="K4553" s="1" t="s">
        <v>106</v>
      </c>
      <c r="L4553" s="1" t="s">
        <v>124</v>
      </c>
      <c r="N4553" s="1">
        <v>1</v>
      </c>
      <c r="O4553" s="58"/>
      <c r="P4553" s="58">
        <v>2246834.2400000002</v>
      </c>
      <c r="Q4553" t="s">
        <v>107</v>
      </c>
      <c r="R4553" s="1" t="s">
        <v>158</v>
      </c>
    </row>
    <row r="4554" spans="3:18" x14ac:dyDescent="0.35">
      <c r="C4554" t="s">
        <v>51</v>
      </c>
      <c r="D4554" t="s">
        <v>92</v>
      </c>
      <c r="E4554" t="s">
        <v>49</v>
      </c>
      <c r="F4554" t="s">
        <v>64</v>
      </c>
      <c r="G4554" s="58">
        <v>4047752</v>
      </c>
      <c r="H4554" s="1" t="s">
        <v>48</v>
      </c>
      <c r="I4554" s="1" t="s">
        <v>108</v>
      </c>
      <c r="J4554" s="58">
        <v>141671320</v>
      </c>
      <c r="K4554" s="1" t="s">
        <v>112</v>
      </c>
      <c r="N4554" s="1">
        <v>1</v>
      </c>
      <c r="O4554" s="58"/>
      <c r="P4554" s="58">
        <v>2873903.92</v>
      </c>
      <c r="Q4554" t="s">
        <v>118</v>
      </c>
      <c r="R4554" s="1" t="s">
        <v>48</v>
      </c>
    </row>
    <row r="4555" spans="3:18" x14ac:dyDescent="0.35">
      <c r="C4555" t="s">
        <v>51</v>
      </c>
      <c r="D4555" t="s">
        <v>23</v>
      </c>
      <c r="E4555" t="s">
        <v>55</v>
      </c>
      <c r="F4555" t="s">
        <v>46</v>
      </c>
      <c r="G4555" s="58">
        <v>8101730</v>
      </c>
      <c r="H4555" s="1" t="s">
        <v>48</v>
      </c>
      <c r="I4555" s="1" t="s">
        <v>108</v>
      </c>
      <c r="J4555" s="58">
        <v>283560550</v>
      </c>
      <c r="K4555" s="1" t="s">
        <v>112</v>
      </c>
      <c r="N4555" s="1">
        <v>1</v>
      </c>
      <c r="O4555" s="58"/>
      <c r="P4555" s="58">
        <v>6805453.2000000002</v>
      </c>
      <c r="Q4555" t="s">
        <v>127</v>
      </c>
      <c r="R4555" s="1" t="s">
        <v>158</v>
      </c>
    </row>
    <row r="4556" spans="3:18" x14ac:dyDescent="0.35">
      <c r="C4556" t="s">
        <v>51</v>
      </c>
      <c r="D4556" t="s">
        <v>21</v>
      </c>
      <c r="E4556" t="s">
        <v>49</v>
      </c>
      <c r="F4556" t="s">
        <v>46</v>
      </c>
      <c r="G4556" s="58">
        <v>6691468</v>
      </c>
      <c r="H4556" s="1" t="s">
        <v>54</v>
      </c>
      <c r="I4556" s="1" t="s">
        <v>105</v>
      </c>
      <c r="J4556" s="58">
        <v>20074404</v>
      </c>
      <c r="K4556" s="1" t="s">
        <v>106</v>
      </c>
      <c r="L4556" s="1" t="s">
        <v>124</v>
      </c>
      <c r="N4556" s="1">
        <v>1</v>
      </c>
      <c r="O4556" s="58"/>
      <c r="P4556" s="58">
        <v>3144989.96</v>
      </c>
      <c r="Q4556" t="s">
        <v>113</v>
      </c>
      <c r="R4556" s="1" t="s">
        <v>158</v>
      </c>
    </row>
    <row r="4557" spans="3:18" x14ac:dyDescent="0.35">
      <c r="C4557" t="s">
        <v>51</v>
      </c>
      <c r="D4557" t="s">
        <v>23</v>
      </c>
      <c r="E4557" t="s">
        <v>45</v>
      </c>
      <c r="F4557" t="s">
        <v>46</v>
      </c>
      <c r="G4557" s="58">
        <v>226984</v>
      </c>
      <c r="H4557" s="1" t="s">
        <v>48</v>
      </c>
      <c r="I4557" s="1" t="s">
        <v>108</v>
      </c>
      <c r="J4557" s="58">
        <v>7717456</v>
      </c>
      <c r="K4557" s="1" t="s">
        <v>106</v>
      </c>
      <c r="L4557" s="1" t="s">
        <v>120</v>
      </c>
      <c r="M4557" s="1" t="s">
        <v>122</v>
      </c>
      <c r="N4557" s="1">
        <v>1</v>
      </c>
      <c r="O4557" s="58"/>
      <c r="P4557" s="58">
        <v>165698.32</v>
      </c>
      <c r="Q4557" t="s">
        <v>118</v>
      </c>
      <c r="R4557" s="1" t="s">
        <v>48</v>
      </c>
    </row>
    <row r="4558" spans="3:18" x14ac:dyDescent="0.35">
      <c r="C4558" t="s">
        <v>51</v>
      </c>
      <c r="D4558" t="s">
        <v>24</v>
      </c>
      <c r="E4558" t="s">
        <v>50</v>
      </c>
      <c r="F4558" t="s">
        <v>46</v>
      </c>
      <c r="G4558" s="58">
        <v>1398607</v>
      </c>
      <c r="H4558" s="1" t="s">
        <v>47</v>
      </c>
      <c r="I4558" s="1" t="s">
        <v>108</v>
      </c>
      <c r="J4558" s="58">
        <v>37762389</v>
      </c>
      <c r="K4558" s="1" t="s">
        <v>106</v>
      </c>
      <c r="L4558" s="1" t="s">
        <v>120</v>
      </c>
      <c r="N4558" s="1">
        <v>1</v>
      </c>
      <c r="O4558" s="58"/>
      <c r="P4558" s="58">
        <v>685317.43</v>
      </c>
      <c r="Q4558" t="s">
        <v>113</v>
      </c>
      <c r="R4558" s="1" t="s">
        <v>158</v>
      </c>
    </row>
    <row r="4559" spans="3:18" x14ac:dyDescent="0.35">
      <c r="C4559" t="s">
        <v>53</v>
      </c>
      <c r="D4559" t="s">
        <v>20</v>
      </c>
      <c r="E4559" t="s">
        <v>45</v>
      </c>
      <c r="F4559" t="s">
        <v>46</v>
      </c>
      <c r="G4559" s="58">
        <v>10121566</v>
      </c>
      <c r="H4559" s="1" t="s">
        <v>48</v>
      </c>
      <c r="I4559" s="1" t="s">
        <v>119</v>
      </c>
      <c r="J4559" s="58">
        <v>70850962</v>
      </c>
      <c r="K4559" s="1" t="s">
        <v>106</v>
      </c>
      <c r="L4559" s="1" t="s">
        <v>120</v>
      </c>
      <c r="M4559" s="1" t="s">
        <v>123</v>
      </c>
      <c r="N4559" s="1">
        <v>1</v>
      </c>
      <c r="O4559" s="58"/>
      <c r="P4559" s="58">
        <v>5060783</v>
      </c>
      <c r="Q4559" t="s">
        <v>113</v>
      </c>
      <c r="R4559" s="1" t="s">
        <v>158</v>
      </c>
    </row>
    <row r="4560" spans="3:18" x14ac:dyDescent="0.35">
      <c r="C4560" t="s">
        <v>51</v>
      </c>
      <c r="D4560" t="s">
        <v>20</v>
      </c>
      <c r="E4560" t="s">
        <v>49</v>
      </c>
      <c r="F4560" t="s">
        <v>46</v>
      </c>
      <c r="G4560" s="58">
        <v>61283841</v>
      </c>
      <c r="H4560" s="1" t="s">
        <v>48</v>
      </c>
      <c r="I4560" s="1" t="s">
        <v>108</v>
      </c>
      <c r="J4560" s="58">
        <v>1961082912</v>
      </c>
      <c r="K4560" s="1" t="s">
        <v>106</v>
      </c>
      <c r="L4560" s="1" t="s">
        <v>124</v>
      </c>
      <c r="M4560" s="1" t="s">
        <v>123</v>
      </c>
      <c r="N4560" s="1">
        <v>1</v>
      </c>
      <c r="O4560" s="58"/>
      <c r="P4560" s="58">
        <v>42898688.700000003</v>
      </c>
      <c r="Q4560" t="s">
        <v>118</v>
      </c>
      <c r="R4560" s="1" t="s">
        <v>48</v>
      </c>
    </row>
    <row r="4561" spans="3:18" x14ac:dyDescent="0.35">
      <c r="C4561" t="s">
        <v>51</v>
      </c>
      <c r="D4561" t="s">
        <v>22</v>
      </c>
      <c r="E4561" t="s">
        <v>45</v>
      </c>
      <c r="F4561" t="s">
        <v>46</v>
      </c>
      <c r="G4561" s="58">
        <v>3224655</v>
      </c>
      <c r="H4561" s="1" t="s">
        <v>59</v>
      </c>
      <c r="I4561" s="1" t="s">
        <v>108</v>
      </c>
      <c r="J4561" s="58">
        <v>106413615</v>
      </c>
      <c r="K4561" s="1" t="s">
        <v>112</v>
      </c>
      <c r="N4561" s="1">
        <v>1</v>
      </c>
      <c r="O4561" s="58"/>
      <c r="P4561" s="58">
        <v>2644217.1</v>
      </c>
      <c r="Q4561" t="s">
        <v>127</v>
      </c>
      <c r="R4561" s="1" t="s">
        <v>158</v>
      </c>
    </row>
    <row r="4562" spans="3:18" x14ac:dyDescent="0.35">
      <c r="C4562" t="s">
        <v>51</v>
      </c>
      <c r="D4562" t="s">
        <v>23</v>
      </c>
      <c r="E4562" t="s">
        <v>49</v>
      </c>
      <c r="F4562" t="s">
        <v>46</v>
      </c>
      <c r="G4562" s="58">
        <v>7907610</v>
      </c>
      <c r="H4562" s="1" t="s">
        <v>47</v>
      </c>
      <c r="I4562" s="1" t="s">
        <v>111</v>
      </c>
      <c r="J4562" s="58">
        <v>110706540</v>
      </c>
      <c r="K4562" s="1" t="s">
        <v>106</v>
      </c>
      <c r="L4562" s="1" t="s">
        <v>124</v>
      </c>
      <c r="N4562" s="1">
        <v>1</v>
      </c>
      <c r="O4562" s="58"/>
      <c r="P4562" s="58">
        <v>2055978.6</v>
      </c>
      <c r="Q4562" t="s">
        <v>107</v>
      </c>
      <c r="R4562" s="1" t="s">
        <v>158</v>
      </c>
    </row>
    <row r="4563" spans="3:18" x14ac:dyDescent="0.35">
      <c r="C4563" t="s">
        <v>51</v>
      </c>
      <c r="D4563" t="s">
        <v>24</v>
      </c>
      <c r="E4563" t="s">
        <v>50</v>
      </c>
      <c r="F4563" t="s">
        <v>46</v>
      </c>
      <c r="G4563" s="58">
        <v>37674</v>
      </c>
      <c r="H4563" s="1" t="s">
        <v>47</v>
      </c>
      <c r="I4563" s="1" t="s">
        <v>105</v>
      </c>
      <c r="J4563" s="58">
        <v>113022</v>
      </c>
      <c r="K4563" s="1" t="s">
        <v>106</v>
      </c>
      <c r="L4563" s="1" t="s">
        <v>109</v>
      </c>
      <c r="N4563" s="1">
        <v>1</v>
      </c>
      <c r="O4563" s="58"/>
      <c r="P4563" s="58">
        <v>18837</v>
      </c>
      <c r="Q4563" t="s">
        <v>113</v>
      </c>
      <c r="R4563" s="1" t="s">
        <v>158</v>
      </c>
    </row>
    <row r="4564" spans="3:18" x14ac:dyDescent="0.35">
      <c r="C4564" t="s">
        <v>51</v>
      </c>
      <c r="D4564" t="s">
        <v>22</v>
      </c>
      <c r="E4564" t="s">
        <v>45</v>
      </c>
      <c r="F4564" t="s">
        <v>46</v>
      </c>
      <c r="G4564" s="58">
        <v>72125</v>
      </c>
      <c r="H4564" s="1" t="s">
        <v>48</v>
      </c>
      <c r="I4564" s="1" t="s">
        <v>119</v>
      </c>
      <c r="J4564" s="58">
        <v>577000</v>
      </c>
      <c r="K4564" s="1" t="s">
        <v>106</v>
      </c>
      <c r="L4564" s="1" t="s">
        <v>124</v>
      </c>
      <c r="M4564" s="1" t="s">
        <v>126</v>
      </c>
      <c r="N4564" s="1">
        <v>1</v>
      </c>
      <c r="O4564" s="58"/>
      <c r="P4564" s="58">
        <v>25965</v>
      </c>
      <c r="Q4564" t="s">
        <v>107</v>
      </c>
      <c r="R4564" s="1" t="s">
        <v>48</v>
      </c>
    </row>
    <row r="4565" spans="3:18" x14ac:dyDescent="0.35">
      <c r="C4565" t="s">
        <v>51</v>
      </c>
      <c r="D4565" t="s">
        <v>21</v>
      </c>
      <c r="E4565" t="s">
        <v>49</v>
      </c>
      <c r="F4565" t="s">
        <v>46</v>
      </c>
      <c r="G4565" s="58">
        <v>129186</v>
      </c>
      <c r="H4565" s="1" t="s">
        <v>54</v>
      </c>
      <c r="I4565" s="1" t="s">
        <v>119</v>
      </c>
      <c r="J4565" s="58">
        <v>904302</v>
      </c>
      <c r="K4565" s="1" t="s">
        <v>106</v>
      </c>
      <c r="L4565" s="1" t="s">
        <v>116</v>
      </c>
      <c r="N4565" s="1">
        <v>1</v>
      </c>
      <c r="O4565" s="58"/>
      <c r="P4565" s="58">
        <v>36172.080000000002</v>
      </c>
      <c r="Q4565" t="s">
        <v>107</v>
      </c>
      <c r="R4565" s="1" t="s">
        <v>158</v>
      </c>
    </row>
    <row r="4566" spans="3:18" x14ac:dyDescent="0.35">
      <c r="C4566" t="s">
        <v>51</v>
      </c>
      <c r="D4566" t="s">
        <v>22</v>
      </c>
      <c r="E4566" t="s">
        <v>49</v>
      </c>
      <c r="F4566" t="s">
        <v>46</v>
      </c>
      <c r="G4566" s="58">
        <v>5844387</v>
      </c>
      <c r="H4566" s="1" t="s">
        <v>48</v>
      </c>
      <c r="I4566" s="1" t="s">
        <v>108</v>
      </c>
      <c r="J4566" s="58">
        <v>204553545</v>
      </c>
      <c r="K4566" s="1" t="s">
        <v>106</v>
      </c>
      <c r="L4566" s="1" t="s">
        <v>124</v>
      </c>
      <c r="M4566" s="1" t="s">
        <v>115</v>
      </c>
      <c r="N4566" s="1">
        <v>1</v>
      </c>
      <c r="O4566" s="58"/>
      <c r="P4566" s="58">
        <v>4909285.08</v>
      </c>
      <c r="Q4566" t="s">
        <v>127</v>
      </c>
      <c r="R4566" s="1" t="s">
        <v>48</v>
      </c>
    </row>
    <row r="4567" spans="3:18" x14ac:dyDescent="0.35">
      <c r="C4567" t="s">
        <v>53</v>
      </c>
      <c r="D4567" t="s">
        <v>20</v>
      </c>
      <c r="E4567" t="s">
        <v>45</v>
      </c>
      <c r="F4567" t="s">
        <v>46</v>
      </c>
      <c r="G4567" s="58">
        <v>79121</v>
      </c>
      <c r="H4567" s="1" t="s">
        <v>48</v>
      </c>
      <c r="I4567" s="1" t="s">
        <v>128</v>
      </c>
      <c r="J4567" s="58"/>
      <c r="K4567" s="1" t="s">
        <v>106</v>
      </c>
      <c r="L4567" s="1" t="s">
        <v>120</v>
      </c>
      <c r="M4567" s="1" t="s">
        <v>123</v>
      </c>
      <c r="N4567" s="1">
        <v>0</v>
      </c>
      <c r="O4567" s="58"/>
      <c r="P4567" s="58">
        <v>34813.24</v>
      </c>
      <c r="Q4567" t="s">
        <v>113</v>
      </c>
      <c r="R4567" s="1" t="s">
        <v>158</v>
      </c>
    </row>
    <row r="4568" spans="3:18" x14ac:dyDescent="0.35">
      <c r="C4568" t="s">
        <v>51</v>
      </c>
      <c r="D4568" t="s">
        <v>24</v>
      </c>
      <c r="E4568" t="s">
        <v>52</v>
      </c>
      <c r="F4568" t="s">
        <v>46</v>
      </c>
      <c r="G4568" s="58">
        <v>52420</v>
      </c>
      <c r="H4568" s="1" t="s">
        <v>47</v>
      </c>
      <c r="I4568" s="1" t="s">
        <v>108</v>
      </c>
      <c r="J4568" s="58">
        <v>1310500</v>
      </c>
      <c r="K4568" s="1" t="s">
        <v>106</v>
      </c>
      <c r="L4568" s="1" t="s">
        <v>130</v>
      </c>
      <c r="N4568" s="1">
        <v>1</v>
      </c>
      <c r="O4568" s="58"/>
      <c r="P4568" s="58">
        <v>41411.800000000003</v>
      </c>
      <c r="Q4568" t="s">
        <v>118</v>
      </c>
      <c r="R4568" s="1" t="s">
        <v>158</v>
      </c>
    </row>
    <row r="4569" spans="3:18" x14ac:dyDescent="0.35">
      <c r="C4569" t="s">
        <v>51</v>
      </c>
      <c r="D4569" t="s">
        <v>22</v>
      </c>
      <c r="E4569" t="s">
        <v>55</v>
      </c>
      <c r="F4569" t="s">
        <v>46</v>
      </c>
      <c r="G4569" s="58">
        <v>614406</v>
      </c>
      <c r="H4569" s="1" t="s">
        <v>54</v>
      </c>
      <c r="I4569" s="1" t="s">
        <v>108</v>
      </c>
      <c r="J4569" s="58">
        <v>17817774</v>
      </c>
      <c r="K4569" s="1" t="s">
        <v>106</v>
      </c>
      <c r="L4569" s="1" t="s">
        <v>114</v>
      </c>
      <c r="N4569" s="1">
        <v>1</v>
      </c>
      <c r="O4569" s="58"/>
      <c r="P4569" s="58">
        <v>325635.18</v>
      </c>
      <c r="Q4569" t="s">
        <v>113</v>
      </c>
      <c r="R4569" s="1" t="s">
        <v>158</v>
      </c>
    </row>
    <row r="4570" spans="3:18" x14ac:dyDescent="0.35">
      <c r="C4570" t="s">
        <v>51</v>
      </c>
      <c r="D4570" t="s">
        <v>21</v>
      </c>
      <c r="E4570" t="s">
        <v>49</v>
      </c>
      <c r="F4570" t="s">
        <v>46</v>
      </c>
      <c r="G4570" s="58">
        <v>417078</v>
      </c>
      <c r="H4570" s="1" t="s">
        <v>48</v>
      </c>
      <c r="I4570" s="1" t="s">
        <v>108</v>
      </c>
      <c r="J4570" s="58">
        <v>14597730</v>
      </c>
      <c r="K4570" s="1" t="s">
        <v>106</v>
      </c>
      <c r="L4570" s="1" t="s">
        <v>120</v>
      </c>
      <c r="M4570" s="1" t="s">
        <v>115</v>
      </c>
      <c r="N4570" s="1">
        <v>1</v>
      </c>
      <c r="O4570" s="58"/>
      <c r="P4570" s="58">
        <v>333662.40000000002</v>
      </c>
      <c r="Q4570" t="s">
        <v>127</v>
      </c>
      <c r="R4570" s="1" t="s">
        <v>48</v>
      </c>
    </row>
    <row r="4571" spans="3:18" x14ac:dyDescent="0.35">
      <c r="C4571" t="s">
        <v>53</v>
      </c>
      <c r="D4571" t="s">
        <v>21</v>
      </c>
      <c r="E4571" t="s">
        <v>49</v>
      </c>
      <c r="F4571" t="s">
        <v>46</v>
      </c>
      <c r="G4571" s="58">
        <v>15739754</v>
      </c>
      <c r="H4571" s="1" t="s">
        <v>54</v>
      </c>
      <c r="I4571" s="1" t="s">
        <v>119</v>
      </c>
      <c r="J4571" s="58">
        <v>110178278</v>
      </c>
      <c r="K4571" s="1" t="s">
        <v>106</v>
      </c>
      <c r="L4571" s="1" t="s">
        <v>124</v>
      </c>
      <c r="N4571" s="1">
        <v>1</v>
      </c>
      <c r="O4571" s="58"/>
      <c r="P4571" s="58">
        <v>3620143.42</v>
      </c>
      <c r="Q4571" t="s">
        <v>107</v>
      </c>
      <c r="R4571" s="1" t="s">
        <v>158</v>
      </c>
    </row>
    <row r="4572" spans="3:18" x14ac:dyDescent="0.35">
      <c r="C4572" t="s">
        <v>53</v>
      </c>
      <c r="D4572" t="s">
        <v>20</v>
      </c>
      <c r="E4572" t="s">
        <v>49</v>
      </c>
      <c r="F4572" t="s">
        <v>46</v>
      </c>
      <c r="G4572" s="58">
        <v>339397</v>
      </c>
      <c r="H4572" s="1" t="s">
        <v>47</v>
      </c>
      <c r="I4572" s="1" t="s">
        <v>119</v>
      </c>
      <c r="J4572" s="58">
        <v>3393970</v>
      </c>
      <c r="K4572" s="1" t="s">
        <v>106</v>
      </c>
      <c r="L4572" s="1" t="s">
        <v>124</v>
      </c>
      <c r="N4572" s="1">
        <v>1</v>
      </c>
      <c r="O4572" s="58"/>
      <c r="P4572" s="58">
        <v>257941.72</v>
      </c>
      <c r="Q4572" t="s">
        <v>118</v>
      </c>
      <c r="R4572" s="1" t="s">
        <v>158</v>
      </c>
    </row>
    <row r="4573" spans="3:18" x14ac:dyDescent="0.35">
      <c r="C4573" t="s">
        <v>53</v>
      </c>
      <c r="D4573" t="s">
        <v>24</v>
      </c>
      <c r="E4573" t="s">
        <v>62</v>
      </c>
      <c r="F4573" t="s">
        <v>46</v>
      </c>
      <c r="G4573" s="58">
        <v>162544</v>
      </c>
      <c r="H4573" s="1" t="s">
        <v>48</v>
      </c>
      <c r="I4573" s="1" t="s">
        <v>119</v>
      </c>
      <c r="J4573" s="58">
        <v>1300352</v>
      </c>
      <c r="K4573" s="1" t="s">
        <v>106</v>
      </c>
      <c r="L4573" s="1" t="s">
        <v>131</v>
      </c>
      <c r="M4573" s="1" t="s">
        <v>121</v>
      </c>
      <c r="N4573" s="1">
        <v>1</v>
      </c>
      <c r="O4573" s="58"/>
      <c r="P4573" s="58">
        <v>79646.559999999998</v>
      </c>
      <c r="Q4573" t="s">
        <v>113</v>
      </c>
      <c r="R4573" s="1" t="s">
        <v>48</v>
      </c>
    </row>
    <row r="4574" spans="3:18" x14ac:dyDescent="0.35">
      <c r="C4574" t="s">
        <v>51</v>
      </c>
      <c r="D4574" t="s">
        <v>20</v>
      </c>
      <c r="E4574" t="s">
        <v>49</v>
      </c>
      <c r="F4574" t="s">
        <v>46</v>
      </c>
      <c r="G4574" s="58">
        <v>1500073</v>
      </c>
      <c r="H4574" s="1" t="s">
        <v>54</v>
      </c>
      <c r="I4574" s="1" t="s">
        <v>108</v>
      </c>
      <c r="J4574" s="58">
        <v>42002044</v>
      </c>
      <c r="K4574" s="1" t="s">
        <v>112</v>
      </c>
      <c r="N4574" s="1">
        <v>1</v>
      </c>
      <c r="O4574" s="58"/>
      <c r="P4574" s="58">
        <v>720035.04</v>
      </c>
      <c r="Q4574" t="s">
        <v>113</v>
      </c>
      <c r="R4574" s="1" t="s">
        <v>158</v>
      </c>
    </row>
    <row r="4575" spans="3:18" x14ac:dyDescent="0.35">
      <c r="C4575" t="s">
        <v>51</v>
      </c>
      <c r="D4575" t="s">
        <v>21</v>
      </c>
      <c r="E4575" t="s">
        <v>49</v>
      </c>
      <c r="F4575" t="s">
        <v>46</v>
      </c>
      <c r="G4575" s="58">
        <v>631151</v>
      </c>
      <c r="H4575" s="1" t="s">
        <v>48</v>
      </c>
      <c r="I4575" s="1" t="s">
        <v>105</v>
      </c>
      <c r="J4575" s="58">
        <v>1893453</v>
      </c>
      <c r="K4575" s="1" t="s">
        <v>106</v>
      </c>
      <c r="L4575" s="1" t="s">
        <v>124</v>
      </c>
      <c r="M4575" s="1" t="s">
        <v>126</v>
      </c>
      <c r="N4575" s="1">
        <v>1</v>
      </c>
      <c r="O4575" s="58"/>
      <c r="P4575" s="58">
        <v>296640.96999999997</v>
      </c>
      <c r="Q4575" t="s">
        <v>113</v>
      </c>
      <c r="R4575" s="1" t="s">
        <v>158</v>
      </c>
    </row>
    <row r="4576" spans="3:18" x14ac:dyDescent="0.35">
      <c r="C4576" t="s">
        <v>51</v>
      </c>
      <c r="D4576" t="s">
        <v>19</v>
      </c>
      <c r="E4576" t="s">
        <v>49</v>
      </c>
      <c r="F4576" t="s">
        <v>46</v>
      </c>
      <c r="G4576" s="58">
        <v>59342540</v>
      </c>
      <c r="H4576" s="1" t="s">
        <v>48</v>
      </c>
      <c r="I4576" s="1" t="s">
        <v>108</v>
      </c>
      <c r="J4576" s="58">
        <v>1780276200</v>
      </c>
      <c r="K4576" s="1" t="s">
        <v>106</v>
      </c>
      <c r="L4576" s="1" t="s">
        <v>124</v>
      </c>
      <c r="M4576" s="1" t="s">
        <v>122</v>
      </c>
      <c r="N4576" s="1">
        <v>1</v>
      </c>
      <c r="O4576" s="58"/>
      <c r="P4576" s="58">
        <v>30264695.399999999</v>
      </c>
      <c r="Q4576" t="s">
        <v>113</v>
      </c>
      <c r="R4576" s="1" t="s">
        <v>48</v>
      </c>
    </row>
    <row r="4577" spans="3:18" x14ac:dyDescent="0.35">
      <c r="C4577" t="s">
        <v>51</v>
      </c>
      <c r="D4577" t="s">
        <v>21</v>
      </c>
      <c r="E4577" t="s">
        <v>49</v>
      </c>
      <c r="F4577" t="s">
        <v>46</v>
      </c>
      <c r="G4577" s="58">
        <v>2951600</v>
      </c>
      <c r="H4577" s="1" t="s">
        <v>56</v>
      </c>
      <c r="I4577" s="1" t="s">
        <v>111</v>
      </c>
      <c r="J4577" s="58">
        <v>53128800</v>
      </c>
      <c r="K4577" s="1" t="s">
        <v>112</v>
      </c>
      <c r="N4577" s="1">
        <v>1</v>
      </c>
      <c r="O4577" s="58"/>
      <c r="P4577" s="58">
        <v>1416768</v>
      </c>
      <c r="Q4577" t="s">
        <v>113</v>
      </c>
      <c r="R4577" s="1" t="s">
        <v>158</v>
      </c>
    </row>
    <row r="4578" spans="3:18" x14ac:dyDescent="0.35">
      <c r="C4578" t="s">
        <v>51</v>
      </c>
      <c r="D4578" t="s">
        <v>23</v>
      </c>
      <c r="E4578" t="s">
        <v>55</v>
      </c>
      <c r="F4578" t="s">
        <v>46</v>
      </c>
      <c r="G4578" s="58">
        <v>15168218</v>
      </c>
      <c r="H4578" s="1" t="s">
        <v>48</v>
      </c>
      <c r="I4578" s="1" t="s">
        <v>108</v>
      </c>
      <c r="J4578" s="58">
        <v>500551194</v>
      </c>
      <c r="K4578" s="1" t="s">
        <v>112</v>
      </c>
      <c r="N4578" s="1">
        <v>1</v>
      </c>
      <c r="O4578" s="58"/>
      <c r="P4578" s="58">
        <v>7584109</v>
      </c>
      <c r="Q4578" t="s">
        <v>113</v>
      </c>
      <c r="R4578" s="1" t="s">
        <v>48</v>
      </c>
    </row>
    <row r="4579" spans="3:18" x14ac:dyDescent="0.35">
      <c r="C4579" t="s">
        <v>51</v>
      </c>
      <c r="D4579" t="s">
        <v>19</v>
      </c>
      <c r="E4579" t="s">
        <v>49</v>
      </c>
      <c r="F4579" t="s">
        <v>46</v>
      </c>
      <c r="G4579" s="58">
        <v>1682338</v>
      </c>
      <c r="H4579" s="1" t="s">
        <v>48</v>
      </c>
      <c r="I4579" s="1" t="s">
        <v>119</v>
      </c>
      <c r="J4579" s="58">
        <v>15141042</v>
      </c>
      <c r="K4579" s="1" t="s">
        <v>106</v>
      </c>
      <c r="L4579" s="1" t="s">
        <v>124</v>
      </c>
      <c r="M4579" s="1" t="s">
        <v>122</v>
      </c>
      <c r="N4579" s="1">
        <v>1</v>
      </c>
      <c r="O4579" s="58"/>
      <c r="P4579" s="58">
        <v>841169</v>
      </c>
      <c r="Q4579" t="s">
        <v>113</v>
      </c>
      <c r="R4579" s="1" t="s">
        <v>48</v>
      </c>
    </row>
    <row r="4580" spans="3:18" x14ac:dyDescent="0.35">
      <c r="C4580" t="s">
        <v>51</v>
      </c>
      <c r="D4580" t="s">
        <v>24</v>
      </c>
      <c r="E4580" t="s">
        <v>45</v>
      </c>
      <c r="F4580" t="s">
        <v>64</v>
      </c>
      <c r="G4580" s="58">
        <v>323876</v>
      </c>
      <c r="H4580" s="1" t="s">
        <v>48</v>
      </c>
      <c r="I4580" s="1" t="s">
        <v>108</v>
      </c>
      <c r="J4580" s="58">
        <v>10687908</v>
      </c>
      <c r="K4580" s="1" t="s">
        <v>112</v>
      </c>
      <c r="N4580" s="1">
        <v>1</v>
      </c>
      <c r="O4580" s="58"/>
      <c r="P4580" s="58">
        <v>171654.28</v>
      </c>
      <c r="Q4580" t="s">
        <v>113</v>
      </c>
      <c r="R4580" s="1" t="s">
        <v>158</v>
      </c>
    </row>
    <row r="4581" spans="3:18" x14ac:dyDescent="0.35">
      <c r="C4581" t="s">
        <v>51</v>
      </c>
      <c r="D4581" t="s">
        <v>24</v>
      </c>
      <c r="E4581" t="s">
        <v>55</v>
      </c>
      <c r="F4581" t="s">
        <v>46</v>
      </c>
      <c r="G4581" s="58">
        <v>6835009</v>
      </c>
      <c r="H4581" s="1" t="s">
        <v>47</v>
      </c>
      <c r="I4581" s="1" t="s">
        <v>108</v>
      </c>
      <c r="J4581" s="58">
        <v>191380252</v>
      </c>
      <c r="K4581" s="1" t="s">
        <v>106</v>
      </c>
      <c r="L4581" s="1" t="s">
        <v>120</v>
      </c>
      <c r="N4581" s="1">
        <v>1</v>
      </c>
      <c r="O4581" s="58"/>
      <c r="P4581" s="58">
        <v>4716156.21</v>
      </c>
      <c r="Q4581" t="s">
        <v>118</v>
      </c>
      <c r="R4581" s="1" t="s">
        <v>158</v>
      </c>
    </row>
    <row r="4582" spans="3:18" x14ac:dyDescent="0.35">
      <c r="C4582" t="s">
        <v>51</v>
      </c>
      <c r="D4582" t="s">
        <v>23</v>
      </c>
      <c r="E4582" t="s">
        <v>49</v>
      </c>
      <c r="F4582" t="s">
        <v>46</v>
      </c>
      <c r="G4582" s="58">
        <v>253836</v>
      </c>
      <c r="H4582" s="1" t="s">
        <v>56</v>
      </c>
      <c r="I4582" s="1" t="s">
        <v>108</v>
      </c>
      <c r="J4582" s="58">
        <v>7107408</v>
      </c>
      <c r="K4582" s="1" t="s">
        <v>106</v>
      </c>
      <c r="L4582" s="1" t="s">
        <v>124</v>
      </c>
      <c r="N4582" s="1">
        <v>1</v>
      </c>
      <c r="O4582" s="58"/>
      <c r="P4582" s="58">
        <v>213222.24</v>
      </c>
      <c r="Q4582" t="s">
        <v>127</v>
      </c>
      <c r="R4582" s="1" t="s">
        <v>158</v>
      </c>
    </row>
    <row r="4583" spans="3:18" x14ac:dyDescent="0.35">
      <c r="C4583" t="s">
        <v>51</v>
      </c>
      <c r="D4583" t="s">
        <v>21</v>
      </c>
      <c r="E4583" t="s">
        <v>45</v>
      </c>
      <c r="F4583" t="s">
        <v>46</v>
      </c>
      <c r="G4583" s="58">
        <v>197494</v>
      </c>
      <c r="H4583" s="1" t="s">
        <v>54</v>
      </c>
      <c r="I4583" s="1" t="s">
        <v>111</v>
      </c>
      <c r="J4583" s="58">
        <v>2764916</v>
      </c>
      <c r="K4583" s="1" t="s">
        <v>112</v>
      </c>
      <c r="N4583" s="1">
        <v>1</v>
      </c>
      <c r="O4583" s="58"/>
      <c r="P4583" s="58">
        <v>132320.98000000001</v>
      </c>
      <c r="Q4583" t="s">
        <v>118</v>
      </c>
      <c r="R4583" s="1" t="s">
        <v>158</v>
      </c>
    </row>
    <row r="4584" spans="3:18" x14ac:dyDescent="0.35">
      <c r="C4584" t="s">
        <v>51</v>
      </c>
      <c r="D4584" t="s">
        <v>23</v>
      </c>
      <c r="E4584" t="s">
        <v>55</v>
      </c>
      <c r="F4584" t="s">
        <v>64</v>
      </c>
      <c r="G4584" s="58">
        <v>255602</v>
      </c>
      <c r="H4584" s="1" t="s">
        <v>48</v>
      </c>
      <c r="I4584" s="1" t="s">
        <v>111</v>
      </c>
      <c r="J4584" s="58">
        <v>4345234</v>
      </c>
      <c r="K4584" s="1" t="s">
        <v>106</v>
      </c>
      <c r="L4584" s="1" t="s">
        <v>114</v>
      </c>
      <c r="M4584" s="1" t="s">
        <v>125</v>
      </c>
      <c r="N4584" s="1">
        <v>1</v>
      </c>
      <c r="O4584" s="58"/>
      <c r="P4584" s="58">
        <v>97128.76</v>
      </c>
      <c r="Q4584" t="s">
        <v>107</v>
      </c>
      <c r="R4584" s="1" t="s">
        <v>48</v>
      </c>
    </row>
    <row r="4585" spans="3:18" x14ac:dyDescent="0.35">
      <c r="C4585" t="s">
        <v>51</v>
      </c>
      <c r="D4585" t="s">
        <v>92</v>
      </c>
      <c r="E4585" t="s">
        <v>45</v>
      </c>
      <c r="F4585" t="s">
        <v>46</v>
      </c>
      <c r="G4585" s="58">
        <v>81983</v>
      </c>
      <c r="H4585" s="1" t="s">
        <v>47</v>
      </c>
      <c r="I4585" s="1" t="s">
        <v>119</v>
      </c>
      <c r="J4585" s="58">
        <v>573881</v>
      </c>
      <c r="K4585" s="1" t="s">
        <v>106</v>
      </c>
      <c r="L4585" s="1" t="s">
        <v>124</v>
      </c>
      <c r="N4585" s="1">
        <v>1</v>
      </c>
      <c r="O4585" s="58"/>
      <c r="P4585" s="58">
        <v>13937.11</v>
      </c>
      <c r="Q4585" t="s">
        <v>107</v>
      </c>
      <c r="R4585" s="1" t="s">
        <v>158</v>
      </c>
    </row>
    <row r="4586" spans="3:18" x14ac:dyDescent="0.35">
      <c r="C4586" t="s">
        <v>51</v>
      </c>
      <c r="D4586" t="s">
        <v>20</v>
      </c>
      <c r="E4586" t="s">
        <v>49</v>
      </c>
      <c r="F4586" t="s">
        <v>46</v>
      </c>
      <c r="G4586" s="58">
        <v>2257530</v>
      </c>
      <c r="I4586" s="1" t="s">
        <v>108</v>
      </c>
      <c r="J4586" s="58">
        <v>76756020</v>
      </c>
      <c r="K4586" s="1" t="s">
        <v>106</v>
      </c>
      <c r="L4586" s="1" t="s">
        <v>124</v>
      </c>
      <c r="N4586" s="1">
        <v>1</v>
      </c>
      <c r="O4586" s="58"/>
      <c r="P4586" s="58">
        <v>1828599.3</v>
      </c>
      <c r="Q4586" t="s">
        <v>127</v>
      </c>
      <c r="R4586" s="1" t="s">
        <v>158</v>
      </c>
    </row>
    <row r="4587" spans="3:18" x14ac:dyDescent="0.35">
      <c r="C4587" t="s">
        <v>53</v>
      </c>
      <c r="D4587" t="s">
        <v>23</v>
      </c>
      <c r="E4587" t="s">
        <v>45</v>
      </c>
      <c r="F4587" t="s">
        <v>46</v>
      </c>
      <c r="G4587" s="58">
        <v>9522</v>
      </c>
      <c r="H4587" s="1" t="s">
        <v>48</v>
      </c>
      <c r="I4587" s="1" t="s">
        <v>128</v>
      </c>
      <c r="J4587" s="58"/>
      <c r="K4587" s="1" t="s">
        <v>106</v>
      </c>
      <c r="L4587" s="1" t="s">
        <v>120</v>
      </c>
      <c r="M4587" s="1" t="s">
        <v>125</v>
      </c>
      <c r="N4587" s="1">
        <v>0</v>
      </c>
      <c r="O4587" s="58"/>
      <c r="P4587" s="58">
        <v>95.22</v>
      </c>
      <c r="Q4587" t="s">
        <v>107</v>
      </c>
      <c r="R4587" s="1" t="s">
        <v>158</v>
      </c>
    </row>
    <row r="4588" spans="3:18" x14ac:dyDescent="0.35">
      <c r="C4588" t="s">
        <v>51</v>
      </c>
      <c r="D4588" t="s">
        <v>23</v>
      </c>
      <c r="E4588" t="s">
        <v>45</v>
      </c>
      <c r="F4588" t="s">
        <v>46</v>
      </c>
      <c r="G4588" s="58">
        <v>568819</v>
      </c>
      <c r="H4588" s="1" t="s">
        <v>48</v>
      </c>
      <c r="I4588" s="1" t="s">
        <v>108</v>
      </c>
      <c r="J4588" s="58">
        <v>16495751</v>
      </c>
      <c r="K4588" s="1" t="s">
        <v>106</v>
      </c>
      <c r="L4588" s="1" t="s">
        <v>114</v>
      </c>
      <c r="M4588" s="1" t="s">
        <v>121</v>
      </c>
      <c r="N4588" s="1">
        <v>1</v>
      </c>
      <c r="O4588" s="58"/>
      <c r="P4588" s="58">
        <v>386796.92</v>
      </c>
      <c r="Q4588" t="s">
        <v>118</v>
      </c>
      <c r="R4588" s="1" t="s">
        <v>158</v>
      </c>
    </row>
    <row r="4589" spans="3:18" x14ac:dyDescent="0.35">
      <c r="C4589" t="s">
        <v>51</v>
      </c>
      <c r="D4589" t="s">
        <v>92</v>
      </c>
      <c r="E4589" t="s">
        <v>49</v>
      </c>
      <c r="F4589" t="s">
        <v>46</v>
      </c>
      <c r="G4589" s="58">
        <v>29189449</v>
      </c>
      <c r="H4589" s="1" t="s">
        <v>48</v>
      </c>
      <c r="I4589" s="1" t="s">
        <v>111</v>
      </c>
      <c r="J4589" s="58">
        <v>496220633</v>
      </c>
      <c r="K4589" s="1" t="s">
        <v>106</v>
      </c>
      <c r="L4589" s="1" t="s">
        <v>124</v>
      </c>
      <c r="M4589" s="1" t="s">
        <v>123</v>
      </c>
      <c r="N4589" s="1">
        <v>1</v>
      </c>
      <c r="O4589" s="58"/>
      <c r="P4589" s="58">
        <v>20140719.809999999</v>
      </c>
      <c r="Q4589" t="s">
        <v>118</v>
      </c>
      <c r="R4589" s="1" t="s">
        <v>158</v>
      </c>
    </row>
    <row r="4590" spans="3:18" x14ac:dyDescent="0.35">
      <c r="C4590" t="s">
        <v>51</v>
      </c>
      <c r="D4590" t="s">
        <v>24</v>
      </c>
      <c r="E4590" t="s">
        <v>50</v>
      </c>
      <c r="F4590" t="s">
        <v>46</v>
      </c>
      <c r="G4590" s="58">
        <v>688838</v>
      </c>
      <c r="H4590" s="1" t="s">
        <v>59</v>
      </c>
      <c r="I4590" s="1" t="s">
        <v>111</v>
      </c>
      <c r="J4590" s="58">
        <v>9643732</v>
      </c>
      <c r="K4590" s="1" t="s">
        <v>106</v>
      </c>
      <c r="L4590" s="1" t="s">
        <v>109</v>
      </c>
      <c r="N4590" s="1">
        <v>1</v>
      </c>
      <c r="O4590" s="58"/>
      <c r="P4590" s="58">
        <v>185986.26</v>
      </c>
      <c r="Q4590" t="s">
        <v>107</v>
      </c>
      <c r="R4590" s="1" t="s">
        <v>158</v>
      </c>
    </row>
    <row r="4591" spans="3:18" x14ac:dyDescent="0.35">
      <c r="C4591" t="s">
        <v>51</v>
      </c>
      <c r="D4591" t="s">
        <v>22</v>
      </c>
      <c r="E4591" t="s">
        <v>50</v>
      </c>
      <c r="F4591" t="s">
        <v>46</v>
      </c>
      <c r="G4591" s="58">
        <v>1673989</v>
      </c>
      <c r="H4591" s="1" t="s">
        <v>48</v>
      </c>
      <c r="I4591" s="1" t="s">
        <v>108</v>
      </c>
      <c r="J4591" s="58">
        <v>48545681</v>
      </c>
      <c r="K4591" s="1" t="s">
        <v>106</v>
      </c>
      <c r="L4591" s="1" t="s">
        <v>120</v>
      </c>
      <c r="M4591" s="1" t="s">
        <v>115</v>
      </c>
      <c r="N4591" s="1">
        <v>1</v>
      </c>
      <c r="O4591" s="58"/>
      <c r="P4591" s="58">
        <v>920693.95</v>
      </c>
      <c r="Q4591" t="s">
        <v>113</v>
      </c>
      <c r="R4591" s="1" t="s">
        <v>48</v>
      </c>
    </row>
    <row r="4592" spans="3:18" x14ac:dyDescent="0.35">
      <c r="C4592" t="s">
        <v>51</v>
      </c>
      <c r="D4592" t="s">
        <v>22</v>
      </c>
      <c r="E4592" t="s">
        <v>55</v>
      </c>
      <c r="F4592" t="s">
        <v>46</v>
      </c>
      <c r="G4592" s="58">
        <v>21709560</v>
      </c>
      <c r="H4592" s="1" t="s">
        <v>48</v>
      </c>
      <c r="I4592" s="1" t="s">
        <v>108</v>
      </c>
      <c r="J4592" s="58">
        <v>716415480</v>
      </c>
      <c r="K4592" s="1" t="s">
        <v>106</v>
      </c>
      <c r="L4592" s="1" t="s">
        <v>120</v>
      </c>
      <c r="M4592" s="1" t="s">
        <v>115</v>
      </c>
      <c r="N4592" s="1">
        <v>1</v>
      </c>
      <c r="O4592" s="58"/>
      <c r="P4592" s="58">
        <v>15847978.800000001</v>
      </c>
      <c r="Q4592" t="s">
        <v>118</v>
      </c>
      <c r="R4592" s="1" t="s">
        <v>48</v>
      </c>
    </row>
    <row r="4593" spans="3:18" x14ac:dyDescent="0.35">
      <c r="C4593" t="s">
        <v>53</v>
      </c>
      <c r="D4593" t="s">
        <v>92</v>
      </c>
      <c r="E4593" t="s">
        <v>49</v>
      </c>
      <c r="F4593" t="s">
        <v>46</v>
      </c>
      <c r="G4593" s="58">
        <v>5016976</v>
      </c>
      <c r="H4593" s="1" t="s">
        <v>47</v>
      </c>
      <c r="I4593" s="1" t="s">
        <v>119</v>
      </c>
      <c r="J4593" s="58">
        <v>35118832</v>
      </c>
      <c r="K4593" s="1" t="s">
        <v>106</v>
      </c>
      <c r="L4593" s="1" t="s">
        <v>124</v>
      </c>
      <c r="N4593" s="1">
        <v>1</v>
      </c>
      <c r="O4593" s="58"/>
      <c r="P4593" s="58">
        <v>852885.92</v>
      </c>
      <c r="Q4593" t="s">
        <v>107</v>
      </c>
      <c r="R4593" s="1" t="s">
        <v>158</v>
      </c>
    </row>
    <row r="4594" spans="3:18" x14ac:dyDescent="0.35">
      <c r="C4594" t="s">
        <v>53</v>
      </c>
      <c r="D4594" t="s">
        <v>92</v>
      </c>
      <c r="E4594" t="s">
        <v>45</v>
      </c>
      <c r="F4594" t="s">
        <v>46</v>
      </c>
      <c r="G4594" s="58">
        <v>620513</v>
      </c>
      <c r="H4594" s="1" t="s">
        <v>48</v>
      </c>
      <c r="I4594" s="1" t="s">
        <v>111</v>
      </c>
      <c r="J4594" s="58">
        <v>9307695</v>
      </c>
      <c r="K4594" s="1" t="s">
        <v>112</v>
      </c>
      <c r="N4594" s="1">
        <v>1</v>
      </c>
      <c r="O4594" s="58"/>
      <c r="P4594" s="58">
        <v>347487.28</v>
      </c>
      <c r="Q4594" t="s">
        <v>113</v>
      </c>
      <c r="R4594" s="1" t="s">
        <v>158</v>
      </c>
    </row>
    <row r="4595" spans="3:18" x14ac:dyDescent="0.35">
      <c r="C4595" t="s">
        <v>53</v>
      </c>
      <c r="D4595" t="s">
        <v>24</v>
      </c>
      <c r="E4595" t="s">
        <v>55</v>
      </c>
      <c r="F4595" t="s">
        <v>46</v>
      </c>
      <c r="G4595" s="58">
        <v>8048798</v>
      </c>
      <c r="H4595" s="1" t="s">
        <v>47</v>
      </c>
      <c r="I4595" s="1" t="s">
        <v>119</v>
      </c>
      <c r="J4595" s="58">
        <v>56341586</v>
      </c>
      <c r="K4595" s="1" t="s">
        <v>106</v>
      </c>
      <c r="L4595" s="1" t="s">
        <v>114</v>
      </c>
      <c r="N4595" s="1">
        <v>1</v>
      </c>
      <c r="O4595" s="58"/>
      <c r="P4595" s="58">
        <v>1368295.66</v>
      </c>
      <c r="Q4595" t="s">
        <v>107</v>
      </c>
      <c r="R4595" s="1" t="s">
        <v>158</v>
      </c>
    </row>
    <row r="4596" spans="3:18" x14ac:dyDescent="0.35">
      <c r="C4596" t="s">
        <v>51</v>
      </c>
      <c r="D4596" t="s">
        <v>22</v>
      </c>
      <c r="E4596" t="s">
        <v>45</v>
      </c>
      <c r="F4596" t="s">
        <v>46</v>
      </c>
      <c r="G4596" s="58">
        <v>269421</v>
      </c>
      <c r="H4596" s="1" t="s">
        <v>56</v>
      </c>
      <c r="I4596" s="1" t="s">
        <v>111</v>
      </c>
      <c r="J4596" s="58">
        <v>4580157</v>
      </c>
      <c r="K4596" s="1" t="s">
        <v>106</v>
      </c>
      <c r="L4596" s="1" t="s">
        <v>124</v>
      </c>
      <c r="N4596" s="1">
        <v>1</v>
      </c>
      <c r="O4596" s="58"/>
      <c r="P4596" s="58">
        <v>110462.61</v>
      </c>
      <c r="Q4596" t="s">
        <v>113</v>
      </c>
      <c r="R4596" s="1" t="s">
        <v>158</v>
      </c>
    </row>
    <row r="4597" spans="3:18" x14ac:dyDescent="0.35">
      <c r="C4597" t="s">
        <v>53</v>
      </c>
      <c r="D4597" t="s">
        <v>92</v>
      </c>
      <c r="E4597" t="s">
        <v>45</v>
      </c>
      <c r="F4597" t="s">
        <v>46</v>
      </c>
      <c r="G4597" s="58">
        <v>419684</v>
      </c>
      <c r="H4597" s="1" t="s">
        <v>54</v>
      </c>
      <c r="I4597" s="1" t="s">
        <v>105</v>
      </c>
      <c r="J4597" s="58">
        <v>839368</v>
      </c>
      <c r="K4597" s="1" t="s">
        <v>106</v>
      </c>
      <c r="L4597" s="1" t="s">
        <v>120</v>
      </c>
      <c r="N4597" s="1">
        <v>1</v>
      </c>
      <c r="O4597" s="58"/>
      <c r="P4597" s="58">
        <v>243416.72</v>
      </c>
      <c r="Q4597" t="s">
        <v>113</v>
      </c>
      <c r="R4597" s="1" t="s">
        <v>158</v>
      </c>
    </row>
    <row r="4598" spans="3:18" x14ac:dyDescent="0.35">
      <c r="C4598" t="s">
        <v>51</v>
      </c>
      <c r="D4598" t="s">
        <v>23</v>
      </c>
      <c r="E4598" t="s">
        <v>55</v>
      </c>
      <c r="F4598" t="s">
        <v>46</v>
      </c>
      <c r="G4598" s="58">
        <v>1216817</v>
      </c>
      <c r="H4598" s="1" t="s">
        <v>48</v>
      </c>
      <c r="I4598" s="1" t="s">
        <v>108</v>
      </c>
      <c r="J4598" s="58">
        <v>40154961</v>
      </c>
      <c r="K4598" s="1" t="s">
        <v>106</v>
      </c>
      <c r="L4598" s="1" t="s">
        <v>124</v>
      </c>
      <c r="M4598" s="1" t="s">
        <v>125</v>
      </c>
      <c r="N4598" s="1">
        <v>1</v>
      </c>
      <c r="O4598" s="58"/>
      <c r="P4598" s="58">
        <v>863940.07</v>
      </c>
      <c r="Q4598" t="s">
        <v>118</v>
      </c>
      <c r="R4598" s="1" t="s">
        <v>48</v>
      </c>
    </row>
    <row r="4599" spans="3:18" x14ac:dyDescent="0.35">
      <c r="C4599" t="s">
        <v>51</v>
      </c>
      <c r="D4599" t="s">
        <v>21</v>
      </c>
      <c r="E4599" t="s">
        <v>55</v>
      </c>
      <c r="F4599" t="s">
        <v>46</v>
      </c>
      <c r="G4599" s="58">
        <v>326605</v>
      </c>
      <c r="H4599" s="1" t="s">
        <v>48</v>
      </c>
      <c r="I4599" s="1" t="s">
        <v>111</v>
      </c>
      <c r="J4599" s="58">
        <v>5552285</v>
      </c>
      <c r="K4599" s="1" t="s">
        <v>106</v>
      </c>
      <c r="L4599" s="1" t="s">
        <v>124</v>
      </c>
      <c r="M4599" s="1" t="s">
        <v>126</v>
      </c>
      <c r="N4599" s="1">
        <v>1</v>
      </c>
      <c r="O4599" s="58"/>
      <c r="P4599" s="58">
        <v>163302.5</v>
      </c>
      <c r="Q4599" t="s">
        <v>113</v>
      </c>
      <c r="R4599" s="1" t="s">
        <v>48</v>
      </c>
    </row>
    <row r="4600" spans="3:18" x14ac:dyDescent="0.35">
      <c r="C4600" t="s">
        <v>51</v>
      </c>
      <c r="D4600" t="s">
        <v>21</v>
      </c>
      <c r="E4600" t="s">
        <v>49</v>
      </c>
      <c r="F4600" t="s">
        <v>46</v>
      </c>
      <c r="G4600" s="58">
        <v>157489</v>
      </c>
      <c r="H4600" s="1" t="s">
        <v>48</v>
      </c>
      <c r="I4600" s="1" t="s">
        <v>108</v>
      </c>
      <c r="J4600" s="58">
        <v>5354626</v>
      </c>
      <c r="K4600" s="1" t="s">
        <v>106</v>
      </c>
      <c r="L4600" s="1" t="s">
        <v>120</v>
      </c>
      <c r="M4600" s="1" t="s">
        <v>121</v>
      </c>
      <c r="N4600" s="1">
        <v>1</v>
      </c>
      <c r="O4600" s="58"/>
      <c r="P4600" s="58">
        <v>100792.96000000001</v>
      </c>
      <c r="Q4600" t="s">
        <v>118</v>
      </c>
      <c r="R4600" s="1" t="s">
        <v>158</v>
      </c>
    </row>
    <row r="4601" spans="3:18" x14ac:dyDescent="0.35">
      <c r="C4601" t="s">
        <v>51</v>
      </c>
      <c r="D4601" t="s">
        <v>22</v>
      </c>
      <c r="E4601" t="s">
        <v>45</v>
      </c>
      <c r="F4601" t="s">
        <v>46</v>
      </c>
      <c r="G4601" s="58">
        <v>230960</v>
      </c>
      <c r="H4601" s="1" t="s">
        <v>56</v>
      </c>
      <c r="I4601" s="1" t="s">
        <v>108</v>
      </c>
      <c r="J4601" s="58">
        <v>8083600</v>
      </c>
      <c r="K4601" s="1" t="s">
        <v>106</v>
      </c>
      <c r="L4601" s="1" t="s">
        <v>114</v>
      </c>
      <c r="N4601" s="1">
        <v>1</v>
      </c>
      <c r="O4601" s="58"/>
      <c r="P4601" s="58">
        <v>117789.6</v>
      </c>
      <c r="Q4601" t="s">
        <v>113</v>
      </c>
      <c r="R4601" s="1" t="s">
        <v>158</v>
      </c>
    </row>
    <row r="4602" spans="3:18" x14ac:dyDescent="0.35">
      <c r="C4602" t="s">
        <v>51</v>
      </c>
      <c r="D4602" t="s">
        <v>91</v>
      </c>
      <c r="E4602" t="s">
        <v>49</v>
      </c>
      <c r="F4602" t="s">
        <v>46</v>
      </c>
      <c r="G4602" s="58">
        <v>3260352</v>
      </c>
      <c r="H4602" s="1" t="s">
        <v>59</v>
      </c>
      <c r="I4602" s="1" t="s">
        <v>108</v>
      </c>
      <c r="J4602" s="58">
        <v>110851968</v>
      </c>
      <c r="K4602" s="1" t="s">
        <v>106</v>
      </c>
      <c r="L4602" s="1" t="s">
        <v>124</v>
      </c>
      <c r="N4602" s="1">
        <v>1</v>
      </c>
      <c r="O4602" s="58"/>
      <c r="P4602" s="58">
        <v>2836506.24</v>
      </c>
      <c r="Q4602" t="s">
        <v>127</v>
      </c>
      <c r="R4602" s="1" t="s">
        <v>158</v>
      </c>
    </row>
    <row r="4603" spans="3:18" x14ac:dyDescent="0.35">
      <c r="C4603" t="s">
        <v>51</v>
      </c>
      <c r="D4603" t="s">
        <v>24</v>
      </c>
      <c r="E4603" t="s">
        <v>45</v>
      </c>
      <c r="F4603" t="s">
        <v>46</v>
      </c>
      <c r="G4603" s="58">
        <v>485328</v>
      </c>
      <c r="H4603" s="1" t="s">
        <v>48</v>
      </c>
      <c r="I4603" s="1" t="s">
        <v>111</v>
      </c>
      <c r="J4603" s="58">
        <v>8250576</v>
      </c>
      <c r="K4603" s="1" t="s">
        <v>106</v>
      </c>
      <c r="L4603" s="1" t="s">
        <v>120</v>
      </c>
      <c r="M4603" s="1" t="s">
        <v>121</v>
      </c>
      <c r="N4603" s="1">
        <v>1</v>
      </c>
      <c r="O4603" s="58"/>
      <c r="P4603" s="58">
        <v>116478.72</v>
      </c>
      <c r="Q4603" t="s">
        <v>107</v>
      </c>
      <c r="R4603" s="1" t="s">
        <v>48</v>
      </c>
    </row>
    <row r="4604" spans="3:18" x14ac:dyDescent="0.35">
      <c r="C4604" t="s">
        <v>53</v>
      </c>
      <c r="D4604" t="s">
        <v>21</v>
      </c>
      <c r="E4604" t="s">
        <v>55</v>
      </c>
      <c r="F4604" t="s">
        <v>46</v>
      </c>
      <c r="G4604" s="58">
        <v>60984</v>
      </c>
      <c r="H4604" s="1" t="s">
        <v>48</v>
      </c>
      <c r="I4604" s="1" t="s">
        <v>105</v>
      </c>
      <c r="J4604" s="58">
        <v>304920</v>
      </c>
      <c r="K4604" s="1" t="s">
        <v>106</v>
      </c>
      <c r="L4604" s="1" t="s">
        <v>114</v>
      </c>
      <c r="M4604" s="1" t="s">
        <v>126</v>
      </c>
      <c r="N4604" s="1">
        <v>1</v>
      </c>
      <c r="O4604" s="58"/>
      <c r="P4604" s="58">
        <v>12806.64</v>
      </c>
      <c r="Q4604" t="s">
        <v>107</v>
      </c>
      <c r="R4604" s="1" t="s">
        <v>158</v>
      </c>
    </row>
    <row r="4605" spans="3:18" x14ac:dyDescent="0.35">
      <c r="C4605" t="s">
        <v>51</v>
      </c>
      <c r="D4605" t="s">
        <v>21</v>
      </c>
      <c r="E4605" t="s">
        <v>49</v>
      </c>
      <c r="F4605" t="s">
        <v>46</v>
      </c>
      <c r="G4605" s="58">
        <v>16353</v>
      </c>
      <c r="H4605" s="1" t="s">
        <v>48</v>
      </c>
      <c r="I4605" s="1" t="s">
        <v>105</v>
      </c>
      <c r="J4605" s="58">
        <v>65412</v>
      </c>
      <c r="K4605" s="1" t="s">
        <v>106</v>
      </c>
      <c r="L4605" s="1" t="s">
        <v>124</v>
      </c>
      <c r="M4605" s="1" t="s">
        <v>126</v>
      </c>
      <c r="N4605" s="1">
        <v>1</v>
      </c>
      <c r="O4605" s="58"/>
      <c r="P4605" s="58">
        <v>9975.33</v>
      </c>
      <c r="Q4605" t="s">
        <v>118</v>
      </c>
      <c r="R4605" s="1" t="s">
        <v>48</v>
      </c>
    </row>
    <row r="4606" spans="3:18" x14ac:dyDescent="0.35">
      <c r="C4606" t="s">
        <v>51</v>
      </c>
      <c r="D4606" t="s">
        <v>24</v>
      </c>
      <c r="E4606" t="s">
        <v>45</v>
      </c>
      <c r="F4606" t="s">
        <v>46</v>
      </c>
      <c r="G4606" s="58">
        <v>2194855</v>
      </c>
      <c r="H4606" s="1" t="s">
        <v>54</v>
      </c>
      <c r="I4606" s="1" t="s">
        <v>108</v>
      </c>
      <c r="J4606" s="58">
        <v>57066230</v>
      </c>
      <c r="K4606" s="1" t="s">
        <v>106</v>
      </c>
      <c r="L4606" s="1" t="s">
        <v>120</v>
      </c>
      <c r="N4606" s="1">
        <v>1</v>
      </c>
      <c r="O4606" s="58"/>
      <c r="P4606" s="58">
        <v>548713.75</v>
      </c>
      <c r="Q4606" t="s">
        <v>107</v>
      </c>
      <c r="R4606" s="1" t="s">
        <v>158</v>
      </c>
    </row>
    <row r="4607" spans="3:18" x14ac:dyDescent="0.35">
      <c r="C4607" t="s">
        <v>51</v>
      </c>
      <c r="D4607" t="s">
        <v>25</v>
      </c>
      <c r="E4607" t="s">
        <v>55</v>
      </c>
      <c r="F4607" t="s">
        <v>46</v>
      </c>
      <c r="G4607" s="58">
        <v>138404</v>
      </c>
      <c r="H4607" s="1" t="s">
        <v>48</v>
      </c>
      <c r="I4607" s="1" t="s">
        <v>111</v>
      </c>
      <c r="J4607" s="58">
        <v>2214464</v>
      </c>
      <c r="K4607" s="1" t="s">
        <v>106</v>
      </c>
      <c r="L4607" s="1" t="s">
        <v>114</v>
      </c>
      <c r="M4607" s="1" t="s">
        <v>117</v>
      </c>
      <c r="N4607" s="1">
        <v>1</v>
      </c>
      <c r="O4607" s="58"/>
      <c r="P4607" s="58">
        <v>106571.08</v>
      </c>
      <c r="Q4607" t="s">
        <v>118</v>
      </c>
      <c r="R4607" s="1" t="s">
        <v>158</v>
      </c>
    </row>
    <row r="4608" spans="3:18" x14ac:dyDescent="0.35">
      <c r="C4608" t="s">
        <v>51</v>
      </c>
      <c r="D4608" t="s">
        <v>24</v>
      </c>
      <c r="E4608" t="s">
        <v>45</v>
      </c>
      <c r="F4608" t="s">
        <v>46</v>
      </c>
      <c r="G4608" s="58">
        <v>149346</v>
      </c>
      <c r="H4608" s="1" t="s">
        <v>56</v>
      </c>
      <c r="I4608" s="1" t="s">
        <v>119</v>
      </c>
      <c r="J4608" s="58">
        <v>1344114</v>
      </c>
      <c r="K4608" s="1" t="s">
        <v>106</v>
      </c>
      <c r="L4608" s="1" t="s">
        <v>120</v>
      </c>
      <c r="N4608" s="1">
        <v>1</v>
      </c>
      <c r="O4608" s="58"/>
      <c r="P4608" s="58">
        <v>76166.460000000006</v>
      </c>
      <c r="Q4608" t="s">
        <v>113</v>
      </c>
      <c r="R4608" s="1" t="s">
        <v>158</v>
      </c>
    </row>
    <row r="4609" spans="3:18" x14ac:dyDescent="0.35">
      <c r="C4609" t="s">
        <v>51</v>
      </c>
      <c r="D4609" t="s">
        <v>21</v>
      </c>
      <c r="E4609" t="s">
        <v>55</v>
      </c>
      <c r="F4609" t="s">
        <v>46</v>
      </c>
      <c r="G4609" s="58">
        <v>235469</v>
      </c>
      <c r="H4609" s="1" t="s">
        <v>48</v>
      </c>
      <c r="I4609" s="1" t="s">
        <v>111</v>
      </c>
      <c r="J4609" s="58">
        <v>3532035</v>
      </c>
      <c r="K4609" s="1" t="s">
        <v>106</v>
      </c>
      <c r="L4609" s="1" t="s">
        <v>124</v>
      </c>
      <c r="M4609" s="1" t="s">
        <v>126</v>
      </c>
      <c r="N4609" s="1">
        <v>1</v>
      </c>
      <c r="O4609" s="58"/>
      <c r="P4609" s="58">
        <v>87123.53</v>
      </c>
      <c r="Q4609" t="s">
        <v>107</v>
      </c>
      <c r="R4609" s="1" t="s">
        <v>48</v>
      </c>
    </row>
    <row r="4610" spans="3:18" x14ac:dyDescent="0.35">
      <c r="C4610" t="s">
        <v>51</v>
      </c>
      <c r="D4610" t="s">
        <v>23</v>
      </c>
      <c r="E4610" t="s">
        <v>45</v>
      </c>
      <c r="F4610" t="s">
        <v>46</v>
      </c>
      <c r="G4610" s="58">
        <v>28564186</v>
      </c>
      <c r="H4610" s="1" t="s">
        <v>59</v>
      </c>
      <c r="I4610" s="1" t="s">
        <v>108</v>
      </c>
      <c r="J4610" s="58">
        <v>742668836</v>
      </c>
      <c r="K4610" s="1" t="s">
        <v>106</v>
      </c>
      <c r="L4610" s="1" t="s">
        <v>120</v>
      </c>
      <c r="N4610" s="1">
        <v>1</v>
      </c>
      <c r="O4610" s="58"/>
      <c r="P4610" s="58">
        <v>8283613.9400000004</v>
      </c>
      <c r="Q4610" t="s">
        <v>107</v>
      </c>
      <c r="R4610" s="1" t="s">
        <v>158</v>
      </c>
    </row>
    <row r="4611" spans="3:18" x14ac:dyDescent="0.35">
      <c r="C4611" t="s">
        <v>51</v>
      </c>
      <c r="D4611" t="s">
        <v>21</v>
      </c>
      <c r="E4611" t="s">
        <v>49</v>
      </c>
      <c r="F4611" t="s">
        <v>46</v>
      </c>
      <c r="G4611" s="58">
        <v>420163</v>
      </c>
      <c r="H4611" s="1" t="s">
        <v>59</v>
      </c>
      <c r="I4611" s="1" t="s">
        <v>119</v>
      </c>
      <c r="J4611" s="58">
        <v>3781467</v>
      </c>
      <c r="K4611" s="1" t="s">
        <v>106</v>
      </c>
      <c r="L4611" s="1" t="s">
        <v>120</v>
      </c>
      <c r="N4611" s="1">
        <v>1</v>
      </c>
      <c r="O4611" s="58"/>
      <c r="P4611" s="58">
        <v>100839.12</v>
      </c>
      <c r="Q4611" t="s">
        <v>107</v>
      </c>
      <c r="R4611" s="1" t="s">
        <v>158</v>
      </c>
    </row>
    <row r="4612" spans="3:18" x14ac:dyDescent="0.35">
      <c r="C4612" t="s">
        <v>53</v>
      </c>
      <c r="D4612" t="s">
        <v>23</v>
      </c>
      <c r="E4612" t="s">
        <v>45</v>
      </c>
      <c r="F4612" t="s">
        <v>46</v>
      </c>
      <c r="G4612" s="58">
        <v>800311</v>
      </c>
      <c r="H4612" s="1" t="s">
        <v>47</v>
      </c>
      <c r="I4612" s="1" t="s">
        <v>128</v>
      </c>
      <c r="J4612" s="58"/>
      <c r="K4612" s="1" t="s">
        <v>106</v>
      </c>
      <c r="L4612" s="1" t="s">
        <v>120</v>
      </c>
      <c r="N4612" s="1">
        <v>0</v>
      </c>
      <c r="O4612" s="58"/>
      <c r="P4612" s="58">
        <v>648251.91</v>
      </c>
      <c r="Q4612" t="s">
        <v>127</v>
      </c>
      <c r="R4612" s="1" t="s">
        <v>158</v>
      </c>
    </row>
    <row r="4613" spans="3:18" x14ac:dyDescent="0.35">
      <c r="C4613" t="s">
        <v>51</v>
      </c>
      <c r="D4613" t="s">
        <v>91</v>
      </c>
      <c r="E4613" t="s">
        <v>49</v>
      </c>
      <c r="F4613" t="s">
        <v>46</v>
      </c>
      <c r="G4613" s="58">
        <v>296831</v>
      </c>
      <c r="H4613" s="1" t="s">
        <v>59</v>
      </c>
      <c r="I4613" s="1" t="s">
        <v>111</v>
      </c>
      <c r="J4613" s="58">
        <v>5936620</v>
      </c>
      <c r="K4613" s="1" t="s">
        <v>112</v>
      </c>
      <c r="N4613" s="1">
        <v>1</v>
      </c>
      <c r="O4613" s="58"/>
      <c r="P4613" s="58">
        <v>65302.82</v>
      </c>
      <c r="Q4613" t="s">
        <v>107</v>
      </c>
      <c r="R4613" s="1" t="s">
        <v>158</v>
      </c>
    </row>
    <row r="4614" spans="3:18" x14ac:dyDescent="0.35">
      <c r="C4614" t="s">
        <v>51</v>
      </c>
      <c r="D4614" t="s">
        <v>22</v>
      </c>
      <c r="E4614" t="s">
        <v>49</v>
      </c>
      <c r="F4614" t="s">
        <v>46</v>
      </c>
      <c r="G4614" s="58">
        <v>5301155</v>
      </c>
      <c r="H4614" s="1" t="s">
        <v>59</v>
      </c>
      <c r="I4614" s="1" t="s">
        <v>119</v>
      </c>
      <c r="J4614" s="58">
        <v>42409240</v>
      </c>
      <c r="K4614" s="1" t="s">
        <v>106</v>
      </c>
      <c r="L4614" s="1" t="s">
        <v>124</v>
      </c>
      <c r="N4614" s="1">
        <v>1</v>
      </c>
      <c r="O4614" s="58"/>
      <c r="P4614" s="58">
        <v>1219265.6499999999</v>
      </c>
      <c r="Q4614" t="s">
        <v>107</v>
      </c>
      <c r="R4614" s="1" t="s">
        <v>158</v>
      </c>
    </row>
    <row r="4615" spans="3:18" x14ac:dyDescent="0.35">
      <c r="C4615" t="s">
        <v>51</v>
      </c>
      <c r="D4615" t="s">
        <v>24</v>
      </c>
      <c r="E4615" t="s">
        <v>50</v>
      </c>
      <c r="F4615" t="s">
        <v>46</v>
      </c>
      <c r="G4615" s="58">
        <v>70570</v>
      </c>
      <c r="H4615" s="1" t="s">
        <v>47</v>
      </c>
      <c r="I4615" s="1" t="s">
        <v>111</v>
      </c>
      <c r="J4615" s="58">
        <v>917410</v>
      </c>
      <c r="K4615" s="1" t="s">
        <v>106</v>
      </c>
      <c r="L4615" s="1" t="s">
        <v>114</v>
      </c>
      <c r="N4615" s="1">
        <v>1</v>
      </c>
      <c r="O4615" s="58"/>
      <c r="P4615" s="58">
        <v>43753.4</v>
      </c>
      <c r="Q4615" t="s">
        <v>118</v>
      </c>
      <c r="R4615" s="1" t="s">
        <v>158</v>
      </c>
    </row>
    <row r="4616" spans="3:18" x14ac:dyDescent="0.35">
      <c r="C4616" t="s">
        <v>51</v>
      </c>
      <c r="D4616" t="s">
        <v>23</v>
      </c>
      <c r="E4616" t="s">
        <v>52</v>
      </c>
      <c r="F4616" t="s">
        <v>46</v>
      </c>
      <c r="G4616" s="58">
        <v>203171</v>
      </c>
      <c r="H4616" s="1" t="s">
        <v>48</v>
      </c>
      <c r="I4616" s="1" t="s">
        <v>111</v>
      </c>
      <c r="J4616" s="58">
        <v>4063420</v>
      </c>
      <c r="K4616" s="1" t="s">
        <v>112</v>
      </c>
      <c r="N4616" s="1">
        <v>1</v>
      </c>
      <c r="O4616" s="58"/>
      <c r="P4616" s="58">
        <v>172695.35</v>
      </c>
      <c r="Q4616" t="s">
        <v>127</v>
      </c>
      <c r="R4616" s="1" t="s">
        <v>48</v>
      </c>
    </row>
    <row r="4617" spans="3:18" x14ac:dyDescent="0.35">
      <c r="C4617" t="s">
        <v>51</v>
      </c>
      <c r="D4617" t="s">
        <v>21</v>
      </c>
      <c r="E4617" t="s">
        <v>45</v>
      </c>
      <c r="F4617" t="s">
        <v>46</v>
      </c>
      <c r="G4617" s="58">
        <v>176392</v>
      </c>
      <c r="H4617" s="1" t="s">
        <v>47</v>
      </c>
      <c r="I4617" s="1" t="s">
        <v>108</v>
      </c>
      <c r="J4617" s="58">
        <v>6526504</v>
      </c>
      <c r="K4617" s="1" t="s">
        <v>106</v>
      </c>
      <c r="L4617" s="1" t="s">
        <v>114</v>
      </c>
      <c r="N4617" s="1">
        <v>1</v>
      </c>
      <c r="O4617" s="58"/>
      <c r="P4617" s="58">
        <v>14111.36</v>
      </c>
      <c r="Q4617" t="s">
        <v>107</v>
      </c>
      <c r="R4617" s="1" t="s">
        <v>158</v>
      </c>
    </row>
    <row r="4618" spans="3:18" x14ac:dyDescent="0.35">
      <c r="C4618" t="s">
        <v>51</v>
      </c>
      <c r="D4618" t="s">
        <v>25</v>
      </c>
      <c r="E4618" t="s">
        <v>55</v>
      </c>
      <c r="F4618" t="s">
        <v>46</v>
      </c>
      <c r="G4618" s="58">
        <v>893821</v>
      </c>
      <c r="H4618" s="1" t="s">
        <v>54</v>
      </c>
      <c r="I4618" s="1" t="s">
        <v>111</v>
      </c>
      <c r="J4618" s="58">
        <v>13407315</v>
      </c>
      <c r="K4618" s="1" t="s">
        <v>106</v>
      </c>
      <c r="L4618" s="1" t="s">
        <v>114</v>
      </c>
      <c r="N4618" s="1">
        <v>1</v>
      </c>
      <c r="O4618" s="58"/>
      <c r="P4618" s="58">
        <v>589921.86</v>
      </c>
      <c r="Q4618" t="s">
        <v>118</v>
      </c>
      <c r="R4618" s="1" t="s">
        <v>158</v>
      </c>
    </row>
    <row r="4619" spans="3:18" x14ac:dyDescent="0.35">
      <c r="C4619" t="s">
        <v>51</v>
      </c>
      <c r="D4619" t="s">
        <v>24</v>
      </c>
      <c r="E4619" t="s">
        <v>50</v>
      </c>
      <c r="F4619" t="s">
        <v>46</v>
      </c>
      <c r="G4619" s="58">
        <v>5257919</v>
      </c>
      <c r="H4619" s="1" t="s">
        <v>54</v>
      </c>
      <c r="I4619" s="1" t="s">
        <v>108</v>
      </c>
      <c r="J4619" s="58">
        <v>131447975</v>
      </c>
      <c r="K4619" s="1" t="s">
        <v>106</v>
      </c>
      <c r="L4619" s="1" t="s">
        <v>109</v>
      </c>
      <c r="N4619" s="1">
        <v>1</v>
      </c>
      <c r="O4619" s="58"/>
      <c r="P4619" s="58">
        <v>2681538.69</v>
      </c>
      <c r="Q4619" t="s">
        <v>113</v>
      </c>
      <c r="R4619" s="1" t="s">
        <v>158</v>
      </c>
    </row>
    <row r="4620" spans="3:18" x14ac:dyDescent="0.35">
      <c r="C4620" t="s">
        <v>53</v>
      </c>
      <c r="D4620" t="s">
        <v>92</v>
      </c>
      <c r="E4620" t="s">
        <v>49</v>
      </c>
      <c r="F4620" t="s">
        <v>46</v>
      </c>
      <c r="G4620" s="58">
        <v>299788</v>
      </c>
      <c r="H4620" s="1" t="s">
        <v>48</v>
      </c>
      <c r="I4620" s="1" t="s">
        <v>108</v>
      </c>
      <c r="J4620" s="58">
        <v>7794488</v>
      </c>
      <c r="K4620" s="1" t="s">
        <v>106</v>
      </c>
      <c r="L4620" s="1" t="s">
        <v>124</v>
      </c>
      <c r="M4620" s="1" t="s">
        <v>123</v>
      </c>
      <c r="N4620" s="1">
        <v>1</v>
      </c>
      <c r="O4620" s="58"/>
      <c r="P4620" s="58">
        <v>155889.76</v>
      </c>
      <c r="Q4620" t="s">
        <v>113</v>
      </c>
      <c r="R4620" s="1" t="s">
        <v>158</v>
      </c>
    </row>
    <row r="4621" spans="3:18" x14ac:dyDescent="0.35">
      <c r="C4621" t="s">
        <v>51</v>
      </c>
      <c r="D4621" t="s">
        <v>23</v>
      </c>
      <c r="E4621" t="s">
        <v>45</v>
      </c>
      <c r="F4621" t="s">
        <v>46</v>
      </c>
      <c r="G4621" s="58">
        <v>1047652</v>
      </c>
      <c r="H4621" s="1" t="s">
        <v>54</v>
      </c>
      <c r="I4621" s="1" t="s">
        <v>111</v>
      </c>
      <c r="J4621" s="58">
        <v>16762432</v>
      </c>
      <c r="K4621" s="1" t="s">
        <v>112</v>
      </c>
      <c r="N4621" s="1">
        <v>1</v>
      </c>
      <c r="O4621" s="58"/>
      <c r="P4621" s="58">
        <v>555255.56000000006</v>
      </c>
      <c r="Q4621" t="s">
        <v>113</v>
      </c>
      <c r="R4621" s="1" t="s">
        <v>158</v>
      </c>
    </row>
    <row r="4622" spans="3:18" x14ac:dyDescent="0.35">
      <c r="C4622" t="s">
        <v>51</v>
      </c>
      <c r="D4622" t="s">
        <v>23</v>
      </c>
      <c r="E4622" t="s">
        <v>45</v>
      </c>
      <c r="F4622" t="s">
        <v>46</v>
      </c>
      <c r="G4622" s="58">
        <v>2203820</v>
      </c>
      <c r="H4622" s="1" t="s">
        <v>59</v>
      </c>
      <c r="I4622" s="1" t="s">
        <v>105</v>
      </c>
      <c r="J4622" s="58">
        <v>8815280</v>
      </c>
      <c r="K4622" s="1" t="s">
        <v>106</v>
      </c>
      <c r="L4622" s="1" t="s">
        <v>120</v>
      </c>
      <c r="N4622" s="1">
        <v>1</v>
      </c>
      <c r="O4622" s="58"/>
      <c r="P4622" s="58">
        <v>1079871.8</v>
      </c>
      <c r="Q4622" t="s">
        <v>113</v>
      </c>
      <c r="R4622" s="1" t="s">
        <v>158</v>
      </c>
    </row>
    <row r="4623" spans="3:18" x14ac:dyDescent="0.35">
      <c r="C4623" t="s">
        <v>51</v>
      </c>
      <c r="D4623" t="s">
        <v>20</v>
      </c>
      <c r="E4623" t="s">
        <v>49</v>
      </c>
      <c r="F4623" t="s">
        <v>46</v>
      </c>
      <c r="G4623" s="58">
        <v>4046844</v>
      </c>
      <c r="H4623" s="1" t="s">
        <v>48</v>
      </c>
      <c r="I4623" s="1" t="s">
        <v>108</v>
      </c>
      <c r="J4623" s="58">
        <v>117358476</v>
      </c>
      <c r="K4623" s="1" t="s">
        <v>106</v>
      </c>
      <c r="L4623" s="1" t="s">
        <v>124</v>
      </c>
      <c r="M4623" s="1" t="s">
        <v>123</v>
      </c>
      <c r="N4623" s="1">
        <v>1</v>
      </c>
      <c r="O4623" s="58"/>
      <c r="P4623" s="58">
        <v>4856212.8</v>
      </c>
      <c r="Q4623" t="s">
        <v>110</v>
      </c>
      <c r="R4623" s="1" t="s">
        <v>158</v>
      </c>
    </row>
    <row r="4624" spans="3:18" x14ac:dyDescent="0.35">
      <c r="C4624" t="s">
        <v>53</v>
      </c>
      <c r="D4624" t="s">
        <v>22</v>
      </c>
      <c r="E4624" t="s">
        <v>49</v>
      </c>
      <c r="F4624" t="s">
        <v>46</v>
      </c>
      <c r="G4624" s="58">
        <v>462908</v>
      </c>
      <c r="H4624" s="1" t="s">
        <v>54</v>
      </c>
      <c r="I4624" s="1" t="s">
        <v>119</v>
      </c>
      <c r="J4624" s="58">
        <v>3703264</v>
      </c>
      <c r="K4624" s="1" t="s">
        <v>106</v>
      </c>
      <c r="L4624" s="1" t="s">
        <v>124</v>
      </c>
      <c r="N4624" s="1">
        <v>1</v>
      </c>
      <c r="O4624" s="58"/>
      <c r="P4624" s="58">
        <v>236083.08</v>
      </c>
      <c r="Q4624" t="s">
        <v>113</v>
      </c>
      <c r="R4624" s="1" t="s">
        <v>158</v>
      </c>
    </row>
    <row r="4625" spans="3:18" x14ac:dyDescent="0.35">
      <c r="C4625" t="s">
        <v>51</v>
      </c>
      <c r="D4625" t="s">
        <v>20</v>
      </c>
      <c r="E4625" t="s">
        <v>49</v>
      </c>
      <c r="F4625" t="s">
        <v>46</v>
      </c>
      <c r="G4625" s="58">
        <v>4950743</v>
      </c>
      <c r="H4625" s="1" t="s">
        <v>56</v>
      </c>
      <c r="I4625" s="1" t="s">
        <v>108</v>
      </c>
      <c r="J4625" s="58">
        <v>153473033</v>
      </c>
      <c r="K4625" s="1" t="s">
        <v>106</v>
      </c>
      <c r="L4625" s="1" t="s">
        <v>124</v>
      </c>
      <c r="N4625" s="1">
        <v>1</v>
      </c>
      <c r="O4625" s="58"/>
      <c r="P4625" s="58">
        <v>4307146.41</v>
      </c>
      <c r="Q4625" t="s">
        <v>127</v>
      </c>
      <c r="R4625" s="1" t="s">
        <v>158</v>
      </c>
    </row>
    <row r="4626" spans="3:18" x14ac:dyDescent="0.35">
      <c r="C4626" t="s">
        <v>51</v>
      </c>
      <c r="D4626" t="s">
        <v>92</v>
      </c>
      <c r="E4626" t="s">
        <v>49</v>
      </c>
      <c r="F4626" t="s">
        <v>46</v>
      </c>
      <c r="G4626" s="58">
        <v>263865</v>
      </c>
      <c r="H4626" s="1" t="s">
        <v>47</v>
      </c>
      <c r="I4626" s="1" t="s">
        <v>108</v>
      </c>
      <c r="J4626" s="58">
        <v>8971410</v>
      </c>
      <c r="K4626" s="1" t="s">
        <v>106</v>
      </c>
      <c r="L4626" s="1" t="s">
        <v>120</v>
      </c>
      <c r="N4626" s="1">
        <v>1</v>
      </c>
      <c r="O4626" s="58"/>
      <c r="P4626" s="58">
        <v>374688.3</v>
      </c>
      <c r="Q4626" t="s">
        <v>110</v>
      </c>
      <c r="R4626" s="1" t="s">
        <v>158</v>
      </c>
    </row>
    <row r="4627" spans="3:18" x14ac:dyDescent="0.35">
      <c r="C4627" t="s">
        <v>51</v>
      </c>
      <c r="D4627" t="s">
        <v>21</v>
      </c>
      <c r="E4627" t="s">
        <v>45</v>
      </c>
      <c r="F4627" t="s">
        <v>46</v>
      </c>
      <c r="G4627" s="58">
        <v>274028</v>
      </c>
      <c r="H4627" s="1" t="s">
        <v>47</v>
      </c>
      <c r="I4627" s="1" t="s">
        <v>119</v>
      </c>
      <c r="J4627" s="58">
        <v>2466252</v>
      </c>
      <c r="K4627" s="1" t="s">
        <v>106</v>
      </c>
      <c r="L4627" s="1" t="s">
        <v>120</v>
      </c>
      <c r="N4627" s="1">
        <v>1</v>
      </c>
      <c r="O4627" s="58"/>
      <c r="P4627" s="58">
        <v>172637.64</v>
      </c>
      <c r="Q4627" t="s">
        <v>118</v>
      </c>
      <c r="R4627" s="1" t="s">
        <v>158</v>
      </c>
    </row>
    <row r="4628" spans="3:18" x14ac:dyDescent="0.35">
      <c r="C4628" t="s">
        <v>51</v>
      </c>
      <c r="D4628" t="s">
        <v>24</v>
      </c>
      <c r="E4628" t="s">
        <v>50</v>
      </c>
      <c r="F4628" t="s">
        <v>46</v>
      </c>
      <c r="G4628" s="58">
        <v>614110</v>
      </c>
      <c r="H4628" s="1" t="s">
        <v>48</v>
      </c>
      <c r="I4628" s="1" t="s">
        <v>108</v>
      </c>
      <c r="J4628" s="58">
        <v>19037410</v>
      </c>
      <c r="K4628" s="1" t="s">
        <v>112</v>
      </c>
      <c r="N4628" s="1">
        <v>1</v>
      </c>
      <c r="O4628" s="58"/>
      <c r="P4628" s="58">
        <v>331619.40000000002</v>
      </c>
      <c r="Q4628" t="s">
        <v>113</v>
      </c>
      <c r="R4628" s="1" t="s">
        <v>158</v>
      </c>
    </row>
    <row r="4629" spans="3:18" x14ac:dyDescent="0.35">
      <c r="C4629" t="s">
        <v>51</v>
      </c>
      <c r="D4629" t="s">
        <v>92</v>
      </c>
      <c r="E4629" t="s">
        <v>49</v>
      </c>
      <c r="F4629" t="s">
        <v>46</v>
      </c>
      <c r="G4629" s="58">
        <v>2934</v>
      </c>
      <c r="H4629" s="1" t="s">
        <v>47</v>
      </c>
      <c r="I4629" s="1" t="s">
        <v>105</v>
      </c>
      <c r="J4629" s="58"/>
      <c r="K4629" s="1" t="s">
        <v>106</v>
      </c>
      <c r="L4629" s="1" t="s">
        <v>124</v>
      </c>
      <c r="N4629" s="1">
        <v>0</v>
      </c>
      <c r="O4629" s="58"/>
      <c r="P4629" s="58">
        <v>58.68</v>
      </c>
      <c r="Q4629" t="s">
        <v>107</v>
      </c>
      <c r="R4629" s="1" t="s">
        <v>158</v>
      </c>
    </row>
    <row r="4630" spans="3:18" x14ac:dyDescent="0.35">
      <c r="C4630" t="s">
        <v>51</v>
      </c>
      <c r="D4630" t="s">
        <v>91</v>
      </c>
      <c r="E4630" t="s">
        <v>49</v>
      </c>
      <c r="F4630" t="s">
        <v>46</v>
      </c>
      <c r="G4630" s="58">
        <v>55596517</v>
      </c>
      <c r="H4630" s="1" t="s">
        <v>47</v>
      </c>
      <c r="I4630" s="1" t="s">
        <v>108</v>
      </c>
      <c r="J4630" s="58">
        <v>1501105959</v>
      </c>
      <c r="K4630" s="1" t="s">
        <v>106</v>
      </c>
      <c r="L4630" s="1" t="s">
        <v>124</v>
      </c>
      <c r="N4630" s="1">
        <v>1</v>
      </c>
      <c r="O4630" s="58"/>
      <c r="P4630" s="58">
        <v>27798258.5</v>
      </c>
      <c r="Q4630" t="s">
        <v>113</v>
      </c>
      <c r="R4630" s="1" t="s">
        <v>158</v>
      </c>
    </row>
    <row r="4631" spans="3:18" x14ac:dyDescent="0.35">
      <c r="C4631" t="s">
        <v>51</v>
      </c>
      <c r="D4631" t="s">
        <v>92</v>
      </c>
      <c r="E4631" t="s">
        <v>49</v>
      </c>
      <c r="F4631" t="s">
        <v>46</v>
      </c>
      <c r="G4631" s="58">
        <v>365889</v>
      </c>
      <c r="H4631" s="1" t="s">
        <v>48</v>
      </c>
      <c r="I4631" s="1" t="s">
        <v>111</v>
      </c>
      <c r="J4631" s="58">
        <v>6586002</v>
      </c>
      <c r="K4631" s="1" t="s">
        <v>112</v>
      </c>
      <c r="N4631" s="1">
        <v>1</v>
      </c>
      <c r="O4631" s="58"/>
      <c r="P4631" s="58">
        <v>109766.7</v>
      </c>
      <c r="Q4631" t="s">
        <v>107</v>
      </c>
      <c r="R4631" s="1" t="s">
        <v>158</v>
      </c>
    </row>
    <row r="4632" spans="3:18" x14ac:dyDescent="0.35">
      <c r="C4632" t="s">
        <v>51</v>
      </c>
      <c r="D4632" t="s">
        <v>24</v>
      </c>
      <c r="E4632" t="s">
        <v>45</v>
      </c>
      <c r="F4632" t="s">
        <v>46</v>
      </c>
      <c r="G4632" s="58">
        <v>2086937</v>
      </c>
      <c r="H4632" s="1" t="s">
        <v>48</v>
      </c>
      <c r="I4632" s="1" t="s">
        <v>108</v>
      </c>
      <c r="J4632" s="58">
        <v>75129732</v>
      </c>
      <c r="K4632" s="1" t="s">
        <v>112</v>
      </c>
      <c r="N4632" s="1">
        <v>1</v>
      </c>
      <c r="O4632" s="58"/>
      <c r="P4632" s="58">
        <v>1481725.27</v>
      </c>
      <c r="Q4632" t="s">
        <v>118</v>
      </c>
      <c r="R4632" s="1" t="s">
        <v>48</v>
      </c>
    </row>
    <row r="4633" spans="3:18" x14ac:dyDescent="0.35">
      <c r="C4633" t="s">
        <v>51</v>
      </c>
      <c r="D4633" t="s">
        <v>21</v>
      </c>
      <c r="E4633" t="s">
        <v>49</v>
      </c>
      <c r="F4633" t="s">
        <v>46</v>
      </c>
      <c r="G4633" s="58">
        <v>4471135</v>
      </c>
      <c r="H4633" s="1" t="s">
        <v>47</v>
      </c>
      <c r="I4633" s="1" t="s">
        <v>111</v>
      </c>
      <c r="J4633" s="58">
        <v>71538160</v>
      </c>
      <c r="K4633" s="1" t="s">
        <v>112</v>
      </c>
      <c r="N4633" s="1">
        <v>1</v>
      </c>
      <c r="O4633" s="58"/>
      <c r="P4633" s="58">
        <v>2995660.45</v>
      </c>
      <c r="Q4633" t="s">
        <v>118</v>
      </c>
      <c r="R4633" s="1" t="s">
        <v>158</v>
      </c>
    </row>
    <row r="4634" spans="3:18" x14ac:dyDescent="0.35">
      <c r="C4634" t="s">
        <v>53</v>
      </c>
      <c r="D4634" t="s">
        <v>22</v>
      </c>
      <c r="E4634" t="s">
        <v>45</v>
      </c>
      <c r="F4634" t="s">
        <v>46</v>
      </c>
      <c r="G4634" s="58">
        <v>1395055</v>
      </c>
      <c r="H4634" s="1" t="s">
        <v>48</v>
      </c>
      <c r="I4634" s="1" t="s">
        <v>111</v>
      </c>
      <c r="J4634" s="58">
        <v>18135715</v>
      </c>
      <c r="K4634" s="1" t="s">
        <v>106</v>
      </c>
      <c r="L4634" s="1" t="s">
        <v>120</v>
      </c>
      <c r="M4634" s="1" t="s">
        <v>115</v>
      </c>
      <c r="N4634" s="1">
        <v>1</v>
      </c>
      <c r="O4634" s="58"/>
      <c r="P4634" s="58">
        <v>892835.2</v>
      </c>
      <c r="Q4634" t="s">
        <v>118</v>
      </c>
      <c r="R4634" s="1" t="s">
        <v>158</v>
      </c>
    </row>
    <row r="4635" spans="3:18" x14ac:dyDescent="0.35">
      <c r="C4635" t="s">
        <v>51</v>
      </c>
      <c r="D4635" t="s">
        <v>22</v>
      </c>
      <c r="E4635" t="s">
        <v>49</v>
      </c>
      <c r="F4635" t="s">
        <v>46</v>
      </c>
      <c r="G4635" s="58">
        <v>425376</v>
      </c>
      <c r="H4635" s="1" t="s">
        <v>47</v>
      </c>
      <c r="I4635" s="1" t="s">
        <v>111</v>
      </c>
      <c r="J4635" s="58">
        <v>6380640</v>
      </c>
      <c r="K4635" s="1" t="s">
        <v>106</v>
      </c>
      <c r="L4635" s="1" t="s">
        <v>124</v>
      </c>
      <c r="N4635" s="1">
        <v>1</v>
      </c>
      <c r="O4635" s="58"/>
      <c r="P4635" s="58">
        <v>450898.56</v>
      </c>
      <c r="Q4635" t="s">
        <v>110</v>
      </c>
      <c r="R4635" s="1" t="s">
        <v>158</v>
      </c>
    </row>
    <row r="4636" spans="3:18" x14ac:dyDescent="0.35">
      <c r="C4636" t="s">
        <v>51</v>
      </c>
      <c r="D4636" t="s">
        <v>22</v>
      </c>
      <c r="E4636" t="s">
        <v>45</v>
      </c>
      <c r="F4636" t="s">
        <v>46</v>
      </c>
      <c r="G4636" s="58">
        <v>601313</v>
      </c>
      <c r="H4636" s="1" t="s">
        <v>48</v>
      </c>
      <c r="I4636" s="1" t="s">
        <v>128</v>
      </c>
      <c r="J4636" s="58"/>
      <c r="K4636" s="1" t="s">
        <v>106</v>
      </c>
      <c r="L4636" s="1" t="s">
        <v>120</v>
      </c>
      <c r="M4636" s="1" t="s">
        <v>115</v>
      </c>
      <c r="N4636" s="1">
        <v>0</v>
      </c>
      <c r="O4636" s="58"/>
      <c r="P4636" s="58">
        <v>360787.8</v>
      </c>
      <c r="Q4636" t="s">
        <v>113</v>
      </c>
      <c r="R4636" s="1" t="s">
        <v>158</v>
      </c>
    </row>
    <row r="4637" spans="3:18" x14ac:dyDescent="0.35">
      <c r="C4637" t="s">
        <v>51</v>
      </c>
      <c r="D4637" t="s">
        <v>23</v>
      </c>
      <c r="E4637" t="s">
        <v>45</v>
      </c>
      <c r="F4637" t="s">
        <v>46</v>
      </c>
      <c r="G4637" s="58">
        <v>22192199</v>
      </c>
      <c r="H4637" s="1" t="s">
        <v>59</v>
      </c>
      <c r="I4637" s="1" t="s">
        <v>119</v>
      </c>
      <c r="J4637" s="58">
        <v>155345393</v>
      </c>
      <c r="K4637" s="1" t="s">
        <v>106</v>
      </c>
      <c r="L4637" s="1" t="s">
        <v>120</v>
      </c>
      <c r="N4637" s="1">
        <v>1</v>
      </c>
      <c r="O4637" s="58"/>
      <c r="P4637" s="58">
        <v>5104205.7699999996</v>
      </c>
      <c r="Q4637" t="s">
        <v>107</v>
      </c>
      <c r="R4637" s="1" t="s">
        <v>158</v>
      </c>
    </row>
    <row r="4638" spans="3:18" x14ac:dyDescent="0.35">
      <c r="C4638" t="s">
        <v>51</v>
      </c>
      <c r="D4638" t="s">
        <v>91</v>
      </c>
      <c r="E4638" t="s">
        <v>62</v>
      </c>
      <c r="F4638" t="s">
        <v>46</v>
      </c>
      <c r="G4638" s="58">
        <v>55110</v>
      </c>
      <c r="H4638" s="1" t="s">
        <v>48</v>
      </c>
      <c r="I4638" s="1" t="s">
        <v>111</v>
      </c>
      <c r="J4638" s="58">
        <v>551100</v>
      </c>
      <c r="K4638" s="1" t="s">
        <v>106</v>
      </c>
      <c r="L4638" s="1" t="s">
        <v>131</v>
      </c>
      <c r="M4638" s="1" t="s">
        <v>122</v>
      </c>
      <c r="N4638" s="1">
        <v>1</v>
      </c>
      <c r="O4638" s="58"/>
      <c r="P4638" s="58">
        <v>34168.199999999997</v>
      </c>
      <c r="Q4638" t="s">
        <v>118</v>
      </c>
      <c r="R4638" s="1" t="s">
        <v>48</v>
      </c>
    </row>
    <row r="4639" spans="3:18" x14ac:dyDescent="0.35">
      <c r="C4639" t="s">
        <v>51</v>
      </c>
      <c r="D4639" t="s">
        <v>22</v>
      </c>
      <c r="E4639" t="s">
        <v>45</v>
      </c>
      <c r="F4639" t="s">
        <v>46</v>
      </c>
      <c r="G4639" s="58">
        <v>2025474</v>
      </c>
      <c r="H4639" s="1" t="s">
        <v>56</v>
      </c>
      <c r="I4639" s="1" t="s">
        <v>119</v>
      </c>
      <c r="J4639" s="58">
        <v>16203792</v>
      </c>
      <c r="K4639" s="1" t="s">
        <v>106</v>
      </c>
      <c r="L4639" s="1" t="s">
        <v>120</v>
      </c>
      <c r="N4639" s="1">
        <v>1</v>
      </c>
      <c r="O4639" s="58"/>
      <c r="P4639" s="58">
        <v>1316558.1000000001</v>
      </c>
      <c r="Q4639" t="s">
        <v>118</v>
      </c>
      <c r="R4639" s="1" t="s">
        <v>158</v>
      </c>
    </row>
    <row r="4640" spans="3:18" x14ac:dyDescent="0.35">
      <c r="C4640" t="s">
        <v>51</v>
      </c>
      <c r="D4640" t="s">
        <v>24</v>
      </c>
      <c r="E4640" t="s">
        <v>55</v>
      </c>
      <c r="F4640" t="s">
        <v>46</v>
      </c>
      <c r="G4640" s="58">
        <v>1666570</v>
      </c>
      <c r="H4640" s="1" t="s">
        <v>56</v>
      </c>
      <c r="I4640" s="1" t="s">
        <v>111</v>
      </c>
      <c r="J4640" s="58">
        <v>31664830</v>
      </c>
      <c r="K4640" s="1" t="s">
        <v>106</v>
      </c>
      <c r="L4640" s="1" t="s">
        <v>114</v>
      </c>
      <c r="N4640" s="1">
        <v>1</v>
      </c>
      <c r="O4640" s="58"/>
      <c r="P4640" s="58">
        <v>1133267.6000000001</v>
      </c>
      <c r="Q4640" t="s">
        <v>118</v>
      </c>
      <c r="R4640" s="1" t="s">
        <v>158</v>
      </c>
    </row>
    <row r="4641" spans="3:18" x14ac:dyDescent="0.35">
      <c r="C4641" t="s">
        <v>51</v>
      </c>
      <c r="D4641" t="s">
        <v>22</v>
      </c>
      <c r="E4641" t="s">
        <v>45</v>
      </c>
      <c r="F4641" t="s">
        <v>46</v>
      </c>
      <c r="G4641" s="58">
        <v>19373</v>
      </c>
      <c r="H4641" s="1" t="s">
        <v>47</v>
      </c>
      <c r="I4641" s="1" t="s">
        <v>119</v>
      </c>
      <c r="J4641" s="58">
        <v>174357</v>
      </c>
      <c r="K4641" s="1" t="s">
        <v>106</v>
      </c>
      <c r="L4641" s="1" t="s">
        <v>124</v>
      </c>
      <c r="N4641" s="1">
        <v>1</v>
      </c>
      <c r="O4641" s="58"/>
      <c r="P4641" s="58">
        <v>14917.21</v>
      </c>
      <c r="Q4641" t="s">
        <v>118</v>
      </c>
      <c r="R4641" s="1" t="s">
        <v>158</v>
      </c>
    </row>
    <row r="4642" spans="3:18" x14ac:dyDescent="0.35">
      <c r="C4642" t="s">
        <v>53</v>
      </c>
      <c r="D4642" t="s">
        <v>25</v>
      </c>
      <c r="E4642" t="s">
        <v>45</v>
      </c>
      <c r="F4642" t="s">
        <v>46</v>
      </c>
      <c r="G4642" s="58">
        <v>13</v>
      </c>
      <c r="H4642" s="1" t="s">
        <v>59</v>
      </c>
      <c r="I4642" s="1" t="s">
        <v>105</v>
      </c>
      <c r="J4642" s="58"/>
      <c r="K4642" s="1" t="s">
        <v>106</v>
      </c>
      <c r="L4642" s="1" t="s">
        <v>120</v>
      </c>
      <c r="N4642" s="1">
        <v>0</v>
      </c>
      <c r="O4642" s="58"/>
      <c r="P4642" s="58">
        <v>0</v>
      </c>
      <c r="Q4642" t="s">
        <v>107</v>
      </c>
      <c r="R4642" s="1" t="s">
        <v>158</v>
      </c>
    </row>
    <row r="4643" spans="3:18" x14ac:dyDescent="0.35">
      <c r="C4643" t="s">
        <v>51</v>
      </c>
      <c r="D4643" t="s">
        <v>21</v>
      </c>
      <c r="E4643" t="s">
        <v>49</v>
      </c>
      <c r="F4643" t="s">
        <v>46</v>
      </c>
      <c r="G4643" s="58">
        <v>581761</v>
      </c>
      <c r="H4643" s="1" t="s">
        <v>59</v>
      </c>
      <c r="I4643" s="1" t="s">
        <v>108</v>
      </c>
      <c r="J4643" s="58">
        <v>16289308</v>
      </c>
      <c r="K4643" s="1" t="s">
        <v>106</v>
      </c>
      <c r="L4643" s="1" t="s">
        <v>120</v>
      </c>
      <c r="N4643" s="1">
        <v>1</v>
      </c>
      <c r="O4643" s="58"/>
      <c r="P4643" s="58">
        <v>197798.74</v>
      </c>
      <c r="Q4643" t="s">
        <v>107</v>
      </c>
      <c r="R4643" s="1" t="s">
        <v>158</v>
      </c>
    </row>
    <row r="4644" spans="3:18" x14ac:dyDescent="0.35">
      <c r="C4644" t="s">
        <v>51</v>
      </c>
      <c r="D4644" t="s">
        <v>22</v>
      </c>
      <c r="E4644" t="s">
        <v>50</v>
      </c>
      <c r="F4644" t="s">
        <v>46</v>
      </c>
      <c r="G4644" s="58">
        <v>396648</v>
      </c>
      <c r="H4644" s="1" t="s">
        <v>48</v>
      </c>
      <c r="I4644" s="1" t="s">
        <v>111</v>
      </c>
      <c r="J4644" s="58">
        <v>6346368</v>
      </c>
      <c r="K4644" s="1" t="s">
        <v>112</v>
      </c>
      <c r="N4644" s="1">
        <v>1</v>
      </c>
      <c r="O4644" s="58"/>
      <c r="P4644" s="58">
        <v>103128.48</v>
      </c>
      <c r="Q4644" t="s">
        <v>107</v>
      </c>
      <c r="R4644" s="1" t="s">
        <v>48</v>
      </c>
    </row>
    <row r="4645" spans="3:18" x14ac:dyDescent="0.35">
      <c r="C4645" t="s">
        <v>51</v>
      </c>
      <c r="D4645" t="s">
        <v>22</v>
      </c>
      <c r="E4645" t="s">
        <v>45</v>
      </c>
      <c r="F4645" t="s">
        <v>64</v>
      </c>
      <c r="G4645" s="58">
        <v>337535</v>
      </c>
      <c r="H4645" s="1" t="s">
        <v>59</v>
      </c>
      <c r="I4645" s="1" t="s">
        <v>108</v>
      </c>
      <c r="J4645" s="58">
        <v>10126050</v>
      </c>
      <c r="K4645" s="1" t="s">
        <v>112</v>
      </c>
      <c r="N4645" s="1">
        <v>1</v>
      </c>
      <c r="O4645" s="58"/>
      <c r="P4645" s="58">
        <v>283529.40000000002</v>
      </c>
      <c r="Q4645" t="s">
        <v>127</v>
      </c>
      <c r="R4645" s="1" t="s">
        <v>158</v>
      </c>
    </row>
    <row r="4646" spans="3:18" x14ac:dyDescent="0.35">
      <c r="C4646" t="s">
        <v>51</v>
      </c>
      <c r="D4646" t="s">
        <v>92</v>
      </c>
      <c r="E4646" t="s">
        <v>49</v>
      </c>
      <c r="F4646" t="s">
        <v>46</v>
      </c>
      <c r="G4646" s="58">
        <v>434582</v>
      </c>
      <c r="H4646" s="1" t="s">
        <v>59</v>
      </c>
      <c r="I4646" s="1" t="s">
        <v>111</v>
      </c>
      <c r="J4646" s="58">
        <v>6953312</v>
      </c>
      <c r="K4646" s="1" t="s">
        <v>106</v>
      </c>
      <c r="L4646" s="1" t="s">
        <v>124</v>
      </c>
      <c r="N4646" s="1">
        <v>1</v>
      </c>
      <c r="O4646" s="58"/>
      <c r="P4646" s="58">
        <v>399815.44</v>
      </c>
      <c r="Q4646" t="s">
        <v>127</v>
      </c>
      <c r="R4646" s="1" t="s">
        <v>158</v>
      </c>
    </row>
    <row r="4647" spans="3:18" x14ac:dyDescent="0.35">
      <c r="C4647" t="s">
        <v>51</v>
      </c>
      <c r="D4647" t="s">
        <v>24</v>
      </c>
      <c r="E4647" t="s">
        <v>55</v>
      </c>
      <c r="F4647" t="s">
        <v>46</v>
      </c>
      <c r="G4647" s="58">
        <v>603462</v>
      </c>
      <c r="H4647" s="1" t="s">
        <v>47</v>
      </c>
      <c r="I4647" s="1" t="s">
        <v>111</v>
      </c>
      <c r="J4647" s="58">
        <v>9051930</v>
      </c>
      <c r="K4647" s="1" t="s">
        <v>106</v>
      </c>
      <c r="L4647" s="1" t="s">
        <v>124</v>
      </c>
      <c r="N4647" s="1">
        <v>1</v>
      </c>
      <c r="O4647" s="58"/>
      <c r="P4647" s="58">
        <v>199142.46</v>
      </c>
      <c r="Q4647" t="s">
        <v>107</v>
      </c>
      <c r="R4647" s="1" t="s">
        <v>158</v>
      </c>
    </row>
    <row r="4648" spans="3:18" x14ac:dyDescent="0.35">
      <c r="C4648" t="s">
        <v>51</v>
      </c>
      <c r="D4648" t="s">
        <v>22</v>
      </c>
      <c r="E4648" t="s">
        <v>49</v>
      </c>
      <c r="F4648" t="s">
        <v>46</v>
      </c>
      <c r="G4648" s="58">
        <v>3859523</v>
      </c>
      <c r="H4648" s="1" t="s">
        <v>54</v>
      </c>
      <c r="I4648" s="1" t="s">
        <v>119</v>
      </c>
      <c r="J4648" s="58">
        <v>30876184</v>
      </c>
      <c r="K4648" s="1" t="s">
        <v>106</v>
      </c>
      <c r="L4648" s="1" t="s">
        <v>124</v>
      </c>
      <c r="N4648" s="1">
        <v>1</v>
      </c>
      <c r="O4648" s="58"/>
      <c r="P4648" s="58">
        <v>1813975.81</v>
      </c>
      <c r="Q4648" t="s">
        <v>113</v>
      </c>
      <c r="R4648" s="1" t="s">
        <v>158</v>
      </c>
    </row>
    <row r="4649" spans="3:18" x14ac:dyDescent="0.35">
      <c r="C4649" t="s">
        <v>51</v>
      </c>
      <c r="D4649" t="s">
        <v>91</v>
      </c>
      <c r="E4649" t="s">
        <v>49</v>
      </c>
      <c r="F4649" t="s">
        <v>46</v>
      </c>
      <c r="G4649" s="58">
        <v>682750</v>
      </c>
      <c r="H4649" s="1" t="s">
        <v>47</v>
      </c>
      <c r="I4649" s="1" t="s">
        <v>111</v>
      </c>
      <c r="J4649" s="58">
        <v>12289500</v>
      </c>
      <c r="K4649" s="1" t="s">
        <v>106</v>
      </c>
      <c r="L4649" s="1" t="s">
        <v>120</v>
      </c>
      <c r="N4649" s="1">
        <v>1</v>
      </c>
      <c r="O4649" s="58"/>
      <c r="P4649" s="58">
        <v>423305</v>
      </c>
      <c r="Q4649" t="s">
        <v>118</v>
      </c>
      <c r="R4649" s="1" t="s">
        <v>158</v>
      </c>
    </row>
    <row r="4650" spans="3:18" x14ac:dyDescent="0.35">
      <c r="C4650" t="s">
        <v>51</v>
      </c>
      <c r="D4650" t="s">
        <v>24</v>
      </c>
      <c r="E4650" t="s">
        <v>52</v>
      </c>
      <c r="F4650" t="s">
        <v>46</v>
      </c>
      <c r="G4650" s="58">
        <v>1616600</v>
      </c>
      <c r="H4650" s="1" t="s">
        <v>48</v>
      </c>
      <c r="I4650" s="1" t="s">
        <v>108</v>
      </c>
      <c r="J4650" s="58">
        <v>61430800</v>
      </c>
      <c r="K4650" s="1" t="s">
        <v>112</v>
      </c>
      <c r="N4650" s="1">
        <v>1</v>
      </c>
      <c r="O4650" s="58"/>
      <c r="P4650" s="58">
        <v>1616600</v>
      </c>
      <c r="Q4650" t="s">
        <v>110</v>
      </c>
      <c r="R4650" s="1" t="s">
        <v>48</v>
      </c>
    </row>
    <row r="4651" spans="3:18" x14ac:dyDescent="0.35">
      <c r="C4651" t="s">
        <v>51</v>
      </c>
      <c r="D4651" t="s">
        <v>22</v>
      </c>
      <c r="E4651" t="s">
        <v>49</v>
      </c>
      <c r="F4651" t="s">
        <v>46</v>
      </c>
      <c r="G4651" s="58">
        <v>4707951</v>
      </c>
      <c r="H4651" s="1" t="s">
        <v>56</v>
      </c>
      <c r="I4651" s="1" t="s">
        <v>111</v>
      </c>
      <c r="J4651" s="58">
        <v>75327216</v>
      </c>
      <c r="K4651" s="1" t="s">
        <v>106</v>
      </c>
      <c r="L4651" s="1" t="s">
        <v>124</v>
      </c>
      <c r="N4651" s="1">
        <v>1</v>
      </c>
      <c r="O4651" s="58"/>
      <c r="P4651" s="58">
        <v>3201406.68</v>
      </c>
      <c r="Q4651" t="s">
        <v>118</v>
      </c>
      <c r="R4651" s="1" t="s">
        <v>158</v>
      </c>
    </row>
    <row r="4652" spans="3:18" x14ac:dyDescent="0.35">
      <c r="C4652" t="s">
        <v>51</v>
      </c>
      <c r="D4652" t="s">
        <v>25</v>
      </c>
      <c r="E4652" t="s">
        <v>55</v>
      </c>
      <c r="F4652" t="s">
        <v>46</v>
      </c>
      <c r="G4652" s="58">
        <v>109268</v>
      </c>
      <c r="H4652" s="1" t="s">
        <v>54</v>
      </c>
      <c r="I4652" s="1" t="s">
        <v>108</v>
      </c>
      <c r="J4652" s="58">
        <v>3715112</v>
      </c>
      <c r="K4652" s="1" t="s">
        <v>112</v>
      </c>
      <c r="N4652" s="1">
        <v>1</v>
      </c>
      <c r="O4652" s="58"/>
      <c r="P4652" s="58">
        <v>87414.399999999994</v>
      </c>
      <c r="Q4652" t="s">
        <v>118</v>
      </c>
      <c r="R4652" s="1" t="s">
        <v>158</v>
      </c>
    </row>
    <row r="4653" spans="3:18" x14ac:dyDescent="0.35">
      <c r="C4653" t="s">
        <v>51</v>
      </c>
      <c r="D4653" t="s">
        <v>22</v>
      </c>
      <c r="E4653" t="s">
        <v>45</v>
      </c>
      <c r="F4653" t="s">
        <v>46</v>
      </c>
      <c r="G4653" s="58">
        <v>98227</v>
      </c>
      <c r="H4653" s="1" t="s">
        <v>48</v>
      </c>
      <c r="I4653" s="1" t="s">
        <v>108</v>
      </c>
      <c r="J4653" s="58">
        <v>3339718</v>
      </c>
      <c r="K4653" s="1" t="s">
        <v>106</v>
      </c>
      <c r="L4653" s="1" t="s">
        <v>114</v>
      </c>
      <c r="M4653" s="1" t="s">
        <v>115</v>
      </c>
      <c r="N4653" s="1">
        <v>1</v>
      </c>
      <c r="O4653" s="58"/>
      <c r="P4653" s="58">
        <v>61883.01</v>
      </c>
      <c r="Q4653" t="s">
        <v>118</v>
      </c>
      <c r="R4653" s="1" t="s">
        <v>158</v>
      </c>
    </row>
    <row r="4654" spans="3:18" x14ac:dyDescent="0.35">
      <c r="C4654" t="s">
        <v>51</v>
      </c>
      <c r="D4654" t="s">
        <v>21</v>
      </c>
      <c r="E4654" t="s">
        <v>49</v>
      </c>
      <c r="F4654" t="s">
        <v>46</v>
      </c>
      <c r="G4654" s="58">
        <v>670206</v>
      </c>
      <c r="H4654" s="1" t="s">
        <v>48</v>
      </c>
      <c r="I4654" s="1" t="s">
        <v>111</v>
      </c>
      <c r="J4654" s="58">
        <v>12733914</v>
      </c>
      <c r="K4654" s="1" t="s">
        <v>112</v>
      </c>
      <c r="N4654" s="1">
        <v>1</v>
      </c>
      <c r="O4654" s="58"/>
      <c r="P4654" s="58">
        <v>562973.04</v>
      </c>
      <c r="Q4654" t="s">
        <v>127</v>
      </c>
      <c r="R4654" s="1" t="s">
        <v>158</v>
      </c>
    </row>
    <row r="4655" spans="3:18" x14ac:dyDescent="0.35">
      <c r="C4655" t="s">
        <v>51</v>
      </c>
      <c r="D4655" t="s">
        <v>91</v>
      </c>
      <c r="E4655" t="s">
        <v>49</v>
      </c>
      <c r="F4655" t="s">
        <v>46</v>
      </c>
      <c r="G4655" s="58">
        <v>2318498</v>
      </c>
      <c r="H4655" s="1" t="s">
        <v>47</v>
      </c>
      <c r="I4655" s="1" t="s">
        <v>108</v>
      </c>
      <c r="J4655" s="58">
        <v>62599446</v>
      </c>
      <c r="K4655" s="1" t="s">
        <v>106</v>
      </c>
      <c r="L4655" s="1" t="s">
        <v>120</v>
      </c>
      <c r="N4655" s="1">
        <v>1</v>
      </c>
      <c r="O4655" s="58"/>
      <c r="P4655" s="58">
        <v>533254.54</v>
      </c>
      <c r="Q4655" t="s">
        <v>107</v>
      </c>
      <c r="R4655" s="1" t="s">
        <v>158</v>
      </c>
    </row>
    <row r="4656" spans="3:18" x14ac:dyDescent="0.35">
      <c r="C4656" t="s">
        <v>51</v>
      </c>
      <c r="D4656" t="s">
        <v>19</v>
      </c>
      <c r="E4656" t="s">
        <v>49</v>
      </c>
      <c r="F4656" t="s">
        <v>46</v>
      </c>
      <c r="G4656" s="58">
        <v>1800772</v>
      </c>
      <c r="H4656" s="1" t="s">
        <v>59</v>
      </c>
      <c r="I4656" s="1" t="s">
        <v>108</v>
      </c>
      <c r="J4656" s="58">
        <v>59425476</v>
      </c>
      <c r="K4656" s="1" t="s">
        <v>112</v>
      </c>
      <c r="N4656" s="1">
        <v>1</v>
      </c>
      <c r="O4656" s="58"/>
      <c r="P4656" s="58">
        <v>414177.56</v>
      </c>
      <c r="Q4656" t="s">
        <v>107</v>
      </c>
      <c r="R4656" s="1" t="s">
        <v>158</v>
      </c>
    </row>
    <row r="4657" spans="3:18" x14ac:dyDescent="0.35">
      <c r="C4657" t="s">
        <v>51</v>
      </c>
      <c r="D4657" t="s">
        <v>24</v>
      </c>
      <c r="E4657" t="s">
        <v>62</v>
      </c>
      <c r="F4657" t="s">
        <v>46</v>
      </c>
      <c r="G4657" s="58">
        <v>479610</v>
      </c>
      <c r="H4657" s="1" t="s">
        <v>48</v>
      </c>
      <c r="I4657" s="1" t="s">
        <v>111</v>
      </c>
      <c r="J4657" s="58">
        <v>6714540</v>
      </c>
      <c r="K4657" s="1" t="s">
        <v>106</v>
      </c>
      <c r="L4657" s="1" t="s">
        <v>131</v>
      </c>
      <c r="M4657" s="1" t="s">
        <v>121</v>
      </c>
      <c r="N4657" s="1">
        <v>1</v>
      </c>
      <c r="O4657" s="58"/>
      <c r="P4657" s="58">
        <v>407668.5</v>
      </c>
      <c r="Q4657" t="s">
        <v>127</v>
      </c>
      <c r="R4657" s="1" t="s">
        <v>48</v>
      </c>
    </row>
    <row r="4658" spans="3:18" x14ac:dyDescent="0.35">
      <c r="C4658" t="s">
        <v>51</v>
      </c>
      <c r="D4658" t="s">
        <v>21</v>
      </c>
      <c r="E4658" t="s">
        <v>45</v>
      </c>
      <c r="F4658" t="s">
        <v>46</v>
      </c>
      <c r="G4658" s="58">
        <v>1226761</v>
      </c>
      <c r="H4658" s="1" t="s">
        <v>56</v>
      </c>
      <c r="I4658" s="1" t="s">
        <v>111</v>
      </c>
      <c r="J4658" s="58">
        <v>17174654</v>
      </c>
      <c r="K4658" s="1" t="s">
        <v>106</v>
      </c>
      <c r="L4658" s="1" t="s">
        <v>120</v>
      </c>
      <c r="N4658" s="1">
        <v>1</v>
      </c>
      <c r="O4658" s="58"/>
      <c r="P4658" s="58">
        <v>343493.08</v>
      </c>
      <c r="Q4658" t="s">
        <v>107</v>
      </c>
      <c r="R4658" s="1" t="s">
        <v>158</v>
      </c>
    </row>
    <row r="4659" spans="3:18" x14ac:dyDescent="0.35">
      <c r="C4659" t="s">
        <v>51</v>
      </c>
      <c r="D4659" t="s">
        <v>22</v>
      </c>
      <c r="E4659" t="s">
        <v>49</v>
      </c>
      <c r="F4659" t="s">
        <v>46</v>
      </c>
      <c r="G4659" s="58">
        <v>6093845</v>
      </c>
      <c r="H4659" s="1" t="s">
        <v>56</v>
      </c>
      <c r="I4659" s="1" t="s">
        <v>108</v>
      </c>
      <c r="J4659" s="58">
        <v>152346125</v>
      </c>
      <c r="K4659" s="1" t="s">
        <v>106</v>
      </c>
      <c r="L4659" s="1" t="s">
        <v>124</v>
      </c>
      <c r="N4659" s="1">
        <v>1</v>
      </c>
      <c r="O4659" s="58"/>
      <c r="P4659" s="58">
        <v>1828153.5</v>
      </c>
      <c r="Q4659" t="s">
        <v>107</v>
      </c>
      <c r="R4659" s="1" t="s">
        <v>158</v>
      </c>
    </row>
    <row r="4660" spans="3:18" x14ac:dyDescent="0.35">
      <c r="C4660" t="s">
        <v>53</v>
      </c>
      <c r="D4660" t="s">
        <v>21</v>
      </c>
      <c r="E4660" t="s">
        <v>45</v>
      </c>
      <c r="F4660" t="s">
        <v>46</v>
      </c>
      <c r="G4660" s="58">
        <v>225245</v>
      </c>
      <c r="H4660" s="1" t="s">
        <v>56</v>
      </c>
      <c r="I4660" s="1" t="s">
        <v>119</v>
      </c>
      <c r="J4660" s="58">
        <v>1801960</v>
      </c>
      <c r="K4660" s="1" t="s">
        <v>112</v>
      </c>
      <c r="N4660" s="1">
        <v>1</v>
      </c>
      <c r="O4660" s="58"/>
      <c r="P4660" s="58">
        <v>171186.2</v>
      </c>
      <c r="Q4660" t="s">
        <v>118</v>
      </c>
      <c r="R4660" s="1" t="s">
        <v>158</v>
      </c>
    </row>
    <row r="4661" spans="3:18" x14ac:dyDescent="0.35">
      <c r="C4661" t="s">
        <v>51</v>
      </c>
      <c r="D4661" t="s">
        <v>22</v>
      </c>
      <c r="E4661" t="s">
        <v>45</v>
      </c>
      <c r="F4661" t="s">
        <v>46</v>
      </c>
      <c r="G4661" s="58">
        <v>155152</v>
      </c>
      <c r="H4661" s="1" t="s">
        <v>59</v>
      </c>
      <c r="I4661" s="1" t="s">
        <v>111</v>
      </c>
      <c r="J4661" s="58">
        <v>2482432</v>
      </c>
      <c r="K4661" s="1" t="s">
        <v>106</v>
      </c>
      <c r="L4661" s="1" t="s">
        <v>124</v>
      </c>
      <c r="N4661" s="1">
        <v>1</v>
      </c>
      <c r="O4661" s="58"/>
      <c r="P4661" s="58">
        <v>29478.880000000001</v>
      </c>
      <c r="Q4661" t="s">
        <v>107</v>
      </c>
      <c r="R4661" s="1" t="s">
        <v>158</v>
      </c>
    </row>
    <row r="4662" spans="3:18" x14ac:dyDescent="0.35">
      <c r="C4662" t="s">
        <v>51</v>
      </c>
      <c r="D4662" t="s">
        <v>21</v>
      </c>
      <c r="E4662" t="s">
        <v>49</v>
      </c>
      <c r="F4662" t="s">
        <v>46</v>
      </c>
      <c r="G4662" s="58">
        <v>83116757</v>
      </c>
      <c r="H4662" s="1" t="s">
        <v>56</v>
      </c>
      <c r="I4662" s="1" t="s">
        <v>119</v>
      </c>
      <c r="J4662" s="58">
        <v>581817299</v>
      </c>
      <c r="K4662" s="1" t="s">
        <v>106</v>
      </c>
      <c r="L4662" s="1" t="s">
        <v>124</v>
      </c>
      <c r="N4662" s="1">
        <v>1</v>
      </c>
      <c r="O4662" s="58"/>
      <c r="P4662" s="58">
        <v>19116854.109999999</v>
      </c>
      <c r="Q4662" t="s">
        <v>107</v>
      </c>
      <c r="R4662" s="1" t="s">
        <v>158</v>
      </c>
    </row>
    <row r="4663" spans="3:18" x14ac:dyDescent="0.35">
      <c r="C4663" t="s">
        <v>51</v>
      </c>
      <c r="D4663" t="s">
        <v>19</v>
      </c>
      <c r="E4663" t="s">
        <v>49</v>
      </c>
      <c r="F4663" t="s">
        <v>46</v>
      </c>
      <c r="G4663" s="58">
        <v>139946</v>
      </c>
      <c r="H4663" s="1" t="s">
        <v>56</v>
      </c>
      <c r="I4663" s="1" t="s">
        <v>119</v>
      </c>
      <c r="J4663" s="58">
        <v>1119568</v>
      </c>
      <c r="K4663" s="1" t="s">
        <v>106</v>
      </c>
      <c r="L4663" s="1" t="s">
        <v>124</v>
      </c>
      <c r="N4663" s="1">
        <v>1</v>
      </c>
      <c r="O4663" s="58"/>
      <c r="P4663" s="58">
        <v>88165.98</v>
      </c>
      <c r="Q4663" t="s">
        <v>118</v>
      </c>
      <c r="R4663" s="1" t="s">
        <v>158</v>
      </c>
    </row>
    <row r="4664" spans="3:18" x14ac:dyDescent="0.35">
      <c r="C4664" t="s">
        <v>51</v>
      </c>
      <c r="D4664" t="s">
        <v>19</v>
      </c>
      <c r="E4664" t="s">
        <v>49</v>
      </c>
      <c r="F4664" t="s">
        <v>46</v>
      </c>
      <c r="G4664" s="58">
        <v>704395</v>
      </c>
      <c r="H4664" s="1" t="s">
        <v>56</v>
      </c>
      <c r="I4664" s="1" t="s">
        <v>108</v>
      </c>
      <c r="J4664" s="58">
        <v>18314270</v>
      </c>
      <c r="K4664" s="1" t="s">
        <v>112</v>
      </c>
      <c r="N4664" s="1">
        <v>1</v>
      </c>
      <c r="O4664" s="58"/>
      <c r="P4664" s="58">
        <v>183142.7</v>
      </c>
      <c r="Q4664" t="s">
        <v>107</v>
      </c>
      <c r="R4664" s="1" t="s">
        <v>158</v>
      </c>
    </row>
    <row r="4665" spans="3:18" x14ac:dyDescent="0.35">
      <c r="C4665" t="s">
        <v>51</v>
      </c>
      <c r="D4665" t="s">
        <v>23</v>
      </c>
      <c r="E4665" t="s">
        <v>45</v>
      </c>
      <c r="F4665" t="s">
        <v>46</v>
      </c>
      <c r="G4665" s="58">
        <v>4356251</v>
      </c>
      <c r="H4665" s="1" t="s">
        <v>48</v>
      </c>
      <c r="I4665" s="1" t="s">
        <v>108</v>
      </c>
      <c r="J4665" s="58">
        <v>148112534</v>
      </c>
      <c r="K4665" s="1" t="s">
        <v>112</v>
      </c>
      <c r="N4665" s="1">
        <v>1</v>
      </c>
      <c r="O4665" s="58"/>
      <c r="P4665" s="58">
        <v>2178125.5</v>
      </c>
      <c r="Q4665" t="s">
        <v>113</v>
      </c>
      <c r="R4665" s="1" t="s">
        <v>48</v>
      </c>
    </row>
    <row r="4666" spans="3:18" x14ac:dyDescent="0.35">
      <c r="C4666" t="s">
        <v>51</v>
      </c>
      <c r="D4666" t="s">
        <v>22</v>
      </c>
      <c r="E4666" t="s">
        <v>45</v>
      </c>
      <c r="F4666" t="s">
        <v>46</v>
      </c>
      <c r="G4666" s="58">
        <v>149017801</v>
      </c>
      <c r="H4666" s="1" t="s">
        <v>56</v>
      </c>
      <c r="I4666" s="1" t="s">
        <v>111</v>
      </c>
      <c r="J4666" s="58">
        <v>2384284816</v>
      </c>
      <c r="K4666" s="1" t="s">
        <v>106</v>
      </c>
      <c r="L4666" s="1" t="s">
        <v>120</v>
      </c>
      <c r="N4666" s="1">
        <v>1</v>
      </c>
      <c r="O4666" s="58"/>
      <c r="P4666" s="58">
        <v>74508900.5</v>
      </c>
      <c r="Q4666" t="s">
        <v>113</v>
      </c>
      <c r="R4666" s="1" t="s">
        <v>158</v>
      </c>
    </row>
    <row r="4667" spans="3:18" x14ac:dyDescent="0.35">
      <c r="C4667" t="s">
        <v>51</v>
      </c>
      <c r="D4667" t="s">
        <v>91</v>
      </c>
      <c r="E4667" t="s">
        <v>50</v>
      </c>
      <c r="F4667" t="s">
        <v>46</v>
      </c>
      <c r="G4667" s="58">
        <v>260192</v>
      </c>
      <c r="H4667" s="1" t="s">
        <v>48</v>
      </c>
      <c r="I4667" s="1" t="s">
        <v>108</v>
      </c>
      <c r="J4667" s="58">
        <v>7025184</v>
      </c>
      <c r="K4667" s="1" t="s">
        <v>112</v>
      </c>
      <c r="N4667" s="1">
        <v>1</v>
      </c>
      <c r="O4667" s="58"/>
      <c r="P4667" s="58">
        <v>208153.60000000001</v>
      </c>
      <c r="Q4667" t="s">
        <v>127</v>
      </c>
      <c r="R4667" s="1" t="s">
        <v>48</v>
      </c>
    </row>
    <row r="4668" spans="3:18" x14ac:dyDescent="0.35">
      <c r="C4668" t="s">
        <v>51</v>
      </c>
      <c r="D4668" t="s">
        <v>24</v>
      </c>
      <c r="E4668" t="s">
        <v>52</v>
      </c>
      <c r="F4668" t="s">
        <v>46</v>
      </c>
      <c r="G4668" s="58">
        <v>3772925</v>
      </c>
      <c r="H4668" s="1" t="s">
        <v>48</v>
      </c>
      <c r="I4668" s="1" t="s">
        <v>108</v>
      </c>
      <c r="J4668" s="58">
        <v>128279450</v>
      </c>
      <c r="K4668" s="1" t="s">
        <v>112</v>
      </c>
      <c r="N4668" s="1">
        <v>1</v>
      </c>
      <c r="O4668" s="58"/>
      <c r="P4668" s="58">
        <v>1924191.75</v>
      </c>
      <c r="Q4668" t="s">
        <v>113</v>
      </c>
      <c r="R4668" s="1" t="s">
        <v>48</v>
      </c>
    </row>
    <row r="4669" spans="3:18" x14ac:dyDescent="0.35">
      <c r="C4669" t="s">
        <v>51</v>
      </c>
      <c r="D4669" t="s">
        <v>24</v>
      </c>
      <c r="E4669" t="s">
        <v>55</v>
      </c>
      <c r="F4669" t="s">
        <v>64</v>
      </c>
      <c r="G4669" s="58">
        <v>132244</v>
      </c>
      <c r="H4669" s="1" t="s">
        <v>48</v>
      </c>
      <c r="I4669" s="1" t="s">
        <v>108</v>
      </c>
      <c r="J4669" s="58">
        <v>2909368</v>
      </c>
      <c r="K4669" s="1" t="s">
        <v>112</v>
      </c>
      <c r="N4669" s="1">
        <v>1</v>
      </c>
      <c r="O4669" s="58"/>
      <c r="P4669" s="58">
        <v>55542.48</v>
      </c>
      <c r="Q4669" t="s">
        <v>113</v>
      </c>
      <c r="R4669" s="1" t="s">
        <v>158</v>
      </c>
    </row>
    <row r="4670" spans="3:18" x14ac:dyDescent="0.35">
      <c r="C4670" t="s">
        <v>51</v>
      </c>
      <c r="D4670" t="s">
        <v>20</v>
      </c>
      <c r="E4670" t="s">
        <v>49</v>
      </c>
      <c r="F4670" t="s">
        <v>46</v>
      </c>
      <c r="G4670" s="58">
        <v>18006239</v>
      </c>
      <c r="H4670" s="1" t="s">
        <v>59</v>
      </c>
      <c r="I4670" s="1" t="s">
        <v>111</v>
      </c>
      <c r="J4670" s="58">
        <v>288099824</v>
      </c>
      <c r="K4670" s="1" t="s">
        <v>106</v>
      </c>
      <c r="L4670" s="1" t="s">
        <v>124</v>
      </c>
      <c r="N4670" s="1">
        <v>1</v>
      </c>
      <c r="O4670" s="58"/>
      <c r="P4670" s="58">
        <v>9003119.5</v>
      </c>
      <c r="Q4670" t="s">
        <v>113</v>
      </c>
      <c r="R4670" s="1" t="s">
        <v>158</v>
      </c>
    </row>
    <row r="4671" spans="3:18" x14ac:dyDescent="0.35">
      <c r="C4671" t="s">
        <v>51</v>
      </c>
      <c r="D4671" t="s">
        <v>22</v>
      </c>
      <c r="E4671" t="s">
        <v>49</v>
      </c>
      <c r="F4671" t="s">
        <v>46</v>
      </c>
      <c r="G4671" s="58">
        <v>1448587</v>
      </c>
      <c r="H4671" s="1" t="s">
        <v>59</v>
      </c>
      <c r="I4671" s="1" t="s">
        <v>111</v>
      </c>
      <c r="J4671" s="58">
        <v>26074566</v>
      </c>
      <c r="K4671" s="1" t="s">
        <v>106</v>
      </c>
      <c r="L4671" s="1" t="s">
        <v>124</v>
      </c>
      <c r="N4671" s="1">
        <v>1</v>
      </c>
      <c r="O4671" s="58"/>
      <c r="P4671" s="58">
        <v>941581.55</v>
      </c>
      <c r="Q4671" t="s">
        <v>118</v>
      </c>
      <c r="R4671" s="1" t="s">
        <v>158</v>
      </c>
    </row>
    <row r="4672" spans="3:18" x14ac:dyDescent="0.35">
      <c r="C4672" t="s">
        <v>51</v>
      </c>
      <c r="D4672" t="s">
        <v>22</v>
      </c>
      <c r="E4672" t="s">
        <v>45</v>
      </c>
      <c r="F4672" t="s">
        <v>46</v>
      </c>
      <c r="G4672" s="58">
        <v>491859</v>
      </c>
      <c r="H4672" s="1" t="s">
        <v>48</v>
      </c>
      <c r="I4672" s="1" t="s">
        <v>108</v>
      </c>
      <c r="J4672" s="58">
        <v>9837180</v>
      </c>
      <c r="K4672" s="1" t="s">
        <v>106</v>
      </c>
      <c r="L4672" s="1" t="s">
        <v>124</v>
      </c>
      <c r="M4672" s="1" t="s">
        <v>122</v>
      </c>
      <c r="N4672" s="1">
        <v>1</v>
      </c>
      <c r="O4672" s="58"/>
      <c r="P4672" s="58">
        <v>408242.97</v>
      </c>
      <c r="Q4672" t="s">
        <v>127</v>
      </c>
      <c r="R4672" s="1" t="s">
        <v>158</v>
      </c>
    </row>
    <row r="4673" spans="3:18" x14ac:dyDescent="0.35">
      <c r="C4673" t="s">
        <v>51</v>
      </c>
      <c r="D4673" t="s">
        <v>60</v>
      </c>
      <c r="E4673" t="s">
        <v>60</v>
      </c>
      <c r="F4673" t="s">
        <v>46</v>
      </c>
      <c r="G4673" s="58">
        <v>41733</v>
      </c>
      <c r="H4673" s="1" t="s">
        <v>90</v>
      </c>
      <c r="I4673" s="1" t="s">
        <v>111</v>
      </c>
      <c r="J4673" s="58">
        <v>751194</v>
      </c>
      <c r="K4673" s="1" t="s">
        <v>106</v>
      </c>
      <c r="N4673" s="1">
        <v>1</v>
      </c>
      <c r="O4673" s="58"/>
      <c r="P4673" s="58">
        <v>24622.47</v>
      </c>
      <c r="Q4673" t="s">
        <v>113</v>
      </c>
      <c r="R4673" s="1" t="s">
        <v>90</v>
      </c>
    </row>
    <row r="4674" spans="3:18" x14ac:dyDescent="0.35">
      <c r="C4674" t="s">
        <v>51</v>
      </c>
      <c r="D4674" t="s">
        <v>20</v>
      </c>
      <c r="E4674" t="s">
        <v>49</v>
      </c>
      <c r="F4674" t="s">
        <v>46</v>
      </c>
      <c r="G4674" s="58">
        <v>2949338</v>
      </c>
      <c r="H4674" s="1" t="s">
        <v>48</v>
      </c>
      <c r="I4674" s="1" t="s">
        <v>108</v>
      </c>
      <c r="J4674" s="58">
        <v>82581464</v>
      </c>
      <c r="K4674" s="1" t="s">
        <v>112</v>
      </c>
      <c r="N4674" s="1">
        <v>1</v>
      </c>
      <c r="O4674" s="58"/>
      <c r="P4674" s="58">
        <v>855308.02</v>
      </c>
      <c r="Q4674" t="s">
        <v>107</v>
      </c>
      <c r="R4674" s="1" t="s">
        <v>158</v>
      </c>
    </row>
    <row r="4675" spans="3:18" x14ac:dyDescent="0.35">
      <c r="C4675" t="s">
        <v>53</v>
      </c>
      <c r="D4675" t="s">
        <v>20</v>
      </c>
      <c r="E4675" t="s">
        <v>45</v>
      </c>
      <c r="F4675" t="s">
        <v>46</v>
      </c>
      <c r="G4675" s="58">
        <v>282963</v>
      </c>
      <c r="H4675" s="1" t="s">
        <v>54</v>
      </c>
      <c r="I4675" s="1" t="s">
        <v>105</v>
      </c>
      <c r="J4675" s="58">
        <v>1131852</v>
      </c>
      <c r="K4675" s="1" t="s">
        <v>106</v>
      </c>
      <c r="L4675" s="1" t="s">
        <v>120</v>
      </c>
      <c r="N4675" s="1">
        <v>1</v>
      </c>
      <c r="O4675" s="58"/>
      <c r="P4675" s="58">
        <v>130162.98</v>
      </c>
      <c r="Q4675" t="s">
        <v>113</v>
      </c>
      <c r="R4675" s="1" t="s">
        <v>158</v>
      </c>
    </row>
    <row r="4676" spans="3:18" x14ac:dyDescent="0.35">
      <c r="C4676" t="s">
        <v>51</v>
      </c>
      <c r="D4676" t="s">
        <v>22</v>
      </c>
      <c r="E4676" t="s">
        <v>45</v>
      </c>
      <c r="F4676" t="s">
        <v>46</v>
      </c>
      <c r="G4676" s="58">
        <v>5786720</v>
      </c>
      <c r="H4676" s="1" t="s">
        <v>47</v>
      </c>
      <c r="I4676" s="1" t="s">
        <v>105</v>
      </c>
      <c r="J4676" s="58">
        <v>23146880</v>
      </c>
      <c r="K4676" s="1" t="s">
        <v>106</v>
      </c>
      <c r="L4676" s="1" t="s">
        <v>120</v>
      </c>
      <c r="N4676" s="1">
        <v>1</v>
      </c>
      <c r="O4676" s="58"/>
      <c r="P4676" s="58">
        <v>4166438.4</v>
      </c>
      <c r="Q4676" t="s">
        <v>118</v>
      </c>
      <c r="R4676" s="1" t="s">
        <v>158</v>
      </c>
    </row>
    <row r="4677" spans="3:18" x14ac:dyDescent="0.35">
      <c r="C4677" t="s">
        <v>51</v>
      </c>
      <c r="D4677" t="s">
        <v>92</v>
      </c>
      <c r="E4677" t="s">
        <v>49</v>
      </c>
      <c r="F4677" t="s">
        <v>46</v>
      </c>
      <c r="G4677" s="58">
        <v>170709</v>
      </c>
      <c r="H4677" s="1" t="s">
        <v>48</v>
      </c>
      <c r="I4677" s="1" t="s">
        <v>108</v>
      </c>
      <c r="J4677" s="58">
        <v>3755598</v>
      </c>
      <c r="K4677" s="1" t="s">
        <v>106</v>
      </c>
      <c r="L4677" s="1" t="s">
        <v>120</v>
      </c>
      <c r="M4677" s="1" t="s">
        <v>125</v>
      </c>
      <c r="N4677" s="1">
        <v>1</v>
      </c>
      <c r="O4677" s="58"/>
      <c r="P4677" s="58">
        <v>95597.04</v>
      </c>
      <c r="Q4677" t="s">
        <v>113</v>
      </c>
      <c r="R4677" s="1" t="s">
        <v>48</v>
      </c>
    </row>
    <row r="4678" spans="3:18" x14ac:dyDescent="0.35">
      <c r="C4678" t="s">
        <v>51</v>
      </c>
      <c r="D4678" t="s">
        <v>22</v>
      </c>
      <c r="E4678" t="s">
        <v>49</v>
      </c>
      <c r="F4678" t="s">
        <v>46</v>
      </c>
      <c r="G4678" s="58">
        <v>2807724</v>
      </c>
      <c r="H4678" s="1" t="s">
        <v>54</v>
      </c>
      <c r="I4678" s="1" t="s">
        <v>108</v>
      </c>
      <c r="J4678" s="58">
        <v>92654892</v>
      </c>
      <c r="K4678" s="1" t="s">
        <v>112</v>
      </c>
      <c r="N4678" s="1">
        <v>1</v>
      </c>
      <c r="O4678" s="58"/>
      <c r="P4678" s="58">
        <v>1347707.52</v>
      </c>
      <c r="Q4678" t="s">
        <v>113</v>
      </c>
      <c r="R4678" s="1" t="s">
        <v>158</v>
      </c>
    </row>
    <row r="4679" spans="3:18" x14ac:dyDescent="0.35">
      <c r="C4679" t="s">
        <v>51</v>
      </c>
      <c r="D4679" t="s">
        <v>23</v>
      </c>
      <c r="E4679" t="s">
        <v>55</v>
      </c>
      <c r="F4679" t="s">
        <v>46</v>
      </c>
      <c r="G4679" s="58">
        <v>151646</v>
      </c>
      <c r="H4679" s="1" t="s">
        <v>48</v>
      </c>
      <c r="I4679" s="1" t="s">
        <v>108</v>
      </c>
      <c r="J4679" s="58">
        <v>5155964</v>
      </c>
      <c r="K4679" s="1" t="s">
        <v>106</v>
      </c>
      <c r="L4679" s="1" t="s">
        <v>120</v>
      </c>
      <c r="M4679" s="1" t="s">
        <v>122</v>
      </c>
      <c r="N4679" s="1">
        <v>1</v>
      </c>
      <c r="O4679" s="58"/>
      <c r="P4679" s="58">
        <v>121316.8</v>
      </c>
      <c r="Q4679" t="s">
        <v>127</v>
      </c>
      <c r="R4679" s="1" t="s">
        <v>48</v>
      </c>
    </row>
    <row r="4680" spans="3:18" x14ac:dyDescent="0.35">
      <c r="C4680" t="s">
        <v>51</v>
      </c>
      <c r="D4680" t="s">
        <v>22</v>
      </c>
      <c r="E4680" t="s">
        <v>49</v>
      </c>
      <c r="F4680" t="s">
        <v>46</v>
      </c>
      <c r="G4680" s="58">
        <v>127385</v>
      </c>
      <c r="H4680" s="1" t="s">
        <v>48</v>
      </c>
      <c r="I4680" s="1" t="s">
        <v>111</v>
      </c>
      <c r="J4680" s="58">
        <v>1910775</v>
      </c>
      <c r="K4680" s="1" t="s">
        <v>106</v>
      </c>
      <c r="L4680" s="1" t="s">
        <v>124</v>
      </c>
      <c r="M4680" s="1" t="s">
        <v>125</v>
      </c>
      <c r="N4680" s="1">
        <v>1</v>
      </c>
      <c r="O4680" s="58"/>
      <c r="P4680" s="58">
        <v>40763.199999999997</v>
      </c>
      <c r="Q4680" t="s">
        <v>107</v>
      </c>
      <c r="R4680" s="1" t="s">
        <v>158</v>
      </c>
    </row>
    <row r="4681" spans="3:18" x14ac:dyDescent="0.35">
      <c r="C4681" t="s">
        <v>51</v>
      </c>
      <c r="D4681" t="s">
        <v>21</v>
      </c>
      <c r="E4681" t="s">
        <v>49</v>
      </c>
      <c r="F4681" t="s">
        <v>46</v>
      </c>
      <c r="G4681" s="58">
        <v>321568025</v>
      </c>
      <c r="H4681" s="1" t="s">
        <v>59</v>
      </c>
      <c r="I4681" s="1" t="s">
        <v>108</v>
      </c>
      <c r="J4681" s="58">
        <v>8360768650</v>
      </c>
      <c r="K4681" s="1" t="s">
        <v>106</v>
      </c>
      <c r="L4681" s="1" t="s">
        <v>124</v>
      </c>
      <c r="N4681" s="1">
        <v>1</v>
      </c>
      <c r="O4681" s="58"/>
      <c r="P4681" s="58">
        <v>167215373</v>
      </c>
      <c r="Q4681" t="s">
        <v>113</v>
      </c>
      <c r="R4681" s="1" t="s">
        <v>158</v>
      </c>
    </row>
    <row r="4682" spans="3:18" x14ac:dyDescent="0.35">
      <c r="C4682" t="s">
        <v>51</v>
      </c>
      <c r="D4682" t="s">
        <v>24</v>
      </c>
      <c r="E4682" t="s">
        <v>50</v>
      </c>
      <c r="F4682" t="s">
        <v>46</v>
      </c>
      <c r="G4682" s="58">
        <v>405324</v>
      </c>
      <c r="H4682" s="1" t="s">
        <v>47</v>
      </c>
      <c r="I4682" s="1" t="s">
        <v>111</v>
      </c>
      <c r="J4682" s="58">
        <v>6890508</v>
      </c>
      <c r="K4682" s="1" t="s">
        <v>112</v>
      </c>
      <c r="N4682" s="1">
        <v>1</v>
      </c>
      <c r="O4682" s="58"/>
      <c r="P4682" s="58">
        <v>222928.2</v>
      </c>
      <c r="Q4682" t="s">
        <v>113</v>
      </c>
      <c r="R4682" s="1" t="s">
        <v>158</v>
      </c>
    </row>
    <row r="4683" spans="3:18" x14ac:dyDescent="0.35">
      <c r="C4683" t="s">
        <v>51</v>
      </c>
      <c r="D4683" t="s">
        <v>19</v>
      </c>
      <c r="E4683" t="s">
        <v>45</v>
      </c>
      <c r="F4683" t="s">
        <v>46</v>
      </c>
      <c r="G4683" s="58">
        <v>6974232</v>
      </c>
      <c r="H4683" s="1" t="s">
        <v>48</v>
      </c>
      <c r="I4683" s="1" t="s">
        <v>108</v>
      </c>
      <c r="J4683" s="58">
        <v>223175424</v>
      </c>
      <c r="K4683" s="1" t="s">
        <v>106</v>
      </c>
      <c r="L4683" s="1" t="s">
        <v>120</v>
      </c>
      <c r="M4683" s="1" t="s">
        <v>122</v>
      </c>
      <c r="N4683" s="1">
        <v>1</v>
      </c>
      <c r="O4683" s="58"/>
      <c r="P4683" s="58">
        <v>5718870.2400000002</v>
      </c>
      <c r="Q4683" t="s">
        <v>127</v>
      </c>
      <c r="R4683" s="1" t="s">
        <v>158</v>
      </c>
    </row>
    <row r="4684" spans="3:18" x14ac:dyDescent="0.35">
      <c r="C4684" t="s">
        <v>53</v>
      </c>
      <c r="D4684" t="s">
        <v>21</v>
      </c>
      <c r="E4684" t="s">
        <v>45</v>
      </c>
      <c r="F4684" t="s">
        <v>46</v>
      </c>
      <c r="G4684" s="58">
        <v>3883304</v>
      </c>
      <c r="H4684" s="1" t="s">
        <v>56</v>
      </c>
      <c r="I4684" s="1" t="s">
        <v>105</v>
      </c>
      <c r="J4684" s="58">
        <v>15533216</v>
      </c>
      <c r="K4684" s="1" t="s">
        <v>112</v>
      </c>
      <c r="N4684" s="1">
        <v>1</v>
      </c>
      <c r="O4684" s="58"/>
      <c r="P4684" s="58">
        <v>1980485.04</v>
      </c>
      <c r="Q4684" t="s">
        <v>113</v>
      </c>
      <c r="R4684" s="1" t="s">
        <v>158</v>
      </c>
    </row>
    <row r="4685" spans="3:18" x14ac:dyDescent="0.35">
      <c r="C4685" t="s">
        <v>51</v>
      </c>
      <c r="D4685" t="s">
        <v>21</v>
      </c>
      <c r="E4685" t="s">
        <v>50</v>
      </c>
      <c r="F4685" t="s">
        <v>46</v>
      </c>
      <c r="G4685" s="58">
        <v>1359095</v>
      </c>
      <c r="H4685" s="1" t="s">
        <v>48</v>
      </c>
      <c r="I4685" s="1" t="s">
        <v>108</v>
      </c>
      <c r="J4685" s="58">
        <v>48927420</v>
      </c>
      <c r="K4685" s="1" t="s">
        <v>106</v>
      </c>
      <c r="L4685" s="1" t="s">
        <v>109</v>
      </c>
      <c r="M4685" s="1" t="s">
        <v>126</v>
      </c>
      <c r="N4685" s="1">
        <v>1</v>
      </c>
      <c r="O4685" s="58"/>
      <c r="P4685" s="58">
        <v>1128048.8500000001</v>
      </c>
      <c r="Q4685" t="s">
        <v>127</v>
      </c>
      <c r="R4685" s="1" t="s">
        <v>48</v>
      </c>
    </row>
    <row r="4686" spans="3:18" x14ac:dyDescent="0.35">
      <c r="C4686" t="s">
        <v>51</v>
      </c>
      <c r="D4686" t="s">
        <v>25</v>
      </c>
      <c r="E4686" t="s">
        <v>55</v>
      </c>
      <c r="F4686" t="s">
        <v>46</v>
      </c>
      <c r="G4686" s="58">
        <v>2823262</v>
      </c>
      <c r="H4686" s="1" t="s">
        <v>54</v>
      </c>
      <c r="I4686" s="1" t="s">
        <v>108</v>
      </c>
      <c r="J4686" s="58">
        <v>70581550</v>
      </c>
      <c r="K4686" s="1" t="s">
        <v>106</v>
      </c>
      <c r="L4686" s="1" t="s">
        <v>114</v>
      </c>
      <c r="N4686" s="1">
        <v>1</v>
      </c>
      <c r="O4686" s="58"/>
      <c r="P4686" s="58">
        <v>790513.36</v>
      </c>
      <c r="Q4686" t="s">
        <v>107</v>
      </c>
      <c r="R4686" s="1" t="s">
        <v>158</v>
      </c>
    </row>
    <row r="4687" spans="3:18" x14ac:dyDescent="0.35">
      <c r="C4687" t="s">
        <v>53</v>
      </c>
      <c r="D4687" t="s">
        <v>21</v>
      </c>
      <c r="E4687" t="s">
        <v>45</v>
      </c>
      <c r="F4687" t="s">
        <v>46</v>
      </c>
      <c r="G4687" s="58">
        <v>8594248</v>
      </c>
      <c r="H4687" s="1" t="s">
        <v>48</v>
      </c>
      <c r="I4687" s="1" t="s">
        <v>111</v>
      </c>
      <c r="J4687" s="58">
        <v>111725224</v>
      </c>
      <c r="K4687" s="1" t="s">
        <v>106</v>
      </c>
      <c r="L4687" s="1" t="s">
        <v>120</v>
      </c>
      <c r="M4687" s="1" t="s">
        <v>126</v>
      </c>
      <c r="N4687" s="1">
        <v>1</v>
      </c>
      <c r="O4687" s="58"/>
      <c r="P4687" s="58">
        <v>2750159.36</v>
      </c>
      <c r="Q4687" t="s">
        <v>107</v>
      </c>
      <c r="R4687" s="1" t="s">
        <v>158</v>
      </c>
    </row>
    <row r="4688" spans="3:18" x14ac:dyDescent="0.35">
      <c r="C4688" t="s">
        <v>51</v>
      </c>
      <c r="D4688" t="s">
        <v>92</v>
      </c>
      <c r="E4688" t="s">
        <v>45</v>
      </c>
      <c r="F4688" t="s">
        <v>46</v>
      </c>
      <c r="G4688" s="58">
        <v>284931</v>
      </c>
      <c r="H4688" s="1" t="s">
        <v>48</v>
      </c>
      <c r="I4688" s="1" t="s">
        <v>108</v>
      </c>
      <c r="J4688" s="58">
        <v>9972585</v>
      </c>
      <c r="K4688" s="1" t="s">
        <v>106</v>
      </c>
      <c r="L4688" s="1" t="s">
        <v>120</v>
      </c>
      <c r="M4688" s="1" t="s">
        <v>115</v>
      </c>
      <c r="N4688" s="1">
        <v>1</v>
      </c>
      <c r="O4688" s="58"/>
      <c r="P4688" s="58">
        <v>225095.49</v>
      </c>
      <c r="Q4688" t="s">
        <v>118</v>
      </c>
      <c r="R4688" s="1" t="s">
        <v>48</v>
      </c>
    </row>
    <row r="4689" spans="3:18" x14ac:dyDescent="0.35">
      <c r="C4689" t="s">
        <v>51</v>
      </c>
      <c r="D4689" t="s">
        <v>24</v>
      </c>
      <c r="E4689" t="s">
        <v>45</v>
      </c>
      <c r="F4689" t="s">
        <v>46</v>
      </c>
      <c r="G4689" s="58">
        <v>4372063</v>
      </c>
      <c r="H4689" s="1" t="s">
        <v>48</v>
      </c>
      <c r="I4689" s="1" t="s">
        <v>108</v>
      </c>
      <c r="J4689" s="58">
        <v>157394268</v>
      </c>
      <c r="K4689" s="1" t="s">
        <v>112</v>
      </c>
      <c r="N4689" s="1">
        <v>1</v>
      </c>
      <c r="O4689" s="58"/>
      <c r="P4689" s="58">
        <v>3891136.07</v>
      </c>
      <c r="Q4689" t="s">
        <v>127</v>
      </c>
      <c r="R4689" s="1" t="s">
        <v>48</v>
      </c>
    </row>
    <row r="4690" spans="3:18" x14ac:dyDescent="0.35">
      <c r="C4690" t="s">
        <v>53</v>
      </c>
      <c r="D4690" t="s">
        <v>19</v>
      </c>
      <c r="E4690" t="s">
        <v>45</v>
      </c>
      <c r="F4690" t="s">
        <v>46</v>
      </c>
      <c r="G4690" s="58">
        <v>149384</v>
      </c>
      <c r="H4690" s="1" t="s">
        <v>54</v>
      </c>
      <c r="I4690" s="1" t="s">
        <v>128</v>
      </c>
      <c r="J4690" s="58"/>
      <c r="K4690" s="1" t="s">
        <v>106</v>
      </c>
      <c r="L4690" s="1" t="s">
        <v>120</v>
      </c>
      <c r="N4690" s="1">
        <v>0</v>
      </c>
      <c r="O4690" s="58"/>
      <c r="P4690" s="58">
        <v>38839.839999999997</v>
      </c>
      <c r="Q4690" t="s">
        <v>107</v>
      </c>
      <c r="R4690" s="1" t="s">
        <v>158</v>
      </c>
    </row>
    <row r="4691" spans="3:18" x14ac:dyDescent="0.35">
      <c r="C4691" t="s">
        <v>51</v>
      </c>
      <c r="D4691" t="s">
        <v>92</v>
      </c>
      <c r="E4691" t="s">
        <v>49</v>
      </c>
      <c r="F4691" t="s">
        <v>46</v>
      </c>
      <c r="G4691" s="58">
        <v>1040978</v>
      </c>
      <c r="H4691" s="1" t="s">
        <v>47</v>
      </c>
      <c r="I4691" s="1" t="s">
        <v>111</v>
      </c>
      <c r="J4691" s="58">
        <v>16655648</v>
      </c>
      <c r="K4691" s="1" t="s">
        <v>106</v>
      </c>
      <c r="L4691" s="1" t="s">
        <v>114</v>
      </c>
      <c r="N4691" s="1">
        <v>1</v>
      </c>
      <c r="O4691" s="58"/>
      <c r="P4691" s="58">
        <v>510079.22</v>
      </c>
      <c r="Q4691" t="s">
        <v>113</v>
      </c>
      <c r="R4691" s="1" t="s">
        <v>158</v>
      </c>
    </row>
    <row r="4692" spans="3:18" x14ac:dyDescent="0.35">
      <c r="C4692" t="s">
        <v>53</v>
      </c>
      <c r="D4692" t="s">
        <v>23</v>
      </c>
      <c r="E4692" t="s">
        <v>49</v>
      </c>
      <c r="F4692" t="s">
        <v>46</v>
      </c>
      <c r="G4692" s="58">
        <v>2755108</v>
      </c>
      <c r="H4692" s="1" t="s">
        <v>54</v>
      </c>
      <c r="I4692" s="1" t="s">
        <v>119</v>
      </c>
      <c r="J4692" s="58">
        <v>19285756</v>
      </c>
      <c r="K4692" s="1" t="s">
        <v>106</v>
      </c>
      <c r="L4692" s="1" t="s">
        <v>124</v>
      </c>
      <c r="N4692" s="1">
        <v>1</v>
      </c>
      <c r="O4692" s="58"/>
      <c r="P4692" s="58">
        <v>1212247.52</v>
      </c>
      <c r="Q4692" t="s">
        <v>113</v>
      </c>
      <c r="R4692" s="1" t="s">
        <v>158</v>
      </c>
    </row>
    <row r="4693" spans="3:18" x14ac:dyDescent="0.35">
      <c r="C4693" t="s">
        <v>51</v>
      </c>
      <c r="D4693" t="s">
        <v>23</v>
      </c>
      <c r="E4693" t="s">
        <v>55</v>
      </c>
      <c r="F4693" t="s">
        <v>46</v>
      </c>
      <c r="G4693" s="58">
        <v>128794</v>
      </c>
      <c r="H4693" s="1" t="s">
        <v>56</v>
      </c>
      <c r="I4693" s="1" t="s">
        <v>111</v>
      </c>
      <c r="J4693" s="58">
        <v>2318292</v>
      </c>
      <c r="K4693" s="1" t="s">
        <v>112</v>
      </c>
      <c r="N4693" s="1">
        <v>1</v>
      </c>
      <c r="O4693" s="58"/>
      <c r="P4693" s="58">
        <v>55381.42</v>
      </c>
      <c r="Q4693" t="s">
        <v>113</v>
      </c>
      <c r="R4693" s="1" t="s">
        <v>158</v>
      </c>
    </row>
    <row r="4694" spans="3:18" x14ac:dyDescent="0.35">
      <c r="C4694" t="s">
        <v>51</v>
      </c>
      <c r="D4694" t="s">
        <v>22</v>
      </c>
      <c r="E4694" t="s">
        <v>45</v>
      </c>
      <c r="F4694" t="s">
        <v>46</v>
      </c>
      <c r="G4694" s="58">
        <v>1448504</v>
      </c>
      <c r="H4694" s="1" t="s">
        <v>54</v>
      </c>
      <c r="I4694" s="1" t="s">
        <v>108</v>
      </c>
      <c r="J4694" s="58">
        <v>44903624</v>
      </c>
      <c r="K4694" s="1" t="s">
        <v>112</v>
      </c>
      <c r="N4694" s="1">
        <v>1</v>
      </c>
      <c r="O4694" s="58"/>
      <c r="P4694" s="58">
        <v>231760.64000000001</v>
      </c>
      <c r="Q4694" t="s">
        <v>107</v>
      </c>
      <c r="R4694" s="1" t="s">
        <v>158</v>
      </c>
    </row>
    <row r="4695" spans="3:18" x14ac:dyDescent="0.35">
      <c r="C4695" t="s">
        <v>53</v>
      </c>
      <c r="D4695" t="s">
        <v>92</v>
      </c>
      <c r="E4695" t="s">
        <v>55</v>
      </c>
      <c r="F4695" t="s">
        <v>46</v>
      </c>
      <c r="G4695" s="58">
        <v>393067</v>
      </c>
      <c r="H4695" s="1" t="s">
        <v>56</v>
      </c>
      <c r="I4695" s="1" t="s">
        <v>119</v>
      </c>
      <c r="J4695" s="58">
        <v>3930670</v>
      </c>
      <c r="K4695" s="1" t="s">
        <v>106</v>
      </c>
      <c r="L4695" s="1" t="s">
        <v>114</v>
      </c>
      <c r="N4695" s="1">
        <v>1</v>
      </c>
      <c r="O4695" s="58"/>
      <c r="P4695" s="58">
        <v>208325.51</v>
      </c>
      <c r="Q4695" t="s">
        <v>113</v>
      </c>
      <c r="R4695" s="1" t="s">
        <v>158</v>
      </c>
    </row>
    <row r="4696" spans="3:18" x14ac:dyDescent="0.35">
      <c r="C4696" t="s">
        <v>51</v>
      </c>
      <c r="D4696" t="s">
        <v>92</v>
      </c>
      <c r="E4696" t="s">
        <v>49</v>
      </c>
      <c r="F4696" t="s">
        <v>46</v>
      </c>
      <c r="G4696" s="58">
        <v>206874</v>
      </c>
      <c r="H4696" s="1" t="s">
        <v>48</v>
      </c>
      <c r="I4696" s="1" t="s">
        <v>111</v>
      </c>
      <c r="J4696" s="58">
        <v>3103110</v>
      </c>
      <c r="K4696" s="1" t="s">
        <v>106</v>
      </c>
      <c r="L4696" s="1" t="s">
        <v>120</v>
      </c>
      <c r="M4696" s="1" t="s">
        <v>115</v>
      </c>
      <c r="N4696" s="1">
        <v>1</v>
      </c>
      <c r="O4696" s="58"/>
      <c r="P4696" s="58">
        <v>64130.94</v>
      </c>
      <c r="Q4696" t="s">
        <v>107</v>
      </c>
      <c r="R4696" s="1" t="s">
        <v>48</v>
      </c>
    </row>
    <row r="4697" spans="3:18" x14ac:dyDescent="0.35">
      <c r="C4697" t="s">
        <v>51</v>
      </c>
      <c r="D4697" t="s">
        <v>91</v>
      </c>
      <c r="E4697" t="s">
        <v>49</v>
      </c>
      <c r="F4697" t="s">
        <v>46</v>
      </c>
      <c r="G4697" s="58">
        <v>676131</v>
      </c>
      <c r="H4697" s="1" t="s">
        <v>47</v>
      </c>
      <c r="I4697" s="1" t="s">
        <v>108</v>
      </c>
      <c r="J4697" s="58">
        <v>20960061</v>
      </c>
      <c r="K4697" s="1" t="s">
        <v>112</v>
      </c>
      <c r="N4697" s="1">
        <v>1</v>
      </c>
      <c r="O4697" s="58"/>
      <c r="P4697" s="58">
        <v>561188.73</v>
      </c>
      <c r="Q4697" t="s">
        <v>127</v>
      </c>
      <c r="R4697" s="1" t="s">
        <v>158</v>
      </c>
    </row>
    <row r="4698" spans="3:18" x14ac:dyDescent="0.35">
      <c r="C4698" t="s">
        <v>51</v>
      </c>
      <c r="D4698" t="s">
        <v>20</v>
      </c>
      <c r="E4698" t="s">
        <v>49</v>
      </c>
      <c r="F4698" t="s">
        <v>64</v>
      </c>
      <c r="G4698" s="58">
        <v>1097264</v>
      </c>
      <c r="H4698" s="1" t="s">
        <v>48</v>
      </c>
      <c r="I4698" s="1" t="s">
        <v>108</v>
      </c>
      <c r="J4698" s="58">
        <v>43890560</v>
      </c>
      <c r="K4698" s="1" t="s">
        <v>112</v>
      </c>
      <c r="N4698" s="1">
        <v>1</v>
      </c>
      <c r="O4698" s="58"/>
      <c r="P4698" s="58">
        <v>559604.64</v>
      </c>
      <c r="Q4698" t="s">
        <v>113</v>
      </c>
      <c r="R4698" s="1" t="s">
        <v>48</v>
      </c>
    </row>
    <row r="4699" spans="3:18" x14ac:dyDescent="0.35">
      <c r="C4699" t="s">
        <v>51</v>
      </c>
      <c r="D4699" t="s">
        <v>21</v>
      </c>
      <c r="E4699" t="s">
        <v>49</v>
      </c>
      <c r="F4699" t="s">
        <v>46</v>
      </c>
      <c r="G4699" s="58">
        <v>15734595</v>
      </c>
      <c r="H4699" s="1" t="s">
        <v>48</v>
      </c>
      <c r="I4699" s="1" t="s">
        <v>119</v>
      </c>
      <c r="J4699" s="58">
        <v>125876760</v>
      </c>
      <c r="K4699" s="1" t="s">
        <v>106</v>
      </c>
      <c r="L4699" s="1" t="s">
        <v>124</v>
      </c>
      <c r="M4699" s="1" t="s">
        <v>126</v>
      </c>
      <c r="N4699" s="1">
        <v>1</v>
      </c>
      <c r="O4699" s="58"/>
      <c r="P4699" s="58">
        <v>7395259.6500000004</v>
      </c>
      <c r="Q4699" t="s">
        <v>113</v>
      </c>
      <c r="R4699" s="1" t="s">
        <v>158</v>
      </c>
    </row>
    <row r="4700" spans="3:18" x14ac:dyDescent="0.35">
      <c r="C4700" t="s">
        <v>51</v>
      </c>
      <c r="D4700" t="s">
        <v>23</v>
      </c>
      <c r="E4700" t="s">
        <v>45</v>
      </c>
      <c r="F4700" t="s">
        <v>46</v>
      </c>
      <c r="G4700" s="58">
        <v>3485138</v>
      </c>
      <c r="H4700" s="1" t="s">
        <v>48</v>
      </c>
      <c r="I4700" s="1" t="s">
        <v>108</v>
      </c>
      <c r="J4700" s="58">
        <v>104554140</v>
      </c>
      <c r="K4700" s="1" t="s">
        <v>106</v>
      </c>
      <c r="L4700" s="1" t="s">
        <v>120</v>
      </c>
      <c r="M4700" s="1" t="s">
        <v>125</v>
      </c>
      <c r="N4700" s="1">
        <v>1</v>
      </c>
      <c r="O4700" s="58"/>
      <c r="P4700" s="58">
        <v>4286719.74</v>
      </c>
      <c r="Q4700" t="s">
        <v>110</v>
      </c>
      <c r="R4700" s="1" t="s">
        <v>158</v>
      </c>
    </row>
    <row r="4701" spans="3:18" x14ac:dyDescent="0.35">
      <c r="C4701" t="s">
        <v>51</v>
      </c>
      <c r="D4701" t="s">
        <v>25</v>
      </c>
      <c r="E4701" t="s">
        <v>55</v>
      </c>
      <c r="F4701" t="s">
        <v>46</v>
      </c>
      <c r="G4701" s="58">
        <v>588438</v>
      </c>
      <c r="H4701" s="1" t="s">
        <v>47</v>
      </c>
      <c r="I4701" s="1" t="s">
        <v>108</v>
      </c>
      <c r="J4701" s="58">
        <v>12945636</v>
      </c>
      <c r="K4701" s="1" t="s">
        <v>106</v>
      </c>
      <c r="L4701" s="1" t="s">
        <v>120</v>
      </c>
      <c r="N4701" s="1">
        <v>1</v>
      </c>
      <c r="O4701" s="58"/>
      <c r="P4701" s="58">
        <v>300103.38</v>
      </c>
      <c r="Q4701" t="s">
        <v>113</v>
      </c>
      <c r="R4701" s="1" t="s">
        <v>158</v>
      </c>
    </row>
    <row r="4702" spans="3:18" x14ac:dyDescent="0.35">
      <c r="C4702" t="s">
        <v>51</v>
      </c>
      <c r="D4702" t="s">
        <v>20</v>
      </c>
      <c r="E4702" t="s">
        <v>49</v>
      </c>
      <c r="F4702" t="s">
        <v>46</v>
      </c>
      <c r="G4702" s="58">
        <v>2085679</v>
      </c>
      <c r="H4702" s="1" t="s">
        <v>59</v>
      </c>
      <c r="I4702" s="1" t="s">
        <v>108</v>
      </c>
      <c r="J4702" s="58">
        <v>58399012</v>
      </c>
      <c r="K4702" s="1" t="s">
        <v>112</v>
      </c>
      <c r="N4702" s="1">
        <v>1</v>
      </c>
      <c r="O4702" s="58"/>
      <c r="P4702" s="58">
        <v>563133.32999999996</v>
      </c>
      <c r="Q4702" t="s">
        <v>107</v>
      </c>
      <c r="R4702" s="1" t="s">
        <v>158</v>
      </c>
    </row>
    <row r="4703" spans="3:18" x14ac:dyDescent="0.35">
      <c r="C4703" t="s">
        <v>51</v>
      </c>
      <c r="D4703" t="s">
        <v>23</v>
      </c>
      <c r="E4703" t="s">
        <v>45</v>
      </c>
      <c r="F4703" t="s">
        <v>46</v>
      </c>
      <c r="G4703" s="58">
        <v>368978</v>
      </c>
      <c r="H4703" s="1" t="s">
        <v>47</v>
      </c>
      <c r="I4703" s="1" t="s">
        <v>108</v>
      </c>
      <c r="J4703" s="58">
        <v>8855472</v>
      </c>
      <c r="K4703" s="1" t="s">
        <v>106</v>
      </c>
      <c r="L4703" s="1" t="s">
        <v>116</v>
      </c>
      <c r="N4703" s="1">
        <v>1</v>
      </c>
      <c r="O4703" s="58"/>
      <c r="P4703" s="58">
        <v>195558.34</v>
      </c>
      <c r="Q4703" t="s">
        <v>113</v>
      </c>
      <c r="R4703" s="1" t="s">
        <v>158</v>
      </c>
    </row>
    <row r="4704" spans="3:18" x14ac:dyDescent="0.35">
      <c r="C4704" t="s">
        <v>51</v>
      </c>
      <c r="D4704" t="s">
        <v>21</v>
      </c>
      <c r="E4704" t="s">
        <v>49</v>
      </c>
      <c r="F4704" t="s">
        <v>46</v>
      </c>
      <c r="G4704" s="58">
        <v>433737</v>
      </c>
      <c r="H4704" s="1" t="s">
        <v>47</v>
      </c>
      <c r="I4704" s="1" t="s">
        <v>128</v>
      </c>
      <c r="J4704" s="58"/>
      <c r="K4704" s="1" t="s">
        <v>106</v>
      </c>
      <c r="L4704" s="1" t="s">
        <v>124</v>
      </c>
      <c r="N4704" s="1">
        <v>0</v>
      </c>
      <c r="O4704" s="58"/>
      <c r="P4704" s="58">
        <v>26024.22</v>
      </c>
      <c r="Q4704" t="s">
        <v>107</v>
      </c>
      <c r="R4704" s="1" t="s">
        <v>158</v>
      </c>
    </row>
    <row r="4705" spans="3:18" x14ac:dyDescent="0.35">
      <c r="C4705" t="s">
        <v>53</v>
      </c>
      <c r="D4705" t="s">
        <v>25</v>
      </c>
      <c r="E4705" t="s">
        <v>55</v>
      </c>
      <c r="F4705" t="s">
        <v>46</v>
      </c>
      <c r="G4705" s="58">
        <v>154307</v>
      </c>
      <c r="H4705" s="1" t="s">
        <v>47</v>
      </c>
      <c r="I4705" s="1" t="s">
        <v>119</v>
      </c>
      <c r="J4705" s="58">
        <v>1234456</v>
      </c>
      <c r="K4705" s="1" t="s">
        <v>106</v>
      </c>
      <c r="L4705" s="1" t="s">
        <v>120</v>
      </c>
      <c r="N4705" s="1">
        <v>1</v>
      </c>
      <c r="O4705" s="58"/>
      <c r="P4705" s="58">
        <v>6172.28</v>
      </c>
      <c r="Q4705" t="s">
        <v>107</v>
      </c>
      <c r="R4705" s="1" t="s">
        <v>158</v>
      </c>
    </row>
    <row r="4706" spans="3:18" x14ac:dyDescent="0.35">
      <c r="C4706" t="s">
        <v>51</v>
      </c>
      <c r="D4706" t="s">
        <v>23</v>
      </c>
      <c r="E4706" t="s">
        <v>55</v>
      </c>
      <c r="F4706" t="s">
        <v>46</v>
      </c>
      <c r="G4706" s="58">
        <v>3018410</v>
      </c>
      <c r="H4706" s="1" t="s">
        <v>56</v>
      </c>
      <c r="I4706" s="1" t="s">
        <v>111</v>
      </c>
      <c r="J4706" s="58">
        <v>48294560</v>
      </c>
      <c r="K4706" s="1" t="s">
        <v>106</v>
      </c>
      <c r="L4706" s="1" t="s">
        <v>114</v>
      </c>
      <c r="N4706" s="1">
        <v>1</v>
      </c>
      <c r="O4706" s="58"/>
      <c r="P4706" s="58">
        <v>2022334.7</v>
      </c>
      <c r="Q4706" t="s">
        <v>118</v>
      </c>
      <c r="R4706" s="1" t="s">
        <v>158</v>
      </c>
    </row>
    <row r="4707" spans="3:18" x14ac:dyDescent="0.35">
      <c r="C4707" t="s">
        <v>51</v>
      </c>
      <c r="D4707" t="s">
        <v>22</v>
      </c>
      <c r="E4707" t="s">
        <v>49</v>
      </c>
      <c r="F4707" t="s">
        <v>46</v>
      </c>
      <c r="G4707" s="58">
        <v>12187080</v>
      </c>
      <c r="H4707" s="1" t="s">
        <v>48</v>
      </c>
      <c r="I4707" s="1" t="s">
        <v>108</v>
      </c>
      <c r="J4707" s="58">
        <v>438734880</v>
      </c>
      <c r="K4707" s="1" t="s">
        <v>112</v>
      </c>
      <c r="N4707" s="1">
        <v>1</v>
      </c>
      <c r="O4707" s="58"/>
      <c r="P4707" s="58">
        <v>10602759.6</v>
      </c>
      <c r="Q4707" t="s">
        <v>127</v>
      </c>
      <c r="R4707" s="1" t="s">
        <v>48</v>
      </c>
    </row>
    <row r="4708" spans="3:18" x14ac:dyDescent="0.35">
      <c r="C4708" t="s">
        <v>51</v>
      </c>
      <c r="D4708" t="s">
        <v>23</v>
      </c>
      <c r="E4708" t="s">
        <v>45</v>
      </c>
      <c r="F4708" t="s">
        <v>46</v>
      </c>
      <c r="G4708" s="58">
        <v>240639</v>
      </c>
      <c r="H4708" s="1" t="s">
        <v>47</v>
      </c>
      <c r="I4708" s="1" t="s">
        <v>119</v>
      </c>
      <c r="J4708" s="58">
        <v>1925112</v>
      </c>
      <c r="K4708" s="1" t="s">
        <v>112</v>
      </c>
      <c r="N4708" s="1">
        <v>1</v>
      </c>
      <c r="O4708" s="58"/>
      <c r="P4708" s="58">
        <v>156415.35</v>
      </c>
      <c r="Q4708" t="s">
        <v>118</v>
      </c>
      <c r="R4708" s="1" t="s">
        <v>158</v>
      </c>
    </row>
    <row r="4709" spans="3:18" x14ac:dyDescent="0.35">
      <c r="C4709" t="s">
        <v>51</v>
      </c>
      <c r="D4709" t="s">
        <v>24</v>
      </c>
      <c r="E4709" t="s">
        <v>55</v>
      </c>
      <c r="F4709" t="s">
        <v>46</v>
      </c>
      <c r="G4709" s="58">
        <v>730765</v>
      </c>
      <c r="H4709" s="1" t="s">
        <v>47</v>
      </c>
      <c r="I4709" s="1" t="s">
        <v>105</v>
      </c>
      <c r="J4709" s="58">
        <v>2192295</v>
      </c>
      <c r="K4709" s="1" t="s">
        <v>112</v>
      </c>
      <c r="N4709" s="1">
        <v>1</v>
      </c>
      <c r="O4709" s="58"/>
      <c r="P4709" s="58">
        <v>109614.75</v>
      </c>
      <c r="Q4709" t="s">
        <v>107</v>
      </c>
      <c r="R4709" s="1" t="s">
        <v>158</v>
      </c>
    </row>
    <row r="4710" spans="3:18" x14ac:dyDescent="0.35">
      <c r="C4710" t="s">
        <v>51</v>
      </c>
      <c r="D4710" t="s">
        <v>19</v>
      </c>
      <c r="E4710" t="s">
        <v>49</v>
      </c>
      <c r="F4710" t="s">
        <v>46</v>
      </c>
      <c r="G4710" s="58">
        <v>1454295</v>
      </c>
      <c r="H4710" s="1" t="s">
        <v>47</v>
      </c>
      <c r="I4710" s="1" t="s">
        <v>111</v>
      </c>
      <c r="J4710" s="58">
        <v>24723015</v>
      </c>
      <c r="K4710" s="1" t="s">
        <v>106</v>
      </c>
      <c r="L4710" s="1" t="s">
        <v>120</v>
      </c>
      <c r="N4710" s="1">
        <v>1</v>
      </c>
      <c r="O4710" s="58"/>
      <c r="P4710" s="58">
        <v>727147.5</v>
      </c>
      <c r="Q4710" t="s">
        <v>113</v>
      </c>
      <c r="R4710" s="1" t="s">
        <v>158</v>
      </c>
    </row>
    <row r="4711" spans="3:18" x14ac:dyDescent="0.35">
      <c r="C4711" t="s">
        <v>51</v>
      </c>
      <c r="D4711" t="s">
        <v>23</v>
      </c>
      <c r="E4711" t="s">
        <v>55</v>
      </c>
      <c r="F4711" t="s">
        <v>46</v>
      </c>
      <c r="G4711" s="58">
        <v>56950</v>
      </c>
      <c r="H4711" s="1" t="s">
        <v>48</v>
      </c>
      <c r="I4711" s="1" t="s">
        <v>111</v>
      </c>
      <c r="J4711" s="58">
        <v>797300</v>
      </c>
      <c r="K4711" s="1" t="s">
        <v>106</v>
      </c>
      <c r="L4711" s="1" t="s">
        <v>120</v>
      </c>
      <c r="M4711" s="1" t="s">
        <v>125</v>
      </c>
      <c r="N4711" s="1">
        <v>1</v>
      </c>
      <c r="O4711" s="58"/>
      <c r="P4711" s="58">
        <v>11959.5</v>
      </c>
      <c r="Q4711" t="s">
        <v>107</v>
      </c>
      <c r="R4711" s="1" t="s">
        <v>158</v>
      </c>
    </row>
    <row r="4712" spans="3:18" x14ac:dyDescent="0.35">
      <c r="C4712" t="s">
        <v>51</v>
      </c>
      <c r="D4712" t="s">
        <v>20</v>
      </c>
      <c r="E4712" t="s">
        <v>49</v>
      </c>
      <c r="F4712" t="s">
        <v>46</v>
      </c>
      <c r="G4712" s="58">
        <v>206282</v>
      </c>
      <c r="H4712" s="1" t="s">
        <v>54</v>
      </c>
      <c r="I4712" s="1" t="s">
        <v>108</v>
      </c>
      <c r="J4712" s="58">
        <v>5157050</v>
      </c>
      <c r="K4712" s="1" t="s">
        <v>106</v>
      </c>
      <c r="L4712" s="1" t="s">
        <v>120</v>
      </c>
      <c r="N4712" s="1">
        <v>1</v>
      </c>
      <c r="O4712" s="58"/>
      <c r="P4712" s="58">
        <v>142334.57999999999</v>
      </c>
      <c r="Q4712" t="s">
        <v>118</v>
      </c>
      <c r="R4712" s="1" t="s">
        <v>158</v>
      </c>
    </row>
    <row r="4713" spans="3:18" x14ac:dyDescent="0.35">
      <c r="C4713" t="s">
        <v>51</v>
      </c>
      <c r="D4713" t="s">
        <v>23</v>
      </c>
      <c r="E4713" t="s">
        <v>52</v>
      </c>
      <c r="F4713" t="s">
        <v>46</v>
      </c>
      <c r="G4713" s="58">
        <v>2040707</v>
      </c>
      <c r="H4713" s="1" t="s">
        <v>48</v>
      </c>
      <c r="I4713" s="1" t="s">
        <v>108</v>
      </c>
      <c r="J4713" s="58">
        <v>67343331</v>
      </c>
      <c r="K4713" s="1" t="s">
        <v>106</v>
      </c>
      <c r="L4713" s="1" t="s">
        <v>114</v>
      </c>
      <c r="M4713" s="1" t="s">
        <v>125</v>
      </c>
      <c r="N4713" s="1">
        <v>1</v>
      </c>
      <c r="O4713" s="58"/>
      <c r="P4713" s="58">
        <v>1693786.81</v>
      </c>
      <c r="Q4713" t="s">
        <v>127</v>
      </c>
      <c r="R4713" s="1" t="s">
        <v>48</v>
      </c>
    </row>
    <row r="4714" spans="3:18" x14ac:dyDescent="0.35">
      <c r="C4714" t="s">
        <v>51</v>
      </c>
      <c r="D4714" t="s">
        <v>23</v>
      </c>
      <c r="E4714" t="s">
        <v>45</v>
      </c>
      <c r="F4714" t="s">
        <v>46</v>
      </c>
      <c r="G4714" s="58">
        <v>63618</v>
      </c>
      <c r="H4714" s="1" t="s">
        <v>48</v>
      </c>
      <c r="I4714" s="1" t="s">
        <v>119</v>
      </c>
      <c r="J4714" s="58">
        <v>572562</v>
      </c>
      <c r="K4714" s="1" t="s">
        <v>112</v>
      </c>
      <c r="N4714" s="1">
        <v>1</v>
      </c>
      <c r="O4714" s="58"/>
      <c r="P4714" s="58">
        <v>13359.78</v>
      </c>
      <c r="Q4714" t="s">
        <v>107</v>
      </c>
      <c r="R4714" s="1" t="s">
        <v>48</v>
      </c>
    </row>
    <row r="4715" spans="3:18" x14ac:dyDescent="0.35">
      <c r="C4715" t="s">
        <v>51</v>
      </c>
      <c r="D4715" t="s">
        <v>23</v>
      </c>
      <c r="E4715" t="s">
        <v>52</v>
      </c>
      <c r="F4715" t="s">
        <v>64</v>
      </c>
      <c r="G4715" s="58">
        <v>177045</v>
      </c>
      <c r="H4715" s="1" t="s">
        <v>48</v>
      </c>
      <c r="I4715" s="1" t="s">
        <v>111</v>
      </c>
      <c r="J4715" s="58">
        <v>2478630</v>
      </c>
      <c r="K4715" s="1" t="s">
        <v>112</v>
      </c>
      <c r="N4715" s="1">
        <v>1</v>
      </c>
      <c r="O4715" s="58"/>
      <c r="P4715" s="58">
        <v>115079.25</v>
      </c>
      <c r="Q4715" t="s">
        <v>118</v>
      </c>
      <c r="R4715" s="1" t="s">
        <v>48</v>
      </c>
    </row>
    <row r="4716" spans="3:18" x14ac:dyDescent="0.35">
      <c r="C4716" t="s">
        <v>53</v>
      </c>
      <c r="D4716" t="s">
        <v>23</v>
      </c>
      <c r="E4716" t="s">
        <v>45</v>
      </c>
      <c r="F4716" t="s">
        <v>46</v>
      </c>
      <c r="G4716" s="58">
        <v>1085582</v>
      </c>
      <c r="H4716" s="1" t="s">
        <v>47</v>
      </c>
      <c r="I4716" s="1" t="s">
        <v>105</v>
      </c>
      <c r="J4716" s="58">
        <v>4342328</v>
      </c>
      <c r="K4716" s="1" t="s">
        <v>106</v>
      </c>
      <c r="L4716" s="1" t="s">
        <v>124</v>
      </c>
      <c r="N4716" s="1">
        <v>1</v>
      </c>
      <c r="O4716" s="58"/>
      <c r="P4716" s="58">
        <v>488511.9</v>
      </c>
      <c r="Q4716" t="s">
        <v>113</v>
      </c>
      <c r="R4716" s="1" t="s">
        <v>158</v>
      </c>
    </row>
    <row r="4717" spans="3:18" x14ac:dyDescent="0.35">
      <c r="C4717" t="s">
        <v>53</v>
      </c>
      <c r="D4717" t="s">
        <v>21</v>
      </c>
      <c r="E4717" t="s">
        <v>45</v>
      </c>
      <c r="F4717" t="s">
        <v>46</v>
      </c>
      <c r="G4717" s="58">
        <v>113081</v>
      </c>
      <c r="H4717" s="1" t="s">
        <v>59</v>
      </c>
      <c r="I4717" s="1" t="s">
        <v>128</v>
      </c>
      <c r="J4717" s="58"/>
      <c r="K4717" s="1" t="s">
        <v>106</v>
      </c>
      <c r="L4717" s="1" t="s">
        <v>120</v>
      </c>
      <c r="N4717" s="1">
        <v>0</v>
      </c>
      <c r="O4717" s="58"/>
      <c r="P4717" s="58">
        <v>20354.580000000002</v>
      </c>
      <c r="Q4717" t="s">
        <v>107</v>
      </c>
      <c r="R4717" s="1" t="s">
        <v>158</v>
      </c>
    </row>
    <row r="4718" spans="3:18" x14ac:dyDescent="0.35">
      <c r="C4718" t="s">
        <v>51</v>
      </c>
      <c r="D4718" t="s">
        <v>24</v>
      </c>
      <c r="E4718" t="s">
        <v>55</v>
      </c>
      <c r="F4718" t="s">
        <v>46</v>
      </c>
      <c r="G4718" s="58">
        <v>1755070</v>
      </c>
      <c r="H4718" s="1" t="s">
        <v>59</v>
      </c>
      <c r="I4718" s="1" t="s">
        <v>108</v>
      </c>
      <c r="J4718" s="58">
        <v>47386890</v>
      </c>
      <c r="K4718" s="1" t="s">
        <v>112</v>
      </c>
      <c r="N4718" s="1">
        <v>1</v>
      </c>
      <c r="O4718" s="58"/>
      <c r="P4718" s="58">
        <v>895085.7</v>
      </c>
      <c r="Q4718" t="s">
        <v>113</v>
      </c>
      <c r="R4718" s="1" t="s">
        <v>158</v>
      </c>
    </row>
    <row r="4719" spans="3:18" x14ac:dyDescent="0.35">
      <c r="C4719" t="s">
        <v>53</v>
      </c>
      <c r="D4719" t="s">
        <v>91</v>
      </c>
      <c r="E4719" t="s">
        <v>49</v>
      </c>
      <c r="F4719" t="s">
        <v>46</v>
      </c>
      <c r="G4719" s="58">
        <v>215815</v>
      </c>
      <c r="H4719" s="1" t="s">
        <v>47</v>
      </c>
      <c r="I4719" s="1" t="s">
        <v>108</v>
      </c>
      <c r="J4719" s="58">
        <v>6474450</v>
      </c>
      <c r="K4719" s="1" t="s">
        <v>106</v>
      </c>
      <c r="L4719" s="1" t="s">
        <v>124</v>
      </c>
      <c r="N4719" s="1">
        <v>1</v>
      </c>
      <c r="O4719" s="58"/>
      <c r="P4719" s="58">
        <v>51795.6</v>
      </c>
      <c r="Q4719" t="s">
        <v>107</v>
      </c>
      <c r="R4719" s="1" t="s">
        <v>158</v>
      </c>
    </row>
    <row r="4720" spans="3:18" x14ac:dyDescent="0.35">
      <c r="C4720" t="s">
        <v>53</v>
      </c>
      <c r="D4720" t="s">
        <v>23</v>
      </c>
      <c r="E4720" t="s">
        <v>49</v>
      </c>
      <c r="F4720" t="s">
        <v>46</v>
      </c>
      <c r="G4720" s="58">
        <v>1167039</v>
      </c>
      <c r="H4720" s="1" t="s">
        <v>54</v>
      </c>
      <c r="I4720" s="1" t="s">
        <v>105</v>
      </c>
      <c r="J4720" s="58">
        <v>3501117</v>
      </c>
      <c r="K4720" s="1" t="s">
        <v>106</v>
      </c>
      <c r="L4720" s="1" t="s">
        <v>124</v>
      </c>
      <c r="N4720" s="1">
        <v>1</v>
      </c>
      <c r="O4720" s="58"/>
      <c r="P4720" s="58">
        <v>0</v>
      </c>
      <c r="Q4720" t="s">
        <v>107</v>
      </c>
      <c r="R4720" s="1" t="s">
        <v>158</v>
      </c>
    </row>
    <row r="4721" spans="3:18" x14ac:dyDescent="0.35">
      <c r="C4721" t="s">
        <v>51</v>
      </c>
      <c r="D4721" t="s">
        <v>92</v>
      </c>
      <c r="E4721" t="s">
        <v>49</v>
      </c>
      <c r="F4721" t="s">
        <v>46</v>
      </c>
      <c r="G4721" s="58">
        <v>351537</v>
      </c>
      <c r="H4721" s="1" t="s">
        <v>48</v>
      </c>
      <c r="I4721" s="1" t="s">
        <v>108</v>
      </c>
      <c r="J4721" s="58">
        <v>9139962</v>
      </c>
      <c r="K4721" s="1" t="s">
        <v>106</v>
      </c>
      <c r="L4721" s="1" t="s">
        <v>120</v>
      </c>
      <c r="M4721" s="1" t="s">
        <v>115</v>
      </c>
      <c r="N4721" s="1">
        <v>1</v>
      </c>
      <c r="O4721" s="58"/>
      <c r="P4721" s="58">
        <v>319898.67</v>
      </c>
      <c r="Q4721" t="s">
        <v>127</v>
      </c>
      <c r="R4721" s="1" t="s">
        <v>48</v>
      </c>
    </row>
    <row r="4722" spans="3:18" x14ac:dyDescent="0.35">
      <c r="C4722" t="s">
        <v>53</v>
      </c>
      <c r="D4722" t="s">
        <v>23</v>
      </c>
      <c r="E4722" t="s">
        <v>55</v>
      </c>
      <c r="F4722" t="s">
        <v>46</v>
      </c>
      <c r="G4722" s="58">
        <v>1428407</v>
      </c>
      <c r="H4722" s="1" t="s">
        <v>47</v>
      </c>
      <c r="I4722" s="1" t="s">
        <v>111</v>
      </c>
      <c r="J4722" s="58">
        <v>17140884</v>
      </c>
      <c r="K4722" s="1" t="s">
        <v>112</v>
      </c>
      <c r="N4722" s="1">
        <v>1</v>
      </c>
      <c r="O4722" s="58"/>
      <c r="P4722" s="58">
        <v>842760.13</v>
      </c>
      <c r="Q4722" t="s">
        <v>113</v>
      </c>
      <c r="R4722" s="1" t="s">
        <v>158</v>
      </c>
    </row>
    <row r="4723" spans="3:18" x14ac:dyDescent="0.35">
      <c r="C4723" t="s">
        <v>44</v>
      </c>
      <c r="D4723" t="s">
        <v>22</v>
      </c>
      <c r="E4723" t="s">
        <v>45</v>
      </c>
      <c r="F4723" t="s">
        <v>46</v>
      </c>
      <c r="G4723" s="58">
        <v>975986</v>
      </c>
      <c r="H4723" s="1" t="s">
        <v>54</v>
      </c>
      <c r="I4723" s="1" t="s">
        <v>108</v>
      </c>
      <c r="J4723" s="58"/>
      <c r="N4723" s="1">
        <v>0</v>
      </c>
      <c r="O4723" s="58"/>
      <c r="P4723" s="58"/>
      <c r="R4723" s="1" t="s">
        <v>158</v>
      </c>
    </row>
    <row r="4724" spans="3:18" x14ac:dyDescent="0.35">
      <c r="C4724" t="s">
        <v>51</v>
      </c>
      <c r="D4724" t="s">
        <v>19</v>
      </c>
      <c r="E4724" t="s">
        <v>49</v>
      </c>
      <c r="F4724" t="s">
        <v>46</v>
      </c>
      <c r="G4724" s="58">
        <v>1142833</v>
      </c>
      <c r="H4724" s="1" t="s">
        <v>48</v>
      </c>
      <c r="I4724" s="1" t="s">
        <v>108</v>
      </c>
      <c r="J4724" s="58">
        <v>34284990</v>
      </c>
      <c r="K4724" s="1" t="s">
        <v>106</v>
      </c>
      <c r="L4724" s="1" t="s">
        <v>124</v>
      </c>
      <c r="M4724" s="1" t="s">
        <v>126</v>
      </c>
      <c r="N4724" s="1">
        <v>1</v>
      </c>
      <c r="O4724" s="58"/>
      <c r="P4724" s="58">
        <v>274279.92</v>
      </c>
      <c r="Q4724" t="s">
        <v>107</v>
      </c>
      <c r="R4724" s="1" t="s">
        <v>158</v>
      </c>
    </row>
    <row r="4725" spans="3:18" x14ac:dyDescent="0.35">
      <c r="C4725" t="s">
        <v>51</v>
      </c>
      <c r="D4725" t="s">
        <v>25</v>
      </c>
      <c r="E4725" t="s">
        <v>45</v>
      </c>
      <c r="F4725" t="s">
        <v>46</v>
      </c>
      <c r="G4725" s="58">
        <v>715201</v>
      </c>
      <c r="H4725" s="1" t="s">
        <v>47</v>
      </c>
      <c r="I4725" s="1" t="s">
        <v>108</v>
      </c>
      <c r="J4725" s="58">
        <v>18595226</v>
      </c>
      <c r="K4725" s="1" t="s">
        <v>106</v>
      </c>
      <c r="L4725" s="1" t="s">
        <v>120</v>
      </c>
      <c r="N4725" s="1">
        <v>1</v>
      </c>
      <c r="O4725" s="58"/>
      <c r="P4725" s="58">
        <v>364752.51</v>
      </c>
      <c r="Q4725" t="s">
        <v>113</v>
      </c>
      <c r="R4725" s="1" t="s">
        <v>158</v>
      </c>
    </row>
    <row r="4726" spans="3:18" x14ac:dyDescent="0.35">
      <c r="C4726" t="s">
        <v>51</v>
      </c>
      <c r="D4726" t="s">
        <v>21</v>
      </c>
      <c r="E4726" t="s">
        <v>49</v>
      </c>
      <c r="F4726" t="s">
        <v>46</v>
      </c>
      <c r="G4726" s="58">
        <v>12031507</v>
      </c>
      <c r="H4726" s="1" t="s">
        <v>47</v>
      </c>
      <c r="I4726" s="1" t="s">
        <v>108</v>
      </c>
      <c r="J4726" s="58">
        <v>360945210</v>
      </c>
      <c r="K4726" s="1" t="s">
        <v>106</v>
      </c>
      <c r="L4726" s="1" t="s">
        <v>120</v>
      </c>
      <c r="N4726" s="1">
        <v>1</v>
      </c>
      <c r="O4726" s="58"/>
      <c r="P4726" s="58">
        <v>8181424.7599999998</v>
      </c>
      <c r="Q4726" t="s">
        <v>118</v>
      </c>
      <c r="R4726" s="1" t="s">
        <v>158</v>
      </c>
    </row>
    <row r="4727" spans="3:18" x14ac:dyDescent="0.35">
      <c r="C4727" t="s">
        <v>51</v>
      </c>
      <c r="D4727" t="s">
        <v>92</v>
      </c>
      <c r="E4727" t="s">
        <v>49</v>
      </c>
      <c r="F4727" t="s">
        <v>46</v>
      </c>
      <c r="G4727" s="58">
        <v>23947089</v>
      </c>
      <c r="H4727" s="1" t="s">
        <v>47</v>
      </c>
      <c r="I4727" s="1" t="s">
        <v>119</v>
      </c>
      <c r="J4727" s="58">
        <v>167629623</v>
      </c>
      <c r="K4727" s="1" t="s">
        <v>106</v>
      </c>
      <c r="L4727" s="1" t="s">
        <v>124</v>
      </c>
      <c r="N4727" s="1">
        <v>1</v>
      </c>
      <c r="O4727" s="58"/>
      <c r="P4727" s="58">
        <v>5028888.6900000004</v>
      </c>
      <c r="Q4727" t="s">
        <v>107</v>
      </c>
      <c r="R4727" s="1" t="s">
        <v>158</v>
      </c>
    </row>
    <row r="4728" spans="3:18" x14ac:dyDescent="0.35">
      <c r="C4728" t="s">
        <v>51</v>
      </c>
      <c r="D4728" t="s">
        <v>92</v>
      </c>
      <c r="E4728" t="s">
        <v>55</v>
      </c>
      <c r="F4728" t="s">
        <v>46</v>
      </c>
      <c r="G4728" s="58">
        <v>450940</v>
      </c>
      <c r="H4728" s="1" t="s">
        <v>48</v>
      </c>
      <c r="I4728" s="1" t="s">
        <v>108</v>
      </c>
      <c r="J4728" s="58">
        <v>15331960</v>
      </c>
      <c r="K4728" s="1" t="s">
        <v>106</v>
      </c>
      <c r="L4728" s="1" t="s">
        <v>124</v>
      </c>
      <c r="M4728" s="1" t="s">
        <v>123</v>
      </c>
      <c r="N4728" s="1">
        <v>1</v>
      </c>
      <c r="O4728" s="58"/>
      <c r="P4728" s="58">
        <v>374280.2</v>
      </c>
      <c r="Q4728" t="s">
        <v>127</v>
      </c>
      <c r="R4728" s="1" t="s">
        <v>48</v>
      </c>
    </row>
    <row r="4729" spans="3:18" x14ac:dyDescent="0.35">
      <c r="C4729" t="s">
        <v>51</v>
      </c>
      <c r="D4729" t="s">
        <v>92</v>
      </c>
      <c r="E4729" t="s">
        <v>45</v>
      </c>
      <c r="F4729" t="s">
        <v>46</v>
      </c>
      <c r="G4729" s="58">
        <v>3476446</v>
      </c>
      <c r="H4729" s="1" t="s">
        <v>48</v>
      </c>
      <c r="I4729" s="1" t="s">
        <v>108</v>
      </c>
      <c r="J4729" s="58">
        <v>97340488</v>
      </c>
      <c r="K4729" s="1" t="s">
        <v>106</v>
      </c>
      <c r="L4729" s="1" t="s">
        <v>120</v>
      </c>
      <c r="M4729" s="1" t="s">
        <v>123</v>
      </c>
      <c r="N4729" s="1">
        <v>1</v>
      </c>
      <c r="O4729" s="58"/>
      <c r="P4729" s="58">
        <v>903875.96</v>
      </c>
      <c r="Q4729" t="s">
        <v>107</v>
      </c>
      <c r="R4729" s="1" t="s">
        <v>48</v>
      </c>
    </row>
    <row r="4730" spans="3:18" x14ac:dyDescent="0.35">
      <c r="C4730" t="s">
        <v>53</v>
      </c>
      <c r="D4730" t="s">
        <v>25</v>
      </c>
      <c r="E4730" t="s">
        <v>45</v>
      </c>
      <c r="F4730" t="s">
        <v>46</v>
      </c>
      <c r="G4730" s="58">
        <v>225542</v>
      </c>
      <c r="H4730" s="1" t="s">
        <v>47</v>
      </c>
      <c r="I4730" s="1" t="s">
        <v>105</v>
      </c>
      <c r="J4730" s="58">
        <v>451084</v>
      </c>
      <c r="K4730" s="1" t="s">
        <v>106</v>
      </c>
      <c r="L4730" s="1" t="s">
        <v>120</v>
      </c>
      <c r="N4730" s="1">
        <v>1</v>
      </c>
      <c r="O4730" s="58"/>
      <c r="P4730" s="58">
        <v>38342.14</v>
      </c>
      <c r="Q4730" t="s">
        <v>107</v>
      </c>
      <c r="R4730" s="1" t="s">
        <v>158</v>
      </c>
    </row>
    <row r="4731" spans="3:18" x14ac:dyDescent="0.35">
      <c r="C4731" t="s">
        <v>51</v>
      </c>
      <c r="D4731" t="s">
        <v>23</v>
      </c>
      <c r="E4731" t="s">
        <v>45</v>
      </c>
      <c r="F4731" t="s">
        <v>46</v>
      </c>
      <c r="G4731" s="58">
        <v>28435204</v>
      </c>
      <c r="H4731" s="1" t="s">
        <v>56</v>
      </c>
      <c r="I4731" s="1" t="s">
        <v>108</v>
      </c>
      <c r="J4731" s="58">
        <v>767750508</v>
      </c>
      <c r="K4731" s="1" t="s">
        <v>106</v>
      </c>
      <c r="L4731" s="1" t="s">
        <v>120</v>
      </c>
      <c r="N4731" s="1">
        <v>1</v>
      </c>
      <c r="O4731" s="58"/>
      <c r="P4731" s="58">
        <v>8246209.1600000001</v>
      </c>
      <c r="Q4731" t="s">
        <v>107</v>
      </c>
      <c r="R4731" s="1" t="s">
        <v>158</v>
      </c>
    </row>
    <row r="4732" spans="3:18" x14ac:dyDescent="0.35">
      <c r="C4732" t="s">
        <v>44</v>
      </c>
      <c r="D4732" t="s">
        <v>21</v>
      </c>
      <c r="E4732" t="s">
        <v>49</v>
      </c>
      <c r="F4732" t="s">
        <v>46</v>
      </c>
      <c r="G4732" s="58">
        <v>110000</v>
      </c>
      <c r="H4732" s="1" t="s">
        <v>58</v>
      </c>
      <c r="I4732" s="1" t="s">
        <v>108</v>
      </c>
      <c r="J4732" s="58"/>
      <c r="N4732" s="1">
        <v>0</v>
      </c>
      <c r="O4732" s="58"/>
      <c r="P4732" s="58"/>
      <c r="R4732" s="1" t="s">
        <v>158</v>
      </c>
    </row>
    <row r="4733" spans="3:18" x14ac:dyDescent="0.35">
      <c r="C4733" t="s">
        <v>51</v>
      </c>
      <c r="D4733" t="s">
        <v>92</v>
      </c>
      <c r="E4733" t="s">
        <v>49</v>
      </c>
      <c r="F4733" t="s">
        <v>46</v>
      </c>
      <c r="G4733" s="58">
        <v>6649568</v>
      </c>
      <c r="H4733" s="1" t="s">
        <v>47</v>
      </c>
      <c r="I4733" s="1" t="s">
        <v>105</v>
      </c>
      <c r="J4733" s="58">
        <v>19948704</v>
      </c>
      <c r="K4733" s="1" t="s">
        <v>106</v>
      </c>
      <c r="L4733" s="1" t="s">
        <v>124</v>
      </c>
      <c r="N4733" s="1">
        <v>1</v>
      </c>
      <c r="O4733" s="58"/>
      <c r="P4733" s="58">
        <v>797948.16</v>
      </c>
      <c r="Q4733" t="s">
        <v>107</v>
      </c>
      <c r="R4733" s="1" t="s">
        <v>158</v>
      </c>
    </row>
    <row r="4734" spans="3:18" x14ac:dyDescent="0.35">
      <c r="C4734" t="s">
        <v>51</v>
      </c>
      <c r="D4734" t="s">
        <v>24</v>
      </c>
      <c r="E4734" t="s">
        <v>50</v>
      </c>
      <c r="F4734" t="s">
        <v>46</v>
      </c>
      <c r="G4734" s="58">
        <v>562847</v>
      </c>
      <c r="H4734" s="1" t="s">
        <v>48</v>
      </c>
      <c r="I4734" s="1" t="s">
        <v>119</v>
      </c>
      <c r="J4734" s="58">
        <v>3939929</v>
      </c>
      <c r="K4734" s="1" t="s">
        <v>106</v>
      </c>
      <c r="L4734" s="1" t="s">
        <v>109</v>
      </c>
      <c r="M4734" s="1" t="s">
        <v>121</v>
      </c>
      <c r="N4734" s="1">
        <v>1</v>
      </c>
      <c r="O4734" s="58"/>
      <c r="P4734" s="58">
        <v>140711.75</v>
      </c>
      <c r="Q4734" t="s">
        <v>107</v>
      </c>
      <c r="R4734" s="1" t="s">
        <v>158</v>
      </c>
    </row>
    <row r="4735" spans="3:18" x14ac:dyDescent="0.35">
      <c r="C4735" t="s">
        <v>51</v>
      </c>
      <c r="D4735" t="s">
        <v>21</v>
      </c>
      <c r="E4735" t="s">
        <v>49</v>
      </c>
      <c r="F4735" t="s">
        <v>46</v>
      </c>
      <c r="G4735" s="58">
        <v>416000</v>
      </c>
      <c r="H4735" s="1" t="s">
        <v>56</v>
      </c>
      <c r="I4735" s="1" t="s">
        <v>105</v>
      </c>
      <c r="J4735" s="58">
        <v>1664000</v>
      </c>
      <c r="K4735" s="1" t="s">
        <v>106</v>
      </c>
      <c r="L4735" s="1" t="s">
        <v>124</v>
      </c>
      <c r="N4735" s="1">
        <v>1</v>
      </c>
      <c r="O4735" s="58"/>
      <c r="P4735" s="58">
        <v>478400</v>
      </c>
      <c r="Q4735" t="s">
        <v>110</v>
      </c>
      <c r="R4735" s="1" t="s">
        <v>158</v>
      </c>
    </row>
    <row r="4736" spans="3:18" x14ac:dyDescent="0.35">
      <c r="C4736" t="s">
        <v>51</v>
      </c>
      <c r="D4736" t="s">
        <v>19</v>
      </c>
      <c r="E4736" t="s">
        <v>49</v>
      </c>
      <c r="F4736" t="s">
        <v>46</v>
      </c>
      <c r="G4736" s="58">
        <v>4479226</v>
      </c>
      <c r="H4736" s="1" t="s">
        <v>48</v>
      </c>
      <c r="I4736" s="1" t="s">
        <v>108</v>
      </c>
      <c r="J4736" s="58">
        <v>138856006</v>
      </c>
      <c r="K4736" s="1" t="s">
        <v>106</v>
      </c>
      <c r="L4736" s="1" t="s">
        <v>124</v>
      </c>
      <c r="M4736" s="1" t="s">
        <v>122</v>
      </c>
      <c r="N4736" s="1">
        <v>1</v>
      </c>
      <c r="O4736" s="58"/>
      <c r="P4736" s="58">
        <v>5285486.68</v>
      </c>
      <c r="Q4736" t="s">
        <v>110</v>
      </c>
      <c r="R4736" s="1" t="s">
        <v>158</v>
      </c>
    </row>
    <row r="4737" spans="3:18" x14ac:dyDescent="0.35">
      <c r="C4737" t="s">
        <v>51</v>
      </c>
      <c r="D4737" t="s">
        <v>22</v>
      </c>
      <c r="E4737" t="s">
        <v>49</v>
      </c>
      <c r="F4737" t="s">
        <v>46</v>
      </c>
      <c r="G4737" s="58">
        <v>452595</v>
      </c>
      <c r="H4737" s="1" t="s">
        <v>48</v>
      </c>
      <c r="I4737" s="1" t="s">
        <v>108</v>
      </c>
      <c r="J4737" s="58">
        <v>14483040</v>
      </c>
      <c r="K4737" s="1" t="s">
        <v>106</v>
      </c>
      <c r="L4737" s="1" t="s">
        <v>120</v>
      </c>
      <c r="M4737" s="1" t="s">
        <v>115</v>
      </c>
      <c r="N4737" s="1">
        <v>1</v>
      </c>
      <c r="O4737" s="58"/>
      <c r="P4737" s="58">
        <v>126726.6</v>
      </c>
      <c r="Q4737" t="s">
        <v>107</v>
      </c>
      <c r="R4737" s="1" t="s">
        <v>158</v>
      </c>
    </row>
    <row r="4738" spans="3:18" x14ac:dyDescent="0.35">
      <c r="C4738" t="s">
        <v>51</v>
      </c>
      <c r="D4738" t="s">
        <v>24</v>
      </c>
      <c r="E4738" t="s">
        <v>55</v>
      </c>
      <c r="F4738" t="s">
        <v>46</v>
      </c>
      <c r="G4738" s="58">
        <v>2353117</v>
      </c>
      <c r="H4738" s="1" t="s">
        <v>47</v>
      </c>
      <c r="I4738" s="1" t="s">
        <v>111</v>
      </c>
      <c r="J4738" s="58">
        <v>37649872</v>
      </c>
      <c r="K4738" s="1" t="s">
        <v>106</v>
      </c>
      <c r="L4738" s="1" t="s">
        <v>114</v>
      </c>
      <c r="N4738" s="1">
        <v>1</v>
      </c>
      <c r="O4738" s="58"/>
      <c r="P4738" s="58">
        <v>2000149.45</v>
      </c>
      <c r="Q4738" t="s">
        <v>127</v>
      </c>
      <c r="R4738" s="1" t="s">
        <v>158</v>
      </c>
    </row>
    <row r="4739" spans="3:18" x14ac:dyDescent="0.35">
      <c r="C4739" t="s">
        <v>51</v>
      </c>
      <c r="D4739" t="s">
        <v>21</v>
      </c>
      <c r="E4739" t="s">
        <v>49</v>
      </c>
      <c r="F4739" t="s">
        <v>46</v>
      </c>
      <c r="G4739" s="58">
        <v>11353975</v>
      </c>
      <c r="H4739" s="1" t="s">
        <v>59</v>
      </c>
      <c r="I4739" s="1" t="s">
        <v>108</v>
      </c>
      <c r="J4739" s="58">
        <v>340619250</v>
      </c>
      <c r="K4739" s="1" t="s">
        <v>112</v>
      </c>
      <c r="N4739" s="1">
        <v>1</v>
      </c>
      <c r="O4739" s="58"/>
      <c r="P4739" s="58">
        <v>8174862</v>
      </c>
      <c r="Q4739" t="s">
        <v>118</v>
      </c>
      <c r="R4739" s="1" t="s">
        <v>158</v>
      </c>
    </row>
    <row r="4740" spans="3:18" x14ac:dyDescent="0.35">
      <c r="C4740" t="s">
        <v>51</v>
      </c>
      <c r="D4740" t="s">
        <v>22</v>
      </c>
      <c r="E4740" t="s">
        <v>45</v>
      </c>
      <c r="F4740" t="s">
        <v>64</v>
      </c>
      <c r="G4740" s="58">
        <v>658083</v>
      </c>
      <c r="H4740" s="1" t="s">
        <v>47</v>
      </c>
      <c r="I4740" s="1" t="s">
        <v>108</v>
      </c>
      <c r="J4740" s="58">
        <v>18426324</v>
      </c>
      <c r="K4740" s="1" t="s">
        <v>112</v>
      </c>
      <c r="N4740" s="1">
        <v>1</v>
      </c>
      <c r="O4740" s="58"/>
      <c r="P4740" s="58">
        <v>125035.77</v>
      </c>
      <c r="Q4740" t="s">
        <v>107</v>
      </c>
      <c r="R4740" s="1" t="s">
        <v>158</v>
      </c>
    </row>
    <row r="4741" spans="3:18" x14ac:dyDescent="0.35">
      <c r="C4741" t="s">
        <v>51</v>
      </c>
      <c r="D4741" t="s">
        <v>92</v>
      </c>
      <c r="E4741" t="s">
        <v>49</v>
      </c>
      <c r="F4741" t="s">
        <v>46</v>
      </c>
      <c r="G4741" s="58">
        <v>4358858</v>
      </c>
      <c r="H4741" s="1" t="s">
        <v>59</v>
      </c>
      <c r="I4741" s="1" t="s">
        <v>105</v>
      </c>
      <c r="J4741" s="58">
        <v>13076574</v>
      </c>
      <c r="K4741" s="1" t="s">
        <v>106</v>
      </c>
      <c r="L4741" s="1" t="s">
        <v>124</v>
      </c>
      <c r="N4741" s="1">
        <v>1</v>
      </c>
      <c r="O4741" s="58"/>
      <c r="P4741" s="58">
        <v>523062.96</v>
      </c>
      <c r="Q4741" t="s">
        <v>107</v>
      </c>
      <c r="R4741" s="1" t="s">
        <v>158</v>
      </c>
    </row>
    <row r="4742" spans="3:18" x14ac:dyDescent="0.35">
      <c r="C4742" t="s">
        <v>51</v>
      </c>
      <c r="D4742" t="s">
        <v>92</v>
      </c>
      <c r="E4742" t="s">
        <v>49</v>
      </c>
      <c r="F4742" t="s">
        <v>64</v>
      </c>
      <c r="G4742" s="58">
        <v>895645</v>
      </c>
      <c r="H4742" s="1" t="s">
        <v>48</v>
      </c>
      <c r="I4742" s="1" t="s">
        <v>108</v>
      </c>
      <c r="J4742" s="58">
        <v>25973705</v>
      </c>
      <c r="K4742" s="1" t="s">
        <v>112</v>
      </c>
      <c r="N4742" s="1">
        <v>1</v>
      </c>
      <c r="O4742" s="58"/>
      <c r="P4742" s="58">
        <v>447822.5</v>
      </c>
      <c r="Q4742" t="s">
        <v>113</v>
      </c>
      <c r="R4742" s="1" t="s">
        <v>48</v>
      </c>
    </row>
    <row r="4743" spans="3:18" x14ac:dyDescent="0.35">
      <c r="C4743" t="s">
        <v>51</v>
      </c>
      <c r="D4743" t="s">
        <v>22</v>
      </c>
      <c r="E4743" t="s">
        <v>45</v>
      </c>
      <c r="F4743" t="s">
        <v>46</v>
      </c>
      <c r="G4743" s="58">
        <v>485435</v>
      </c>
      <c r="H4743" s="1" t="s">
        <v>56</v>
      </c>
      <c r="I4743" s="1" t="s">
        <v>119</v>
      </c>
      <c r="J4743" s="58">
        <v>4368915</v>
      </c>
      <c r="K4743" s="1" t="s">
        <v>112</v>
      </c>
      <c r="N4743" s="1">
        <v>1</v>
      </c>
      <c r="O4743" s="58"/>
      <c r="P4743" s="58">
        <v>135921.79999999999</v>
      </c>
      <c r="Q4743" t="s">
        <v>107</v>
      </c>
      <c r="R4743" s="1" t="s">
        <v>158</v>
      </c>
    </row>
    <row r="4744" spans="3:18" x14ac:dyDescent="0.35">
      <c r="C4744" t="s">
        <v>51</v>
      </c>
      <c r="D4744" t="s">
        <v>24</v>
      </c>
      <c r="E4744" t="s">
        <v>50</v>
      </c>
      <c r="F4744" t="s">
        <v>46</v>
      </c>
      <c r="G4744" s="58">
        <v>83933</v>
      </c>
      <c r="H4744" s="1" t="s">
        <v>48</v>
      </c>
      <c r="I4744" s="1" t="s">
        <v>111</v>
      </c>
      <c r="J4744" s="58">
        <v>1342928</v>
      </c>
      <c r="K4744" s="1" t="s">
        <v>106</v>
      </c>
      <c r="L4744" s="1" t="s">
        <v>114</v>
      </c>
      <c r="M4744" s="1" t="s">
        <v>121</v>
      </c>
      <c r="N4744" s="1">
        <v>1</v>
      </c>
      <c r="O4744" s="58"/>
      <c r="P4744" s="58">
        <v>41966.5</v>
      </c>
      <c r="Q4744" t="s">
        <v>113</v>
      </c>
      <c r="R4744" s="1" t="s">
        <v>158</v>
      </c>
    </row>
    <row r="4745" spans="3:18" x14ac:dyDescent="0.35">
      <c r="C4745" t="s">
        <v>51</v>
      </c>
      <c r="D4745" t="s">
        <v>23</v>
      </c>
      <c r="E4745" t="s">
        <v>49</v>
      </c>
      <c r="F4745" t="s">
        <v>46</v>
      </c>
      <c r="G4745" s="58">
        <v>79200</v>
      </c>
      <c r="H4745" s="1" t="s">
        <v>54</v>
      </c>
      <c r="I4745" s="1" t="s">
        <v>119</v>
      </c>
      <c r="J4745" s="58">
        <v>475200</v>
      </c>
      <c r="K4745" s="1" t="s">
        <v>106</v>
      </c>
      <c r="L4745" s="1" t="s">
        <v>116</v>
      </c>
      <c r="N4745" s="1">
        <v>1</v>
      </c>
      <c r="O4745" s="58"/>
      <c r="P4745" s="58">
        <v>21384</v>
      </c>
      <c r="Q4745" t="s">
        <v>107</v>
      </c>
      <c r="R4745" s="1" t="s">
        <v>158</v>
      </c>
    </row>
    <row r="4746" spans="3:18" x14ac:dyDescent="0.35">
      <c r="C4746" t="s">
        <v>51</v>
      </c>
      <c r="D4746" t="s">
        <v>19</v>
      </c>
      <c r="E4746" t="s">
        <v>49</v>
      </c>
      <c r="F4746" t="s">
        <v>46</v>
      </c>
      <c r="G4746" s="58">
        <v>1211530</v>
      </c>
      <c r="H4746" s="1" t="s">
        <v>47</v>
      </c>
      <c r="I4746" s="1" t="s">
        <v>119</v>
      </c>
      <c r="J4746" s="58">
        <v>10903770</v>
      </c>
      <c r="K4746" s="1" t="s">
        <v>106</v>
      </c>
      <c r="L4746" s="1" t="s">
        <v>124</v>
      </c>
      <c r="N4746" s="1">
        <v>1</v>
      </c>
      <c r="O4746" s="58"/>
      <c r="P4746" s="58">
        <v>860186.3</v>
      </c>
      <c r="Q4746" t="s">
        <v>118</v>
      </c>
      <c r="R4746" s="1" t="s">
        <v>158</v>
      </c>
    </row>
    <row r="4747" spans="3:18" x14ac:dyDescent="0.35">
      <c r="C4747" t="s">
        <v>51</v>
      </c>
      <c r="D4747" t="s">
        <v>92</v>
      </c>
      <c r="E4747" t="s">
        <v>49</v>
      </c>
      <c r="F4747" t="s">
        <v>46</v>
      </c>
      <c r="G4747" s="58">
        <v>58417</v>
      </c>
      <c r="H4747" s="1" t="s">
        <v>59</v>
      </c>
      <c r="I4747" s="1" t="s">
        <v>119</v>
      </c>
      <c r="J4747" s="58">
        <v>584170</v>
      </c>
      <c r="K4747" s="1" t="s">
        <v>112</v>
      </c>
      <c r="N4747" s="1">
        <v>1</v>
      </c>
      <c r="O4747" s="58"/>
      <c r="P4747" s="58">
        <v>29208.5</v>
      </c>
      <c r="Q4747" t="s">
        <v>113</v>
      </c>
      <c r="R4747" s="1" t="s">
        <v>158</v>
      </c>
    </row>
    <row r="4748" spans="3:18" x14ac:dyDescent="0.35">
      <c r="C4748" t="s">
        <v>51</v>
      </c>
      <c r="D4748" t="s">
        <v>23</v>
      </c>
      <c r="E4748" t="s">
        <v>45</v>
      </c>
      <c r="F4748" t="s">
        <v>46</v>
      </c>
      <c r="G4748" s="58">
        <v>9092</v>
      </c>
      <c r="H4748" s="1" t="s">
        <v>54</v>
      </c>
      <c r="I4748" s="1" t="s">
        <v>105</v>
      </c>
      <c r="J4748" s="58"/>
      <c r="K4748" s="1" t="s">
        <v>106</v>
      </c>
      <c r="L4748" s="1" t="s">
        <v>120</v>
      </c>
      <c r="N4748" s="1">
        <v>0</v>
      </c>
      <c r="O4748" s="58"/>
      <c r="P4748" s="58">
        <v>545.52</v>
      </c>
      <c r="Q4748" t="s">
        <v>107</v>
      </c>
      <c r="R4748" s="1" t="s">
        <v>158</v>
      </c>
    </row>
    <row r="4749" spans="3:18" x14ac:dyDescent="0.35">
      <c r="C4749" t="s">
        <v>51</v>
      </c>
      <c r="D4749" t="s">
        <v>25</v>
      </c>
      <c r="E4749" t="s">
        <v>45</v>
      </c>
      <c r="F4749" t="s">
        <v>46</v>
      </c>
      <c r="G4749" s="58">
        <v>905624</v>
      </c>
      <c r="H4749" s="1" t="s">
        <v>54</v>
      </c>
      <c r="I4749" s="1" t="s">
        <v>108</v>
      </c>
      <c r="J4749" s="58">
        <v>25357472</v>
      </c>
      <c r="K4749" s="1" t="s">
        <v>106</v>
      </c>
      <c r="L4749" s="1" t="s">
        <v>120</v>
      </c>
      <c r="N4749" s="1">
        <v>1</v>
      </c>
      <c r="O4749" s="58"/>
      <c r="P4749" s="58">
        <v>235462.24</v>
      </c>
      <c r="Q4749" t="s">
        <v>107</v>
      </c>
      <c r="R4749" s="1" t="s">
        <v>158</v>
      </c>
    </row>
    <row r="4750" spans="3:18" x14ac:dyDescent="0.35">
      <c r="C4750" t="s">
        <v>51</v>
      </c>
      <c r="D4750" t="s">
        <v>19</v>
      </c>
      <c r="E4750" t="s">
        <v>49</v>
      </c>
      <c r="F4750" t="s">
        <v>64</v>
      </c>
      <c r="G4750" s="58">
        <v>506497</v>
      </c>
      <c r="H4750" s="1" t="s">
        <v>48</v>
      </c>
      <c r="I4750" s="1" t="s">
        <v>111</v>
      </c>
      <c r="J4750" s="58">
        <v>8103952</v>
      </c>
      <c r="K4750" s="1" t="s">
        <v>112</v>
      </c>
      <c r="N4750" s="1">
        <v>1</v>
      </c>
      <c r="O4750" s="58"/>
      <c r="P4750" s="58">
        <v>354547.9</v>
      </c>
      <c r="Q4750" t="s">
        <v>118</v>
      </c>
      <c r="R4750" s="1" t="s">
        <v>48</v>
      </c>
    </row>
    <row r="4751" spans="3:18" x14ac:dyDescent="0.35">
      <c r="C4751" t="s">
        <v>53</v>
      </c>
      <c r="D4751" t="s">
        <v>23</v>
      </c>
      <c r="E4751" t="s">
        <v>45</v>
      </c>
      <c r="F4751" t="s">
        <v>46</v>
      </c>
      <c r="G4751" s="58">
        <v>391577</v>
      </c>
      <c r="H4751" s="1" t="s">
        <v>47</v>
      </c>
      <c r="I4751" s="1" t="s">
        <v>119</v>
      </c>
      <c r="J4751" s="58">
        <v>2349462</v>
      </c>
      <c r="K4751" s="1" t="s">
        <v>106</v>
      </c>
      <c r="L4751" s="1" t="s">
        <v>124</v>
      </c>
      <c r="N4751" s="1">
        <v>1</v>
      </c>
      <c r="O4751" s="58"/>
      <c r="P4751" s="58">
        <v>184041.19</v>
      </c>
      <c r="Q4751" t="s">
        <v>113</v>
      </c>
      <c r="R4751" s="1" t="s">
        <v>158</v>
      </c>
    </row>
    <row r="4752" spans="3:18" x14ac:dyDescent="0.35">
      <c r="C4752" t="s">
        <v>51</v>
      </c>
      <c r="D4752" t="s">
        <v>20</v>
      </c>
      <c r="E4752" t="s">
        <v>49</v>
      </c>
      <c r="F4752" t="s">
        <v>46</v>
      </c>
      <c r="G4752" s="58">
        <v>27246097</v>
      </c>
      <c r="H4752" s="1" t="s">
        <v>54</v>
      </c>
      <c r="I4752" s="1" t="s">
        <v>111</v>
      </c>
      <c r="J4752" s="58">
        <v>408691455</v>
      </c>
      <c r="K4752" s="1" t="s">
        <v>106</v>
      </c>
      <c r="L4752" s="1" t="s">
        <v>124</v>
      </c>
      <c r="N4752" s="1">
        <v>1</v>
      </c>
      <c r="O4752" s="58"/>
      <c r="P4752" s="58">
        <v>6811524.25</v>
      </c>
      <c r="Q4752" t="s">
        <v>107</v>
      </c>
      <c r="R4752" s="1" t="s">
        <v>158</v>
      </c>
    </row>
    <row r="4753" spans="3:18" x14ac:dyDescent="0.35">
      <c r="C4753" t="s">
        <v>53</v>
      </c>
      <c r="D4753" t="s">
        <v>23</v>
      </c>
      <c r="E4753" t="s">
        <v>55</v>
      </c>
      <c r="F4753" t="s">
        <v>46</v>
      </c>
      <c r="G4753" s="58">
        <v>1968512</v>
      </c>
      <c r="H4753" s="1" t="s">
        <v>47</v>
      </c>
      <c r="I4753" s="1" t="s">
        <v>111</v>
      </c>
      <c r="J4753" s="58">
        <v>25590656</v>
      </c>
      <c r="K4753" s="1" t="s">
        <v>106</v>
      </c>
      <c r="L4753" s="1" t="s">
        <v>114</v>
      </c>
      <c r="N4753" s="1">
        <v>1</v>
      </c>
      <c r="O4753" s="58"/>
      <c r="P4753" s="58">
        <v>452757.76000000001</v>
      </c>
      <c r="Q4753" t="s">
        <v>107</v>
      </c>
      <c r="R4753" s="1" t="s">
        <v>158</v>
      </c>
    </row>
    <row r="4754" spans="3:18" x14ac:dyDescent="0.35">
      <c r="C4754" t="s">
        <v>51</v>
      </c>
      <c r="D4754" t="s">
        <v>19</v>
      </c>
      <c r="E4754" t="s">
        <v>49</v>
      </c>
      <c r="F4754" t="s">
        <v>46</v>
      </c>
      <c r="G4754" s="58">
        <v>719872</v>
      </c>
      <c r="H4754" s="1" t="s">
        <v>48</v>
      </c>
      <c r="I4754" s="1" t="s">
        <v>108</v>
      </c>
      <c r="J4754" s="58">
        <v>20876288</v>
      </c>
      <c r="K4754" s="1" t="s">
        <v>106</v>
      </c>
      <c r="L4754" s="1" t="s">
        <v>124</v>
      </c>
      <c r="M4754" s="1" t="s">
        <v>126</v>
      </c>
      <c r="N4754" s="1">
        <v>1</v>
      </c>
      <c r="O4754" s="58"/>
      <c r="P4754" s="58">
        <v>359936</v>
      </c>
      <c r="Q4754" t="s">
        <v>113</v>
      </c>
      <c r="R4754" s="1" t="s">
        <v>158</v>
      </c>
    </row>
    <row r="4755" spans="3:18" x14ac:dyDescent="0.35">
      <c r="C4755" t="s">
        <v>51</v>
      </c>
      <c r="D4755" t="s">
        <v>21</v>
      </c>
      <c r="E4755" t="s">
        <v>49</v>
      </c>
      <c r="F4755" t="s">
        <v>46</v>
      </c>
      <c r="G4755" s="58">
        <v>4099157</v>
      </c>
      <c r="H4755" s="1" t="s">
        <v>56</v>
      </c>
      <c r="I4755" s="1" t="s">
        <v>108</v>
      </c>
      <c r="J4755" s="58">
        <v>118875553</v>
      </c>
      <c r="K4755" s="1" t="s">
        <v>106</v>
      </c>
      <c r="L4755" s="1" t="s">
        <v>124</v>
      </c>
      <c r="N4755" s="1">
        <v>1</v>
      </c>
      <c r="O4755" s="58"/>
      <c r="P4755" s="58">
        <v>4918988.4000000004</v>
      </c>
      <c r="Q4755" t="s">
        <v>110</v>
      </c>
      <c r="R4755" s="1" t="s">
        <v>158</v>
      </c>
    </row>
    <row r="4756" spans="3:18" x14ac:dyDescent="0.35">
      <c r="C4756" t="s">
        <v>53</v>
      </c>
      <c r="D4756" t="s">
        <v>25</v>
      </c>
      <c r="E4756" t="s">
        <v>50</v>
      </c>
      <c r="F4756" t="s">
        <v>46</v>
      </c>
      <c r="G4756" s="58">
        <v>1385030</v>
      </c>
      <c r="H4756" s="1" t="s">
        <v>54</v>
      </c>
      <c r="I4756" s="1" t="s">
        <v>119</v>
      </c>
      <c r="J4756" s="58">
        <v>11080240</v>
      </c>
      <c r="K4756" s="1" t="s">
        <v>106</v>
      </c>
      <c r="L4756" s="1" t="s">
        <v>109</v>
      </c>
      <c r="N4756" s="1">
        <v>1</v>
      </c>
      <c r="O4756" s="58"/>
      <c r="P4756" s="58">
        <v>775616.8</v>
      </c>
      <c r="Q4756" t="s">
        <v>113</v>
      </c>
      <c r="R4756" s="1" t="s">
        <v>158</v>
      </c>
    </row>
    <row r="4757" spans="3:18" x14ac:dyDescent="0.35">
      <c r="C4757" t="s">
        <v>51</v>
      </c>
      <c r="D4757" t="s">
        <v>19</v>
      </c>
      <c r="E4757" t="s">
        <v>49</v>
      </c>
      <c r="F4757" t="s">
        <v>46</v>
      </c>
      <c r="G4757" s="58">
        <v>343910</v>
      </c>
      <c r="H4757" s="1" t="s">
        <v>54</v>
      </c>
      <c r="I4757" s="1" t="s">
        <v>105</v>
      </c>
      <c r="J4757" s="58">
        <v>1375640</v>
      </c>
      <c r="K4757" s="1" t="s">
        <v>106</v>
      </c>
      <c r="L4757" s="1" t="s">
        <v>120</v>
      </c>
      <c r="N4757" s="1">
        <v>1</v>
      </c>
      <c r="O4757" s="58"/>
      <c r="P4757" s="58">
        <v>48147.4</v>
      </c>
      <c r="Q4757" t="s">
        <v>107</v>
      </c>
      <c r="R4757" s="1" t="s">
        <v>158</v>
      </c>
    </row>
    <row r="4758" spans="3:18" x14ac:dyDescent="0.35">
      <c r="C4758" t="s">
        <v>51</v>
      </c>
      <c r="D4758" t="s">
        <v>22</v>
      </c>
      <c r="E4758" t="s">
        <v>49</v>
      </c>
      <c r="F4758" t="s">
        <v>46</v>
      </c>
      <c r="G4758" s="58">
        <v>1496413</v>
      </c>
      <c r="H4758" s="1" t="s">
        <v>54</v>
      </c>
      <c r="I4758" s="1" t="s">
        <v>111</v>
      </c>
      <c r="J4758" s="58">
        <v>23942608</v>
      </c>
      <c r="K4758" s="1" t="s">
        <v>106</v>
      </c>
      <c r="L4758" s="1" t="s">
        <v>124</v>
      </c>
      <c r="N4758" s="1">
        <v>1</v>
      </c>
      <c r="O4758" s="58"/>
      <c r="P4758" s="58">
        <v>1286915.18</v>
      </c>
      <c r="Q4758" t="s">
        <v>127</v>
      </c>
      <c r="R4758" s="1" t="s">
        <v>158</v>
      </c>
    </row>
    <row r="4759" spans="3:18" x14ac:dyDescent="0.35">
      <c r="C4759" t="s">
        <v>51</v>
      </c>
      <c r="D4759" t="s">
        <v>21</v>
      </c>
      <c r="E4759" t="s">
        <v>49</v>
      </c>
      <c r="F4759" t="s">
        <v>46</v>
      </c>
      <c r="G4759" s="58">
        <v>25585421</v>
      </c>
      <c r="H4759" s="1" t="s">
        <v>48</v>
      </c>
      <c r="I4759" s="1" t="s">
        <v>108</v>
      </c>
      <c r="J4759" s="58">
        <v>818733472</v>
      </c>
      <c r="K4759" s="1" t="s">
        <v>112</v>
      </c>
      <c r="N4759" s="1">
        <v>1</v>
      </c>
      <c r="O4759" s="58"/>
      <c r="P4759" s="58">
        <v>13048564.710000001</v>
      </c>
      <c r="Q4759" t="s">
        <v>113</v>
      </c>
      <c r="R4759" s="1" t="s">
        <v>48</v>
      </c>
    </row>
    <row r="4760" spans="3:18" x14ac:dyDescent="0.35">
      <c r="C4760" t="s">
        <v>51</v>
      </c>
      <c r="D4760" t="s">
        <v>92</v>
      </c>
      <c r="E4760" t="s">
        <v>49</v>
      </c>
      <c r="F4760" t="s">
        <v>46</v>
      </c>
      <c r="G4760" s="58">
        <v>313690</v>
      </c>
      <c r="H4760" s="1" t="s">
        <v>48</v>
      </c>
      <c r="I4760" s="1" t="s">
        <v>108</v>
      </c>
      <c r="J4760" s="58">
        <v>10351770</v>
      </c>
      <c r="K4760" s="1" t="s">
        <v>106</v>
      </c>
      <c r="L4760" s="1" t="s">
        <v>124</v>
      </c>
      <c r="M4760" s="1" t="s">
        <v>123</v>
      </c>
      <c r="N4760" s="1">
        <v>1</v>
      </c>
      <c r="O4760" s="58"/>
      <c r="P4760" s="58">
        <v>316826.90000000002</v>
      </c>
      <c r="Q4760" t="s">
        <v>110</v>
      </c>
      <c r="R4760" s="1" t="s">
        <v>48</v>
      </c>
    </row>
    <row r="4761" spans="3:18" x14ac:dyDescent="0.35">
      <c r="C4761" t="s">
        <v>51</v>
      </c>
      <c r="D4761" t="s">
        <v>21</v>
      </c>
      <c r="E4761" t="s">
        <v>49</v>
      </c>
      <c r="F4761" t="s">
        <v>46</v>
      </c>
      <c r="G4761" s="58">
        <v>756053</v>
      </c>
      <c r="H4761" s="1" t="s">
        <v>48</v>
      </c>
      <c r="I4761" s="1" t="s">
        <v>108</v>
      </c>
      <c r="J4761" s="58">
        <v>21925537</v>
      </c>
      <c r="K4761" s="1" t="s">
        <v>106</v>
      </c>
      <c r="L4761" s="1" t="s">
        <v>120</v>
      </c>
      <c r="M4761" s="1" t="s">
        <v>126</v>
      </c>
      <c r="N4761" s="1">
        <v>1</v>
      </c>
      <c r="O4761" s="58"/>
      <c r="P4761" s="58">
        <v>385587.03</v>
      </c>
      <c r="Q4761" t="s">
        <v>113</v>
      </c>
      <c r="R4761" s="1" t="s">
        <v>48</v>
      </c>
    </row>
    <row r="4762" spans="3:18" x14ac:dyDescent="0.35">
      <c r="C4762" t="s">
        <v>51</v>
      </c>
      <c r="D4762" t="s">
        <v>23</v>
      </c>
      <c r="E4762" t="s">
        <v>55</v>
      </c>
      <c r="F4762" t="s">
        <v>46</v>
      </c>
      <c r="G4762" s="58">
        <v>30525</v>
      </c>
      <c r="H4762" s="1" t="s">
        <v>47</v>
      </c>
      <c r="I4762" s="1" t="s">
        <v>105</v>
      </c>
      <c r="J4762" s="58">
        <v>122100</v>
      </c>
      <c r="K4762" s="1" t="s">
        <v>106</v>
      </c>
      <c r="L4762" s="1" t="s">
        <v>124</v>
      </c>
      <c r="N4762" s="1">
        <v>1</v>
      </c>
      <c r="O4762" s="58"/>
      <c r="P4762" s="58">
        <v>6410.25</v>
      </c>
      <c r="Q4762" t="s">
        <v>107</v>
      </c>
      <c r="R4762" s="1" t="s">
        <v>158</v>
      </c>
    </row>
    <row r="4763" spans="3:18" x14ac:dyDescent="0.35">
      <c r="C4763" t="s">
        <v>51</v>
      </c>
      <c r="D4763" t="s">
        <v>23</v>
      </c>
      <c r="E4763" t="s">
        <v>45</v>
      </c>
      <c r="F4763" t="s">
        <v>46</v>
      </c>
      <c r="G4763" s="58">
        <v>5347263</v>
      </c>
      <c r="H4763" s="1" t="s">
        <v>48</v>
      </c>
      <c r="I4763" s="1" t="s">
        <v>108</v>
      </c>
      <c r="J4763" s="58">
        <v>197848731</v>
      </c>
      <c r="K4763" s="1" t="s">
        <v>106</v>
      </c>
      <c r="L4763" s="1" t="s">
        <v>120</v>
      </c>
      <c r="M4763" s="1" t="s">
        <v>125</v>
      </c>
      <c r="N4763" s="1">
        <v>1</v>
      </c>
      <c r="O4763" s="58"/>
      <c r="P4763" s="58">
        <v>4438228.29</v>
      </c>
      <c r="Q4763" t="s">
        <v>127</v>
      </c>
      <c r="R4763" s="1" t="s">
        <v>48</v>
      </c>
    </row>
    <row r="4764" spans="3:18" x14ac:dyDescent="0.35">
      <c r="C4764" t="s">
        <v>53</v>
      </c>
      <c r="D4764" t="s">
        <v>23</v>
      </c>
      <c r="E4764" t="s">
        <v>45</v>
      </c>
      <c r="F4764" t="s">
        <v>46</v>
      </c>
      <c r="G4764" s="58">
        <v>11735108</v>
      </c>
      <c r="H4764" s="1" t="s">
        <v>47</v>
      </c>
      <c r="I4764" s="1" t="s">
        <v>128</v>
      </c>
      <c r="J4764" s="58"/>
      <c r="K4764" s="1" t="s">
        <v>106</v>
      </c>
      <c r="L4764" s="1" t="s">
        <v>120</v>
      </c>
      <c r="N4764" s="1">
        <v>0</v>
      </c>
      <c r="O4764" s="58"/>
      <c r="P4764" s="58">
        <v>938808.64</v>
      </c>
      <c r="Q4764" t="s">
        <v>107</v>
      </c>
      <c r="R4764" s="1" t="s">
        <v>158</v>
      </c>
    </row>
    <row r="4765" spans="3:18" x14ac:dyDescent="0.35">
      <c r="C4765" t="s">
        <v>51</v>
      </c>
      <c r="D4765" t="s">
        <v>24</v>
      </c>
      <c r="E4765" t="s">
        <v>62</v>
      </c>
      <c r="F4765" t="s">
        <v>46</v>
      </c>
      <c r="G4765" s="58">
        <v>456881</v>
      </c>
      <c r="H4765" s="1" t="s">
        <v>48</v>
      </c>
      <c r="I4765" s="1" t="s">
        <v>108</v>
      </c>
      <c r="J4765" s="58">
        <v>15990835</v>
      </c>
      <c r="K4765" s="1" t="s">
        <v>106</v>
      </c>
      <c r="L4765" s="1" t="s">
        <v>114</v>
      </c>
      <c r="M4765" s="1" t="s">
        <v>121</v>
      </c>
      <c r="N4765" s="1">
        <v>1</v>
      </c>
      <c r="O4765" s="58"/>
      <c r="P4765" s="58">
        <v>155339.54</v>
      </c>
      <c r="Q4765" t="s">
        <v>107</v>
      </c>
      <c r="R4765" s="1" t="s">
        <v>48</v>
      </c>
    </row>
    <row r="4766" spans="3:18" x14ac:dyDescent="0.35">
      <c r="C4766" t="s">
        <v>53</v>
      </c>
      <c r="D4766" t="s">
        <v>23</v>
      </c>
      <c r="E4766" t="s">
        <v>55</v>
      </c>
      <c r="F4766" t="s">
        <v>46</v>
      </c>
      <c r="G4766" s="58">
        <v>6474110</v>
      </c>
      <c r="H4766" s="1" t="s">
        <v>47</v>
      </c>
      <c r="I4766" s="1" t="s">
        <v>119</v>
      </c>
      <c r="J4766" s="58">
        <v>45318770</v>
      </c>
      <c r="K4766" s="1" t="s">
        <v>106</v>
      </c>
      <c r="L4766" s="1" t="s">
        <v>114</v>
      </c>
      <c r="N4766" s="1">
        <v>1</v>
      </c>
      <c r="O4766" s="58"/>
      <c r="P4766" s="58">
        <v>1618527.5</v>
      </c>
      <c r="Q4766" t="s">
        <v>107</v>
      </c>
      <c r="R4766" s="1" t="s">
        <v>158</v>
      </c>
    </row>
    <row r="4767" spans="3:18" x14ac:dyDescent="0.35">
      <c r="C4767" t="s">
        <v>53</v>
      </c>
      <c r="D4767" t="s">
        <v>21</v>
      </c>
      <c r="E4767" t="s">
        <v>49</v>
      </c>
      <c r="F4767" t="s">
        <v>46</v>
      </c>
      <c r="G4767" s="58">
        <v>16719431</v>
      </c>
      <c r="H4767" s="1" t="s">
        <v>47</v>
      </c>
      <c r="I4767" s="1" t="s">
        <v>105</v>
      </c>
      <c r="J4767" s="58">
        <v>50158293</v>
      </c>
      <c r="K4767" s="1" t="s">
        <v>106</v>
      </c>
      <c r="L4767" s="1" t="s">
        <v>124</v>
      </c>
      <c r="N4767" s="1">
        <v>1</v>
      </c>
      <c r="O4767" s="58"/>
      <c r="P4767" s="58">
        <v>7690938.2599999998</v>
      </c>
      <c r="Q4767" t="s">
        <v>113</v>
      </c>
      <c r="R4767" s="1" t="s">
        <v>158</v>
      </c>
    </row>
    <row r="4768" spans="3:18" x14ac:dyDescent="0.35">
      <c r="C4768" t="s">
        <v>51</v>
      </c>
      <c r="D4768" t="s">
        <v>20</v>
      </c>
      <c r="E4768" t="s">
        <v>49</v>
      </c>
      <c r="F4768" t="s">
        <v>46</v>
      </c>
      <c r="G4768" s="58">
        <v>210562</v>
      </c>
      <c r="H4768" s="1" t="s">
        <v>48</v>
      </c>
      <c r="I4768" s="1" t="s">
        <v>111</v>
      </c>
      <c r="J4768" s="58">
        <v>3158430</v>
      </c>
      <c r="K4768" s="1" t="s">
        <v>106</v>
      </c>
      <c r="L4768" s="1" t="s">
        <v>124</v>
      </c>
      <c r="M4768" s="1" t="s">
        <v>115</v>
      </c>
      <c r="N4768" s="1">
        <v>1</v>
      </c>
      <c r="O4768" s="58"/>
      <c r="P4768" s="58">
        <v>96858.52</v>
      </c>
      <c r="Q4768" t="s">
        <v>113</v>
      </c>
      <c r="R4768" s="1" t="s">
        <v>158</v>
      </c>
    </row>
    <row r="4769" spans="3:18" x14ac:dyDescent="0.35">
      <c r="C4769" t="s">
        <v>51</v>
      </c>
      <c r="D4769" t="s">
        <v>24</v>
      </c>
      <c r="E4769" t="s">
        <v>50</v>
      </c>
      <c r="F4769" t="s">
        <v>46</v>
      </c>
      <c r="G4769" s="58">
        <v>9651596</v>
      </c>
      <c r="H4769" s="1" t="s">
        <v>48</v>
      </c>
      <c r="I4769" s="1" t="s">
        <v>108</v>
      </c>
      <c r="J4769" s="58">
        <v>328154264</v>
      </c>
      <c r="K4769" s="1" t="s">
        <v>112</v>
      </c>
      <c r="N4769" s="1">
        <v>1</v>
      </c>
      <c r="O4769" s="58"/>
      <c r="P4769" s="58">
        <v>7045665.0800000001</v>
      </c>
      <c r="Q4769" t="s">
        <v>118</v>
      </c>
      <c r="R4769" s="1" t="s">
        <v>48</v>
      </c>
    </row>
    <row r="4770" spans="3:18" x14ac:dyDescent="0.35">
      <c r="C4770" t="s">
        <v>51</v>
      </c>
      <c r="D4770" t="s">
        <v>19</v>
      </c>
      <c r="E4770" t="s">
        <v>49</v>
      </c>
      <c r="F4770" t="s">
        <v>46</v>
      </c>
      <c r="G4770" s="58">
        <v>314866</v>
      </c>
      <c r="H4770" s="1" t="s">
        <v>48</v>
      </c>
      <c r="I4770" s="1" t="s">
        <v>108</v>
      </c>
      <c r="J4770" s="58">
        <v>8501382</v>
      </c>
      <c r="K4770" s="1" t="s">
        <v>106</v>
      </c>
      <c r="L4770" s="1" t="s">
        <v>124</v>
      </c>
      <c r="M4770" s="1" t="s">
        <v>123</v>
      </c>
      <c r="N4770" s="1">
        <v>1</v>
      </c>
      <c r="O4770" s="58"/>
      <c r="P4770" s="58">
        <v>107054.44</v>
      </c>
      <c r="Q4770" t="s">
        <v>107</v>
      </c>
      <c r="R4770" s="1" t="s">
        <v>48</v>
      </c>
    </row>
    <row r="4771" spans="3:18" x14ac:dyDescent="0.35">
      <c r="C4771" t="s">
        <v>51</v>
      </c>
      <c r="D4771" t="s">
        <v>21</v>
      </c>
      <c r="E4771" t="s">
        <v>50</v>
      </c>
      <c r="F4771" t="s">
        <v>46</v>
      </c>
      <c r="G4771" s="58">
        <v>533195</v>
      </c>
      <c r="H4771" s="1" t="s">
        <v>48</v>
      </c>
      <c r="I4771" s="1" t="s">
        <v>108</v>
      </c>
      <c r="J4771" s="58">
        <v>19195020</v>
      </c>
      <c r="K4771" s="1" t="s">
        <v>106</v>
      </c>
      <c r="L4771" s="1" t="s">
        <v>124</v>
      </c>
      <c r="M4771" s="1" t="s">
        <v>126</v>
      </c>
      <c r="N4771" s="1">
        <v>1</v>
      </c>
      <c r="O4771" s="58"/>
      <c r="P4771" s="58">
        <v>442551.85</v>
      </c>
      <c r="Q4771" t="s">
        <v>127</v>
      </c>
      <c r="R4771" s="1" t="s">
        <v>48</v>
      </c>
    </row>
    <row r="4772" spans="3:18" x14ac:dyDescent="0.35">
      <c r="C4772" t="s">
        <v>51</v>
      </c>
      <c r="D4772" t="s">
        <v>91</v>
      </c>
      <c r="E4772" t="s">
        <v>45</v>
      </c>
      <c r="F4772" t="s">
        <v>46</v>
      </c>
      <c r="G4772" s="58">
        <v>3897896</v>
      </c>
      <c r="H4772" s="1" t="s">
        <v>48</v>
      </c>
      <c r="I4772" s="1" t="s">
        <v>108</v>
      </c>
      <c r="J4772" s="58">
        <v>109141088</v>
      </c>
      <c r="K4772" s="1" t="s">
        <v>106</v>
      </c>
      <c r="L4772" s="1" t="s">
        <v>120</v>
      </c>
      <c r="M4772" s="1" t="s">
        <v>122</v>
      </c>
      <c r="N4772" s="1">
        <v>1</v>
      </c>
      <c r="O4772" s="58"/>
      <c r="P4772" s="58">
        <v>1091410.8799999999</v>
      </c>
      <c r="Q4772" t="s">
        <v>107</v>
      </c>
      <c r="R4772" s="1" t="s">
        <v>158</v>
      </c>
    </row>
    <row r="4773" spans="3:18" x14ac:dyDescent="0.35">
      <c r="C4773" t="s">
        <v>53</v>
      </c>
      <c r="D4773" t="s">
        <v>60</v>
      </c>
      <c r="E4773" t="s">
        <v>60</v>
      </c>
      <c r="F4773" t="s">
        <v>46</v>
      </c>
      <c r="G4773" s="58">
        <v>47543</v>
      </c>
      <c r="H4773" s="1" t="s">
        <v>90</v>
      </c>
      <c r="I4773" s="1" t="s">
        <v>105</v>
      </c>
      <c r="J4773" s="58"/>
      <c r="K4773" s="1" t="s">
        <v>106</v>
      </c>
      <c r="N4773" s="1">
        <v>0</v>
      </c>
      <c r="O4773" s="58"/>
      <c r="P4773" s="58">
        <v>48493.86</v>
      </c>
      <c r="Q4773" t="s">
        <v>110</v>
      </c>
      <c r="R4773" s="1" t="s">
        <v>90</v>
      </c>
    </row>
    <row r="4774" spans="3:18" x14ac:dyDescent="0.35">
      <c r="C4774" t="s">
        <v>51</v>
      </c>
      <c r="D4774" t="s">
        <v>24</v>
      </c>
      <c r="E4774" t="s">
        <v>55</v>
      </c>
      <c r="F4774" t="s">
        <v>46</v>
      </c>
      <c r="G4774" s="58">
        <v>1482543</v>
      </c>
      <c r="H4774" s="1" t="s">
        <v>48</v>
      </c>
      <c r="I4774" s="1" t="s">
        <v>105</v>
      </c>
      <c r="J4774" s="58">
        <v>4447629</v>
      </c>
      <c r="K4774" s="1" t="s">
        <v>106</v>
      </c>
      <c r="L4774" s="1" t="s">
        <v>114</v>
      </c>
      <c r="M4774" s="1" t="s">
        <v>121</v>
      </c>
      <c r="N4774" s="1">
        <v>1</v>
      </c>
      <c r="O4774" s="58"/>
      <c r="P4774" s="58">
        <v>192730.59</v>
      </c>
      <c r="Q4774" t="s">
        <v>107</v>
      </c>
      <c r="R4774" s="1" t="s">
        <v>158</v>
      </c>
    </row>
    <row r="4775" spans="3:18" x14ac:dyDescent="0.35">
      <c r="C4775" t="s">
        <v>51</v>
      </c>
      <c r="D4775" t="s">
        <v>21</v>
      </c>
      <c r="E4775" t="s">
        <v>45</v>
      </c>
      <c r="F4775" t="s">
        <v>46</v>
      </c>
      <c r="G4775" s="58">
        <v>312240</v>
      </c>
      <c r="H4775" s="1" t="s">
        <v>56</v>
      </c>
      <c r="I4775" s="1" t="s">
        <v>108</v>
      </c>
      <c r="J4775" s="58">
        <v>8118240</v>
      </c>
      <c r="K4775" s="1" t="s">
        <v>106</v>
      </c>
      <c r="L4775" s="1" t="s">
        <v>120</v>
      </c>
      <c r="N4775" s="1">
        <v>1</v>
      </c>
      <c r="O4775" s="58"/>
      <c r="P4775" s="58">
        <v>352831.2</v>
      </c>
      <c r="Q4775" t="s">
        <v>110</v>
      </c>
      <c r="R4775" s="1" t="s">
        <v>158</v>
      </c>
    </row>
    <row r="4776" spans="3:18" x14ac:dyDescent="0.35">
      <c r="C4776" t="s">
        <v>51</v>
      </c>
      <c r="D4776" t="s">
        <v>19</v>
      </c>
      <c r="E4776" t="s">
        <v>49</v>
      </c>
      <c r="F4776" t="s">
        <v>46</v>
      </c>
      <c r="G4776" s="58">
        <v>122289</v>
      </c>
      <c r="H4776" s="1" t="s">
        <v>47</v>
      </c>
      <c r="I4776" s="1" t="s">
        <v>108</v>
      </c>
      <c r="J4776" s="58">
        <v>2934936</v>
      </c>
      <c r="K4776" s="1" t="s">
        <v>106</v>
      </c>
      <c r="L4776" s="1" t="s">
        <v>109</v>
      </c>
      <c r="N4776" s="1">
        <v>1</v>
      </c>
      <c r="O4776" s="58"/>
      <c r="P4776" s="58">
        <v>69704.73</v>
      </c>
      <c r="Q4776" t="s">
        <v>113</v>
      </c>
      <c r="R4776" s="1" t="s">
        <v>158</v>
      </c>
    </row>
    <row r="4777" spans="3:18" x14ac:dyDescent="0.35">
      <c r="C4777" t="s">
        <v>51</v>
      </c>
      <c r="D4777" t="s">
        <v>22</v>
      </c>
      <c r="E4777" t="s">
        <v>52</v>
      </c>
      <c r="F4777" t="s">
        <v>46</v>
      </c>
      <c r="G4777" s="58">
        <v>451209</v>
      </c>
      <c r="H4777" s="1" t="s">
        <v>48</v>
      </c>
      <c r="I4777" s="1" t="s">
        <v>111</v>
      </c>
      <c r="J4777" s="58">
        <v>9024180</v>
      </c>
      <c r="K4777" s="1" t="s">
        <v>112</v>
      </c>
      <c r="N4777" s="1">
        <v>1</v>
      </c>
      <c r="O4777" s="58"/>
      <c r="P4777" s="58">
        <v>369991.38</v>
      </c>
      <c r="Q4777" t="s">
        <v>127</v>
      </c>
      <c r="R4777" s="1" t="s">
        <v>48</v>
      </c>
    </row>
    <row r="4778" spans="3:18" x14ac:dyDescent="0.35">
      <c r="C4778" t="s">
        <v>53</v>
      </c>
      <c r="D4778" t="s">
        <v>24</v>
      </c>
      <c r="E4778" t="s">
        <v>55</v>
      </c>
      <c r="F4778" t="s">
        <v>46</v>
      </c>
      <c r="G4778" s="58">
        <v>759812</v>
      </c>
      <c r="H4778" s="1" t="s">
        <v>59</v>
      </c>
      <c r="I4778" s="1" t="s">
        <v>111</v>
      </c>
      <c r="J4778" s="58">
        <v>7598120</v>
      </c>
      <c r="K4778" s="1" t="s">
        <v>106</v>
      </c>
      <c r="L4778" s="1" t="s">
        <v>114</v>
      </c>
      <c r="N4778" s="1">
        <v>1</v>
      </c>
      <c r="O4778" s="58"/>
      <c r="P4778" s="58">
        <v>281130.44</v>
      </c>
      <c r="Q4778" t="s">
        <v>107</v>
      </c>
      <c r="R4778" s="1" t="s">
        <v>158</v>
      </c>
    </row>
    <row r="4779" spans="3:18" x14ac:dyDescent="0.35">
      <c r="C4779" t="s">
        <v>53</v>
      </c>
      <c r="D4779" t="s">
        <v>91</v>
      </c>
      <c r="E4779" t="s">
        <v>49</v>
      </c>
      <c r="F4779" t="s">
        <v>46</v>
      </c>
      <c r="G4779" s="58">
        <v>3345242</v>
      </c>
      <c r="H4779" s="1" t="s">
        <v>47</v>
      </c>
      <c r="I4779" s="1" t="s">
        <v>111</v>
      </c>
      <c r="J4779" s="58">
        <v>46833388</v>
      </c>
      <c r="K4779" s="1" t="s">
        <v>106</v>
      </c>
      <c r="L4779" s="1" t="s">
        <v>124</v>
      </c>
      <c r="N4779" s="1">
        <v>1</v>
      </c>
      <c r="O4779" s="58"/>
      <c r="P4779" s="58">
        <v>735953.24</v>
      </c>
      <c r="Q4779" t="s">
        <v>107</v>
      </c>
      <c r="R4779" s="1" t="s">
        <v>158</v>
      </c>
    </row>
    <row r="4780" spans="3:18" x14ac:dyDescent="0.35">
      <c r="C4780" t="s">
        <v>51</v>
      </c>
      <c r="D4780" t="s">
        <v>23</v>
      </c>
      <c r="E4780" t="s">
        <v>55</v>
      </c>
      <c r="F4780" t="s">
        <v>46</v>
      </c>
      <c r="G4780" s="58">
        <v>2173198</v>
      </c>
      <c r="H4780" s="1" t="s">
        <v>48</v>
      </c>
      <c r="I4780" s="1" t="s">
        <v>111</v>
      </c>
      <c r="J4780" s="58">
        <v>36944366</v>
      </c>
      <c r="K4780" s="1" t="s">
        <v>106</v>
      </c>
      <c r="L4780" s="1" t="s">
        <v>114</v>
      </c>
      <c r="M4780" s="1" t="s">
        <v>125</v>
      </c>
      <c r="N4780" s="1">
        <v>1</v>
      </c>
      <c r="O4780" s="58"/>
      <c r="P4780" s="58">
        <v>1456042.66</v>
      </c>
      <c r="Q4780" t="s">
        <v>118</v>
      </c>
      <c r="R4780" s="1" t="s">
        <v>48</v>
      </c>
    </row>
    <row r="4781" spans="3:18" x14ac:dyDescent="0.35">
      <c r="C4781" t="s">
        <v>51</v>
      </c>
      <c r="D4781" t="s">
        <v>92</v>
      </c>
      <c r="E4781" t="s">
        <v>49</v>
      </c>
      <c r="F4781" t="s">
        <v>46</v>
      </c>
      <c r="G4781" s="58">
        <v>8866777</v>
      </c>
      <c r="H4781" s="1" t="s">
        <v>56</v>
      </c>
      <c r="I4781" s="1" t="s">
        <v>119</v>
      </c>
      <c r="J4781" s="58">
        <v>70934216</v>
      </c>
      <c r="K4781" s="1" t="s">
        <v>106</v>
      </c>
      <c r="L4781" s="1" t="s">
        <v>124</v>
      </c>
      <c r="N4781" s="1">
        <v>1</v>
      </c>
      <c r="O4781" s="58"/>
      <c r="P4781" s="58">
        <v>1950690.94</v>
      </c>
      <c r="Q4781" t="s">
        <v>107</v>
      </c>
      <c r="R4781" s="1" t="s">
        <v>158</v>
      </c>
    </row>
    <row r="4782" spans="3:18" x14ac:dyDescent="0.35">
      <c r="C4782" t="s">
        <v>51</v>
      </c>
      <c r="D4782" t="s">
        <v>22</v>
      </c>
      <c r="E4782" t="s">
        <v>45</v>
      </c>
      <c r="F4782" t="s">
        <v>64</v>
      </c>
      <c r="G4782" s="58">
        <v>139557</v>
      </c>
      <c r="H4782" s="1" t="s">
        <v>59</v>
      </c>
      <c r="I4782" s="1" t="s">
        <v>108</v>
      </c>
      <c r="J4782" s="58">
        <v>5163609</v>
      </c>
      <c r="K4782" s="1" t="s">
        <v>112</v>
      </c>
      <c r="N4782" s="1">
        <v>1</v>
      </c>
      <c r="O4782" s="58"/>
      <c r="P4782" s="58">
        <v>78151.92</v>
      </c>
      <c r="Q4782" t="s">
        <v>113</v>
      </c>
      <c r="R4782" s="1" t="s">
        <v>158</v>
      </c>
    </row>
    <row r="4783" spans="3:18" x14ac:dyDescent="0.35">
      <c r="C4783" t="s">
        <v>51</v>
      </c>
      <c r="D4783" t="s">
        <v>20</v>
      </c>
      <c r="E4783" t="s">
        <v>49</v>
      </c>
      <c r="F4783" t="s">
        <v>46</v>
      </c>
      <c r="G4783" s="58">
        <v>558493719</v>
      </c>
      <c r="H4783" s="1" t="s">
        <v>48</v>
      </c>
      <c r="I4783" s="1" t="s">
        <v>108</v>
      </c>
      <c r="J4783" s="58">
        <v>17871799008</v>
      </c>
      <c r="K4783" s="1" t="s">
        <v>106</v>
      </c>
      <c r="L4783" s="1" t="s">
        <v>124</v>
      </c>
      <c r="M4783" s="1" t="s">
        <v>123</v>
      </c>
      <c r="N4783" s="1">
        <v>1</v>
      </c>
      <c r="O4783" s="58"/>
      <c r="P4783" s="58">
        <v>390945603.30000001</v>
      </c>
      <c r="Q4783" t="s">
        <v>118</v>
      </c>
      <c r="R4783" s="1" t="s">
        <v>158</v>
      </c>
    </row>
    <row r="4784" spans="3:18" x14ac:dyDescent="0.35">
      <c r="C4784" t="s">
        <v>51</v>
      </c>
      <c r="D4784" t="s">
        <v>60</v>
      </c>
      <c r="E4784" t="s">
        <v>60</v>
      </c>
      <c r="F4784" t="s">
        <v>46</v>
      </c>
      <c r="G4784" s="58">
        <v>40837</v>
      </c>
      <c r="H4784" s="1" t="s">
        <v>90</v>
      </c>
      <c r="I4784" s="1" t="s">
        <v>108</v>
      </c>
      <c r="J4784" s="58">
        <v>1551806</v>
      </c>
      <c r="K4784" s="1" t="s">
        <v>112</v>
      </c>
      <c r="N4784" s="1">
        <v>1</v>
      </c>
      <c r="O4784" s="58"/>
      <c r="P4784" s="58">
        <v>40837</v>
      </c>
      <c r="Q4784" t="s">
        <v>127</v>
      </c>
      <c r="R4784" s="1" t="s">
        <v>90</v>
      </c>
    </row>
    <row r="4785" spans="3:18" x14ac:dyDescent="0.35">
      <c r="C4785" t="s">
        <v>51</v>
      </c>
      <c r="D4785" t="s">
        <v>21</v>
      </c>
      <c r="E4785" t="s">
        <v>49</v>
      </c>
      <c r="F4785" t="s">
        <v>46</v>
      </c>
      <c r="G4785" s="58">
        <v>115883</v>
      </c>
      <c r="H4785" s="1" t="s">
        <v>48</v>
      </c>
      <c r="I4785" s="1" t="s">
        <v>105</v>
      </c>
      <c r="J4785" s="58">
        <v>579415</v>
      </c>
      <c r="K4785" s="1" t="s">
        <v>106</v>
      </c>
      <c r="L4785" s="1" t="s">
        <v>124</v>
      </c>
      <c r="M4785" s="1" t="s">
        <v>126</v>
      </c>
      <c r="N4785" s="1">
        <v>1</v>
      </c>
      <c r="O4785" s="58"/>
      <c r="P4785" s="58">
        <v>47512.03</v>
      </c>
      <c r="Q4785" t="s">
        <v>113</v>
      </c>
      <c r="R4785" s="1" t="s">
        <v>48</v>
      </c>
    </row>
    <row r="4786" spans="3:18" x14ac:dyDescent="0.35">
      <c r="C4786" t="s">
        <v>51</v>
      </c>
      <c r="D4786" t="s">
        <v>60</v>
      </c>
      <c r="E4786" t="s">
        <v>60</v>
      </c>
      <c r="F4786" t="s">
        <v>64</v>
      </c>
      <c r="G4786" s="58">
        <v>3279336</v>
      </c>
      <c r="H4786" s="1" t="s">
        <v>90</v>
      </c>
      <c r="I4786" s="1" t="s">
        <v>108</v>
      </c>
      <c r="J4786" s="58">
        <v>95100744</v>
      </c>
      <c r="K4786" s="1" t="s">
        <v>106</v>
      </c>
      <c r="N4786" s="1">
        <v>1</v>
      </c>
      <c r="O4786" s="58"/>
      <c r="P4786" s="58">
        <v>3967996.56</v>
      </c>
      <c r="Q4786" t="s">
        <v>110</v>
      </c>
      <c r="R4786" s="1" t="s">
        <v>90</v>
      </c>
    </row>
    <row r="4787" spans="3:18" x14ac:dyDescent="0.35">
      <c r="C4787" t="s">
        <v>51</v>
      </c>
      <c r="D4787" t="s">
        <v>91</v>
      </c>
      <c r="E4787" t="s">
        <v>49</v>
      </c>
      <c r="F4787" t="s">
        <v>46</v>
      </c>
      <c r="G4787" s="58">
        <v>1805829</v>
      </c>
      <c r="H4787" s="1" t="s">
        <v>48</v>
      </c>
      <c r="I4787" s="1" t="s">
        <v>108</v>
      </c>
      <c r="J4787" s="58">
        <v>55980699</v>
      </c>
      <c r="K4787" s="1" t="s">
        <v>112</v>
      </c>
      <c r="N4787" s="1">
        <v>1</v>
      </c>
      <c r="O4787" s="58"/>
      <c r="P4787" s="58">
        <v>1498838.07</v>
      </c>
      <c r="Q4787" t="s">
        <v>127</v>
      </c>
      <c r="R4787" s="1" t="s">
        <v>158</v>
      </c>
    </row>
    <row r="4788" spans="3:18" x14ac:dyDescent="0.35">
      <c r="C4788" t="s">
        <v>53</v>
      </c>
      <c r="D4788" t="s">
        <v>22</v>
      </c>
      <c r="E4788" t="s">
        <v>49</v>
      </c>
      <c r="F4788" t="s">
        <v>46</v>
      </c>
      <c r="G4788" s="58">
        <v>1022654</v>
      </c>
      <c r="H4788" s="1" t="s">
        <v>58</v>
      </c>
      <c r="I4788" s="1" t="s">
        <v>105</v>
      </c>
      <c r="J4788" s="58">
        <v>2045308</v>
      </c>
      <c r="K4788" s="1" t="s">
        <v>106</v>
      </c>
      <c r="L4788" s="1" t="s">
        <v>124</v>
      </c>
      <c r="N4788" s="1">
        <v>1</v>
      </c>
      <c r="O4788" s="58"/>
      <c r="P4788" s="58">
        <v>276116.58</v>
      </c>
      <c r="Q4788" t="s">
        <v>107</v>
      </c>
      <c r="R4788" s="1" t="s">
        <v>158</v>
      </c>
    </row>
    <row r="4789" spans="3:18" x14ac:dyDescent="0.35">
      <c r="C4789" t="s">
        <v>51</v>
      </c>
      <c r="D4789" t="s">
        <v>19</v>
      </c>
      <c r="E4789" t="s">
        <v>49</v>
      </c>
      <c r="F4789" t="s">
        <v>46</v>
      </c>
      <c r="G4789" s="58">
        <v>754215</v>
      </c>
      <c r="H4789" s="1" t="s">
        <v>47</v>
      </c>
      <c r="I4789" s="1" t="s">
        <v>119</v>
      </c>
      <c r="J4789" s="58">
        <v>6033720</v>
      </c>
      <c r="K4789" s="1" t="s">
        <v>106</v>
      </c>
      <c r="L4789" s="1" t="s">
        <v>120</v>
      </c>
      <c r="N4789" s="1">
        <v>1</v>
      </c>
      <c r="O4789" s="58"/>
      <c r="P4789" s="58">
        <v>165927.29999999999</v>
      </c>
      <c r="Q4789" t="s">
        <v>107</v>
      </c>
      <c r="R4789" s="1" t="s">
        <v>158</v>
      </c>
    </row>
    <row r="4790" spans="3:18" x14ac:dyDescent="0.35">
      <c r="C4790" t="s">
        <v>51</v>
      </c>
      <c r="D4790" t="s">
        <v>25</v>
      </c>
      <c r="E4790" t="s">
        <v>55</v>
      </c>
      <c r="F4790" t="s">
        <v>46</v>
      </c>
      <c r="G4790" s="58">
        <v>734683</v>
      </c>
      <c r="H4790" s="1" t="s">
        <v>47</v>
      </c>
      <c r="I4790" s="1" t="s">
        <v>111</v>
      </c>
      <c r="J4790" s="58">
        <v>12489611</v>
      </c>
      <c r="K4790" s="1" t="s">
        <v>106</v>
      </c>
      <c r="L4790" s="1" t="s">
        <v>114</v>
      </c>
      <c r="N4790" s="1">
        <v>1</v>
      </c>
      <c r="O4790" s="58"/>
      <c r="P4790" s="58">
        <v>470197.12</v>
      </c>
      <c r="Q4790" t="s">
        <v>118</v>
      </c>
      <c r="R4790" s="1" t="s">
        <v>158</v>
      </c>
    </row>
    <row r="4791" spans="3:18" x14ac:dyDescent="0.35">
      <c r="C4791" t="s">
        <v>51</v>
      </c>
      <c r="D4791" t="s">
        <v>92</v>
      </c>
      <c r="E4791" t="s">
        <v>55</v>
      </c>
      <c r="F4791" t="s">
        <v>46</v>
      </c>
      <c r="G4791" s="58">
        <v>3409234</v>
      </c>
      <c r="H4791" s="1" t="s">
        <v>48</v>
      </c>
      <c r="I4791" s="1" t="s">
        <v>108</v>
      </c>
      <c r="J4791" s="58">
        <v>95458552</v>
      </c>
      <c r="K4791" s="1" t="s">
        <v>106</v>
      </c>
      <c r="L4791" s="1" t="s">
        <v>114</v>
      </c>
      <c r="M4791" s="1" t="s">
        <v>123</v>
      </c>
      <c r="N4791" s="1">
        <v>1</v>
      </c>
      <c r="O4791" s="58"/>
      <c r="P4791" s="58">
        <v>1806894.02</v>
      </c>
      <c r="Q4791" t="s">
        <v>113</v>
      </c>
      <c r="R4791" s="1" t="s">
        <v>158</v>
      </c>
    </row>
    <row r="4792" spans="3:18" x14ac:dyDescent="0.35">
      <c r="C4792" t="s">
        <v>51</v>
      </c>
      <c r="D4792" t="s">
        <v>92</v>
      </c>
      <c r="E4792" t="s">
        <v>49</v>
      </c>
      <c r="F4792" t="s">
        <v>46</v>
      </c>
      <c r="G4792" s="58">
        <v>229743</v>
      </c>
      <c r="H4792" s="1" t="s">
        <v>48</v>
      </c>
      <c r="I4792" s="1" t="s">
        <v>111</v>
      </c>
      <c r="J4792" s="58">
        <v>4365117</v>
      </c>
      <c r="K4792" s="1" t="s">
        <v>106</v>
      </c>
      <c r="L4792" s="1" t="s">
        <v>124</v>
      </c>
      <c r="M4792" s="1" t="s">
        <v>122</v>
      </c>
      <c r="N4792" s="1">
        <v>1</v>
      </c>
      <c r="O4792" s="58"/>
      <c r="P4792" s="58">
        <v>71220.33</v>
      </c>
      <c r="Q4792" t="s">
        <v>107</v>
      </c>
      <c r="R4792" s="1" t="s">
        <v>48</v>
      </c>
    </row>
    <row r="4793" spans="3:18" x14ac:dyDescent="0.35">
      <c r="C4793" t="s">
        <v>51</v>
      </c>
      <c r="D4793" t="s">
        <v>23</v>
      </c>
      <c r="E4793" t="s">
        <v>45</v>
      </c>
      <c r="F4793" t="s">
        <v>46</v>
      </c>
      <c r="G4793" s="58">
        <v>1291785</v>
      </c>
      <c r="H4793" s="1" t="s">
        <v>48</v>
      </c>
      <c r="I4793" s="1" t="s">
        <v>111</v>
      </c>
      <c r="J4793" s="58">
        <v>19376775</v>
      </c>
      <c r="K4793" s="1" t="s">
        <v>106</v>
      </c>
      <c r="L4793" s="1" t="s">
        <v>120</v>
      </c>
      <c r="M4793" s="1" t="s">
        <v>125</v>
      </c>
      <c r="N4793" s="1">
        <v>1</v>
      </c>
      <c r="O4793" s="58"/>
      <c r="P4793" s="58">
        <v>322946.25</v>
      </c>
      <c r="Q4793" t="s">
        <v>107</v>
      </c>
      <c r="R4793" s="1" t="s">
        <v>48</v>
      </c>
    </row>
    <row r="4794" spans="3:18" x14ac:dyDescent="0.35">
      <c r="C4794" t="s">
        <v>51</v>
      </c>
      <c r="D4794" t="s">
        <v>92</v>
      </c>
      <c r="E4794" t="s">
        <v>49</v>
      </c>
      <c r="F4794" t="s">
        <v>46</v>
      </c>
      <c r="G4794" s="58">
        <v>2883874</v>
      </c>
      <c r="H4794" s="1" t="s">
        <v>47</v>
      </c>
      <c r="I4794" s="1" t="s">
        <v>108</v>
      </c>
      <c r="J4794" s="58">
        <v>86516220</v>
      </c>
      <c r="K4794" s="1" t="s">
        <v>106</v>
      </c>
      <c r="L4794" s="1" t="s">
        <v>114</v>
      </c>
      <c r="N4794" s="1">
        <v>1</v>
      </c>
      <c r="O4794" s="58"/>
      <c r="P4794" s="58">
        <v>1528453.22</v>
      </c>
      <c r="Q4794" t="s">
        <v>113</v>
      </c>
      <c r="R4794" s="1" t="s">
        <v>158</v>
      </c>
    </row>
    <row r="4795" spans="3:18" x14ac:dyDescent="0.35">
      <c r="C4795" t="s">
        <v>51</v>
      </c>
      <c r="D4795" t="s">
        <v>23</v>
      </c>
      <c r="E4795" t="s">
        <v>55</v>
      </c>
      <c r="F4795" t="s">
        <v>46</v>
      </c>
      <c r="G4795" s="58">
        <v>21255292</v>
      </c>
      <c r="H4795" s="1" t="s">
        <v>54</v>
      </c>
      <c r="I4795" s="1" t="s">
        <v>108</v>
      </c>
      <c r="J4795" s="58">
        <v>531382300</v>
      </c>
      <c r="K4795" s="1" t="s">
        <v>106</v>
      </c>
      <c r="L4795" s="1" t="s">
        <v>114</v>
      </c>
      <c r="N4795" s="1">
        <v>1</v>
      </c>
      <c r="O4795" s="58"/>
      <c r="P4795" s="58">
        <v>11052751.84</v>
      </c>
      <c r="Q4795" t="s">
        <v>113</v>
      </c>
      <c r="R4795" s="1" t="s">
        <v>158</v>
      </c>
    </row>
    <row r="4796" spans="3:18" x14ac:dyDescent="0.35">
      <c r="C4796" t="s">
        <v>44</v>
      </c>
      <c r="D4796" t="s">
        <v>24</v>
      </c>
      <c r="E4796" t="s">
        <v>50</v>
      </c>
      <c r="F4796" t="s">
        <v>46</v>
      </c>
      <c r="G4796" s="58">
        <v>62116</v>
      </c>
      <c r="H4796" s="1" t="s">
        <v>48</v>
      </c>
      <c r="I4796" s="1" t="s">
        <v>108</v>
      </c>
      <c r="J4796" s="58"/>
      <c r="N4796" s="1">
        <v>0</v>
      </c>
      <c r="O4796" s="58"/>
      <c r="P4796" s="58"/>
      <c r="R4796" s="1" t="s">
        <v>158</v>
      </c>
    </row>
    <row r="4797" spans="3:18" x14ac:dyDescent="0.35">
      <c r="C4797" t="s">
        <v>51</v>
      </c>
      <c r="D4797" t="s">
        <v>92</v>
      </c>
      <c r="E4797" t="s">
        <v>49</v>
      </c>
      <c r="F4797" t="s">
        <v>46</v>
      </c>
      <c r="G4797" s="58">
        <v>3484</v>
      </c>
      <c r="H4797" s="1" t="s">
        <v>56</v>
      </c>
      <c r="I4797" s="1" t="s">
        <v>105</v>
      </c>
      <c r="J4797" s="58">
        <v>17420</v>
      </c>
      <c r="K4797" s="1" t="s">
        <v>106</v>
      </c>
      <c r="L4797" s="1" t="s">
        <v>124</v>
      </c>
      <c r="N4797" s="1">
        <v>1</v>
      </c>
      <c r="O4797" s="58"/>
      <c r="P4797" s="58">
        <v>1602.64</v>
      </c>
      <c r="Q4797" t="s">
        <v>113</v>
      </c>
      <c r="R4797" s="1" t="s">
        <v>158</v>
      </c>
    </row>
    <row r="4798" spans="3:18" x14ac:dyDescent="0.35">
      <c r="C4798" t="s">
        <v>51</v>
      </c>
      <c r="D4798" t="s">
        <v>22</v>
      </c>
      <c r="E4798" t="s">
        <v>52</v>
      </c>
      <c r="F4798" t="s">
        <v>46</v>
      </c>
      <c r="G4798" s="58">
        <v>229051</v>
      </c>
      <c r="H4798" s="1" t="s">
        <v>48</v>
      </c>
      <c r="I4798" s="1" t="s">
        <v>119</v>
      </c>
      <c r="J4798" s="58">
        <v>1603357</v>
      </c>
      <c r="K4798" s="1" t="s">
        <v>106</v>
      </c>
      <c r="L4798" s="1" t="s">
        <v>130</v>
      </c>
      <c r="M4798" s="1" t="s">
        <v>115</v>
      </c>
      <c r="N4798" s="1">
        <v>1</v>
      </c>
      <c r="O4798" s="58"/>
      <c r="P4798" s="58">
        <v>61843.77</v>
      </c>
      <c r="Q4798" t="s">
        <v>107</v>
      </c>
      <c r="R4798" s="1" t="s">
        <v>48</v>
      </c>
    </row>
    <row r="4799" spans="3:18" x14ac:dyDescent="0.35">
      <c r="C4799" t="s">
        <v>51</v>
      </c>
      <c r="D4799" t="s">
        <v>19</v>
      </c>
      <c r="E4799" t="s">
        <v>49</v>
      </c>
      <c r="F4799" t="s">
        <v>46</v>
      </c>
      <c r="G4799" s="58">
        <v>1679448</v>
      </c>
      <c r="H4799" s="1" t="s">
        <v>47</v>
      </c>
      <c r="I4799" s="1" t="s">
        <v>108</v>
      </c>
      <c r="J4799" s="58">
        <v>43665648</v>
      </c>
      <c r="K4799" s="1" t="s">
        <v>106</v>
      </c>
      <c r="L4799" s="1" t="s">
        <v>114</v>
      </c>
      <c r="N4799" s="1">
        <v>1</v>
      </c>
      <c r="O4799" s="58"/>
      <c r="P4799" s="58">
        <v>1125230.1599999999</v>
      </c>
      <c r="Q4799" t="s">
        <v>118</v>
      </c>
      <c r="R4799" s="1" t="s">
        <v>158</v>
      </c>
    </row>
    <row r="4800" spans="3:18" x14ac:dyDescent="0.35">
      <c r="C4800" t="s">
        <v>51</v>
      </c>
      <c r="D4800" t="s">
        <v>23</v>
      </c>
      <c r="E4800" t="s">
        <v>49</v>
      </c>
      <c r="F4800" t="s">
        <v>46</v>
      </c>
      <c r="G4800" s="58">
        <v>401442</v>
      </c>
      <c r="H4800" s="1" t="s">
        <v>48</v>
      </c>
      <c r="I4800" s="1" t="s">
        <v>108</v>
      </c>
      <c r="J4800" s="58">
        <v>13247586</v>
      </c>
      <c r="K4800" s="1" t="s">
        <v>106</v>
      </c>
      <c r="L4800" s="1" t="s">
        <v>120</v>
      </c>
      <c r="M4800" s="1" t="s">
        <v>125</v>
      </c>
      <c r="N4800" s="1">
        <v>1</v>
      </c>
      <c r="O4800" s="58"/>
      <c r="P4800" s="58">
        <v>260937.3</v>
      </c>
      <c r="Q4800" t="s">
        <v>118</v>
      </c>
      <c r="R4800" s="1" t="s">
        <v>158</v>
      </c>
    </row>
    <row r="4801" spans="3:18" x14ac:dyDescent="0.35">
      <c r="C4801" t="s">
        <v>53</v>
      </c>
      <c r="D4801" t="s">
        <v>92</v>
      </c>
      <c r="E4801" t="s">
        <v>49</v>
      </c>
      <c r="F4801" t="s">
        <v>46</v>
      </c>
      <c r="G4801" s="58">
        <v>1931410</v>
      </c>
      <c r="H4801" s="1" t="s">
        <v>48</v>
      </c>
      <c r="I4801" s="1" t="s">
        <v>105</v>
      </c>
      <c r="J4801" s="58">
        <v>9657050</v>
      </c>
      <c r="K4801" s="1" t="s">
        <v>106</v>
      </c>
      <c r="L4801" s="1" t="s">
        <v>124</v>
      </c>
      <c r="M4801" s="1" t="s">
        <v>123</v>
      </c>
      <c r="N4801" s="1">
        <v>1</v>
      </c>
      <c r="O4801" s="58"/>
      <c r="P4801" s="58">
        <v>849820.4</v>
      </c>
      <c r="Q4801" t="s">
        <v>113</v>
      </c>
      <c r="R4801" s="1" t="s">
        <v>158</v>
      </c>
    </row>
    <row r="4802" spans="3:18" x14ac:dyDescent="0.35">
      <c r="C4802" t="s">
        <v>51</v>
      </c>
      <c r="D4802" t="s">
        <v>22</v>
      </c>
      <c r="E4802" t="s">
        <v>55</v>
      </c>
      <c r="F4802" t="s">
        <v>46</v>
      </c>
      <c r="G4802" s="58">
        <v>903727</v>
      </c>
      <c r="H4802" s="1" t="s">
        <v>47</v>
      </c>
      <c r="I4802" s="1" t="s">
        <v>108</v>
      </c>
      <c r="J4802" s="58">
        <v>28015537</v>
      </c>
      <c r="K4802" s="1" t="s">
        <v>106</v>
      </c>
      <c r="L4802" s="1" t="s">
        <v>114</v>
      </c>
      <c r="N4802" s="1">
        <v>1</v>
      </c>
      <c r="O4802" s="58"/>
      <c r="P4802" s="58">
        <v>587422.55000000005</v>
      </c>
      <c r="Q4802" t="s">
        <v>118</v>
      </c>
      <c r="R4802" s="1" t="s">
        <v>158</v>
      </c>
    </row>
    <row r="4803" spans="3:18" x14ac:dyDescent="0.35">
      <c r="C4803" t="s">
        <v>51</v>
      </c>
      <c r="D4803" t="s">
        <v>24</v>
      </c>
      <c r="E4803" t="s">
        <v>50</v>
      </c>
      <c r="F4803" t="s">
        <v>46</v>
      </c>
      <c r="G4803" s="58">
        <v>1347908</v>
      </c>
      <c r="H4803" s="1" t="s">
        <v>47</v>
      </c>
      <c r="I4803" s="1" t="s">
        <v>119</v>
      </c>
      <c r="J4803" s="58">
        <v>10783264</v>
      </c>
      <c r="K4803" s="1" t="s">
        <v>106</v>
      </c>
      <c r="L4803" s="1" t="s">
        <v>109</v>
      </c>
      <c r="N4803" s="1">
        <v>1</v>
      </c>
      <c r="O4803" s="58"/>
      <c r="P4803" s="58">
        <v>633516.76</v>
      </c>
      <c r="Q4803" t="s">
        <v>113</v>
      </c>
      <c r="R4803" s="1" t="s">
        <v>158</v>
      </c>
    </row>
    <row r="4804" spans="3:18" x14ac:dyDescent="0.35">
      <c r="C4804" t="s">
        <v>51</v>
      </c>
      <c r="D4804" t="s">
        <v>21</v>
      </c>
      <c r="E4804" t="s">
        <v>49</v>
      </c>
      <c r="F4804" t="s">
        <v>46</v>
      </c>
      <c r="G4804" s="58">
        <v>42556</v>
      </c>
      <c r="H4804" s="1" t="s">
        <v>54</v>
      </c>
      <c r="I4804" s="1" t="s">
        <v>105</v>
      </c>
      <c r="J4804" s="58">
        <v>127668</v>
      </c>
      <c r="K4804" s="1" t="s">
        <v>106</v>
      </c>
      <c r="L4804" s="1" t="s">
        <v>116</v>
      </c>
      <c r="N4804" s="1">
        <v>1</v>
      </c>
      <c r="O4804" s="58"/>
      <c r="P4804" s="58">
        <v>3830.04</v>
      </c>
      <c r="Q4804" t="s">
        <v>107</v>
      </c>
      <c r="R4804" s="1" t="s">
        <v>158</v>
      </c>
    </row>
    <row r="4805" spans="3:18" x14ac:dyDescent="0.35">
      <c r="C4805" t="s">
        <v>51</v>
      </c>
      <c r="D4805" t="s">
        <v>21</v>
      </c>
      <c r="E4805" t="s">
        <v>49</v>
      </c>
      <c r="F4805" t="s">
        <v>46</v>
      </c>
      <c r="G4805" s="58">
        <v>160727111</v>
      </c>
      <c r="H4805" s="1" t="s">
        <v>48</v>
      </c>
      <c r="I4805" s="1" t="s">
        <v>111</v>
      </c>
      <c r="J4805" s="58">
        <v>2571633776</v>
      </c>
      <c r="K4805" s="1" t="s">
        <v>106</v>
      </c>
      <c r="L4805" s="1" t="s">
        <v>124</v>
      </c>
      <c r="M4805" s="1" t="s">
        <v>126</v>
      </c>
      <c r="N4805" s="1">
        <v>1</v>
      </c>
      <c r="O4805" s="58"/>
      <c r="P4805" s="58">
        <v>78756284.390000001</v>
      </c>
      <c r="Q4805" t="s">
        <v>113</v>
      </c>
      <c r="R4805" s="1" t="s">
        <v>158</v>
      </c>
    </row>
    <row r="4806" spans="3:18" x14ac:dyDescent="0.35">
      <c r="C4806" t="s">
        <v>53</v>
      </c>
      <c r="D4806" t="s">
        <v>21</v>
      </c>
      <c r="E4806" t="s">
        <v>45</v>
      </c>
      <c r="F4806" t="s">
        <v>46</v>
      </c>
      <c r="G4806" s="58">
        <v>5350451</v>
      </c>
      <c r="H4806" s="1" t="s">
        <v>47</v>
      </c>
      <c r="I4806" s="1" t="s">
        <v>119</v>
      </c>
      <c r="J4806" s="58">
        <v>48154059</v>
      </c>
      <c r="K4806" s="1" t="s">
        <v>112</v>
      </c>
      <c r="N4806" s="1">
        <v>1</v>
      </c>
      <c r="O4806" s="58"/>
      <c r="P4806" s="58">
        <v>2461207.46</v>
      </c>
      <c r="Q4806" t="s">
        <v>113</v>
      </c>
      <c r="R4806" s="1" t="s">
        <v>158</v>
      </c>
    </row>
    <row r="4807" spans="3:18" x14ac:dyDescent="0.35">
      <c r="C4807" t="s">
        <v>51</v>
      </c>
      <c r="D4807" t="s">
        <v>91</v>
      </c>
      <c r="E4807" t="s">
        <v>49</v>
      </c>
      <c r="F4807" t="s">
        <v>46</v>
      </c>
      <c r="G4807" s="58">
        <v>27863401</v>
      </c>
      <c r="H4807" s="1" t="s">
        <v>48</v>
      </c>
      <c r="I4807" s="1" t="s">
        <v>111</v>
      </c>
      <c r="J4807" s="58">
        <v>445814416</v>
      </c>
      <c r="K4807" s="1" t="s">
        <v>106</v>
      </c>
      <c r="L4807" s="1" t="s">
        <v>124</v>
      </c>
      <c r="M4807" s="1" t="s">
        <v>122</v>
      </c>
      <c r="N4807" s="1">
        <v>1</v>
      </c>
      <c r="O4807" s="58"/>
      <c r="P4807" s="58">
        <v>13653066.49</v>
      </c>
      <c r="Q4807" t="s">
        <v>113</v>
      </c>
      <c r="R4807" s="1" t="s">
        <v>158</v>
      </c>
    </row>
    <row r="4808" spans="3:18" x14ac:dyDescent="0.35">
      <c r="C4808" t="s">
        <v>51</v>
      </c>
      <c r="D4808" t="s">
        <v>92</v>
      </c>
      <c r="E4808" t="s">
        <v>45</v>
      </c>
      <c r="F4808" t="s">
        <v>46</v>
      </c>
      <c r="G4808" s="58">
        <v>182207</v>
      </c>
      <c r="H4808" s="1" t="s">
        <v>56</v>
      </c>
      <c r="I4808" s="1" t="s">
        <v>108</v>
      </c>
      <c r="J4808" s="58">
        <v>6012831</v>
      </c>
      <c r="K4808" s="1" t="s">
        <v>106</v>
      </c>
      <c r="L4808" s="1" t="s">
        <v>120</v>
      </c>
      <c r="N4808" s="1">
        <v>1</v>
      </c>
      <c r="O4808" s="58"/>
      <c r="P4808" s="58">
        <v>145765.6</v>
      </c>
      <c r="Q4808" t="s">
        <v>127</v>
      </c>
      <c r="R4808" s="1" t="s">
        <v>158</v>
      </c>
    </row>
    <row r="4809" spans="3:18" x14ac:dyDescent="0.35">
      <c r="C4809" t="s">
        <v>53</v>
      </c>
      <c r="D4809" t="s">
        <v>21</v>
      </c>
      <c r="E4809" t="s">
        <v>55</v>
      </c>
      <c r="F4809" t="s">
        <v>46</v>
      </c>
      <c r="G4809" s="58">
        <v>95531</v>
      </c>
      <c r="H4809" s="1" t="s">
        <v>47</v>
      </c>
      <c r="I4809" s="1" t="s">
        <v>111</v>
      </c>
      <c r="J4809" s="58">
        <v>1528496</v>
      </c>
      <c r="K4809" s="1" t="s">
        <v>106</v>
      </c>
      <c r="L4809" s="1" t="s">
        <v>114</v>
      </c>
      <c r="N4809" s="1">
        <v>1</v>
      </c>
      <c r="O4809" s="58"/>
      <c r="P4809" s="58">
        <v>48720.81</v>
      </c>
      <c r="Q4809" t="s">
        <v>113</v>
      </c>
      <c r="R4809" s="1" t="s">
        <v>158</v>
      </c>
    </row>
    <row r="4810" spans="3:18" x14ac:dyDescent="0.35">
      <c r="C4810" t="s">
        <v>51</v>
      </c>
      <c r="D4810" t="s">
        <v>23</v>
      </c>
      <c r="E4810" t="s">
        <v>55</v>
      </c>
      <c r="F4810" t="s">
        <v>46</v>
      </c>
      <c r="G4810" s="58">
        <v>292508</v>
      </c>
      <c r="H4810" s="1" t="s">
        <v>59</v>
      </c>
      <c r="I4810" s="1" t="s">
        <v>108</v>
      </c>
      <c r="J4810" s="58">
        <v>10237780</v>
      </c>
      <c r="K4810" s="1" t="s">
        <v>106</v>
      </c>
      <c r="L4810" s="1" t="s">
        <v>124</v>
      </c>
      <c r="N4810" s="1">
        <v>1</v>
      </c>
      <c r="O4810" s="58"/>
      <c r="P4810" s="58">
        <v>231081.32</v>
      </c>
      <c r="Q4810" t="s">
        <v>118</v>
      </c>
      <c r="R4810" s="1" t="s">
        <v>158</v>
      </c>
    </row>
    <row r="4811" spans="3:18" x14ac:dyDescent="0.35">
      <c r="C4811" t="s">
        <v>51</v>
      </c>
      <c r="D4811" t="s">
        <v>24</v>
      </c>
      <c r="E4811" t="s">
        <v>45</v>
      </c>
      <c r="F4811" t="s">
        <v>46</v>
      </c>
      <c r="G4811" s="58">
        <v>1786129</v>
      </c>
      <c r="H4811" s="1" t="s">
        <v>54</v>
      </c>
      <c r="I4811" s="1" t="s">
        <v>111</v>
      </c>
      <c r="J4811" s="58">
        <v>26791935</v>
      </c>
      <c r="K4811" s="1" t="s">
        <v>106</v>
      </c>
      <c r="L4811" s="1" t="s">
        <v>120</v>
      </c>
      <c r="N4811" s="1">
        <v>1</v>
      </c>
      <c r="O4811" s="58"/>
      <c r="P4811" s="58">
        <v>464393.54</v>
      </c>
      <c r="Q4811" t="s">
        <v>107</v>
      </c>
      <c r="R4811" s="1" t="s">
        <v>158</v>
      </c>
    </row>
    <row r="4812" spans="3:18" x14ac:dyDescent="0.35">
      <c r="C4812" t="s">
        <v>51</v>
      </c>
      <c r="D4812" t="s">
        <v>19</v>
      </c>
      <c r="E4812" t="s">
        <v>49</v>
      </c>
      <c r="F4812" t="s">
        <v>46</v>
      </c>
      <c r="G4812" s="58">
        <v>9121739</v>
      </c>
      <c r="H4812" s="1" t="s">
        <v>48</v>
      </c>
      <c r="I4812" s="1" t="s">
        <v>108</v>
      </c>
      <c r="J4812" s="58">
        <v>310139126</v>
      </c>
      <c r="K4812" s="1" t="s">
        <v>112</v>
      </c>
      <c r="N4812" s="1">
        <v>1</v>
      </c>
      <c r="O4812" s="58"/>
      <c r="P4812" s="58">
        <v>7844695.54</v>
      </c>
      <c r="Q4812" t="s">
        <v>127</v>
      </c>
      <c r="R4812" s="1" t="s">
        <v>158</v>
      </c>
    </row>
    <row r="4813" spans="3:18" x14ac:dyDescent="0.35">
      <c r="C4813" t="s">
        <v>53</v>
      </c>
      <c r="D4813" t="s">
        <v>20</v>
      </c>
      <c r="E4813" t="s">
        <v>49</v>
      </c>
      <c r="F4813" t="s">
        <v>46</v>
      </c>
      <c r="G4813" s="58">
        <v>132286</v>
      </c>
      <c r="H4813" s="1" t="s">
        <v>48</v>
      </c>
      <c r="I4813" s="1" t="s">
        <v>105</v>
      </c>
      <c r="J4813" s="58">
        <v>529144</v>
      </c>
      <c r="K4813" s="1" t="s">
        <v>106</v>
      </c>
      <c r="L4813" s="1" t="s">
        <v>124</v>
      </c>
      <c r="M4813" s="1" t="s">
        <v>123</v>
      </c>
      <c r="N4813" s="1">
        <v>1</v>
      </c>
      <c r="O4813" s="58"/>
      <c r="P4813" s="58">
        <v>31748.639999999999</v>
      </c>
      <c r="Q4813" t="s">
        <v>107</v>
      </c>
      <c r="R4813" s="1" t="s">
        <v>158</v>
      </c>
    </row>
    <row r="4814" spans="3:18" x14ac:dyDescent="0.35">
      <c r="C4814" t="s">
        <v>51</v>
      </c>
      <c r="D4814" t="s">
        <v>20</v>
      </c>
      <c r="E4814" t="s">
        <v>49</v>
      </c>
      <c r="F4814" t="s">
        <v>46</v>
      </c>
      <c r="G4814" s="58">
        <v>490642</v>
      </c>
      <c r="H4814" s="1" t="s">
        <v>59</v>
      </c>
      <c r="I4814" s="1" t="s">
        <v>108</v>
      </c>
      <c r="J4814" s="58">
        <v>12266050</v>
      </c>
      <c r="K4814" s="1" t="s">
        <v>106</v>
      </c>
      <c r="L4814" s="1" t="s">
        <v>120</v>
      </c>
      <c r="N4814" s="1">
        <v>1</v>
      </c>
      <c r="O4814" s="58"/>
      <c r="P4814" s="58">
        <v>269853.09999999998</v>
      </c>
      <c r="Q4814" t="s">
        <v>113</v>
      </c>
      <c r="R4814" s="1" t="s">
        <v>158</v>
      </c>
    </row>
    <row r="4815" spans="3:18" x14ac:dyDescent="0.35">
      <c r="C4815" t="s">
        <v>53</v>
      </c>
      <c r="D4815" t="s">
        <v>22</v>
      </c>
      <c r="E4815" t="s">
        <v>45</v>
      </c>
      <c r="F4815" t="s">
        <v>46</v>
      </c>
      <c r="G4815" s="58">
        <v>48739393</v>
      </c>
      <c r="H4815" s="1" t="s">
        <v>47</v>
      </c>
      <c r="I4815" s="1" t="s">
        <v>119</v>
      </c>
      <c r="J4815" s="58">
        <v>341175751</v>
      </c>
      <c r="K4815" s="1" t="s">
        <v>106</v>
      </c>
      <c r="L4815" s="1" t="s">
        <v>120</v>
      </c>
      <c r="N4815" s="1">
        <v>1</v>
      </c>
      <c r="O4815" s="58"/>
      <c r="P4815" s="58">
        <v>8285696.8099999996</v>
      </c>
      <c r="Q4815" t="s">
        <v>107</v>
      </c>
      <c r="R4815" s="1" t="s">
        <v>158</v>
      </c>
    </row>
    <row r="4816" spans="3:18" x14ac:dyDescent="0.35">
      <c r="C4816" t="s">
        <v>51</v>
      </c>
      <c r="D4816" t="s">
        <v>23</v>
      </c>
      <c r="E4816" t="s">
        <v>49</v>
      </c>
      <c r="F4816" t="s">
        <v>46</v>
      </c>
      <c r="G4816" s="58">
        <v>2659188</v>
      </c>
      <c r="H4816" s="1" t="s">
        <v>59</v>
      </c>
      <c r="I4816" s="1" t="s">
        <v>108</v>
      </c>
      <c r="J4816" s="58">
        <v>66479700</v>
      </c>
      <c r="K4816" s="1" t="s">
        <v>106</v>
      </c>
      <c r="L4816" s="1" t="s">
        <v>124</v>
      </c>
      <c r="N4816" s="1">
        <v>1</v>
      </c>
      <c r="O4816" s="58"/>
      <c r="P4816" s="58">
        <v>1329594</v>
      </c>
      <c r="Q4816" t="s">
        <v>113</v>
      </c>
      <c r="R4816" s="1" t="s">
        <v>158</v>
      </c>
    </row>
    <row r="4817" spans="3:18" x14ac:dyDescent="0.35">
      <c r="C4817" t="s">
        <v>51</v>
      </c>
      <c r="D4817" t="s">
        <v>24</v>
      </c>
      <c r="E4817" t="s">
        <v>55</v>
      </c>
      <c r="F4817" t="s">
        <v>46</v>
      </c>
      <c r="G4817" s="58">
        <v>162476</v>
      </c>
      <c r="H4817" s="1" t="s">
        <v>47</v>
      </c>
      <c r="I4817" s="1" t="s">
        <v>108</v>
      </c>
      <c r="J4817" s="58">
        <v>4874280</v>
      </c>
      <c r="K4817" s="1" t="s">
        <v>106</v>
      </c>
      <c r="L4817" s="1" t="s">
        <v>116</v>
      </c>
      <c r="N4817" s="1">
        <v>1</v>
      </c>
      <c r="O4817" s="58"/>
      <c r="P4817" s="58">
        <v>81238</v>
      </c>
      <c r="Q4817" t="s">
        <v>113</v>
      </c>
      <c r="R4817" s="1" t="s">
        <v>158</v>
      </c>
    </row>
    <row r="4818" spans="3:18" x14ac:dyDescent="0.35">
      <c r="C4818" t="s">
        <v>51</v>
      </c>
      <c r="D4818" t="s">
        <v>25</v>
      </c>
      <c r="E4818" t="s">
        <v>55</v>
      </c>
      <c r="F4818" t="s">
        <v>46</v>
      </c>
      <c r="G4818" s="58">
        <v>17658</v>
      </c>
      <c r="H4818" s="1" t="s">
        <v>54</v>
      </c>
      <c r="I4818" s="1" t="s">
        <v>119</v>
      </c>
      <c r="J4818" s="58">
        <v>123606</v>
      </c>
      <c r="K4818" s="1" t="s">
        <v>106</v>
      </c>
      <c r="L4818" s="1" t="s">
        <v>114</v>
      </c>
      <c r="N4818" s="1">
        <v>1</v>
      </c>
      <c r="O4818" s="58"/>
      <c r="P4818" s="58">
        <v>11301.12</v>
      </c>
      <c r="Q4818" t="s">
        <v>118</v>
      </c>
      <c r="R4818" s="1" t="s">
        <v>158</v>
      </c>
    </row>
    <row r="4819" spans="3:18" x14ac:dyDescent="0.35">
      <c r="C4819" t="s">
        <v>51</v>
      </c>
      <c r="D4819" t="s">
        <v>21</v>
      </c>
      <c r="E4819" t="s">
        <v>45</v>
      </c>
      <c r="F4819" t="s">
        <v>46</v>
      </c>
      <c r="G4819" s="58">
        <v>49099</v>
      </c>
      <c r="H4819" s="1" t="s">
        <v>48</v>
      </c>
      <c r="I4819" s="1" t="s">
        <v>108</v>
      </c>
      <c r="J4819" s="58">
        <v>1669366</v>
      </c>
      <c r="K4819" s="1" t="s">
        <v>106</v>
      </c>
      <c r="L4819" s="1" t="s">
        <v>124</v>
      </c>
      <c r="M4819" s="1" t="s">
        <v>121</v>
      </c>
      <c r="N4819" s="1">
        <v>1</v>
      </c>
      <c r="O4819" s="58"/>
      <c r="P4819" s="58">
        <v>12765.74</v>
      </c>
      <c r="Q4819" t="s">
        <v>107</v>
      </c>
      <c r="R4819" s="1" t="s">
        <v>48</v>
      </c>
    </row>
    <row r="4820" spans="3:18" x14ac:dyDescent="0.35">
      <c r="C4820" t="s">
        <v>51</v>
      </c>
      <c r="D4820" t="s">
        <v>22</v>
      </c>
      <c r="E4820" t="s">
        <v>55</v>
      </c>
      <c r="F4820" t="s">
        <v>46</v>
      </c>
      <c r="G4820" s="58">
        <v>143575</v>
      </c>
      <c r="H4820" s="1" t="s">
        <v>54</v>
      </c>
      <c r="I4820" s="1" t="s">
        <v>108</v>
      </c>
      <c r="J4820" s="58">
        <v>3589375</v>
      </c>
      <c r="K4820" s="1" t="s">
        <v>106</v>
      </c>
      <c r="L4820" s="1" t="s">
        <v>114</v>
      </c>
      <c r="N4820" s="1">
        <v>1</v>
      </c>
      <c r="O4820" s="58"/>
      <c r="P4820" s="58">
        <v>20100.5</v>
      </c>
      <c r="Q4820" t="s">
        <v>107</v>
      </c>
      <c r="R4820" s="1" t="s">
        <v>158</v>
      </c>
    </row>
    <row r="4821" spans="3:18" x14ac:dyDescent="0.35">
      <c r="C4821" t="s">
        <v>51</v>
      </c>
      <c r="D4821" t="s">
        <v>20</v>
      </c>
      <c r="E4821" t="s">
        <v>49</v>
      </c>
      <c r="F4821" t="s">
        <v>46</v>
      </c>
      <c r="G4821" s="58">
        <v>2463219</v>
      </c>
      <c r="H4821" s="1" t="s">
        <v>48</v>
      </c>
      <c r="I4821" s="1" t="s">
        <v>108</v>
      </c>
      <c r="J4821" s="58">
        <v>68970132</v>
      </c>
      <c r="K4821" s="1" t="s">
        <v>106</v>
      </c>
      <c r="L4821" s="1" t="s">
        <v>120</v>
      </c>
      <c r="M4821" s="1" t="s">
        <v>115</v>
      </c>
      <c r="N4821" s="1">
        <v>1</v>
      </c>
      <c r="O4821" s="58"/>
      <c r="P4821" s="58">
        <v>1157712.93</v>
      </c>
      <c r="Q4821" t="s">
        <v>113</v>
      </c>
      <c r="R4821" s="1" t="s">
        <v>48</v>
      </c>
    </row>
    <row r="4822" spans="3:18" x14ac:dyDescent="0.35">
      <c r="C4822" t="s">
        <v>51</v>
      </c>
      <c r="D4822" t="s">
        <v>92</v>
      </c>
      <c r="E4822" t="s">
        <v>49</v>
      </c>
      <c r="F4822" t="s">
        <v>46</v>
      </c>
      <c r="G4822" s="58">
        <v>293248</v>
      </c>
      <c r="H4822" s="1" t="s">
        <v>48</v>
      </c>
      <c r="I4822" s="1" t="s">
        <v>108</v>
      </c>
      <c r="J4822" s="58">
        <v>7037952</v>
      </c>
      <c r="K4822" s="1" t="s">
        <v>106</v>
      </c>
      <c r="L4822" s="1" t="s">
        <v>120</v>
      </c>
      <c r="M4822" s="1" t="s">
        <v>126</v>
      </c>
      <c r="N4822" s="1">
        <v>1</v>
      </c>
      <c r="O4822" s="58"/>
      <c r="P4822" s="58">
        <v>82109.440000000002</v>
      </c>
      <c r="Q4822" t="s">
        <v>107</v>
      </c>
      <c r="R4822" s="1" t="s">
        <v>48</v>
      </c>
    </row>
    <row r="4823" spans="3:18" x14ac:dyDescent="0.35">
      <c r="C4823" t="s">
        <v>51</v>
      </c>
      <c r="D4823" t="s">
        <v>21</v>
      </c>
      <c r="E4823" t="s">
        <v>45</v>
      </c>
      <c r="F4823" t="s">
        <v>46</v>
      </c>
      <c r="G4823" s="58">
        <v>3471235</v>
      </c>
      <c r="H4823" s="1" t="s">
        <v>47</v>
      </c>
      <c r="I4823" s="1" t="s">
        <v>111</v>
      </c>
      <c r="J4823" s="58">
        <v>59010995</v>
      </c>
      <c r="K4823" s="1" t="s">
        <v>106</v>
      </c>
      <c r="L4823" s="1" t="s">
        <v>120</v>
      </c>
      <c r="N4823" s="1">
        <v>1</v>
      </c>
      <c r="O4823" s="58"/>
      <c r="P4823" s="58">
        <v>2325727.4500000002</v>
      </c>
      <c r="Q4823" t="s">
        <v>118</v>
      </c>
      <c r="R4823" s="1" t="s">
        <v>158</v>
      </c>
    </row>
    <row r="4824" spans="3:18" x14ac:dyDescent="0.35">
      <c r="C4824" t="s">
        <v>51</v>
      </c>
      <c r="D4824" t="s">
        <v>92</v>
      </c>
      <c r="E4824" t="s">
        <v>45</v>
      </c>
      <c r="F4824" t="s">
        <v>46</v>
      </c>
      <c r="G4824" s="58">
        <v>319336</v>
      </c>
      <c r="H4824" s="1" t="s">
        <v>48</v>
      </c>
      <c r="I4824" s="1" t="s">
        <v>108</v>
      </c>
      <c r="J4824" s="58">
        <v>10857424</v>
      </c>
      <c r="K4824" s="1" t="s">
        <v>106</v>
      </c>
      <c r="L4824" s="1" t="s">
        <v>114</v>
      </c>
      <c r="M4824" s="1" t="s">
        <v>123</v>
      </c>
      <c r="N4824" s="1">
        <v>1</v>
      </c>
      <c r="O4824" s="58"/>
      <c r="P4824" s="58">
        <v>226728.56</v>
      </c>
      <c r="Q4824" t="s">
        <v>118</v>
      </c>
      <c r="R4824" s="1" t="s">
        <v>158</v>
      </c>
    </row>
    <row r="4825" spans="3:18" x14ac:dyDescent="0.35">
      <c r="C4825" t="s">
        <v>51</v>
      </c>
      <c r="D4825" t="s">
        <v>22</v>
      </c>
      <c r="E4825" t="s">
        <v>55</v>
      </c>
      <c r="F4825" t="s">
        <v>46</v>
      </c>
      <c r="G4825" s="58">
        <v>204961</v>
      </c>
      <c r="H4825" s="1" t="s">
        <v>48</v>
      </c>
      <c r="I4825" s="1" t="s">
        <v>108</v>
      </c>
      <c r="J4825" s="58">
        <v>5738908</v>
      </c>
      <c r="K4825" s="1" t="s">
        <v>106</v>
      </c>
      <c r="L4825" s="1" t="s">
        <v>124</v>
      </c>
      <c r="M4825" s="1" t="s">
        <v>126</v>
      </c>
      <c r="N4825" s="1">
        <v>1</v>
      </c>
      <c r="O4825" s="58"/>
      <c r="P4825" s="58">
        <v>86083.62</v>
      </c>
      <c r="Q4825" t="s">
        <v>113</v>
      </c>
      <c r="R4825" s="1" t="s">
        <v>48</v>
      </c>
    </row>
    <row r="4826" spans="3:18" x14ac:dyDescent="0.35">
      <c r="C4826" t="s">
        <v>51</v>
      </c>
      <c r="D4826" t="s">
        <v>24</v>
      </c>
      <c r="E4826" t="s">
        <v>50</v>
      </c>
      <c r="F4826" t="s">
        <v>46</v>
      </c>
      <c r="G4826" s="58">
        <v>24857</v>
      </c>
      <c r="H4826" s="1" t="s">
        <v>59</v>
      </c>
      <c r="I4826" s="1" t="s">
        <v>119</v>
      </c>
      <c r="J4826" s="58">
        <v>149142</v>
      </c>
      <c r="K4826" s="1" t="s">
        <v>106</v>
      </c>
      <c r="L4826" s="1" t="s">
        <v>109</v>
      </c>
      <c r="N4826" s="1">
        <v>1</v>
      </c>
      <c r="O4826" s="58"/>
      <c r="P4826" s="58">
        <v>14168.49</v>
      </c>
      <c r="Q4826" t="s">
        <v>113</v>
      </c>
      <c r="R4826" s="1" t="s">
        <v>158</v>
      </c>
    </row>
    <row r="4827" spans="3:18" x14ac:dyDescent="0.35">
      <c r="C4827" t="s">
        <v>51</v>
      </c>
      <c r="D4827" t="s">
        <v>21</v>
      </c>
      <c r="E4827" t="s">
        <v>45</v>
      </c>
      <c r="F4827" t="s">
        <v>46</v>
      </c>
      <c r="G4827" s="58">
        <v>4976041</v>
      </c>
      <c r="H4827" s="1" t="s">
        <v>48</v>
      </c>
      <c r="I4827" s="1" t="s">
        <v>119</v>
      </c>
      <c r="J4827" s="58">
        <v>34832287</v>
      </c>
      <c r="K4827" s="1" t="s">
        <v>106</v>
      </c>
      <c r="L4827" s="1" t="s">
        <v>120</v>
      </c>
      <c r="M4827" s="1" t="s">
        <v>126</v>
      </c>
      <c r="N4827" s="1">
        <v>1</v>
      </c>
      <c r="O4827" s="58"/>
      <c r="P4827" s="58">
        <v>1194249.8400000001</v>
      </c>
      <c r="Q4827" t="s">
        <v>107</v>
      </c>
      <c r="R4827" s="1" t="s">
        <v>158</v>
      </c>
    </row>
    <row r="4828" spans="3:18" x14ac:dyDescent="0.35">
      <c r="C4828" t="s">
        <v>51</v>
      </c>
      <c r="D4828" t="s">
        <v>23</v>
      </c>
      <c r="E4828" t="s">
        <v>49</v>
      </c>
      <c r="F4828" t="s">
        <v>46</v>
      </c>
      <c r="G4828" s="58">
        <v>37436</v>
      </c>
      <c r="H4828" s="1" t="s">
        <v>48</v>
      </c>
      <c r="I4828" s="1" t="s">
        <v>119</v>
      </c>
      <c r="J4828" s="58">
        <v>299488</v>
      </c>
      <c r="K4828" s="1" t="s">
        <v>106</v>
      </c>
      <c r="L4828" s="1" t="s">
        <v>124</v>
      </c>
      <c r="M4828" s="1" t="s">
        <v>125</v>
      </c>
      <c r="N4828" s="1">
        <v>1</v>
      </c>
      <c r="O4828" s="58"/>
      <c r="P4828" s="58">
        <v>7861.56</v>
      </c>
      <c r="Q4828" t="s">
        <v>107</v>
      </c>
      <c r="R4828" s="1" t="s">
        <v>48</v>
      </c>
    </row>
    <row r="4829" spans="3:18" x14ac:dyDescent="0.35">
      <c r="C4829" t="s">
        <v>51</v>
      </c>
      <c r="D4829" t="s">
        <v>19</v>
      </c>
      <c r="E4829" t="s">
        <v>49</v>
      </c>
      <c r="F4829" t="s">
        <v>46</v>
      </c>
      <c r="G4829" s="58">
        <v>100394</v>
      </c>
      <c r="H4829" s="1" t="s">
        <v>58</v>
      </c>
      <c r="I4829" s="1" t="s">
        <v>119</v>
      </c>
      <c r="J4829" s="58">
        <v>803152</v>
      </c>
      <c r="K4829" s="1" t="s">
        <v>106</v>
      </c>
      <c r="L4829" s="1" t="s">
        <v>124</v>
      </c>
      <c r="N4829" s="1">
        <v>1</v>
      </c>
      <c r="O4829" s="58"/>
      <c r="P4829" s="58">
        <v>18070.919999999998</v>
      </c>
      <c r="Q4829" t="s">
        <v>107</v>
      </c>
      <c r="R4829" s="1" t="s">
        <v>158</v>
      </c>
    </row>
    <row r="4830" spans="3:18" x14ac:dyDescent="0.35">
      <c r="C4830" t="s">
        <v>51</v>
      </c>
      <c r="D4830" t="s">
        <v>24</v>
      </c>
      <c r="E4830" t="s">
        <v>49</v>
      </c>
      <c r="F4830" t="s">
        <v>46</v>
      </c>
      <c r="G4830" s="58">
        <v>868738</v>
      </c>
      <c r="H4830" s="1" t="s">
        <v>48</v>
      </c>
      <c r="I4830" s="1" t="s">
        <v>111</v>
      </c>
      <c r="J4830" s="58">
        <v>15637284</v>
      </c>
      <c r="K4830" s="1" t="s">
        <v>106</v>
      </c>
      <c r="L4830" s="1" t="s">
        <v>124</v>
      </c>
      <c r="M4830" s="1" t="s">
        <v>121</v>
      </c>
      <c r="N4830" s="1">
        <v>1</v>
      </c>
      <c r="O4830" s="58"/>
      <c r="P4830" s="58">
        <v>573367.07999999996</v>
      </c>
      <c r="Q4830" t="s">
        <v>118</v>
      </c>
      <c r="R4830" s="1" t="s">
        <v>158</v>
      </c>
    </row>
    <row r="4831" spans="3:18" x14ac:dyDescent="0.35">
      <c r="C4831" t="s">
        <v>51</v>
      </c>
      <c r="D4831" t="s">
        <v>24</v>
      </c>
      <c r="E4831" t="s">
        <v>50</v>
      </c>
      <c r="F4831" t="s">
        <v>46</v>
      </c>
      <c r="G4831" s="58">
        <v>2</v>
      </c>
      <c r="H4831" s="1" t="s">
        <v>47</v>
      </c>
      <c r="I4831" s="1" t="s">
        <v>105</v>
      </c>
      <c r="J4831" s="58"/>
      <c r="K4831" s="1" t="s">
        <v>106</v>
      </c>
      <c r="L4831" s="1" t="s">
        <v>109</v>
      </c>
      <c r="N4831" s="1">
        <v>0</v>
      </c>
      <c r="O4831" s="58"/>
      <c r="P4831" s="58">
        <v>0</v>
      </c>
      <c r="Q4831" t="s">
        <v>107</v>
      </c>
      <c r="R4831" s="1" t="s">
        <v>158</v>
      </c>
    </row>
    <row r="4832" spans="3:18" x14ac:dyDescent="0.35">
      <c r="C4832" t="s">
        <v>51</v>
      </c>
      <c r="D4832" t="s">
        <v>91</v>
      </c>
      <c r="E4832" t="s">
        <v>45</v>
      </c>
      <c r="F4832" t="s">
        <v>46</v>
      </c>
      <c r="G4832" s="58">
        <v>349587</v>
      </c>
      <c r="H4832" s="1" t="s">
        <v>48</v>
      </c>
      <c r="I4832" s="1" t="s">
        <v>119</v>
      </c>
      <c r="J4832" s="58">
        <v>3146283</v>
      </c>
      <c r="K4832" s="1" t="s">
        <v>106</v>
      </c>
      <c r="L4832" s="1" t="s">
        <v>120</v>
      </c>
      <c r="M4832" s="1" t="s">
        <v>122</v>
      </c>
      <c r="N4832" s="1">
        <v>1</v>
      </c>
      <c r="O4832" s="58"/>
      <c r="P4832" s="58">
        <v>101380.23</v>
      </c>
      <c r="Q4832" t="s">
        <v>107</v>
      </c>
      <c r="R4832" s="1" t="s">
        <v>158</v>
      </c>
    </row>
    <row r="4833" spans="3:18" x14ac:dyDescent="0.35">
      <c r="C4833" t="s">
        <v>51</v>
      </c>
      <c r="D4833" t="s">
        <v>24</v>
      </c>
      <c r="E4833" t="s">
        <v>55</v>
      </c>
      <c r="F4833" t="s">
        <v>46</v>
      </c>
      <c r="G4833" s="58">
        <v>66519</v>
      </c>
      <c r="H4833" s="1" t="s">
        <v>56</v>
      </c>
      <c r="I4833" s="1" t="s">
        <v>108</v>
      </c>
      <c r="J4833" s="58">
        <v>1529937</v>
      </c>
      <c r="K4833" s="1" t="s">
        <v>106</v>
      </c>
      <c r="L4833" s="1" t="s">
        <v>120</v>
      </c>
      <c r="N4833" s="1">
        <v>1</v>
      </c>
      <c r="O4833" s="58"/>
      <c r="P4833" s="58">
        <v>37915.83</v>
      </c>
      <c r="Q4833" t="s">
        <v>113</v>
      </c>
      <c r="R4833" s="1" t="s">
        <v>158</v>
      </c>
    </row>
    <row r="4834" spans="3:18" x14ac:dyDescent="0.35">
      <c r="C4834" t="s">
        <v>53</v>
      </c>
      <c r="D4834" t="s">
        <v>91</v>
      </c>
      <c r="E4834" t="s">
        <v>49</v>
      </c>
      <c r="F4834" t="s">
        <v>46</v>
      </c>
      <c r="G4834" s="58">
        <v>384779</v>
      </c>
      <c r="H4834" s="1" t="s">
        <v>47</v>
      </c>
      <c r="I4834" s="1" t="s">
        <v>119</v>
      </c>
      <c r="J4834" s="58">
        <v>3078232</v>
      </c>
      <c r="K4834" s="1" t="s">
        <v>106</v>
      </c>
      <c r="L4834" s="1" t="s">
        <v>124</v>
      </c>
      <c r="N4834" s="1">
        <v>1</v>
      </c>
      <c r="O4834" s="58"/>
      <c r="P4834" s="58">
        <v>311670.99</v>
      </c>
      <c r="Q4834" t="s">
        <v>127</v>
      </c>
      <c r="R4834" s="1" t="s">
        <v>158</v>
      </c>
    </row>
    <row r="4835" spans="3:18" x14ac:dyDescent="0.35">
      <c r="C4835" t="s">
        <v>51</v>
      </c>
      <c r="D4835" t="s">
        <v>22</v>
      </c>
      <c r="E4835" t="s">
        <v>45</v>
      </c>
      <c r="F4835" t="s">
        <v>46</v>
      </c>
      <c r="G4835" s="58">
        <v>853847</v>
      </c>
      <c r="H4835" s="1" t="s">
        <v>47</v>
      </c>
      <c r="I4835" s="1" t="s">
        <v>105</v>
      </c>
      <c r="J4835" s="58"/>
      <c r="K4835" s="1" t="s">
        <v>106</v>
      </c>
      <c r="L4835" s="1" t="s">
        <v>120</v>
      </c>
      <c r="N4835" s="1">
        <v>0</v>
      </c>
      <c r="O4835" s="58"/>
      <c r="P4835" s="58">
        <v>17076.939999999999</v>
      </c>
      <c r="Q4835" t="s">
        <v>107</v>
      </c>
      <c r="R4835" s="1" t="s">
        <v>158</v>
      </c>
    </row>
    <row r="4836" spans="3:18" x14ac:dyDescent="0.35">
      <c r="C4836" t="s">
        <v>53</v>
      </c>
      <c r="D4836" t="s">
        <v>92</v>
      </c>
      <c r="E4836" t="s">
        <v>45</v>
      </c>
      <c r="F4836" t="s">
        <v>46</v>
      </c>
      <c r="G4836" s="58">
        <v>10292546</v>
      </c>
      <c r="H4836" s="1" t="s">
        <v>48</v>
      </c>
      <c r="I4836" s="1" t="s">
        <v>119</v>
      </c>
      <c r="J4836" s="58">
        <v>61755276</v>
      </c>
      <c r="K4836" s="1" t="s">
        <v>106</v>
      </c>
      <c r="L4836" s="1" t="s">
        <v>120</v>
      </c>
      <c r="M4836" s="1" t="s">
        <v>123</v>
      </c>
      <c r="N4836" s="1">
        <v>1</v>
      </c>
      <c r="O4836" s="58"/>
      <c r="P4836" s="58">
        <v>2573136.5</v>
      </c>
      <c r="Q4836" t="s">
        <v>107</v>
      </c>
      <c r="R4836" s="1" t="s">
        <v>158</v>
      </c>
    </row>
    <row r="4837" spans="3:18" x14ac:dyDescent="0.35">
      <c r="C4837" t="s">
        <v>51</v>
      </c>
      <c r="D4837" t="s">
        <v>22</v>
      </c>
      <c r="E4837" t="s">
        <v>49</v>
      </c>
      <c r="F4837" t="s">
        <v>46</v>
      </c>
      <c r="G4837" s="58">
        <v>29757176</v>
      </c>
      <c r="H4837" s="1" t="s">
        <v>56</v>
      </c>
      <c r="I4837" s="1" t="s">
        <v>108</v>
      </c>
      <c r="J4837" s="58">
        <v>803443752</v>
      </c>
      <c r="K4837" s="1" t="s">
        <v>106</v>
      </c>
      <c r="L4837" s="1" t="s">
        <v>124</v>
      </c>
      <c r="N4837" s="1">
        <v>1</v>
      </c>
      <c r="O4837" s="58"/>
      <c r="P4837" s="58">
        <v>20234879.68</v>
      </c>
      <c r="Q4837" t="s">
        <v>118</v>
      </c>
      <c r="R4837" s="1" t="s">
        <v>158</v>
      </c>
    </row>
    <row r="4838" spans="3:18" x14ac:dyDescent="0.35">
      <c r="C4838" t="s">
        <v>51</v>
      </c>
      <c r="D4838" t="s">
        <v>21</v>
      </c>
      <c r="E4838" t="s">
        <v>45</v>
      </c>
      <c r="F4838" t="s">
        <v>46</v>
      </c>
      <c r="G4838" s="58">
        <v>1018173</v>
      </c>
      <c r="H4838" s="1" t="s">
        <v>56</v>
      </c>
      <c r="I4838" s="1" t="s">
        <v>111</v>
      </c>
      <c r="J4838" s="58">
        <v>15272595</v>
      </c>
      <c r="K4838" s="1" t="s">
        <v>106</v>
      </c>
      <c r="L4838" s="1" t="s">
        <v>120</v>
      </c>
      <c r="N4838" s="1">
        <v>1</v>
      </c>
      <c r="O4838" s="58"/>
      <c r="P4838" s="58">
        <v>651630.72</v>
      </c>
      <c r="Q4838" t="s">
        <v>118</v>
      </c>
      <c r="R4838" s="1" t="s">
        <v>158</v>
      </c>
    </row>
    <row r="4839" spans="3:18" x14ac:dyDescent="0.35">
      <c r="C4839" t="s">
        <v>51</v>
      </c>
      <c r="D4839" t="s">
        <v>22</v>
      </c>
      <c r="E4839" t="s">
        <v>49</v>
      </c>
      <c r="F4839" t="s">
        <v>46</v>
      </c>
      <c r="G4839" s="58">
        <v>76101862</v>
      </c>
      <c r="H4839" s="1" t="s">
        <v>54</v>
      </c>
      <c r="I4839" s="1" t="s">
        <v>111</v>
      </c>
      <c r="J4839" s="58">
        <v>1141527930</v>
      </c>
      <c r="K4839" s="1" t="s">
        <v>106</v>
      </c>
      <c r="L4839" s="1" t="s">
        <v>124</v>
      </c>
      <c r="N4839" s="1">
        <v>1</v>
      </c>
      <c r="O4839" s="58"/>
      <c r="P4839" s="58">
        <v>15981391.02</v>
      </c>
      <c r="Q4839" t="s">
        <v>107</v>
      </c>
      <c r="R4839" s="1" t="s">
        <v>158</v>
      </c>
    </row>
    <row r="4840" spans="3:18" x14ac:dyDescent="0.35">
      <c r="C4840" t="s">
        <v>51</v>
      </c>
      <c r="D4840" t="s">
        <v>21</v>
      </c>
      <c r="E4840" t="s">
        <v>49</v>
      </c>
      <c r="F4840" t="s">
        <v>46</v>
      </c>
      <c r="G4840" s="58">
        <v>84676100</v>
      </c>
      <c r="H4840" s="1" t="s">
        <v>54</v>
      </c>
      <c r="I4840" s="1" t="s">
        <v>119</v>
      </c>
      <c r="J4840" s="58">
        <v>592732700</v>
      </c>
      <c r="K4840" s="1" t="s">
        <v>106</v>
      </c>
      <c r="L4840" s="1" t="s">
        <v>124</v>
      </c>
      <c r="N4840" s="1">
        <v>1</v>
      </c>
      <c r="O4840" s="58"/>
      <c r="P4840" s="58">
        <v>18628742</v>
      </c>
      <c r="Q4840" t="s">
        <v>107</v>
      </c>
      <c r="R4840" s="1" t="s">
        <v>158</v>
      </c>
    </row>
    <row r="4841" spans="3:18" x14ac:dyDescent="0.35">
      <c r="C4841" t="s">
        <v>51</v>
      </c>
      <c r="D4841" t="s">
        <v>23</v>
      </c>
      <c r="E4841" t="s">
        <v>62</v>
      </c>
      <c r="F4841" t="s">
        <v>46</v>
      </c>
      <c r="G4841" s="58">
        <v>18183998</v>
      </c>
      <c r="H4841" s="1" t="s">
        <v>48</v>
      </c>
      <c r="I4841" s="1" t="s">
        <v>108</v>
      </c>
      <c r="J4841" s="58">
        <v>672807926</v>
      </c>
      <c r="K4841" s="1" t="s">
        <v>112</v>
      </c>
      <c r="N4841" s="1">
        <v>1</v>
      </c>
      <c r="O4841" s="58"/>
      <c r="P4841" s="58">
        <v>16183758.220000001</v>
      </c>
      <c r="Q4841" t="s">
        <v>127</v>
      </c>
      <c r="R4841" s="1" t="s">
        <v>48</v>
      </c>
    </row>
    <row r="4842" spans="3:18" x14ac:dyDescent="0.35">
      <c r="C4842" t="s">
        <v>51</v>
      </c>
      <c r="D4842" t="s">
        <v>92</v>
      </c>
      <c r="E4842" t="s">
        <v>55</v>
      </c>
      <c r="F4842" t="s">
        <v>46</v>
      </c>
      <c r="G4842" s="58">
        <v>49350</v>
      </c>
      <c r="H4842" s="1" t="s">
        <v>48</v>
      </c>
      <c r="I4842" s="1" t="s">
        <v>119</v>
      </c>
      <c r="J4842" s="58">
        <v>394800</v>
      </c>
      <c r="K4842" s="1" t="s">
        <v>106</v>
      </c>
      <c r="L4842" s="1" t="s">
        <v>114</v>
      </c>
      <c r="M4842" s="1" t="s">
        <v>123</v>
      </c>
      <c r="N4842" s="1">
        <v>1</v>
      </c>
      <c r="O4842" s="58"/>
      <c r="P4842" s="58">
        <v>6909</v>
      </c>
      <c r="Q4842" t="s">
        <v>107</v>
      </c>
      <c r="R4842" s="1" t="s">
        <v>158</v>
      </c>
    </row>
    <row r="4843" spans="3:18" x14ac:dyDescent="0.35">
      <c r="C4843" t="s">
        <v>53</v>
      </c>
      <c r="D4843" t="s">
        <v>21</v>
      </c>
      <c r="E4843" t="s">
        <v>55</v>
      </c>
      <c r="F4843" t="s">
        <v>46</v>
      </c>
      <c r="G4843" s="58">
        <v>483453</v>
      </c>
      <c r="H4843" s="1" t="s">
        <v>54</v>
      </c>
      <c r="I4843" s="1" t="s">
        <v>111</v>
      </c>
      <c r="J4843" s="58">
        <v>5801436</v>
      </c>
      <c r="K4843" s="1" t="s">
        <v>106</v>
      </c>
      <c r="L4843" s="1" t="s">
        <v>114</v>
      </c>
      <c r="N4843" s="1">
        <v>1</v>
      </c>
      <c r="O4843" s="58"/>
      <c r="P4843" s="58">
        <v>149870.43</v>
      </c>
      <c r="Q4843" t="s">
        <v>107</v>
      </c>
      <c r="R4843" s="1" t="s">
        <v>158</v>
      </c>
    </row>
    <row r="4844" spans="3:18" x14ac:dyDescent="0.35">
      <c r="C4844" t="s">
        <v>51</v>
      </c>
      <c r="D4844" t="s">
        <v>21</v>
      </c>
      <c r="E4844" t="s">
        <v>49</v>
      </c>
      <c r="F4844" t="s">
        <v>46</v>
      </c>
      <c r="G4844" s="58">
        <v>191607</v>
      </c>
      <c r="H4844" s="1" t="s">
        <v>47</v>
      </c>
      <c r="I4844" s="1" t="s">
        <v>108</v>
      </c>
      <c r="J4844" s="58">
        <v>5173389</v>
      </c>
      <c r="K4844" s="1" t="s">
        <v>106</v>
      </c>
      <c r="L4844" s="1" t="s">
        <v>120</v>
      </c>
      <c r="N4844" s="1">
        <v>1</v>
      </c>
      <c r="O4844" s="58"/>
      <c r="P4844" s="58">
        <v>287410.5</v>
      </c>
      <c r="Q4844" t="s">
        <v>110</v>
      </c>
      <c r="R4844" s="1" t="s">
        <v>158</v>
      </c>
    </row>
    <row r="4845" spans="3:18" x14ac:dyDescent="0.35">
      <c r="C4845" t="s">
        <v>53</v>
      </c>
      <c r="D4845" t="s">
        <v>20</v>
      </c>
      <c r="E4845" t="s">
        <v>49</v>
      </c>
      <c r="F4845" t="s">
        <v>46</v>
      </c>
      <c r="G4845" s="58">
        <v>84</v>
      </c>
      <c r="H4845" s="1" t="s">
        <v>54</v>
      </c>
      <c r="I4845" s="1" t="s">
        <v>105</v>
      </c>
      <c r="J4845" s="58"/>
      <c r="K4845" s="1" t="s">
        <v>106</v>
      </c>
      <c r="L4845" s="1" t="s">
        <v>124</v>
      </c>
      <c r="N4845" s="1">
        <v>0</v>
      </c>
      <c r="O4845" s="58"/>
      <c r="P4845" s="58">
        <v>0</v>
      </c>
      <c r="Q4845" t="s">
        <v>107</v>
      </c>
      <c r="R4845" s="1" t="s">
        <v>158</v>
      </c>
    </row>
    <row r="4846" spans="3:18" x14ac:dyDescent="0.35">
      <c r="C4846" t="s">
        <v>53</v>
      </c>
      <c r="D4846" t="s">
        <v>92</v>
      </c>
      <c r="E4846" t="s">
        <v>45</v>
      </c>
      <c r="F4846" t="s">
        <v>46</v>
      </c>
      <c r="G4846" s="58">
        <v>7290981</v>
      </c>
      <c r="H4846" s="1" t="s">
        <v>54</v>
      </c>
      <c r="I4846" s="1" t="s">
        <v>111</v>
      </c>
      <c r="J4846" s="58">
        <v>80200791</v>
      </c>
      <c r="K4846" s="1" t="s">
        <v>106</v>
      </c>
      <c r="L4846" s="1" t="s">
        <v>120</v>
      </c>
      <c r="N4846" s="1">
        <v>1</v>
      </c>
      <c r="O4846" s="58"/>
      <c r="P4846" s="58">
        <v>2041474.68</v>
      </c>
      <c r="Q4846" t="s">
        <v>107</v>
      </c>
      <c r="R4846" s="1" t="s">
        <v>158</v>
      </c>
    </row>
    <row r="4847" spans="3:18" x14ac:dyDescent="0.35">
      <c r="C4847" t="s">
        <v>51</v>
      </c>
      <c r="D4847" t="s">
        <v>19</v>
      </c>
      <c r="E4847" t="s">
        <v>49</v>
      </c>
      <c r="F4847" t="s">
        <v>46</v>
      </c>
      <c r="G4847" s="58">
        <v>6798680</v>
      </c>
      <c r="H4847" s="1" t="s">
        <v>56</v>
      </c>
      <c r="I4847" s="1" t="s">
        <v>119</v>
      </c>
      <c r="J4847" s="58">
        <v>47590760</v>
      </c>
      <c r="K4847" s="1" t="s">
        <v>106</v>
      </c>
      <c r="L4847" s="1" t="s">
        <v>124</v>
      </c>
      <c r="N4847" s="1">
        <v>1</v>
      </c>
      <c r="O4847" s="58"/>
      <c r="P4847" s="58">
        <v>1563696.4</v>
      </c>
      <c r="Q4847" t="s">
        <v>107</v>
      </c>
      <c r="R4847" s="1" t="s">
        <v>158</v>
      </c>
    </row>
    <row r="4848" spans="3:18" x14ac:dyDescent="0.35">
      <c r="C4848" t="s">
        <v>51</v>
      </c>
      <c r="D4848" t="s">
        <v>19</v>
      </c>
      <c r="E4848" t="s">
        <v>49</v>
      </c>
      <c r="F4848" t="s">
        <v>46</v>
      </c>
      <c r="G4848" s="58">
        <v>0</v>
      </c>
      <c r="H4848" s="1" t="s">
        <v>54</v>
      </c>
      <c r="I4848" s="1" t="s">
        <v>111</v>
      </c>
      <c r="J4848" s="58">
        <v>0</v>
      </c>
      <c r="K4848" s="1" t="s">
        <v>106</v>
      </c>
      <c r="L4848" s="1" t="s">
        <v>124</v>
      </c>
      <c r="N4848" s="1">
        <v>1</v>
      </c>
      <c r="O4848" s="58"/>
      <c r="P4848" s="58">
        <v>0</v>
      </c>
      <c r="Q4848" t="s">
        <v>110</v>
      </c>
      <c r="R4848" s="1" t="s">
        <v>158</v>
      </c>
    </row>
    <row r="4849" spans="3:18" x14ac:dyDescent="0.35">
      <c r="C4849" t="s">
        <v>53</v>
      </c>
      <c r="D4849" t="s">
        <v>20</v>
      </c>
      <c r="E4849" t="s">
        <v>49</v>
      </c>
      <c r="F4849" t="s">
        <v>46</v>
      </c>
      <c r="G4849" s="58">
        <v>195531</v>
      </c>
      <c r="H4849" s="1" t="s">
        <v>48</v>
      </c>
      <c r="I4849" s="1" t="s">
        <v>111</v>
      </c>
      <c r="J4849" s="58">
        <v>2932965</v>
      </c>
      <c r="K4849" s="1" t="s">
        <v>106</v>
      </c>
      <c r="L4849" s="1" t="s">
        <v>124</v>
      </c>
      <c r="M4849" s="1" t="s">
        <v>123</v>
      </c>
      <c r="N4849" s="1">
        <v>1</v>
      </c>
      <c r="O4849" s="58"/>
      <c r="P4849" s="58">
        <v>54748.68</v>
      </c>
      <c r="Q4849" t="s">
        <v>107</v>
      </c>
      <c r="R4849" s="1" t="s">
        <v>158</v>
      </c>
    </row>
    <row r="4850" spans="3:18" x14ac:dyDescent="0.35">
      <c r="C4850" t="s">
        <v>51</v>
      </c>
      <c r="D4850" t="s">
        <v>24</v>
      </c>
      <c r="E4850" t="s">
        <v>55</v>
      </c>
      <c r="F4850" t="s">
        <v>46</v>
      </c>
      <c r="G4850" s="58">
        <v>9553</v>
      </c>
      <c r="H4850" s="1" t="s">
        <v>47</v>
      </c>
      <c r="I4850" s="1" t="s">
        <v>105</v>
      </c>
      <c r="J4850" s="58">
        <v>28659</v>
      </c>
      <c r="K4850" s="1" t="s">
        <v>106</v>
      </c>
      <c r="L4850" s="1" t="s">
        <v>116</v>
      </c>
      <c r="N4850" s="1">
        <v>1</v>
      </c>
      <c r="O4850" s="58"/>
      <c r="P4850" s="58">
        <v>3343.55</v>
      </c>
      <c r="Q4850" t="s">
        <v>107</v>
      </c>
      <c r="R4850" s="1" t="s">
        <v>158</v>
      </c>
    </row>
    <row r="4851" spans="3:18" x14ac:dyDescent="0.35">
      <c r="C4851" t="s">
        <v>51</v>
      </c>
      <c r="D4851" t="s">
        <v>20</v>
      </c>
      <c r="E4851" t="s">
        <v>49</v>
      </c>
      <c r="F4851" t="s">
        <v>46</v>
      </c>
      <c r="G4851" s="58">
        <v>6290301</v>
      </c>
      <c r="H4851" s="1" t="s">
        <v>48</v>
      </c>
      <c r="I4851" s="1" t="s">
        <v>108</v>
      </c>
      <c r="J4851" s="58">
        <v>213870234</v>
      </c>
      <c r="K4851" s="1" t="s">
        <v>112</v>
      </c>
      <c r="N4851" s="1">
        <v>1</v>
      </c>
      <c r="O4851" s="58"/>
      <c r="P4851" s="58">
        <v>4340307.6900000004</v>
      </c>
      <c r="Q4851" t="s">
        <v>118</v>
      </c>
      <c r="R4851" s="1" t="s">
        <v>158</v>
      </c>
    </row>
    <row r="4852" spans="3:18" x14ac:dyDescent="0.35">
      <c r="C4852" t="s">
        <v>53</v>
      </c>
      <c r="D4852" t="s">
        <v>24</v>
      </c>
      <c r="E4852" t="s">
        <v>55</v>
      </c>
      <c r="F4852" t="s">
        <v>46</v>
      </c>
      <c r="G4852" s="58">
        <v>875410</v>
      </c>
      <c r="H4852" s="1" t="s">
        <v>56</v>
      </c>
      <c r="I4852" s="1" t="s">
        <v>111</v>
      </c>
      <c r="J4852" s="58">
        <v>9629510</v>
      </c>
      <c r="K4852" s="1" t="s">
        <v>106</v>
      </c>
      <c r="L4852" s="1" t="s">
        <v>114</v>
      </c>
      <c r="N4852" s="1">
        <v>1</v>
      </c>
      <c r="O4852" s="58"/>
      <c r="P4852" s="58">
        <v>341409.9</v>
      </c>
      <c r="Q4852" t="s">
        <v>107</v>
      </c>
      <c r="R4852" s="1" t="s">
        <v>158</v>
      </c>
    </row>
    <row r="4853" spans="3:18" x14ac:dyDescent="0.35">
      <c r="C4853" t="s">
        <v>51</v>
      </c>
      <c r="D4853" t="s">
        <v>24</v>
      </c>
      <c r="E4853" t="s">
        <v>45</v>
      </c>
      <c r="F4853" t="s">
        <v>46</v>
      </c>
      <c r="G4853" s="58">
        <v>499186</v>
      </c>
      <c r="H4853" s="1" t="s">
        <v>48</v>
      </c>
      <c r="I4853" s="1" t="s">
        <v>119</v>
      </c>
      <c r="J4853" s="58">
        <v>4492674</v>
      </c>
      <c r="K4853" s="1" t="s">
        <v>106</v>
      </c>
      <c r="L4853" s="1" t="s">
        <v>120</v>
      </c>
      <c r="M4853" s="1" t="s">
        <v>121</v>
      </c>
      <c r="N4853" s="1">
        <v>1</v>
      </c>
      <c r="O4853" s="58"/>
      <c r="P4853" s="58">
        <v>344438.34</v>
      </c>
      <c r="Q4853" t="s">
        <v>118</v>
      </c>
      <c r="R4853" s="1" t="s">
        <v>158</v>
      </c>
    </row>
    <row r="4854" spans="3:18" x14ac:dyDescent="0.35">
      <c r="C4854" t="s">
        <v>51</v>
      </c>
      <c r="D4854" t="s">
        <v>19</v>
      </c>
      <c r="E4854" t="s">
        <v>49</v>
      </c>
      <c r="F4854" t="s">
        <v>46</v>
      </c>
      <c r="G4854" s="58">
        <v>4276807</v>
      </c>
      <c r="H4854" s="1" t="s">
        <v>48</v>
      </c>
      <c r="I4854" s="1" t="s">
        <v>111</v>
      </c>
      <c r="J4854" s="58">
        <v>76982526</v>
      </c>
      <c r="K4854" s="1" t="s">
        <v>112</v>
      </c>
      <c r="N4854" s="1">
        <v>1</v>
      </c>
      <c r="O4854" s="58"/>
      <c r="P4854" s="58">
        <v>3079301.04</v>
      </c>
      <c r="Q4854" t="s">
        <v>118</v>
      </c>
      <c r="R4854" s="1" t="s">
        <v>158</v>
      </c>
    </row>
    <row r="4855" spans="3:18" x14ac:dyDescent="0.35">
      <c r="C4855" t="s">
        <v>51</v>
      </c>
      <c r="D4855" t="s">
        <v>21</v>
      </c>
      <c r="E4855" t="s">
        <v>45</v>
      </c>
      <c r="F4855" t="s">
        <v>46</v>
      </c>
      <c r="G4855" s="58">
        <v>350168</v>
      </c>
      <c r="H4855" s="1" t="s">
        <v>47</v>
      </c>
      <c r="I4855" s="1" t="s">
        <v>105</v>
      </c>
      <c r="J4855" s="58">
        <v>1050504</v>
      </c>
      <c r="K4855" s="1" t="s">
        <v>106</v>
      </c>
      <c r="L4855" s="1" t="s">
        <v>124</v>
      </c>
      <c r="N4855" s="1">
        <v>1</v>
      </c>
      <c r="O4855" s="58"/>
      <c r="P4855" s="58">
        <v>59528.56</v>
      </c>
      <c r="Q4855" t="s">
        <v>107</v>
      </c>
      <c r="R4855" s="1" t="s">
        <v>158</v>
      </c>
    </row>
    <row r="4856" spans="3:18" x14ac:dyDescent="0.35">
      <c r="C4856" t="s">
        <v>51</v>
      </c>
      <c r="D4856" t="s">
        <v>24</v>
      </c>
      <c r="E4856" t="s">
        <v>55</v>
      </c>
      <c r="F4856" t="s">
        <v>64</v>
      </c>
      <c r="G4856" s="58">
        <v>276737</v>
      </c>
      <c r="H4856" s="1" t="s">
        <v>59</v>
      </c>
      <c r="I4856" s="1" t="s">
        <v>108</v>
      </c>
      <c r="J4856" s="58">
        <v>9409058</v>
      </c>
      <c r="K4856" s="1" t="s">
        <v>112</v>
      </c>
      <c r="N4856" s="1">
        <v>1</v>
      </c>
      <c r="O4856" s="58"/>
      <c r="P4856" s="58">
        <v>235226.45</v>
      </c>
      <c r="Q4856" t="s">
        <v>127</v>
      </c>
      <c r="R4856" s="1" t="s">
        <v>158</v>
      </c>
    </row>
    <row r="4857" spans="3:18" x14ac:dyDescent="0.35">
      <c r="C4857" t="s">
        <v>51</v>
      </c>
      <c r="D4857" t="s">
        <v>24</v>
      </c>
      <c r="E4857" t="s">
        <v>55</v>
      </c>
      <c r="F4857" t="s">
        <v>46</v>
      </c>
      <c r="G4857" s="58">
        <v>89408</v>
      </c>
      <c r="H4857" s="1" t="s">
        <v>48</v>
      </c>
      <c r="I4857" s="1" t="s">
        <v>111</v>
      </c>
      <c r="J4857" s="58">
        <v>1698752</v>
      </c>
      <c r="K4857" s="1" t="s">
        <v>112</v>
      </c>
      <c r="N4857" s="1">
        <v>1</v>
      </c>
      <c r="O4857" s="58"/>
      <c r="P4857" s="58">
        <v>75102.720000000001</v>
      </c>
      <c r="Q4857" t="s">
        <v>127</v>
      </c>
      <c r="R4857" s="1" t="s">
        <v>158</v>
      </c>
    </row>
    <row r="4858" spans="3:18" x14ac:dyDescent="0.35">
      <c r="C4858" t="s">
        <v>53</v>
      </c>
      <c r="D4858" t="s">
        <v>21</v>
      </c>
      <c r="E4858" t="s">
        <v>49</v>
      </c>
      <c r="F4858" t="s">
        <v>46</v>
      </c>
      <c r="G4858" s="58">
        <v>655279</v>
      </c>
      <c r="H4858" s="1" t="s">
        <v>48</v>
      </c>
      <c r="I4858" s="1" t="s">
        <v>119</v>
      </c>
      <c r="J4858" s="58">
        <v>4586953</v>
      </c>
      <c r="K4858" s="1" t="s">
        <v>106</v>
      </c>
      <c r="L4858" s="1" t="s">
        <v>124</v>
      </c>
      <c r="M4858" s="1" t="s">
        <v>126</v>
      </c>
      <c r="N4858" s="1">
        <v>1</v>
      </c>
      <c r="O4858" s="58"/>
      <c r="P4858" s="58">
        <v>209689.28</v>
      </c>
      <c r="Q4858" t="s">
        <v>107</v>
      </c>
      <c r="R4858" s="1" t="s">
        <v>48</v>
      </c>
    </row>
    <row r="4859" spans="3:18" x14ac:dyDescent="0.35">
      <c r="C4859" t="s">
        <v>53</v>
      </c>
      <c r="D4859" t="s">
        <v>21</v>
      </c>
      <c r="E4859" t="s">
        <v>45</v>
      </c>
      <c r="F4859" t="s">
        <v>46</v>
      </c>
      <c r="G4859" s="58">
        <v>111899068</v>
      </c>
      <c r="H4859" s="1" t="s">
        <v>56</v>
      </c>
      <c r="I4859" s="1" t="s">
        <v>105</v>
      </c>
      <c r="J4859" s="58">
        <v>223798136</v>
      </c>
      <c r="K4859" s="1" t="s">
        <v>106</v>
      </c>
      <c r="L4859" s="1" t="s">
        <v>120</v>
      </c>
      <c r="N4859" s="1">
        <v>1</v>
      </c>
      <c r="O4859" s="58"/>
      <c r="P4859" s="58">
        <v>21260822.920000002</v>
      </c>
      <c r="Q4859" t="s">
        <v>107</v>
      </c>
      <c r="R4859" s="1" t="s">
        <v>158</v>
      </c>
    </row>
    <row r="4860" spans="3:18" x14ac:dyDescent="0.35">
      <c r="C4860" t="s">
        <v>51</v>
      </c>
      <c r="D4860" t="s">
        <v>19</v>
      </c>
      <c r="E4860" t="s">
        <v>49</v>
      </c>
      <c r="F4860" t="s">
        <v>64</v>
      </c>
      <c r="G4860" s="58">
        <v>2305002</v>
      </c>
      <c r="H4860" s="1" t="s">
        <v>48</v>
      </c>
      <c r="I4860" s="1" t="s">
        <v>111</v>
      </c>
      <c r="J4860" s="58">
        <v>27660024</v>
      </c>
      <c r="K4860" s="1" t="s">
        <v>112</v>
      </c>
      <c r="N4860" s="1">
        <v>1</v>
      </c>
      <c r="O4860" s="58"/>
      <c r="P4860" s="58">
        <v>1175551.02</v>
      </c>
      <c r="Q4860" t="s">
        <v>113</v>
      </c>
      <c r="R4860" s="1" t="s">
        <v>48</v>
      </c>
    </row>
    <row r="4861" spans="3:18" x14ac:dyDescent="0.35">
      <c r="C4861" t="s">
        <v>51</v>
      </c>
      <c r="D4861" t="s">
        <v>91</v>
      </c>
      <c r="E4861" t="s">
        <v>49</v>
      </c>
      <c r="F4861" t="s">
        <v>46</v>
      </c>
      <c r="G4861" s="58">
        <v>4512072</v>
      </c>
      <c r="H4861" s="1" t="s">
        <v>47</v>
      </c>
      <c r="I4861" s="1" t="s">
        <v>108</v>
      </c>
      <c r="J4861" s="58">
        <v>144386304</v>
      </c>
      <c r="K4861" s="1" t="s">
        <v>112</v>
      </c>
      <c r="N4861" s="1">
        <v>1</v>
      </c>
      <c r="O4861" s="58"/>
      <c r="P4861" s="58">
        <v>2301156.7200000002</v>
      </c>
      <c r="Q4861" t="s">
        <v>113</v>
      </c>
      <c r="R4861" s="1" t="s">
        <v>158</v>
      </c>
    </row>
    <row r="4862" spans="3:18" x14ac:dyDescent="0.35">
      <c r="C4862" t="s">
        <v>51</v>
      </c>
      <c r="D4862" t="s">
        <v>22</v>
      </c>
      <c r="E4862" t="s">
        <v>49</v>
      </c>
      <c r="F4862" t="s">
        <v>46</v>
      </c>
      <c r="G4862" s="58">
        <v>269657</v>
      </c>
      <c r="H4862" s="1" t="s">
        <v>48</v>
      </c>
      <c r="I4862" s="1" t="s">
        <v>108</v>
      </c>
      <c r="J4862" s="58">
        <v>9977309</v>
      </c>
      <c r="K4862" s="1" t="s">
        <v>106</v>
      </c>
      <c r="L4862" s="1" t="s">
        <v>120</v>
      </c>
      <c r="M4862" s="1" t="s">
        <v>115</v>
      </c>
      <c r="N4862" s="1">
        <v>1</v>
      </c>
      <c r="O4862" s="58"/>
      <c r="P4862" s="58">
        <v>218422.17</v>
      </c>
      <c r="Q4862" t="s">
        <v>127</v>
      </c>
      <c r="R4862" s="1" t="s">
        <v>158</v>
      </c>
    </row>
    <row r="4863" spans="3:18" x14ac:dyDescent="0.35">
      <c r="C4863" t="s">
        <v>53</v>
      </c>
      <c r="D4863" t="s">
        <v>22</v>
      </c>
      <c r="E4863" t="s">
        <v>45</v>
      </c>
      <c r="F4863" t="s">
        <v>46</v>
      </c>
      <c r="G4863" s="58">
        <v>140331</v>
      </c>
      <c r="H4863" s="1" t="s">
        <v>47</v>
      </c>
      <c r="I4863" s="1" t="s">
        <v>108</v>
      </c>
      <c r="J4863" s="58">
        <v>3788937</v>
      </c>
      <c r="K4863" s="1" t="s">
        <v>106</v>
      </c>
      <c r="L4863" s="1" t="s">
        <v>120</v>
      </c>
      <c r="N4863" s="1">
        <v>1</v>
      </c>
      <c r="O4863" s="58"/>
      <c r="P4863" s="58">
        <v>29469.51</v>
      </c>
      <c r="Q4863" t="s">
        <v>107</v>
      </c>
      <c r="R4863" s="1" t="s">
        <v>158</v>
      </c>
    </row>
    <row r="4864" spans="3:18" x14ac:dyDescent="0.35">
      <c r="C4864" t="s">
        <v>53</v>
      </c>
      <c r="D4864" t="s">
        <v>21</v>
      </c>
      <c r="E4864" t="s">
        <v>49</v>
      </c>
      <c r="F4864" t="s">
        <v>46</v>
      </c>
      <c r="G4864" s="58">
        <v>9766459</v>
      </c>
      <c r="H4864" s="1" t="s">
        <v>48</v>
      </c>
      <c r="I4864" s="1" t="s">
        <v>119</v>
      </c>
      <c r="J4864" s="58">
        <v>78131672</v>
      </c>
      <c r="K4864" s="1" t="s">
        <v>106</v>
      </c>
      <c r="L4864" s="1" t="s">
        <v>124</v>
      </c>
      <c r="M4864" s="1" t="s">
        <v>126</v>
      </c>
      <c r="N4864" s="1">
        <v>1</v>
      </c>
      <c r="O4864" s="58"/>
      <c r="P4864" s="58">
        <v>4687900.32</v>
      </c>
      <c r="Q4864" t="s">
        <v>113</v>
      </c>
      <c r="R4864" s="1" t="s">
        <v>48</v>
      </c>
    </row>
    <row r="4865" spans="3:18" x14ac:dyDescent="0.35">
      <c r="C4865" t="s">
        <v>53</v>
      </c>
      <c r="D4865" t="s">
        <v>24</v>
      </c>
      <c r="E4865" t="s">
        <v>55</v>
      </c>
      <c r="F4865" t="s">
        <v>46</v>
      </c>
      <c r="G4865" s="58">
        <v>12719220</v>
      </c>
      <c r="H4865" s="1" t="s">
        <v>47</v>
      </c>
      <c r="I4865" s="1" t="s">
        <v>111</v>
      </c>
      <c r="J4865" s="58">
        <v>165349860</v>
      </c>
      <c r="K4865" s="1" t="s">
        <v>106</v>
      </c>
      <c r="L4865" s="1" t="s">
        <v>114</v>
      </c>
      <c r="N4865" s="1">
        <v>1</v>
      </c>
      <c r="O4865" s="58"/>
      <c r="P4865" s="58">
        <v>3179805</v>
      </c>
      <c r="Q4865" t="s">
        <v>107</v>
      </c>
      <c r="R4865" s="1" t="s">
        <v>158</v>
      </c>
    </row>
    <row r="4866" spans="3:18" x14ac:dyDescent="0.35">
      <c r="C4866" t="s">
        <v>53</v>
      </c>
      <c r="D4866" t="s">
        <v>21</v>
      </c>
      <c r="E4866" t="s">
        <v>45</v>
      </c>
      <c r="F4866" t="s">
        <v>46</v>
      </c>
      <c r="G4866" s="58">
        <v>35164</v>
      </c>
      <c r="H4866" s="1" t="s">
        <v>47</v>
      </c>
      <c r="I4866" s="1" t="s">
        <v>111</v>
      </c>
      <c r="J4866" s="58">
        <v>421968</v>
      </c>
      <c r="K4866" s="1" t="s">
        <v>106</v>
      </c>
      <c r="L4866" s="1" t="s">
        <v>114</v>
      </c>
      <c r="N4866" s="1">
        <v>1</v>
      </c>
      <c r="O4866" s="58"/>
      <c r="P4866" s="58">
        <v>2109.84</v>
      </c>
      <c r="Q4866" t="s">
        <v>107</v>
      </c>
      <c r="R4866" s="1" t="s">
        <v>158</v>
      </c>
    </row>
    <row r="4867" spans="3:18" x14ac:dyDescent="0.35">
      <c r="C4867" t="s">
        <v>53</v>
      </c>
      <c r="D4867" t="s">
        <v>19</v>
      </c>
      <c r="E4867" t="s">
        <v>45</v>
      </c>
      <c r="F4867" t="s">
        <v>46</v>
      </c>
      <c r="G4867" s="58">
        <v>1553725</v>
      </c>
      <c r="H4867" s="1" t="s">
        <v>54</v>
      </c>
      <c r="I4867" s="1" t="s">
        <v>119</v>
      </c>
      <c r="J4867" s="58">
        <v>10876075</v>
      </c>
      <c r="K4867" s="1" t="s">
        <v>106</v>
      </c>
      <c r="L4867" s="1" t="s">
        <v>120</v>
      </c>
      <c r="N4867" s="1">
        <v>1</v>
      </c>
      <c r="O4867" s="58"/>
      <c r="P4867" s="58">
        <v>792399.75</v>
      </c>
      <c r="Q4867" t="s">
        <v>113</v>
      </c>
      <c r="R4867" s="1" t="s">
        <v>158</v>
      </c>
    </row>
    <row r="4868" spans="3:18" x14ac:dyDescent="0.35">
      <c r="C4868" t="s">
        <v>51</v>
      </c>
      <c r="D4868" t="s">
        <v>23</v>
      </c>
      <c r="E4868" t="s">
        <v>49</v>
      </c>
      <c r="F4868" t="s">
        <v>46</v>
      </c>
      <c r="G4868" s="58">
        <v>346350</v>
      </c>
      <c r="H4868" s="1" t="s">
        <v>47</v>
      </c>
      <c r="I4868" s="1" t="s">
        <v>108</v>
      </c>
      <c r="J4868" s="58">
        <v>11429550</v>
      </c>
      <c r="K4868" s="1" t="s">
        <v>112</v>
      </c>
      <c r="N4868" s="1">
        <v>1</v>
      </c>
      <c r="O4868" s="58"/>
      <c r="P4868" s="58">
        <v>83124</v>
      </c>
      <c r="Q4868" t="s">
        <v>107</v>
      </c>
      <c r="R4868" s="1" t="s">
        <v>158</v>
      </c>
    </row>
    <row r="4869" spans="3:18" x14ac:dyDescent="0.35">
      <c r="C4869" t="s">
        <v>53</v>
      </c>
      <c r="D4869" t="s">
        <v>21</v>
      </c>
      <c r="E4869" t="s">
        <v>45</v>
      </c>
      <c r="F4869" t="s">
        <v>46</v>
      </c>
      <c r="G4869" s="58">
        <v>1904391</v>
      </c>
      <c r="H4869" s="1" t="s">
        <v>54</v>
      </c>
      <c r="I4869" s="1" t="s">
        <v>105</v>
      </c>
      <c r="J4869" s="58">
        <v>9521955</v>
      </c>
      <c r="K4869" s="1" t="s">
        <v>112</v>
      </c>
      <c r="N4869" s="1">
        <v>1</v>
      </c>
      <c r="O4869" s="58"/>
      <c r="P4869" s="58">
        <v>1485424.98</v>
      </c>
      <c r="Q4869" t="s">
        <v>118</v>
      </c>
      <c r="R4869" s="1" t="s">
        <v>158</v>
      </c>
    </row>
    <row r="4870" spans="3:18" x14ac:dyDescent="0.35">
      <c r="C4870" t="s">
        <v>51</v>
      </c>
      <c r="D4870" t="s">
        <v>22</v>
      </c>
      <c r="E4870" t="s">
        <v>45</v>
      </c>
      <c r="F4870" t="s">
        <v>46</v>
      </c>
      <c r="G4870" s="58">
        <v>154553</v>
      </c>
      <c r="H4870" s="1" t="s">
        <v>56</v>
      </c>
      <c r="I4870" s="1" t="s">
        <v>108</v>
      </c>
      <c r="J4870" s="58">
        <v>4482037</v>
      </c>
      <c r="K4870" s="1" t="s">
        <v>106</v>
      </c>
      <c r="L4870" s="1" t="s">
        <v>124</v>
      </c>
      <c r="N4870" s="1">
        <v>1</v>
      </c>
      <c r="O4870" s="58"/>
      <c r="P4870" s="58">
        <v>51002.49</v>
      </c>
      <c r="Q4870" t="s">
        <v>107</v>
      </c>
      <c r="R4870" s="1" t="s">
        <v>158</v>
      </c>
    </row>
    <row r="4871" spans="3:18" x14ac:dyDescent="0.35">
      <c r="C4871" t="s">
        <v>51</v>
      </c>
      <c r="D4871" t="s">
        <v>22</v>
      </c>
      <c r="E4871" t="s">
        <v>45</v>
      </c>
      <c r="F4871" t="s">
        <v>46</v>
      </c>
      <c r="G4871" s="58">
        <v>0</v>
      </c>
      <c r="H4871" s="1" t="s">
        <v>54</v>
      </c>
      <c r="I4871" s="1" t="s">
        <v>105</v>
      </c>
      <c r="J4871" s="58">
        <v>0</v>
      </c>
      <c r="K4871" s="1" t="s">
        <v>106</v>
      </c>
      <c r="L4871" s="1" t="s">
        <v>120</v>
      </c>
      <c r="N4871" s="1">
        <v>1</v>
      </c>
      <c r="O4871" s="58"/>
      <c r="P4871" s="58">
        <v>0</v>
      </c>
      <c r="Q4871" t="s">
        <v>110</v>
      </c>
      <c r="R4871" s="1" t="s">
        <v>158</v>
      </c>
    </row>
    <row r="4872" spans="3:18" x14ac:dyDescent="0.35">
      <c r="C4872" t="s">
        <v>51</v>
      </c>
      <c r="D4872" t="s">
        <v>19</v>
      </c>
      <c r="E4872" t="s">
        <v>49</v>
      </c>
      <c r="F4872" t="s">
        <v>46</v>
      </c>
      <c r="G4872" s="58">
        <v>40003</v>
      </c>
      <c r="H4872" s="1" t="s">
        <v>48</v>
      </c>
      <c r="I4872" s="1" t="s">
        <v>119</v>
      </c>
      <c r="J4872" s="58">
        <v>200015</v>
      </c>
      <c r="K4872" s="1" t="s">
        <v>112</v>
      </c>
      <c r="N4872" s="1">
        <v>1</v>
      </c>
      <c r="O4872" s="58"/>
      <c r="P4872" s="58">
        <v>18001.349999999999</v>
      </c>
      <c r="Q4872" t="s">
        <v>113</v>
      </c>
      <c r="R4872" s="1" t="s">
        <v>158</v>
      </c>
    </row>
    <row r="4873" spans="3:18" x14ac:dyDescent="0.35">
      <c r="C4873" t="s">
        <v>53</v>
      </c>
      <c r="D4873" t="s">
        <v>23</v>
      </c>
      <c r="E4873" t="s">
        <v>49</v>
      </c>
      <c r="F4873" t="s">
        <v>46</v>
      </c>
      <c r="G4873" s="58">
        <v>1001257</v>
      </c>
      <c r="H4873" s="1" t="s">
        <v>48</v>
      </c>
      <c r="I4873" s="1" t="s">
        <v>105</v>
      </c>
      <c r="J4873" s="58">
        <v>2002514</v>
      </c>
      <c r="K4873" s="1" t="s">
        <v>106</v>
      </c>
      <c r="L4873" s="1" t="s">
        <v>124</v>
      </c>
      <c r="M4873" s="1" t="s">
        <v>125</v>
      </c>
      <c r="N4873" s="1">
        <v>1</v>
      </c>
      <c r="O4873" s="58"/>
      <c r="P4873" s="58">
        <v>270339.39</v>
      </c>
      <c r="Q4873" t="s">
        <v>107</v>
      </c>
      <c r="R4873" s="1" t="s">
        <v>158</v>
      </c>
    </row>
    <row r="4874" spans="3:18" x14ac:dyDescent="0.35">
      <c r="C4874" t="s">
        <v>53</v>
      </c>
      <c r="D4874" t="s">
        <v>19</v>
      </c>
      <c r="E4874" t="s">
        <v>49</v>
      </c>
      <c r="F4874" t="s">
        <v>46</v>
      </c>
      <c r="G4874" s="58">
        <v>2399545</v>
      </c>
      <c r="H4874" s="1" t="s">
        <v>47</v>
      </c>
      <c r="I4874" s="1" t="s">
        <v>105</v>
      </c>
      <c r="J4874" s="58">
        <v>7198635</v>
      </c>
      <c r="K4874" s="1" t="s">
        <v>112</v>
      </c>
      <c r="N4874" s="1">
        <v>1</v>
      </c>
      <c r="O4874" s="58"/>
      <c r="P4874" s="58">
        <v>95981.8</v>
      </c>
      <c r="Q4874" t="s">
        <v>107</v>
      </c>
      <c r="R4874" s="1" t="s">
        <v>158</v>
      </c>
    </row>
    <row r="4875" spans="3:18" x14ac:dyDescent="0.35">
      <c r="C4875" t="s">
        <v>51</v>
      </c>
      <c r="D4875" t="s">
        <v>22</v>
      </c>
      <c r="E4875" t="s">
        <v>50</v>
      </c>
      <c r="F4875" t="s">
        <v>46</v>
      </c>
      <c r="G4875" s="58">
        <v>208612</v>
      </c>
      <c r="H4875" s="1" t="s">
        <v>48</v>
      </c>
      <c r="I4875" s="1" t="s">
        <v>111</v>
      </c>
      <c r="J4875" s="58">
        <v>3337792</v>
      </c>
      <c r="K4875" s="1" t="s">
        <v>106</v>
      </c>
      <c r="L4875" s="1" t="s">
        <v>109</v>
      </c>
      <c r="M4875" s="1" t="s">
        <v>115</v>
      </c>
      <c r="N4875" s="1">
        <v>1</v>
      </c>
      <c r="O4875" s="58"/>
      <c r="P4875" s="58">
        <v>131425.56</v>
      </c>
      <c r="Q4875" t="s">
        <v>118</v>
      </c>
      <c r="R4875" s="1" t="s">
        <v>158</v>
      </c>
    </row>
    <row r="4876" spans="3:18" x14ac:dyDescent="0.35">
      <c r="C4876" t="s">
        <v>51</v>
      </c>
      <c r="D4876" t="s">
        <v>21</v>
      </c>
      <c r="E4876" t="s">
        <v>55</v>
      </c>
      <c r="F4876" t="s">
        <v>46</v>
      </c>
      <c r="G4876" s="58">
        <v>3272673</v>
      </c>
      <c r="H4876" s="1" t="s">
        <v>48</v>
      </c>
      <c r="I4876" s="1" t="s">
        <v>108</v>
      </c>
      <c r="J4876" s="58">
        <v>114543555</v>
      </c>
      <c r="K4876" s="1" t="s">
        <v>106</v>
      </c>
      <c r="L4876" s="1" t="s">
        <v>124</v>
      </c>
      <c r="M4876" s="1" t="s">
        <v>126</v>
      </c>
      <c r="N4876" s="1">
        <v>1</v>
      </c>
      <c r="O4876" s="58"/>
      <c r="P4876" s="58">
        <v>2716318.59</v>
      </c>
      <c r="Q4876" t="s">
        <v>127</v>
      </c>
      <c r="R4876" s="1" t="s">
        <v>48</v>
      </c>
    </row>
    <row r="4877" spans="3:18" x14ac:dyDescent="0.35">
      <c r="C4877" t="s">
        <v>51</v>
      </c>
      <c r="D4877" t="s">
        <v>21</v>
      </c>
      <c r="E4877" t="s">
        <v>45</v>
      </c>
      <c r="F4877" t="s">
        <v>46</v>
      </c>
      <c r="G4877" s="58">
        <v>39761076</v>
      </c>
      <c r="H4877" s="1" t="s">
        <v>47</v>
      </c>
      <c r="I4877" s="1" t="s">
        <v>108</v>
      </c>
      <c r="J4877" s="58">
        <v>1113310128</v>
      </c>
      <c r="K4877" s="1" t="s">
        <v>106</v>
      </c>
      <c r="L4877" s="1" t="s">
        <v>120</v>
      </c>
      <c r="N4877" s="1">
        <v>1</v>
      </c>
      <c r="O4877" s="58"/>
      <c r="P4877" s="58">
        <v>27832753.199999999</v>
      </c>
      <c r="Q4877" t="s">
        <v>118</v>
      </c>
      <c r="R4877" s="1" t="s">
        <v>158</v>
      </c>
    </row>
    <row r="4878" spans="3:18" x14ac:dyDescent="0.35">
      <c r="C4878" t="s">
        <v>53</v>
      </c>
      <c r="D4878" t="s">
        <v>23</v>
      </c>
      <c r="E4878" t="s">
        <v>49</v>
      </c>
      <c r="F4878" t="s">
        <v>46</v>
      </c>
      <c r="G4878" s="58">
        <v>520391</v>
      </c>
      <c r="H4878" s="1" t="s">
        <v>47</v>
      </c>
      <c r="I4878" s="1" t="s">
        <v>119</v>
      </c>
      <c r="J4878" s="58">
        <v>3642737</v>
      </c>
      <c r="K4878" s="1" t="s">
        <v>106</v>
      </c>
      <c r="L4878" s="1" t="s">
        <v>124</v>
      </c>
      <c r="N4878" s="1">
        <v>1</v>
      </c>
      <c r="O4878" s="58"/>
      <c r="P4878" s="58">
        <v>140505.57</v>
      </c>
      <c r="Q4878" t="s">
        <v>107</v>
      </c>
      <c r="R4878" s="1" t="s">
        <v>158</v>
      </c>
    </row>
    <row r="4879" spans="3:18" x14ac:dyDescent="0.35">
      <c r="C4879" t="s">
        <v>53</v>
      </c>
      <c r="D4879" t="s">
        <v>21</v>
      </c>
      <c r="E4879" t="s">
        <v>55</v>
      </c>
      <c r="F4879" t="s">
        <v>46</v>
      </c>
      <c r="G4879" s="58">
        <v>217026</v>
      </c>
      <c r="H4879" s="1" t="s">
        <v>48</v>
      </c>
      <c r="I4879" s="1" t="s">
        <v>111</v>
      </c>
      <c r="J4879" s="58">
        <v>2604312</v>
      </c>
      <c r="K4879" s="1" t="s">
        <v>106</v>
      </c>
      <c r="L4879" s="1" t="s">
        <v>114</v>
      </c>
      <c r="M4879" s="1" t="s">
        <v>126</v>
      </c>
      <c r="N4879" s="1">
        <v>1</v>
      </c>
      <c r="O4879" s="58"/>
      <c r="P4879" s="58">
        <v>119364.3</v>
      </c>
      <c r="Q4879" t="s">
        <v>113</v>
      </c>
      <c r="R4879" s="1" t="s">
        <v>158</v>
      </c>
    </row>
    <row r="4880" spans="3:18" x14ac:dyDescent="0.35">
      <c r="C4880" t="s">
        <v>51</v>
      </c>
      <c r="D4880" t="s">
        <v>21</v>
      </c>
      <c r="E4880" t="s">
        <v>45</v>
      </c>
      <c r="F4880" t="s">
        <v>46</v>
      </c>
      <c r="G4880" s="58">
        <v>1041875</v>
      </c>
      <c r="H4880" s="1" t="s">
        <v>48</v>
      </c>
      <c r="I4880" s="1" t="s">
        <v>108</v>
      </c>
      <c r="J4880" s="58">
        <v>28130625</v>
      </c>
      <c r="K4880" s="1" t="s">
        <v>106</v>
      </c>
      <c r="L4880" s="1" t="s">
        <v>120</v>
      </c>
      <c r="M4880" s="1" t="s">
        <v>122</v>
      </c>
      <c r="N4880" s="1">
        <v>1</v>
      </c>
      <c r="O4880" s="58"/>
      <c r="P4880" s="58">
        <v>708475</v>
      </c>
      <c r="Q4880" t="s">
        <v>118</v>
      </c>
      <c r="R4880" s="1" t="s">
        <v>48</v>
      </c>
    </row>
    <row r="4881" spans="3:18" x14ac:dyDescent="0.35">
      <c r="C4881" t="s">
        <v>51</v>
      </c>
      <c r="D4881" t="s">
        <v>22</v>
      </c>
      <c r="E4881" t="s">
        <v>45</v>
      </c>
      <c r="F4881" t="s">
        <v>46</v>
      </c>
      <c r="G4881" s="58">
        <v>60220</v>
      </c>
      <c r="H4881" s="1" t="s">
        <v>47</v>
      </c>
      <c r="I4881" s="1" t="s">
        <v>128</v>
      </c>
      <c r="J4881" s="58"/>
      <c r="K4881" s="1" t="s">
        <v>106</v>
      </c>
      <c r="L4881" s="1" t="s">
        <v>120</v>
      </c>
      <c r="N4881" s="1">
        <v>0</v>
      </c>
      <c r="O4881" s="58"/>
      <c r="P4881" s="58">
        <v>6624.2</v>
      </c>
      <c r="Q4881" t="s">
        <v>107</v>
      </c>
      <c r="R4881" s="1" t="s">
        <v>158</v>
      </c>
    </row>
    <row r="4882" spans="3:18" x14ac:dyDescent="0.35">
      <c r="C4882" t="s">
        <v>51</v>
      </c>
      <c r="D4882" t="s">
        <v>24</v>
      </c>
      <c r="E4882" t="s">
        <v>55</v>
      </c>
      <c r="F4882" t="s">
        <v>46</v>
      </c>
      <c r="G4882" s="58">
        <v>251725569</v>
      </c>
      <c r="H4882" s="1" t="s">
        <v>47</v>
      </c>
      <c r="I4882" s="1" t="s">
        <v>108</v>
      </c>
      <c r="J4882" s="58">
        <v>6544864794</v>
      </c>
      <c r="K4882" s="1" t="s">
        <v>106</v>
      </c>
      <c r="L4882" s="1" t="s">
        <v>114</v>
      </c>
      <c r="N4882" s="1">
        <v>1</v>
      </c>
      <c r="O4882" s="58"/>
      <c r="P4882" s="58">
        <v>128380040.19</v>
      </c>
      <c r="Q4882" t="s">
        <v>113</v>
      </c>
      <c r="R4882" s="1" t="s">
        <v>158</v>
      </c>
    </row>
    <row r="4883" spans="3:18" x14ac:dyDescent="0.35">
      <c r="C4883" t="s">
        <v>51</v>
      </c>
      <c r="D4883" t="s">
        <v>21</v>
      </c>
      <c r="E4883" t="s">
        <v>49</v>
      </c>
      <c r="F4883" t="s">
        <v>46</v>
      </c>
      <c r="G4883" s="58">
        <v>2299221</v>
      </c>
      <c r="H4883" s="1" t="s">
        <v>47</v>
      </c>
      <c r="I4883" s="1" t="s">
        <v>108</v>
      </c>
      <c r="J4883" s="58">
        <v>73575072</v>
      </c>
      <c r="K4883" s="1" t="s">
        <v>112</v>
      </c>
      <c r="N4883" s="1">
        <v>1</v>
      </c>
      <c r="O4883" s="58"/>
      <c r="P4883" s="58">
        <v>1908353.43</v>
      </c>
      <c r="Q4883" t="s">
        <v>127</v>
      </c>
      <c r="R4883" s="1" t="s">
        <v>158</v>
      </c>
    </row>
    <row r="4884" spans="3:18" x14ac:dyDescent="0.35">
      <c r="C4884" t="s">
        <v>53</v>
      </c>
      <c r="D4884" t="s">
        <v>21</v>
      </c>
      <c r="E4884" t="s">
        <v>45</v>
      </c>
      <c r="F4884" t="s">
        <v>46</v>
      </c>
      <c r="G4884" s="58">
        <v>407619</v>
      </c>
      <c r="H4884" s="1" t="s">
        <v>54</v>
      </c>
      <c r="I4884" s="1" t="s">
        <v>128</v>
      </c>
      <c r="J4884" s="58"/>
      <c r="K4884" s="1" t="s">
        <v>106</v>
      </c>
      <c r="L4884" s="1" t="s">
        <v>120</v>
      </c>
      <c r="N4884" s="1">
        <v>0</v>
      </c>
      <c r="O4884" s="58"/>
      <c r="P4884" s="58">
        <v>322019.01</v>
      </c>
      <c r="Q4884" t="s">
        <v>118</v>
      </c>
      <c r="R4884" s="1" t="s">
        <v>158</v>
      </c>
    </row>
    <row r="4885" spans="3:18" x14ac:dyDescent="0.35">
      <c r="C4885" t="s">
        <v>53</v>
      </c>
      <c r="D4885" t="s">
        <v>22</v>
      </c>
      <c r="E4885" t="s">
        <v>45</v>
      </c>
      <c r="F4885" t="s">
        <v>46</v>
      </c>
      <c r="G4885" s="58">
        <v>82246439</v>
      </c>
      <c r="H4885" s="1" t="s">
        <v>47</v>
      </c>
      <c r="I4885" s="1" t="s">
        <v>111</v>
      </c>
      <c r="J4885" s="58">
        <v>986957268</v>
      </c>
      <c r="K4885" s="1" t="s">
        <v>106</v>
      </c>
      <c r="L4885" s="1" t="s">
        <v>120</v>
      </c>
      <c r="N4885" s="1">
        <v>1</v>
      </c>
      <c r="O4885" s="58"/>
      <c r="P4885" s="58">
        <v>41123219.5</v>
      </c>
      <c r="Q4885" t="s">
        <v>113</v>
      </c>
      <c r="R4885" s="1" t="s">
        <v>158</v>
      </c>
    </row>
    <row r="4886" spans="3:18" x14ac:dyDescent="0.35">
      <c r="C4886" t="s">
        <v>51</v>
      </c>
      <c r="D4886" t="s">
        <v>23</v>
      </c>
      <c r="E4886" t="s">
        <v>55</v>
      </c>
      <c r="F4886" t="s">
        <v>46</v>
      </c>
      <c r="G4886" s="58">
        <v>82211999</v>
      </c>
      <c r="H4886" s="1" t="s">
        <v>48</v>
      </c>
      <c r="I4886" s="1" t="s">
        <v>108</v>
      </c>
      <c r="J4886" s="58">
        <v>2466359970</v>
      </c>
      <c r="K4886" s="1" t="s">
        <v>106</v>
      </c>
      <c r="L4886" s="1" t="s">
        <v>114</v>
      </c>
      <c r="M4886" s="1" t="s">
        <v>125</v>
      </c>
      <c r="N4886" s="1">
        <v>1</v>
      </c>
      <c r="O4886" s="58"/>
      <c r="P4886" s="58">
        <v>42750239.479999997</v>
      </c>
      <c r="Q4886" t="s">
        <v>113</v>
      </c>
      <c r="R4886" s="1" t="s">
        <v>158</v>
      </c>
    </row>
    <row r="4887" spans="3:18" x14ac:dyDescent="0.35">
      <c r="C4887" t="s">
        <v>51</v>
      </c>
      <c r="D4887" t="s">
        <v>22</v>
      </c>
      <c r="E4887" t="s">
        <v>49</v>
      </c>
      <c r="F4887" t="s">
        <v>46</v>
      </c>
      <c r="G4887" s="58">
        <v>172006</v>
      </c>
      <c r="H4887" s="1" t="s">
        <v>54</v>
      </c>
      <c r="I4887" s="1" t="s">
        <v>108</v>
      </c>
      <c r="J4887" s="58">
        <v>4128144</v>
      </c>
      <c r="K4887" s="1" t="s">
        <v>106</v>
      </c>
      <c r="L4887" s="1" t="s">
        <v>116</v>
      </c>
      <c r="N4887" s="1">
        <v>1</v>
      </c>
      <c r="O4887" s="58"/>
      <c r="P4887" s="58">
        <v>101483.54</v>
      </c>
      <c r="Q4887" t="s">
        <v>113</v>
      </c>
      <c r="R4887" s="1" t="s">
        <v>158</v>
      </c>
    </row>
    <row r="4888" spans="3:18" x14ac:dyDescent="0.35">
      <c r="C4888" t="s">
        <v>53</v>
      </c>
      <c r="D4888" t="s">
        <v>23</v>
      </c>
      <c r="E4888" t="s">
        <v>45</v>
      </c>
      <c r="F4888" t="s">
        <v>46</v>
      </c>
      <c r="G4888" s="58">
        <v>2273722</v>
      </c>
      <c r="H4888" s="1" t="s">
        <v>48</v>
      </c>
      <c r="I4888" s="1" t="s">
        <v>119</v>
      </c>
      <c r="J4888" s="58">
        <v>18189776</v>
      </c>
      <c r="K4888" s="1" t="s">
        <v>106</v>
      </c>
      <c r="L4888" s="1" t="s">
        <v>120</v>
      </c>
      <c r="M4888" s="1" t="s">
        <v>125</v>
      </c>
      <c r="N4888" s="1">
        <v>1</v>
      </c>
      <c r="O4888" s="58"/>
      <c r="P4888" s="58">
        <v>636642.16</v>
      </c>
      <c r="Q4888" t="s">
        <v>107</v>
      </c>
      <c r="R4888" s="1" t="s">
        <v>158</v>
      </c>
    </row>
    <row r="4889" spans="3:18" x14ac:dyDescent="0.35">
      <c r="C4889" t="s">
        <v>51</v>
      </c>
      <c r="D4889" t="s">
        <v>23</v>
      </c>
      <c r="E4889" t="s">
        <v>45</v>
      </c>
      <c r="F4889" t="s">
        <v>46</v>
      </c>
      <c r="G4889" s="58">
        <v>12187294</v>
      </c>
      <c r="H4889" s="1" t="s">
        <v>59</v>
      </c>
      <c r="I4889" s="1" t="s">
        <v>105</v>
      </c>
      <c r="J4889" s="58">
        <v>36561882</v>
      </c>
      <c r="K4889" s="1" t="s">
        <v>106</v>
      </c>
      <c r="L4889" s="1" t="s">
        <v>120</v>
      </c>
      <c r="N4889" s="1">
        <v>1</v>
      </c>
      <c r="O4889" s="58"/>
      <c r="P4889" s="58">
        <v>1706221.16</v>
      </c>
      <c r="Q4889" t="s">
        <v>107</v>
      </c>
      <c r="R4889" s="1" t="s">
        <v>158</v>
      </c>
    </row>
    <row r="4890" spans="3:18" x14ac:dyDescent="0.35">
      <c r="C4890" t="s">
        <v>51</v>
      </c>
      <c r="D4890" t="s">
        <v>23</v>
      </c>
      <c r="E4890" t="s">
        <v>45</v>
      </c>
      <c r="F4890" t="s">
        <v>46</v>
      </c>
      <c r="G4890" s="58">
        <v>160552</v>
      </c>
      <c r="H4890" s="1" t="s">
        <v>54</v>
      </c>
      <c r="I4890" s="1" t="s">
        <v>111</v>
      </c>
      <c r="J4890" s="58">
        <v>3211040</v>
      </c>
      <c r="K4890" s="1" t="s">
        <v>112</v>
      </c>
      <c r="N4890" s="1">
        <v>1</v>
      </c>
      <c r="O4890" s="58"/>
      <c r="P4890" s="58">
        <v>30504.880000000001</v>
      </c>
      <c r="Q4890" t="s">
        <v>107</v>
      </c>
      <c r="R4890" s="1" t="s">
        <v>158</v>
      </c>
    </row>
    <row r="4891" spans="3:18" x14ac:dyDescent="0.35">
      <c r="C4891" t="s">
        <v>51</v>
      </c>
      <c r="D4891" t="s">
        <v>22</v>
      </c>
      <c r="E4891" t="s">
        <v>62</v>
      </c>
      <c r="F4891" t="s">
        <v>46</v>
      </c>
      <c r="G4891" s="58">
        <v>41382</v>
      </c>
      <c r="H4891" s="1" t="s">
        <v>48</v>
      </c>
      <c r="I4891" s="1" t="s">
        <v>119</v>
      </c>
      <c r="J4891" s="58">
        <v>372438</v>
      </c>
      <c r="K4891" s="1" t="s">
        <v>106</v>
      </c>
      <c r="L4891" s="1" t="s">
        <v>131</v>
      </c>
      <c r="M4891" s="1" t="s">
        <v>115</v>
      </c>
      <c r="N4891" s="1">
        <v>1</v>
      </c>
      <c r="O4891" s="58"/>
      <c r="P4891" s="58">
        <v>11586.96</v>
      </c>
      <c r="Q4891" t="s">
        <v>107</v>
      </c>
      <c r="R4891" s="1" t="s">
        <v>48</v>
      </c>
    </row>
    <row r="4892" spans="3:18" x14ac:dyDescent="0.35">
      <c r="C4892" t="s">
        <v>51</v>
      </c>
      <c r="D4892" t="s">
        <v>22</v>
      </c>
      <c r="E4892" t="s">
        <v>55</v>
      </c>
      <c r="F4892" t="s">
        <v>64</v>
      </c>
      <c r="G4892" s="58">
        <v>1985092</v>
      </c>
      <c r="H4892" s="1" t="s">
        <v>48</v>
      </c>
      <c r="I4892" s="1" t="s">
        <v>108</v>
      </c>
      <c r="J4892" s="58">
        <v>67493128</v>
      </c>
      <c r="K4892" s="1" t="s">
        <v>112</v>
      </c>
      <c r="N4892" s="1">
        <v>1</v>
      </c>
      <c r="O4892" s="58"/>
      <c r="P4892" s="58">
        <v>1667477.28</v>
      </c>
      <c r="Q4892" t="s">
        <v>127</v>
      </c>
      <c r="R4892" s="1" t="s">
        <v>48</v>
      </c>
    </row>
    <row r="4893" spans="3:18" x14ac:dyDescent="0.35">
      <c r="C4893" t="s">
        <v>51</v>
      </c>
      <c r="D4893" t="s">
        <v>20</v>
      </c>
      <c r="E4893" t="s">
        <v>49</v>
      </c>
      <c r="F4893" t="s">
        <v>64</v>
      </c>
      <c r="G4893" s="58">
        <v>199745</v>
      </c>
      <c r="H4893" s="1" t="s">
        <v>47</v>
      </c>
      <c r="I4893" s="1" t="s">
        <v>111</v>
      </c>
      <c r="J4893" s="58">
        <v>3795155</v>
      </c>
      <c r="K4893" s="1" t="s">
        <v>112</v>
      </c>
      <c r="N4893" s="1">
        <v>1</v>
      </c>
      <c r="O4893" s="58"/>
      <c r="P4893" s="58">
        <v>67913.3</v>
      </c>
      <c r="Q4893" t="s">
        <v>107</v>
      </c>
      <c r="R4893" s="1" t="s">
        <v>158</v>
      </c>
    </row>
    <row r="4894" spans="3:18" x14ac:dyDescent="0.35">
      <c r="C4894" t="s">
        <v>53</v>
      </c>
      <c r="D4894" t="s">
        <v>20</v>
      </c>
      <c r="E4894" t="s">
        <v>49</v>
      </c>
      <c r="F4894" t="s">
        <v>46</v>
      </c>
      <c r="G4894" s="58">
        <v>0</v>
      </c>
      <c r="H4894" s="1" t="s">
        <v>54</v>
      </c>
      <c r="I4894" s="1" t="s">
        <v>128</v>
      </c>
      <c r="J4894" s="58"/>
      <c r="K4894" s="1" t="s">
        <v>106</v>
      </c>
      <c r="L4894" s="1" t="s">
        <v>116</v>
      </c>
      <c r="N4894" s="1">
        <v>0</v>
      </c>
      <c r="O4894" s="58"/>
      <c r="P4894" s="58">
        <v>0</v>
      </c>
      <c r="Q4894" t="s">
        <v>107</v>
      </c>
      <c r="R4894" s="1" t="s">
        <v>158</v>
      </c>
    </row>
    <row r="4895" spans="3:18" x14ac:dyDescent="0.35">
      <c r="C4895" t="s">
        <v>51</v>
      </c>
      <c r="D4895" t="s">
        <v>22</v>
      </c>
      <c r="E4895" t="s">
        <v>49</v>
      </c>
      <c r="F4895" t="s">
        <v>46</v>
      </c>
      <c r="G4895" s="58">
        <v>39523646</v>
      </c>
      <c r="H4895" s="1" t="s">
        <v>48</v>
      </c>
      <c r="I4895" s="1" t="s">
        <v>111</v>
      </c>
      <c r="J4895" s="58">
        <v>632378336</v>
      </c>
      <c r="K4895" s="1" t="s">
        <v>106</v>
      </c>
      <c r="L4895" s="1" t="s">
        <v>124</v>
      </c>
      <c r="M4895" s="1" t="s">
        <v>115</v>
      </c>
      <c r="N4895" s="1">
        <v>1</v>
      </c>
      <c r="O4895" s="58"/>
      <c r="P4895" s="58">
        <v>19761823</v>
      </c>
      <c r="Q4895" t="s">
        <v>113</v>
      </c>
      <c r="R4895" s="1" t="s">
        <v>158</v>
      </c>
    </row>
    <row r="4896" spans="3:18" x14ac:dyDescent="0.35">
      <c r="C4896" t="s">
        <v>51</v>
      </c>
      <c r="D4896" t="s">
        <v>21</v>
      </c>
      <c r="E4896" t="s">
        <v>45</v>
      </c>
      <c r="F4896" t="s">
        <v>46</v>
      </c>
      <c r="G4896" s="58">
        <v>1322482</v>
      </c>
      <c r="H4896" s="1" t="s">
        <v>47</v>
      </c>
      <c r="I4896" s="1" t="s">
        <v>111</v>
      </c>
      <c r="J4896" s="58">
        <v>22482194</v>
      </c>
      <c r="K4896" s="1" t="s">
        <v>106</v>
      </c>
      <c r="L4896" s="1" t="s">
        <v>124</v>
      </c>
      <c r="N4896" s="1">
        <v>1</v>
      </c>
      <c r="O4896" s="58"/>
      <c r="P4896" s="58">
        <v>608341.72</v>
      </c>
      <c r="Q4896" t="s">
        <v>113</v>
      </c>
      <c r="R4896" s="1" t="s">
        <v>158</v>
      </c>
    </row>
    <row r="4897" spans="3:18" x14ac:dyDescent="0.35">
      <c r="C4897" t="s">
        <v>51</v>
      </c>
      <c r="D4897" t="s">
        <v>22</v>
      </c>
      <c r="E4897" t="s">
        <v>49</v>
      </c>
      <c r="F4897" t="s">
        <v>46</v>
      </c>
      <c r="G4897" s="58">
        <v>43676813</v>
      </c>
      <c r="H4897" s="1" t="s">
        <v>54</v>
      </c>
      <c r="I4897" s="1" t="s">
        <v>119</v>
      </c>
      <c r="J4897" s="58">
        <v>305737691</v>
      </c>
      <c r="K4897" s="1" t="s">
        <v>106</v>
      </c>
      <c r="L4897" s="1" t="s">
        <v>124</v>
      </c>
      <c r="N4897" s="1">
        <v>1</v>
      </c>
      <c r="O4897" s="58"/>
      <c r="P4897" s="58">
        <v>8298594.4699999997</v>
      </c>
      <c r="Q4897" t="s">
        <v>107</v>
      </c>
      <c r="R4897" s="1" t="s">
        <v>158</v>
      </c>
    </row>
    <row r="4898" spans="3:18" x14ac:dyDescent="0.35">
      <c r="C4898" t="s">
        <v>51</v>
      </c>
      <c r="D4898" t="s">
        <v>21</v>
      </c>
      <c r="E4898" t="s">
        <v>45</v>
      </c>
      <c r="F4898" t="s">
        <v>46</v>
      </c>
      <c r="G4898" s="58">
        <v>29729</v>
      </c>
      <c r="H4898" s="1" t="s">
        <v>47</v>
      </c>
      <c r="I4898" s="1" t="s">
        <v>105</v>
      </c>
      <c r="J4898" s="58">
        <v>89187</v>
      </c>
      <c r="K4898" s="1" t="s">
        <v>106</v>
      </c>
      <c r="L4898" s="1" t="s">
        <v>120</v>
      </c>
      <c r="N4898" s="1">
        <v>1</v>
      </c>
      <c r="O4898" s="58"/>
      <c r="P4898" s="58">
        <v>18134.689999999999</v>
      </c>
      <c r="Q4898" t="s">
        <v>118</v>
      </c>
      <c r="R4898" s="1" t="s">
        <v>158</v>
      </c>
    </row>
    <row r="4899" spans="3:18" x14ac:dyDescent="0.35">
      <c r="C4899" t="s">
        <v>51</v>
      </c>
      <c r="D4899" t="s">
        <v>22</v>
      </c>
      <c r="E4899" t="s">
        <v>45</v>
      </c>
      <c r="F4899" t="s">
        <v>46</v>
      </c>
      <c r="G4899" s="58">
        <v>22468843</v>
      </c>
      <c r="H4899" s="1" t="s">
        <v>47</v>
      </c>
      <c r="I4899" s="1" t="s">
        <v>108</v>
      </c>
      <c r="J4899" s="58">
        <v>651596447</v>
      </c>
      <c r="K4899" s="1" t="s">
        <v>112</v>
      </c>
      <c r="N4899" s="1">
        <v>1</v>
      </c>
      <c r="O4899" s="58"/>
      <c r="P4899" s="58">
        <v>11459109.93</v>
      </c>
      <c r="Q4899" t="s">
        <v>113</v>
      </c>
      <c r="R4899" s="1" t="s">
        <v>158</v>
      </c>
    </row>
    <row r="4900" spans="3:18" x14ac:dyDescent="0.35">
      <c r="C4900" t="s">
        <v>51</v>
      </c>
      <c r="D4900" t="s">
        <v>21</v>
      </c>
      <c r="E4900" t="s">
        <v>55</v>
      </c>
      <c r="F4900" t="s">
        <v>46</v>
      </c>
      <c r="G4900" s="58">
        <v>33885542</v>
      </c>
      <c r="H4900" s="1" t="s">
        <v>48</v>
      </c>
      <c r="I4900" s="1" t="s">
        <v>108</v>
      </c>
      <c r="J4900" s="58">
        <v>1084337344</v>
      </c>
      <c r="K4900" s="1" t="s">
        <v>106</v>
      </c>
      <c r="L4900" s="1" t="s">
        <v>114</v>
      </c>
      <c r="M4900" s="1" t="s">
        <v>126</v>
      </c>
      <c r="N4900" s="1">
        <v>1</v>
      </c>
      <c r="O4900" s="58"/>
      <c r="P4900" s="58">
        <v>24058734.82</v>
      </c>
      <c r="Q4900" t="s">
        <v>118</v>
      </c>
      <c r="R4900" s="1" t="s">
        <v>48</v>
      </c>
    </row>
    <row r="4901" spans="3:18" x14ac:dyDescent="0.35">
      <c r="C4901" t="s">
        <v>51</v>
      </c>
      <c r="D4901" t="s">
        <v>23</v>
      </c>
      <c r="E4901" t="s">
        <v>50</v>
      </c>
      <c r="F4901" t="s">
        <v>46</v>
      </c>
      <c r="G4901" s="58">
        <v>79017674</v>
      </c>
      <c r="H4901" s="1" t="s">
        <v>48</v>
      </c>
      <c r="I4901" s="1" t="s">
        <v>108</v>
      </c>
      <c r="J4901" s="58">
        <v>2923653938</v>
      </c>
      <c r="K4901" s="1" t="s">
        <v>112</v>
      </c>
      <c r="N4901" s="1">
        <v>1</v>
      </c>
      <c r="O4901" s="58"/>
      <c r="P4901" s="58">
        <v>70325729.859999999</v>
      </c>
      <c r="Q4901" t="s">
        <v>127</v>
      </c>
      <c r="R4901" s="1" t="s">
        <v>48</v>
      </c>
    </row>
    <row r="4902" spans="3:18" x14ac:dyDescent="0.35">
      <c r="C4902" t="s">
        <v>51</v>
      </c>
      <c r="D4902" t="s">
        <v>21</v>
      </c>
      <c r="E4902" t="s">
        <v>49</v>
      </c>
      <c r="F4902" t="s">
        <v>46</v>
      </c>
      <c r="G4902" s="58">
        <v>314523</v>
      </c>
      <c r="H4902" s="1" t="s">
        <v>48</v>
      </c>
      <c r="I4902" s="1" t="s">
        <v>111</v>
      </c>
      <c r="J4902" s="58">
        <v>5346891</v>
      </c>
      <c r="K4902" s="1" t="s">
        <v>106</v>
      </c>
      <c r="L4902" s="1" t="s">
        <v>120</v>
      </c>
      <c r="M4902" s="1" t="s">
        <v>125</v>
      </c>
      <c r="N4902" s="1">
        <v>1</v>
      </c>
      <c r="O4902" s="58"/>
      <c r="P4902" s="58">
        <v>154116.26999999999</v>
      </c>
      <c r="Q4902" t="s">
        <v>113</v>
      </c>
      <c r="R4902" s="1" t="s">
        <v>48</v>
      </c>
    </row>
    <row r="4903" spans="3:18" x14ac:dyDescent="0.35">
      <c r="C4903" t="s">
        <v>51</v>
      </c>
      <c r="D4903" t="s">
        <v>24</v>
      </c>
      <c r="E4903" t="s">
        <v>55</v>
      </c>
      <c r="F4903" t="s">
        <v>46</v>
      </c>
      <c r="G4903" s="58">
        <v>70960</v>
      </c>
      <c r="H4903" s="1" t="s">
        <v>48</v>
      </c>
      <c r="I4903" s="1" t="s">
        <v>111</v>
      </c>
      <c r="J4903" s="58">
        <v>1419200</v>
      </c>
      <c r="K4903" s="1" t="s">
        <v>106</v>
      </c>
      <c r="L4903" s="1" t="s">
        <v>109</v>
      </c>
      <c r="M4903" s="1" t="s">
        <v>121</v>
      </c>
      <c r="N4903" s="1">
        <v>1</v>
      </c>
      <c r="O4903" s="58"/>
      <c r="P4903" s="58">
        <v>7096</v>
      </c>
      <c r="Q4903" t="s">
        <v>107</v>
      </c>
      <c r="R4903" s="1" t="s">
        <v>158</v>
      </c>
    </row>
    <row r="4904" spans="3:18" x14ac:dyDescent="0.35">
      <c r="C4904" t="s">
        <v>51</v>
      </c>
      <c r="D4904" t="s">
        <v>21</v>
      </c>
      <c r="E4904" t="s">
        <v>45</v>
      </c>
      <c r="F4904" t="s">
        <v>46</v>
      </c>
      <c r="G4904" s="58">
        <v>108506275</v>
      </c>
      <c r="H4904" s="1" t="s">
        <v>48</v>
      </c>
      <c r="I4904" s="1" t="s">
        <v>108</v>
      </c>
      <c r="J4904" s="58">
        <v>3689213350</v>
      </c>
      <c r="K4904" s="1" t="s">
        <v>106</v>
      </c>
      <c r="L4904" s="1" t="s">
        <v>120</v>
      </c>
      <c r="M4904" s="1" t="s">
        <v>126</v>
      </c>
      <c r="N4904" s="1">
        <v>1</v>
      </c>
      <c r="O4904" s="58"/>
      <c r="P4904" s="58">
        <v>90060208.25</v>
      </c>
      <c r="Q4904" t="s">
        <v>127</v>
      </c>
      <c r="R4904" s="1" t="s">
        <v>158</v>
      </c>
    </row>
    <row r="4905" spans="3:18" x14ac:dyDescent="0.35">
      <c r="C4905" t="s">
        <v>51</v>
      </c>
      <c r="D4905" t="s">
        <v>23</v>
      </c>
      <c r="E4905" t="s">
        <v>45</v>
      </c>
      <c r="F4905" t="s">
        <v>46</v>
      </c>
      <c r="G4905" s="58">
        <v>2628932</v>
      </c>
      <c r="H4905" s="1" t="s">
        <v>59</v>
      </c>
      <c r="I4905" s="1" t="s">
        <v>119</v>
      </c>
      <c r="J4905" s="58">
        <v>21031456</v>
      </c>
      <c r="K4905" s="1" t="s">
        <v>106</v>
      </c>
      <c r="L4905" s="1" t="s">
        <v>120</v>
      </c>
      <c r="N4905" s="1">
        <v>1</v>
      </c>
      <c r="O4905" s="58"/>
      <c r="P4905" s="58">
        <v>1209308.72</v>
      </c>
      <c r="Q4905" t="s">
        <v>113</v>
      </c>
      <c r="R4905" s="1" t="s">
        <v>158</v>
      </c>
    </row>
    <row r="4906" spans="3:18" x14ac:dyDescent="0.35">
      <c r="C4906" t="s">
        <v>51</v>
      </c>
      <c r="D4906" t="s">
        <v>20</v>
      </c>
      <c r="E4906" t="s">
        <v>49</v>
      </c>
      <c r="F4906" t="s">
        <v>46</v>
      </c>
      <c r="G4906" s="58">
        <v>2510962</v>
      </c>
      <c r="H4906" s="1" t="s">
        <v>47</v>
      </c>
      <c r="I4906" s="1" t="s">
        <v>108</v>
      </c>
      <c r="J4906" s="58">
        <v>67795974</v>
      </c>
      <c r="K4906" s="1" t="s">
        <v>106</v>
      </c>
      <c r="L4906" s="1" t="s">
        <v>120</v>
      </c>
      <c r="N4906" s="1">
        <v>1</v>
      </c>
      <c r="O4906" s="58"/>
      <c r="P4906" s="58">
        <v>1280590.6200000001</v>
      </c>
      <c r="Q4906" t="s">
        <v>113</v>
      </c>
      <c r="R4906" s="1" t="s">
        <v>158</v>
      </c>
    </row>
    <row r="4907" spans="3:18" x14ac:dyDescent="0.35">
      <c r="C4907" t="s">
        <v>51</v>
      </c>
      <c r="D4907" t="s">
        <v>24</v>
      </c>
      <c r="E4907" t="s">
        <v>55</v>
      </c>
      <c r="F4907" t="s">
        <v>46</v>
      </c>
      <c r="G4907" s="58">
        <v>244353</v>
      </c>
      <c r="H4907" s="1" t="s">
        <v>48</v>
      </c>
      <c r="I4907" s="1" t="s">
        <v>105</v>
      </c>
      <c r="J4907" s="58">
        <v>244353</v>
      </c>
      <c r="K4907" s="1" t="s">
        <v>106</v>
      </c>
      <c r="L4907" s="1" t="s">
        <v>114</v>
      </c>
      <c r="M4907" s="1" t="s">
        <v>121</v>
      </c>
      <c r="N4907" s="1">
        <v>1</v>
      </c>
      <c r="O4907" s="58"/>
      <c r="P4907" s="58">
        <v>197925.93</v>
      </c>
      <c r="Q4907" t="s">
        <v>127</v>
      </c>
      <c r="R4907" s="1" t="s">
        <v>158</v>
      </c>
    </row>
    <row r="4908" spans="3:18" x14ac:dyDescent="0.35">
      <c r="C4908" t="s">
        <v>51</v>
      </c>
      <c r="D4908" t="s">
        <v>19</v>
      </c>
      <c r="E4908" t="s">
        <v>49</v>
      </c>
      <c r="F4908" t="s">
        <v>46</v>
      </c>
      <c r="G4908" s="58">
        <v>8533522</v>
      </c>
      <c r="H4908" s="1" t="s">
        <v>56</v>
      </c>
      <c r="I4908" s="1" t="s">
        <v>111</v>
      </c>
      <c r="J4908" s="58">
        <v>128002830</v>
      </c>
      <c r="K4908" s="1" t="s">
        <v>106</v>
      </c>
      <c r="L4908" s="1" t="s">
        <v>124</v>
      </c>
      <c r="N4908" s="1">
        <v>1</v>
      </c>
      <c r="O4908" s="58"/>
      <c r="P4908" s="58">
        <v>2218715.7200000002</v>
      </c>
      <c r="Q4908" t="s">
        <v>107</v>
      </c>
      <c r="R4908" s="1" t="s">
        <v>158</v>
      </c>
    </row>
    <row r="4909" spans="3:18" x14ac:dyDescent="0.35">
      <c r="C4909" t="s">
        <v>51</v>
      </c>
      <c r="D4909" t="s">
        <v>22</v>
      </c>
      <c r="E4909" t="s">
        <v>49</v>
      </c>
      <c r="F4909" t="s">
        <v>46</v>
      </c>
      <c r="G4909" s="58">
        <v>16156572</v>
      </c>
      <c r="H4909" s="1" t="s">
        <v>59</v>
      </c>
      <c r="I4909" s="1" t="s">
        <v>108</v>
      </c>
      <c r="J4909" s="58">
        <v>403914300</v>
      </c>
      <c r="K4909" s="1" t="s">
        <v>106</v>
      </c>
      <c r="L4909" s="1" t="s">
        <v>124</v>
      </c>
      <c r="N4909" s="1">
        <v>1</v>
      </c>
      <c r="O4909" s="58"/>
      <c r="P4909" s="58">
        <v>8401417.4399999995</v>
      </c>
      <c r="Q4909" t="s">
        <v>113</v>
      </c>
      <c r="R4909" s="1" t="s">
        <v>158</v>
      </c>
    </row>
    <row r="4910" spans="3:18" x14ac:dyDescent="0.35">
      <c r="C4910" t="s">
        <v>51</v>
      </c>
      <c r="D4910" t="s">
        <v>24</v>
      </c>
      <c r="E4910" t="s">
        <v>55</v>
      </c>
      <c r="F4910" t="s">
        <v>46</v>
      </c>
      <c r="G4910" s="58">
        <v>1364572</v>
      </c>
      <c r="H4910" s="1" t="s">
        <v>47</v>
      </c>
      <c r="I4910" s="1" t="s">
        <v>105</v>
      </c>
      <c r="J4910" s="58">
        <v>5458288</v>
      </c>
      <c r="K4910" s="1" t="s">
        <v>106</v>
      </c>
      <c r="L4910" s="1" t="s">
        <v>114</v>
      </c>
      <c r="N4910" s="1">
        <v>1</v>
      </c>
      <c r="O4910" s="58"/>
      <c r="P4910" s="58">
        <v>641348.84</v>
      </c>
      <c r="Q4910" t="s">
        <v>113</v>
      </c>
      <c r="R4910" s="1" t="s">
        <v>158</v>
      </c>
    </row>
    <row r="4911" spans="3:18" x14ac:dyDescent="0.35">
      <c r="C4911" t="s">
        <v>51</v>
      </c>
      <c r="D4911" t="s">
        <v>91</v>
      </c>
      <c r="E4911" t="s">
        <v>49</v>
      </c>
      <c r="F4911" t="s">
        <v>46</v>
      </c>
      <c r="G4911" s="58">
        <v>688582</v>
      </c>
      <c r="H4911" s="1" t="s">
        <v>47</v>
      </c>
      <c r="I4911" s="1" t="s">
        <v>111</v>
      </c>
      <c r="J4911" s="58">
        <v>11017312</v>
      </c>
      <c r="K4911" s="1" t="s">
        <v>106</v>
      </c>
      <c r="L4911" s="1" t="s">
        <v>114</v>
      </c>
      <c r="N4911" s="1">
        <v>1</v>
      </c>
      <c r="O4911" s="58"/>
      <c r="P4911" s="58">
        <v>199688.78</v>
      </c>
      <c r="Q4911" t="s">
        <v>107</v>
      </c>
      <c r="R4911" s="1" t="s">
        <v>158</v>
      </c>
    </row>
    <row r="4912" spans="3:18" x14ac:dyDescent="0.35">
      <c r="C4912" t="s">
        <v>53</v>
      </c>
      <c r="D4912" t="s">
        <v>24</v>
      </c>
      <c r="E4912" t="s">
        <v>50</v>
      </c>
      <c r="F4912" t="s">
        <v>46</v>
      </c>
      <c r="G4912" s="58">
        <v>391784</v>
      </c>
      <c r="H4912" s="1" t="s">
        <v>47</v>
      </c>
      <c r="I4912" s="1" t="s">
        <v>111</v>
      </c>
      <c r="J4912" s="58">
        <v>4701408</v>
      </c>
      <c r="K4912" s="1" t="s">
        <v>112</v>
      </c>
      <c r="N4912" s="1">
        <v>1</v>
      </c>
      <c r="O4912" s="58"/>
      <c r="P4912" s="58">
        <v>137124.4</v>
      </c>
      <c r="Q4912" t="s">
        <v>107</v>
      </c>
      <c r="R4912" s="1" t="s">
        <v>158</v>
      </c>
    </row>
    <row r="4913" spans="3:18" x14ac:dyDescent="0.35">
      <c r="C4913" t="s">
        <v>51</v>
      </c>
      <c r="D4913" t="s">
        <v>21</v>
      </c>
      <c r="E4913" t="s">
        <v>45</v>
      </c>
      <c r="F4913" t="s">
        <v>46</v>
      </c>
      <c r="G4913" s="58">
        <v>474093</v>
      </c>
      <c r="H4913" s="1" t="s">
        <v>47</v>
      </c>
      <c r="I4913" s="1" t="s">
        <v>108</v>
      </c>
      <c r="J4913" s="58">
        <v>17067348</v>
      </c>
      <c r="K4913" s="1" t="s">
        <v>106</v>
      </c>
      <c r="L4913" s="1" t="s">
        <v>109</v>
      </c>
      <c r="N4913" s="1">
        <v>1</v>
      </c>
      <c r="O4913" s="58"/>
      <c r="P4913" s="58">
        <v>355569.75</v>
      </c>
      <c r="Q4913" t="s">
        <v>118</v>
      </c>
      <c r="R4913" s="1" t="s">
        <v>158</v>
      </c>
    </row>
    <row r="4914" spans="3:18" x14ac:dyDescent="0.35">
      <c r="C4914" t="s">
        <v>53</v>
      </c>
      <c r="D4914" t="s">
        <v>24</v>
      </c>
      <c r="E4914" t="s">
        <v>55</v>
      </c>
      <c r="F4914" t="s">
        <v>46</v>
      </c>
      <c r="G4914" s="58">
        <v>3558915</v>
      </c>
      <c r="H4914" s="1" t="s">
        <v>56</v>
      </c>
      <c r="I4914" s="1" t="s">
        <v>119</v>
      </c>
      <c r="J4914" s="58">
        <v>21353490</v>
      </c>
      <c r="K4914" s="1" t="s">
        <v>106</v>
      </c>
      <c r="L4914" s="1" t="s">
        <v>114</v>
      </c>
      <c r="N4914" s="1">
        <v>1</v>
      </c>
      <c r="O4914" s="58"/>
      <c r="P4914" s="58">
        <v>1138852.8</v>
      </c>
      <c r="Q4914" t="s">
        <v>107</v>
      </c>
      <c r="R4914" s="1" t="s">
        <v>158</v>
      </c>
    </row>
    <row r="4915" spans="3:18" x14ac:dyDescent="0.35">
      <c r="C4915" t="s">
        <v>51</v>
      </c>
      <c r="D4915" t="s">
        <v>91</v>
      </c>
      <c r="E4915" t="s">
        <v>49</v>
      </c>
      <c r="F4915" t="s">
        <v>46</v>
      </c>
      <c r="G4915" s="58">
        <v>199557865</v>
      </c>
      <c r="H4915" s="1" t="s">
        <v>48</v>
      </c>
      <c r="I4915" s="1" t="s">
        <v>108</v>
      </c>
      <c r="J4915" s="58">
        <v>5986735950</v>
      </c>
      <c r="K4915" s="1" t="s">
        <v>106</v>
      </c>
      <c r="L4915" s="1" t="s">
        <v>124</v>
      </c>
      <c r="M4915" s="1" t="s">
        <v>122</v>
      </c>
      <c r="N4915" s="1">
        <v>1</v>
      </c>
      <c r="O4915" s="58"/>
      <c r="P4915" s="58">
        <v>101774511.15000001</v>
      </c>
      <c r="Q4915" t="s">
        <v>113</v>
      </c>
      <c r="R4915" s="1" t="s">
        <v>158</v>
      </c>
    </row>
    <row r="4916" spans="3:18" x14ac:dyDescent="0.35">
      <c r="C4916" t="s">
        <v>51</v>
      </c>
      <c r="D4916" t="s">
        <v>25</v>
      </c>
      <c r="E4916" t="s">
        <v>55</v>
      </c>
      <c r="F4916" t="s">
        <v>46</v>
      </c>
      <c r="G4916" s="58">
        <v>358902</v>
      </c>
      <c r="H4916" s="1" t="s">
        <v>59</v>
      </c>
      <c r="I4916" s="1" t="s">
        <v>108</v>
      </c>
      <c r="J4916" s="58">
        <v>10049256</v>
      </c>
      <c r="K4916" s="1" t="s">
        <v>106</v>
      </c>
      <c r="L4916" s="1" t="s">
        <v>114</v>
      </c>
      <c r="N4916" s="1">
        <v>1</v>
      </c>
      <c r="O4916" s="58"/>
      <c r="P4916" s="58">
        <v>122026.68</v>
      </c>
      <c r="Q4916" t="s">
        <v>107</v>
      </c>
      <c r="R4916" s="1" t="s">
        <v>158</v>
      </c>
    </row>
    <row r="4917" spans="3:18" x14ac:dyDescent="0.35">
      <c r="C4917" t="s">
        <v>51</v>
      </c>
      <c r="D4917" t="s">
        <v>92</v>
      </c>
      <c r="E4917" t="s">
        <v>45</v>
      </c>
      <c r="F4917" t="s">
        <v>46</v>
      </c>
      <c r="G4917" s="58">
        <v>327153</v>
      </c>
      <c r="H4917" s="1" t="s">
        <v>48</v>
      </c>
      <c r="I4917" s="1" t="s">
        <v>119</v>
      </c>
      <c r="J4917" s="58">
        <v>2617224</v>
      </c>
      <c r="K4917" s="1" t="s">
        <v>106</v>
      </c>
      <c r="L4917" s="1" t="s">
        <v>120</v>
      </c>
      <c r="M4917" s="1" t="s">
        <v>123</v>
      </c>
      <c r="N4917" s="1">
        <v>1</v>
      </c>
      <c r="O4917" s="58"/>
      <c r="P4917" s="58">
        <v>75245.19</v>
      </c>
      <c r="Q4917" t="s">
        <v>107</v>
      </c>
      <c r="R4917" s="1" t="s">
        <v>48</v>
      </c>
    </row>
    <row r="4918" spans="3:18" x14ac:dyDescent="0.35">
      <c r="C4918" t="s">
        <v>51</v>
      </c>
      <c r="D4918" t="s">
        <v>22</v>
      </c>
      <c r="E4918" t="s">
        <v>45</v>
      </c>
      <c r="F4918" t="s">
        <v>46</v>
      </c>
      <c r="G4918" s="58">
        <v>25828</v>
      </c>
      <c r="H4918" s="1" t="s">
        <v>48</v>
      </c>
      <c r="I4918" s="1" t="s">
        <v>119</v>
      </c>
      <c r="J4918" s="58">
        <v>180796</v>
      </c>
      <c r="K4918" s="1" t="s">
        <v>106</v>
      </c>
      <c r="L4918" s="1" t="s">
        <v>124</v>
      </c>
      <c r="M4918" s="1" t="s">
        <v>126</v>
      </c>
      <c r="N4918" s="1">
        <v>1</v>
      </c>
      <c r="O4918" s="58"/>
      <c r="P4918" s="58">
        <v>4132.4799999999996</v>
      </c>
      <c r="Q4918" t="s">
        <v>107</v>
      </c>
      <c r="R4918" s="1" t="s">
        <v>158</v>
      </c>
    </row>
    <row r="4919" spans="3:18" x14ac:dyDescent="0.35">
      <c r="C4919" t="s">
        <v>51</v>
      </c>
      <c r="D4919" t="s">
        <v>21</v>
      </c>
      <c r="E4919" t="s">
        <v>49</v>
      </c>
      <c r="F4919" t="s">
        <v>46</v>
      </c>
      <c r="G4919" s="58">
        <v>829111</v>
      </c>
      <c r="H4919" s="1" t="s">
        <v>48</v>
      </c>
      <c r="I4919" s="1" t="s">
        <v>108</v>
      </c>
      <c r="J4919" s="58">
        <v>28189774</v>
      </c>
      <c r="K4919" s="1" t="s">
        <v>106</v>
      </c>
      <c r="L4919" s="1" t="s">
        <v>124</v>
      </c>
      <c r="M4919" s="1" t="s">
        <v>115</v>
      </c>
      <c r="N4919" s="1">
        <v>1</v>
      </c>
      <c r="O4919" s="58"/>
      <c r="P4919" s="58">
        <v>621833.25</v>
      </c>
      <c r="Q4919" t="s">
        <v>118</v>
      </c>
      <c r="R4919" s="1" t="s">
        <v>48</v>
      </c>
    </row>
    <row r="4920" spans="3:18" x14ac:dyDescent="0.35">
      <c r="C4920" t="s">
        <v>51</v>
      </c>
      <c r="D4920" t="s">
        <v>25</v>
      </c>
      <c r="E4920" t="s">
        <v>55</v>
      </c>
      <c r="F4920" t="s">
        <v>46</v>
      </c>
      <c r="G4920" s="58">
        <v>68399</v>
      </c>
      <c r="H4920" s="1" t="s">
        <v>59</v>
      </c>
      <c r="I4920" s="1" t="s">
        <v>119</v>
      </c>
      <c r="J4920" s="58">
        <v>683990</v>
      </c>
      <c r="K4920" s="1" t="s">
        <v>106</v>
      </c>
      <c r="L4920" s="1" t="s">
        <v>114</v>
      </c>
      <c r="N4920" s="1">
        <v>1</v>
      </c>
      <c r="O4920" s="58"/>
      <c r="P4920" s="58">
        <v>30095.56</v>
      </c>
      <c r="Q4920" t="s">
        <v>113</v>
      </c>
      <c r="R4920" s="1" t="s">
        <v>158</v>
      </c>
    </row>
    <row r="4921" spans="3:18" x14ac:dyDescent="0.35">
      <c r="C4921" t="s">
        <v>51</v>
      </c>
      <c r="D4921" t="s">
        <v>92</v>
      </c>
      <c r="E4921" t="s">
        <v>45</v>
      </c>
      <c r="F4921" t="s">
        <v>46</v>
      </c>
      <c r="G4921" s="58">
        <v>4450789</v>
      </c>
      <c r="H4921" s="1" t="s">
        <v>48</v>
      </c>
      <c r="I4921" s="1" t="s">
        <v>108</v>
      </c>
      <c r="J4921" s="58">
        <v>142425248</v>
      </c>
      <c r="K4921" s="1" t="s">
        <v>112</v>
      </c>
      <c r="N4921" s="1">
        <v>1</v>
      </c>
      <c r="O4921" s="58"/>
      <c r="P4921" s="58">
        <v>2314410.2799999998</v>
      </c>
      <c r="Q4921" t="s">
        <v>113</v>
      </c>
      <c r="R4921" s="1" t="s">
        <v>48</v>
      </c>
    </row>
    <row r="4922" spans="3:18" x14ac:dyDescent="0.35">
      <c r="C4922" t="s">
        <v>51</v>
      </c>
      <c r="D4922" t="s">
        <v>91</v>
      </c>
      <c r="E4922" t="s">
        <v>49</v>
      </c>
      <c r="F4922" t="s">
        <v>46</v>
      </c>
      <c r="G4922" s="58">
        <v>606356</v>
      </c>
      <c r="H4922" s="1" t="s">
        <v>48</v>
      </c>
      <c r="I4922" s="1" t="s">
        <v>108</v>
      </c>
      <c r="J4922" s="58">
        <v>20009748</v>
      </c>
      <c r="K4922" s="1" t="s">
        <v>106</v>
      </c>
      <c r="L4922" s="1" t="s">
        <v>120</v>
      </c>
      <c r="M4922" s="1" t="s">
        <v>115</v>
      </c>
      <c r="N4922" s="1">
        <v>1</v>
      </c>
      <c r="O4922" s="58"/>
      <c r="P4922" s="58">
        <v>733690.76</v>
      </c>
      <c r="Q4922" t="s">
        <v>110</v>
      </c>
      <c r="R4922" s="1" t="s">
        <v>158</v>
      </c>
    </row>
    <row r="4923" spans="3:18" x14ac:dyDescent="0.35">
      <c r="C4923" t="s">
        <v>51</v>
      </c>
      <c r="D4923" t="s">
        <v>91</v>
      </c>
      <c r="E4923" t="s">
        <v>49</v>
      </c>
      <c r="F4923" t="s">
        <v>64</v>
      </c>
      <c r="G4923" s="58">
        <v>327945</v>
      </c>
      <c r="H4923" s="1" t="s">
        <v>48</v>
      </c>
      <c r="I4923" s="1" t="s">
        <v>108</v>
      </c>
      <c r="J4923" s="58">
        <v>9838350</v>
      </c>
      <c r="K4923" s="1" t="s">
        <v>106</v>
      </c>
      <c r="L4923" s="1" t="s">
        <v>124</v>
      </c>
      <c r="M4923" s="1" t="s">
        <v>122</v>
      </c>
      <c r="N4923" s="1">
        <v>1</v>
      </c>
      <c r="O4923" s="58"/>
      <c r="P4923" s="58">
        <v>131178</v>
      </c>
      <c r="Q4923" t="s">
        <v>107</v>
      </c>
      <c r="R4923" s="1" t="s">
        <v>48</v>
      </c>
    </row>
    <row r="4924" spans="3:18" x14ac:dyDescent="0.35">
      <c r="C4924" t="s">
        <v>51</v>
      </c>
      <c r="D4924" t="s">
        <v>92</v>
      </c>
      <c r="E4924" t="s">
        <v>49</v>
      </c>
      <c r="F4924" t="s">
        <v>46</v>
      </c>
      <c r="G4924" s="58">
        <v>53594</v>
      </c>
      <c r="H4924" s="1" t="s">
        <v>47</v>
      </c>
      <c r="I4924" s="1" t="s">
        <v>105</v>
      </c>
      <c r="J4924" s="58">
        <v>214376</v>
      </c>
      <c r="K4924" s="1" t="s">
        <v>106</v>
      </c>
      <c r="L4924" s="1" t="s">
        <v>114</v>
      </c>
      <c r="N4924" s="1">
        <v>1</v>
      </c>
      <c r="O4924" s="58"/>
      <c r="P4924" s="58">
        <v>6431.28</v>
      </c>
      <c r="Q4924" t="s">
        <v>107</v>
      </c>
      <c r="R4924" s="1" t="s">
        <v>158</v>
      </c>
    </row>
    <row r="4925" spans="3:18" x14ac:dyDescent="0.35">
      <c r="C4925" t="s">
        <v>51</v>
      </c>
      <c r="D4925" t="s">
        <v>21</v>
      </c>
      <c r="E4925" t="s">
        <v>49</v>
      </c>
      <c r="F4925" t="s">
        <v>46</v>
      </c>
      <c r="G4925" s="58">
        <v>167225</v>
      </c>
      <c r="H4925" s="1" t="s">
        <v>48</v>
      </c>
      <c r="I4925" s="1" t="s">
        <v>108</v>
      </c>
      <c r="J4925" s="58">
        <v>5518425</v>
      </c>
      <c r="K4925" s="1" t="s">
        <v>106</v>
      </c>
      <c r="L4925" s="1" t="s">
        <v>124</v>
      </c>
      <c r="M4925" s="1" t="s">
        <v>121</v>
      </c>
      <c r="N4925" s="1">
        <v>1</v>
      </c>
      <c r="O4925" s="58"/>
      <c r="P4925" s="58">
        <v>28428.25</v>
      </c>
      <c r="Q4925" t="s">
        <v>107</v>
      </c>
      <c r="R4925" s="1" t="s">
        <v>48</v>
      </c>
    </row>
    <row r="4926" spans="3:18" x14ac:dyDescent="0.35">
      <c r="C4926" t="s">
        <v>51</v>
      </c>
      <c r="D4926" t="s">
        <v>60</v>
      </c>
      <c r="E4926" t="s">
        <v>60</v>
      </c>
      <c r="F4926" t="s">
        <v>46</v>
      </c>
      <c r="G4926" s="58">
        <v>55242220</v>
      </c>
      <c r="H4926" s="1" t="s">
        <v>90</v>
      </c>
      <c r="I4926" s="1" t="s">
        <v>108</v>
      </c>
      <c r="J4926" s="58">
        <v>1657266600</v>
      </c>
      <c r="K4926" s="1" t="s">
        <v>106</v>
      </c>
      <c r="N4926" s="1">
        <v>1</v>
      </c>
      <c r="O4926" s="58"/>
      <c r="P4926" s="58">
        <v>66843086.200000003</v>
      </c>
      <c r="Q4926" t="s">
        <v>110</v>
      </c>
      <c r="R4926" s="1" t="s">
        <v>90</v>
      </c>
    </row>
    <row r="4927" spans="3:18" x14ac:dyDescent="0.35">
      <c r="C4927" t="s">
        <v>51</v>
      </c>
      <c r="D4927" t="s">
        <v>21</v>
      </c>
      <c r="E4927" t="s">
        <v>49</v>
      </c>
      <c r="F4927" t="s">
        <v>46</v>
      </c>
      <c r="G4927" s="58">
        <v>63569</v>
      </c>
      <c r="H4927" s="1" t="s">
        <v>47</v>
      </c>
      <c r="I4927" s="1" t="s">
        <v>119</v>
      </c>
      <c r="J4927" s="58">
        <v>381414</v>
      </c>
      <c r="K4927" s="1" t="s">
        <v>106</v>
      </c>
      <c r="L4927" s="1" t="s">
        <v>116</v>
      </c>
      <c r="N4927" s="1">
        <v>1</v>
      </c>
      <c r="O4927" s="58"/>
      <c r="P4927" s="58">
        <v>27334.67</v>
      </c>
      <c r="Q4927" t="s">
        <v>113</v>
      </c>
      <c r="R4927" s="1" t="s">
        <v>158</v>
      </c>
    </row>
    <row r="4928" spans="3:18" x14ac:dyDescent="0.35">
      <c r="C4928" t="s">
        <v>51</v>
      </c>
      <c r="D4928" t="s">
        <v>23</v>
      </c>
      <c r="E4928" t="s">
        <v>55</v>
      </c>
      <c r="F4928" t="s">
        <v>64</v>
      </c>
      <c r="G4928" s="58">
        <v>2575709</v>
      </c>
      <c r="H4928" s="1" t="s">
        <v>48</v>
      </c>
      <c r="I4928" s="1" t="s">
        <v>108</v>
      </c>
      <c r="J4928" s="58">
        <v>66968434</v>
      </c>
      <c r="K4928" s="1" t="s">
        <v>112</v>
      </c>
      <c r="N4928" s="1">
        <v>1</v>
      </c>
      <c r="O4928" s="58"/>
      <c r="P4928" s="58">
        <v>1828753.39</v>
      </c>
      <c r="Q4928" t="s">
        <v>118</v>
      </c>
      <c r="R4928" s="1" t="s">
        <v>48</v>
      </c>
    </row>
    <row r="4929" spans="3:18" x14ac:dyDescent="0.35">
      <c r="C4929" t="s">
        <v>44</v>
      </c>
      <c r="D4929" t="s">
        <v>92</v>
      </c>
      <c r="E4929" t="s">
        <v>49</v>
      </c>
      <c r="F4929" t="s">
        <v>46</v>
      </c>
      <c r="G4929" s="58">
        <v>98667</v>
      </c>
      <c r="H4929" s="1" t="s">
        <v>48</v>
      </c>
      <c r="I4929" s="1" t="s">
        <v>108</v>
      </c>
      <c r="J4929" s="58"/>
      <c r="N4929" s="1">
        <v>0</v>
      </c>
      <c r="O4929" s="58"/>
      <c r="P4929" s="58"/>
      <c r="R4929" s="1" t="s">
        <v>158</v>
      </c>
    </row>
    <row r="4930" spans="3:18" x14ac:dyDescent="0.35">
      <c r="C4930" t="s">
        <v>51</v>
      </c>
      <c r="D4930" t="s">
        <v>22</v>
      </c>
      <c r="E4930" t="s">
        <v>45</v>
      </c>
      <c r="F4930" t="s">
        <v>46</v>
      </c>
      <c r="G4930" s="58">
        <v>434232</v>
      </c>
      <c r="H4930" s="1" t="s">
        <v>47</v>
      </c>
      <c r="I4930" s="1" t="s">
        <v>108</v>
      </c>
      <c r="J4930" s="58">
        <v>11724264</v>
      </c>
      <c r="K4930" s="1" t="s">
        <v>106</v>
      </c>
      <c r="L4930" s="1" t="s">
        <v>124</v>
      </c>
      <c r="N4930" s="1">
        <v>1</v>
      </c>
      <c r="O4930" s="58"/>
      <c r="P4930" s="58">
        <v>451601.28</v>
      </c>
      <c r="Q4930" t="s">
        <v>110</v>
      </c>
      <c r="R4930" s="1" t="s">
        <v>158</v>
      </c>
    </row>
    <row r="4931" spans="3:18" x14ac:dyDescent="0.35">
      <c r="C4931" t="s">
        <v>53</v>
      </c>
      <c r="D4931" t="s">
        <v>92</v>
      </c>
      <c r="E4931" t="s">
        <v>45</v>
      </c>
      <c r="F4931" t="s">
        <v>46</v>
      </c>
      <c r="G4931" s="58">
        <v>82166</v>
      </c>
      <c r="H4931" s="1" t="s">
        <v>48</v>
      </c>
      <c r="I4931" s="1" t="s">
        <v>111</v>
      </c>
      <c r="J4931" s="58">
        <v>1150324</v>
      </c>
      <c r="K4931" s="1" t="s">
        <v>106</v>
      </c>
      <c r="L4931" s="1" t="s">
        <v>120</v>
      </c>
      <c r="M4931" s="1" t="s">
        <v>126</v>
      </c>
      <c r="N4931" s="1">
        <v>1</v>
      </c>
      <c r="O4931" s="58"/>
      <c r="P4931" s="58">
        <v>49299.6</v>
      </c>
      <c r="Q4931" t="s">
        <v>118</v>
      </c>
      <c r="R4931" s="1" t="s">
        <v>158</v>
      </c>
    </row>
    <row r="4932" spans="3:18" x14ac:dyDescent="0.35">
      <c r="C4932" t="s">
        <v>51</v>
      </c>
      <c r="D4932" t="s">
        <v>24</v>
      </c>
      <c r="E4932" t="s">
        <v>55</v>
      </c>
      <c r="F4932" t="s">
        <v>46</v>
      </c>
      <c r="G4932" s="58">
        <v>39404</v>
      </c>
      <c r="H4932" s="1" t="s">
        <v>48</v>
      </c>
      <c r="I4932" s="1" t="s">
        <v>105</v>
      </c>
      <c r="J4932" s="58">
        <v>157616</v>
      </c>
      <c r="K4932" s="1" t="s">
        <v>106</v>
      </c>
      <c r="L4932" s="1" t="s">
        <v>114</v>
      </c>
      <c r="M4932" s="1" t="s">
        <v>121</v>
      </c>
      <c r="N4932" s="1">
        <v>1</v>
      </c>
      <c r="O4932" s="58"/>
      <c r="P4932" s="58">
        <v>11821.2</v>
      </c>
      <c r="Q4932" t="s">
        <v>107</v>
      </c>
      <c r="R4932" s="1" t="s">
        <v>48</v>
      </c>
    </row>
    <row r="4933" spans="3:18" x14ac:dyDescent="0.35">
      <c r="C4933" t="s">
        <v>51</v>
      </c>
      <c r="D4933" t="s">
        <v>20</v>
      </c>
      <c r="E4933" t="s">
        <v>49</v>
      </c>
      <c r="F4933" t="s">
        <v>46</v>
      </c>
      <c r="G4933" s="58">
        <v>780066</v>
      </c>
      <c r="H4933" s="1" t="s">
        <v>56</v>
      </c>
      <c r="I4933" s="1" t="s">
        <v>105</v>
      </c>
      <c r="J4933" s="58">
        <v>2340198</v>
      </c>
      <c r="K4933" s="1" t="s">
        <v>106</v>
      </c>
      <c r="L4933" s="1" t="s">
        <v>124</v>
      </c>
      <c r="N4933" s="1">
        <v>1</v>
      </c>
      <c r="O4933" s="58"/>
      <c r="P4933" s="58">
        <v>70205.94</v>
      </c>
      <c r="Q4933" t="s">
        <v>107</v>
      </c>
      <c r="R4933" s="1" t="s">
        <v>158</v>
      </c>
    </row>
    <row r="4934" spans="3:18" x14ac:dyDescent="0.35">
      <c r="C4934" t="s">
        <v>51</v>
      </c>
      <c r="D4934" t="s">
        <v>22</v>
      </c>
      <c r="E4934" t="s">
        <v>45</v>
      </c>
      <c r="F4934" t="s">
        <v>46</v>
      </c>
      <c r="G4934" s="58">
        <v>475268</v>
      </c>
      <c r="H4934" s="1" t="s">
        <v>48</v>
      </c>
      <c r="I4934" s="1" t="s">
        <v>119</v>
      </c>
      <c r="J4934" s="58">
        <v>4277412</v>
      </c>
      <c r="K4934" s="1" t="s">
        <v>106</v>
      </c>
      <c r="L4934" s="1" t="s">
        <v>120</v>
      </c>
      <c r="M4934" s="1" t="s">
        <v>115</v>
      </c>
      <c r="N4934" s="1">
        <v>1</v>
      </c>
      <c r="O4934" s="58"/>
      <c r="P4934" s="58">
        <v>223375.96</v>
      </c>
      <c r="Q4934" t="s">
        <v>113</v>
      </c>
      <c r="R4934" s="1" t="s">
        <v>48</v>
      </c>
    </row>
    <row r="4935" spans="3:18" x14ac:dyDescent="0.35">
      <c r="C4935" t="s">
        <v>53</v>
      </c>
      <c r="D4935" t="s">
        <v>21</v>
      </c>
      <c r="E4935" t="s">
        <v>55</v>
      </c>
      <c r="F4935" t="s">
        <v>46</v>
      </c>
      <c r="G4935" s="58">
        <v>838162</v>
      </c>
      <c r="H4935" s="1" t="s">
        <v>48</v>
      </c>
      <c r="I4935" s="1" t="s">
        <v>119</v>
      </c>
      <c r="J4935" s="58">
        <v>6705296</v>
      </c>
      <c r="K4935" s="1" t="s">
        <v>106</v>
      </c>
      <c r="L4935" s="1" t="s">
        <v>114</v>
      </c>
      <c r="M4935" s="1" t="s">
        <v>126</v>
      </c>
      <c r="N4935" s="1">
        <v>1</v>
      </c>
      <c r="O4935" s="58"/>
      <c r="P4935" s="58">
        <v>234685.36</v>
      </c>
      <c r="Q4935" t="s">
        <v>107</v>
      </c>
      <c r="R4935" s="1" t="s">
        <v>158</v>
      </c>
    </row>
    <row r="4936" spans="3:18" x14ac:dyDescent="0.35">
      <c r="C4936" t="s">
        <v>51</v>
      </c>
      <c r="D4936" t="s">
        <v>91</v>
      </c>
      <c r="E4936" t="s">
        <v>49</v>
      </c>
      <c r="F4936" t="s">
        <v>46</v>
      </c>
      <c r="G4936" s="58">
        <v>10826229</v>
      </c>
      <c r="H4936" s="1" t="s">
        <v>48</v>
      </c>
      <c r="I4936" s="1" t="s">
        <v>108</v>
      </c>
      <c r="J4936" s="58">
        <v>303134412</v>
      </c>
      <c r="K4936" s="1" t="s">
        <v>106</v>
      </c>
      <c r="L4936" s="1" t="s">
        <v>124</v>
      </c>
      <c r="M4936" s="1" t="s">
        <v>122</v>
      </c>
      <c r="N4936" s="1">
        <v>1</v>
      </c>
      <c r="O4936" s="58"/>
      <c r="P4936" s="58">
        <v>3139606.41</v>
      </c>
      <c r="Q4936" t="s">
        <v>107</v>
      </c>
      <c r="R4936" s="1" t="s">
        <v>48</v>
      </c>
    </row>
    <row r="4937" spans="3:18" x14ac:dyDescent="0.35">
      <c r="C4937" t="s">
        <v>53</v>
      </c>
      <c r="D4937" t="s">
        <v>21</v>
      </c>
      <c r="E4937" t="s">
        <v>49</v>
      </c>
      <c r="F4937" t="s">
        <v>46</v>
      </c>
      <c r="G4937" s="58">
        <v>23631379</v>
      </c>
      <c r="H4937" s="1" t="s">
        <v>54</v>
      </c>
      <c r="I4937" s="1" t="s">
        <v>111</v>
      </c>
      <c r="J4937" s="58">
        <v>330839306</v>
      </c>
      <c r="K4937" s="1" t="s">
        <v>112</v>
      </c>
      <c r="N4937" s="1">
        <v>1</v>
      </c>
      <c r="O4937" s="58"/>
      <c r="P4937" s="58">
        <v>13469886.029999999</v>
      </c>
      <c r="Q4937" t="s">
        <v>113</v>
      </c>
      <c r="R4937" s="1" t="s">
        <v>158</v>
      </c>
    </row>
    <row r="4938" spans="3:18" x14ac:dyDescent="0.35">
      <c r="C4938" t="s">
        <v>51</v>
      </c>
      <c r="D4938" t="s">
        <v>20</v>
      </c>
      <c r="E4938" t="s">
        <v>49</v>
      </c>
      <c r="F4938" t="s">
        <v>46</v>
      </c>
      <c r="G4938" s="58">
        <v>17060</v>
      </c>
      <c r="H4938" s="1" t="s">
        <v>54</v>
      </c>
      <c r="I4938" s="1" t="s">
        <v>119</v>
      </c>
      <c r="J4938" s="58">
        <v>136480</v>
      </c>
      <c r="K4938" s="1" t="s">
        <v>112</v>
      </c>
      <c r="N4938" s="1">
        <v>1</v>
      </c>
      <c r="O4938" s="58"/>
      <c r="P4938" s="58">
        <v>6653.4</v>
      </c>
      <c r="Q4938" t="s">
        <v>107</v>
      </c>
      <c r="R4938" s="1" t="s">
        <v>158</v>
      </c>
    </row>
    <row r="4939" spans="3:18" x14ac:dyDescent="0.35">
      <c r="C4939" t="s">
        <v>53</v>
      </c>
      <c r="D4939" t="s">
        <v>25</v>
      </c>
      <c r="E4939" t="s">
        <v>55</v>
      </c>
      <c r="F4939" t="s">
        <v>46</v>
      </c>
      <c r="G4939" s="58">
        <v>150060</v>
      </c>
      <c r="H4939" s="1" t="s">
        <v>59</v>
      </c>
      <c r="I4939" s="1" t="s">
        <v>119</v>
      </c>
      <c r="J4939" s="58">
        <v>1200480</v>
      </c>
      <c r="K4939" s="1" t="s">
        <v>106</v>
      </c>
      <c r="L4939" s="1" t="s">
        <v>114</v>
      </c>
      <c r="N4939" s="1">
        <v>1</v>
      </c>
      <c r="O4939" s="58"/>
      <c r="P4939" s="58">
        <v>60024</v>
      </c>
      <c r="Q4939" t="s">
        <v>107</v>
      </c>
      <c r="R4939" s="1" t="s">
        <v>158</v>
      </c>
    </row>
    <row r="4940" spans="3:18" x14ac:dyDescent="0.35">
      <c r="C4940" t="s">
        <v>51</v>
      </c>
      <c r="D4940" t="s">
        <v>23</v>
      </c>
      <c r="E4940" t="s">
        <v>55</v>
      </c>
      <c r="F4940" t="s">
        <v>46</v>
      </c>
      <c r="G4940" s="58">
        <v>24125</v>
      </c>
      <c r="H4940" s="1" t="s">
        <v>47</v>
      </c>
      <c r="I4940" s="1" t="s">
        <v>105</v>
      </c>
      <c r="J4940" s="58"/>
      <c r="K4940" s="1" t="s">
        <v>106</v>
      </c>
      <c r="L4940" s="1" t="s">
        <v>114</v>
      </c>
      <c r="N4940" s="1">
        <v>0</v>
      </c>
      <c r="O4940" s="58"/>
      <c r="P4940" s="58">
        <v>0</v>
      </c>
      <c r="Q4940" t="s">
        <v>107</v>
      </c>
      <c r="R4940" s="1" t="s">
        <v>158</v>
      </c>
    </row>
    <row r="4941" spans="3:18" x14ac:dyDescent="0.35">
      <c r="C4941" t="s">
        <v>51</v>
      </c>
      <c r="D4941" t="s">
        <v>19</v>
      </c>
      <c r="E4941" t="s">
        <v>49</v>
      </c>
      <c r="F4941" t="s">
        <v>46</v>
      </c>
      <c r="G4941" s="58">
        <v>23724</v>
      </c>
      <c r="H4941" s="1" t="s">
        <v>47</v>
      </c>
      <c r="I4941" s="1" t="s">
        <v>119</v>
      </c>
      <c r="J4941" s="58">
        <v>142344</v>
      </c>
      <c r="K4941" s="1" t="s">
        <v>106</v>
      </c>
      <c r="L4941" s="1" t="s">
        <v>114</v>
      </c>
      <c r="N4941" s="1">
        <v>1</v>
      </c>
      <c r="O4941" s="58"/>
      <c r="P4941" s="58">
        <v>15657.84</v>
      </c>
      <c r="Q4941" t="s">
        <v>118</v>
      </c>
      <c r="R4941" s="1" t="s">
        <v>158</v>
      </c>
    </row>
    <row r="4942" spans="3:18" x14ac:dyDescent="0.35">
      <c r="C4942" t="s">
        <v>51</v>
      </c>
      <c r="D4942" t="s">
        <v>24</v>
      </c>
      <c r="E4942" t="s">
        <v>55</v>
      </c>
      <c r="F4942" t="s">
        <v>46</v>
      </c>
      <c r="G4942" s="58">
        <v>158185</v>
      </c>
      <c r="H4942" s="1" t="s">
        <v>59</v>
      </c>
      <c r="I4942" s="1" t="s">
        <v>108</v>
      </c>
      <c r="J4942" s="58">
        <v>4112810</v>
      </c>
      <c r="K4942" s="1" t="s">
        <v>106</v>
      </c>
      <c r="L4942" s="1" t="s">
        <v>116</v>
      </c>
      <c r="N4942" s="1">
        <v>1</v>
      </c>
      <c r="O4942" s="58"/>
      <c r="P4942" s="58">
        <v>55364.75</v>
      </c>
      <c r="Q4942" t="s">
        <v>107</v>
      </c>
      <c r="R4942" s="1" t="s">
        <v>158</v>
      </c>
    </row>
    <row r="4943" spans="3:18" x14ac:dyDescent="0.35">
      <c r="C4943" t="s">
        <v>51</v>
      </c>
      <c r="D4943" t="s">
        <v>21</v>
      </c>
      <c r="E4943" t="s">
        <v>45</v>
      </c>
      <c r="F4943" t="s">
        <v>46</v>
      </c>
      <c r="G4943" s="58">
        <v>3536329</v>
      </c>
      <c r="H4943" s="1" t="s">
        <v>47</v>
      </c>
      <c r="I4943" s="1" t="s">
        <v>108</v>
      </c>
      <c r="J4943" s="58">
        <v>109626199</v>
      </c>
      <c r="K4943" s="1" t="s">
        <v>106</v>
      </c>
      <c r="L4943" s="1" t="s">
        <v>120</v>
      </c>
      <c r="N4943" s="1">
        <v>1</v>
      </c>
      <c r="O4943" s="58"/>
      <c r="P4943" s="58">
        <v>4526501.12</v>
      </c>
      <c r="Q4943" t="s">
        <v>110</v>
      </c>
      <c r="R4943" s="1" t="s">
        <v>158</v>
      </c>
    </row>
    <row r="4944" spans="3:18" x14ac:dyDescent="0.35">
      <c r="C4944" t="s">
        <v>51</v>
      </c>
      <c r="D4944" t="s">
        <v>23</v>
      </c>
      <c r="E4944" t="s">
        <v>50</v>
      </c>
      <c r="F4944" t="s">
        <v>46</v>
      </c>
      <c r="G4944" s="58">
        <v>2781237</v>
      </c>
      <c r="H4944" s="1" t="s">
        <v>48</v>
      </c>
      <c r="I4944" s="1" t="s">
        <v>111</v>
      </c>
      <c r="J4944" s="58">
        <v>47281029</v>
      </c>
      <c r="K4944" s="1" t="s">
        <v>106</v>
      </c>
      <c r="L4944" s="1" t="s">
        <v>109</v>
      </c>
      <c r="M4944" s="1" t="s">
        <v>125</v>
      </c>
      <c r="N4944" s="1">
        <v>1</v>
      </c>
      <c r="O4944" s="58"/>
      <c r="P4944" s="58">
        <v>1863428.79</v>
      </c>
      <c r="Q4944" t="s">
        <v>118</v>
      </c>
      <c r="R4944" s="1" t="s">
        <v>48</v>
      </c>
    </row>
    <row r="4945" spans="3:18" x14ac:dyDescent="0.35">
      <c r="C4945" t="s">
        <v>53</v>
      </c>
      <c r="D4945" t="s">
        <v>21</v>
      </c>
      <c r="E4945" t="s">
        <v>45</v>
      </c>
      <c r="F4945" t="s">
        <v>46</v>
      </c>
      <c r="G4945" s="58">
        <v>13693</v>
      </c>
      <c r="H4945" s="1" t="s">
        <v>59</v>
      </c>
      <c r="I4945" s="1" t="s">
        <v>105</v>
      </c>
      <c r="J4945" s="58"/>
      <c r="K4945" s="1" t="s">
        <v>106</v>
      </c>
      <c r="L4945" s="1" t="s">
        <v>120</v>
      </c>
      <c r="N4945" s="1">
        <v>0</v>
      </c>
      <c r="O4945" s="58"/>
      <c r="P4945" s="58">
        <v>0</v>
      </c>
      <c r="Q4945" t="s">
        <v>107</v>
      </c>
      <c r="R4945" s="1" t="s">
        <v>158</v>
      </c>
    </row>
    <row r="4946" spans="3:18" x14ac:dyDescent="0.35">
      <c r="C4946" t="s">
        <v>51</v>
      </c>
      <c r="D4946" t="s">
        <v>24</v>
      </c>
      <c r="E4946" t="s">
        <v>49</v>
      </c>
      <c r="F4946" t="s">
        <v>46</v>
      </c>
      <c r="G4946" s="58">
        <v>306935</v>
      </c>
      <c r="H4946" s="1" t="s">
        <v>48</v>
      </c>
      <c r="I4946" s="1" t="s">
        <v>108</v>
      </c>
      <c r="J4946" s="58">
        <v>9514985</v>
      </c>
      <c r="K4946" s="1" t="s">
        <v>112</v>
      </c>
      <c r="N4946" s="1">
        <v>1</v>
      </c>
      <c r="O4946" s="58"/>
      <c r="P4946" s="58">
        <v>171883.6</v>
      </c>
      <c r="Q4946" t="s">
        <v>113</v>
      </c>
      <c r="R4946" s="1" t="s">
        <v>158</v>
      </c>
    </row>
    <row r="4947" spans="3:18" x14ac:dyDescent="0.35">
      <c r="C4947" t="s">
        <v>51</v>
      </c>
      <c r="D4947" t="s">
        <v>24</v>
      </c>
      <c r="E4947" t="s">
        <v>52</v>
      </c>
      <c r="F4947" t="s">
        <v>46</v>
      </c>
      <c r="G4947" s="58">
        <v>19744680</v>
      </c>
      <c r="H4947" s="1" t="s">
        <v>48</v>
      </c>
      <c r="I4947" s="1" t="s">
        <v>108</v>
      </c>
      <c r="J4947" s="58">
        <v>710808480</v>
      </c>
      <c r="K4947" s="1" t="s">
        <v>112</v>
      </c>
      <c r="N4947" s="1">
        <v>1</v>
      </c>
      <c r="O4947" s="58"/>
      <c r="P4947" s="58">
        <v>17375318.399999999</v>
      </c>
      <c r="Q4947" t="s">
        <v>127</v>
      </c>
      <c r="R4947" s="1" t="s">
        <v>48</v>
      </c>
    </row>
    <row r="4948" spans="3:18" x14ac:dyDescent="0.35">
      <c r="C4948" t="s">
        <v>51</v>
      </c>
      <c r="D4948" t="s">
        <v>22</v>
      </c>
      <c r="E4948" t="s">
        <v>45</v>
      </c>
      <c r="F4948" t="s">
        <v>46</v>
      </c>
      <c r="G4948" s="58">
        <v>18657</v>
      </c>
      <c r="H4948" s="1" t="s">
        <v>56</v>
      </c>
      <c r="I4948" s="1" t="s">
        <v>105</v>
      </c>
      <c r="J4948" s="58"/>
      <c r="K4948" s="1" t="s">
        <v>106</v>
      </c>
      <c r="L4948" s="1" t="s">
        <v>120</v>
      </c>
      <c r="N4948" s="1">
        <v>0</v>
      </c>
      <c r="O4948" s="58"/>
      <c r="P4948" s="58">
        <v>186.57</v>
      </c>
      <c r="Q4948" t="s">
        <v>107</v>
      </c>
      <c r="R4948" s="1" t="s">
        <v>158</v>
      </c>
    </row>
    <row r="4949" spans="3:18" x14ac:dyDescent="0.35">
      <c r="C4949" t="s">
        <v>51</v>
      </c>
      <c r="D4949" t="s">
        <v>22</v>
      </c>
      <c r="E4949" t="s">
        <v>50</v>
      </c>
      <c r="F4949" t="s">
        <v>46</v>
      </c>
      <c r="G4949" s="58">
        <v>61714606</v>
      </c>
      <c r="H4949" s="1" t="s">
        <v>48</v>
      </c>
      <c r="I4949" s="1" t="s">
        <v>108</v>
      </c>
      <c r="J4949" s="58">
        <v>2221725816</v>
      </c>
      <c r="K4949" s="1" t="s">
        <v>112</v>
      </c>
      <c r="N4949" s="1">
        <v>1</v>
      </c>
      <c r="O4949" s="58"/>
      <c r="P4949" s="58">
        <v>54925999.340000004</v>
      </c>
      <c r="Q4949" t="s">
        <v>127</v>
      </c>
      <c r="R4949" s="1" t="s">
        <v>48</v>
      </c>
    </row>
    <row r="4950" spans="3:18" x14ac:dyDescent="0.35">
      <c r="C4950" t="s">
        <v>51</v>
      </c>
      <c r="D4950" t="s">
        <v>23</v>
      </c>
      <c r="E4950" t="s">
        <v>62</v>
      </c>
      <c r="F4950" t="s">
        <v>46</v>
      </c>
      <c r="G4950" s="58">
        <v>1744440</v>
      </c>
      <c r="H4950" s="1" t="s">
        <v>48</v>
      </c>
      <c r="I4950" s="1" t="s">
        <v>111</v>
      </c>
      <c r="J4950" s="58">
        <v>27911040</v>
      </c>
      <c r="K4950" s="1" t="s">
        <v>106</v>
      </c>
      <c r="L4950" s="1" t="s">
        <v>131</v>
      </c>
      <c r="M4950" s="1" t="s">
        <v>125</v>
      </c>
      <c r="N4950" s="1">
        <v>1</v>
      </c>
      <c r="O4950" s="58"/>
      <c r="P4950" s="58">
        <v>1116441.6000000001</v>
      </c>
      <c r="Q4950" t="s">
        <v>118</v>
      </c>
      <c r="R4950" s="1" t="s">
        <v>48</v>
      </c>
    </row>
    <row r="4951" spans="3:18" x14ac:dyDescent="0.35">
      <c r="C4951" t="s">
        <v>53</v>
      </c>
      <c r="D4951" t="s">
        <v>23</v>
      </c>
      <c r="E4951" t="s">
        <v>45</v>
      </c>
      <c r="F4951" t="s">
        <v>46</v>
      </c>
      <c r="G4951" s="58">
        <v>342000</v>
      </c>
      <c r="H4951" s="1" t="s">
        <v>54</v>
      </c>
      <c r="I4951" s="1" t="s">
        <v>119</v>
      </c>
      <c r="J4951" s="58">
        <v>1710000</v>
      </c>
      <c r="K4951" s="1" t="s">
        <v>106</v>
      </c>
      <c r="L4951" s="1" t="s">
        <v>120</v>
      </c>
      <c r="N4951" s="1">
        <v>1</v>
      </c>
      <c r="O4951" s="58"/>
      <c r="P4951" s="58">
        <v>359100</v>
      </c>
      <c r="Q4951" t="s">
        <v>110</v>
      </c>
      <c r="R4951" s="1" t="s">
        <v>158</v>
      </c>
    </row>
    <row r="4952" spans="3:18" x14ac:dyDescent="0.35">
      <c r="C4952" t="s">
        <v>51</v>
      </c>
      <c r="D4952" t="s">
        <v>91</v>
      </c>
      <c r="E4952" t="s">
        <v>49</v>
      </c>
      <c r="F4952" t="s">
        <v>46</v>
      </c>
      <c r="G4952" s="58">
        <v>121254</v>
      </c>
      <c r="H4952" s="1" t="s">
        <v>59</v>
      </c>
      <c r="I4952" s="1" t="s">
        <v>108</v>
      </c>
      <c r="J4952" s="58">
        <v>2546334</v>
      </c>
      <c r="K4952" s="1" t="s">
        <v>106</v>
      </c>
      <c r="L4952" s="1" t="s">
        <v>116</v>
      </c>
      <c r="N4952" s="1">
        <v>1</v>
      </c>
      <c r="O4952" s="58"/>
      <c r="P4952" s="58">
        <v>55776.84</v>
      </c>
      <c r="Q4952" t="s">
        <v>113</v>
      </c>
      <c r="R4952" s="1" t="s">
        <v>158</v>
      </c>
    </row>
    <row r="4953" spans="3:18" x14ac:dyDescent="0.35">
      <c r="C4953" t="s">
        <v>51</v>
      </c>
      <c r="D4953" t="s">
        <v>23</v>
      </c>
      <c r="E4953" t="s">
        <v>45</v>
      </c>
      <c r="F4953" t="s">
        <v>46</v>
      </c>
      <c r="G4953" s="58">
        <v>1007400</v>
      </c>
      <c r="H4953" s="1" t="s">
        <v>47</v>
      </c>
      <c r="I4953" s="1" t="s">
        <v>119</v>
      </c>
      <c r="J4953" s="58">
        <v>7051800</v>
      </c>
      <c r="K4953" s="1" t="s">
        <v>106</v>
      </c>
      <c r="L4953" s="1" t="s">
        <v>120</v>
      </c>
      <c r="N4953" s="1">
        <v>1</v>
      </c>
      <c r="O4953" s="58"/>
      <c r="P4953" s="58">
        <v>705180</v>
      </c>
      <c r="Q4953" t="s">
        <v>118</v>
      </c>
      <c r="R4953" s="1" t="s">
        <v>158</v>
      </c>
    </row>
    <row r="4954" spans="3:18" x14ac:dyDescent="0.35">
      <c r="C4954" t="s">
        <v>51</v>
      </c>
      <c r="D4954" t="s">
        <v>21</v>
      </c>
      <c r="E4954" t="s">
        <v>45</v>
      </c>
      <c r="F4954" t="s">
        <v>46</v>
      </c>
      <c r="G4954" s="58">
        <v>153609</v>
      </c>
      <c r="H4954" s="1" t="s">
        <v>47</v>
      </c>
      <c r="I4954" s="1" t="s">
        <v>108</v>
      </c>
      <c r="J4954" s="58">
        <v>4301052</v>
      </c>
      <c r="K4954" s="1" t="s">
        <v>106</v>
      </c>
      <c r="L4954" s="1" t="s">
        <v>114</v>
      </c>
      <c r="N4954" s="1">
        <v>1</v>
      </c>
      <c r="O4954" s="58"/>
      <c r="P4954" s="58">
        <v>124423.29</v>
      </c>
      <c r="Q4954" t="s">
        <v>127</v>
      </c>
      <c r="R4954" s="1" t="s">
        <v>158</v>
      </c>
    </row>
    <row r="4955" spans="3:18" x14ac:dyDescent="0.35">
      <c r="C4955" t="s">
        <v>51</v>
      </c>
      <c r="D4955" t="s">
        <v>23</v>
      </c>
      <c r="E4955" t="s">
        <v>55</v>
      </c>
      <c r="F4955" t="s">
        <v>46</v>
      </c>
      <c r="G4955" s="58">
        <v>817765</v>
      </c>
      <c r="H4955" s="1" t="s">
        <v>47</v>
      </c>
      <c r="I4955" s="1" t="s">
        <v>111</v>
      </c>
      <c r="J4955" s="58">
        <v>11448710</v>
      </c>
      <c r="K4955" s="1" t="s">
        <v>112</v>
      </c>
      <c r="N4955" s="1">
        <v>1</v>
      </c>
      <c r="O4955" s="58"/>
      <c r="P4955" s="58">
        <v>556080.19999999995</v>
      </c>
      <c r="Q4955" t="s">
        <v>118</v>
      </c>
      <c r="R4955" s="1" t="s">
        <v>158</v>
      </c>
    </row>
    <row r="4956" spans="3:18" x14ac:dyDescent="0.35">
      <c r="C4956" t="s">
        <v>51</v>
      </c>
      <c r="D4956" t="s">
        <v>20</v>
      </c>
      <c r="E4956" t="s">
        <v>49</v>
      </c>
      <c r="F4956" t="s">
        <v>46</v>
      </c>
      <c r="G4956" s="58">
        <v>6492165</v>
      </c>
      <c r="H4956" s="1" t="s">
        <v>54</v>
      </c>
      <c r="I4956" s="1" t="s">
        <v>105</v>
      </c>
      <c r="J4956" s="58">
        <v>19476495</v>
      </c>
      <c r="K4956" s="1" t="s">
        <v>106</v>
      </c>
      <c r="L4956" s="1" t="s">
        <v>124</v>
      </c>
      <c r="N4956" s="1">
        <v>1</v>
      </c>
      <c r="O4956" s="58"/>
      <c r="P4956" s="58">
        <v>779059.8</v>
      </c>
      <c r="Q4956" t="s">
        <v>107</v>
      </c>
      <c r="R4956" s="1" t="s">
        <v>158</v>
      </c>
    </row>
    <row r="4957" spans="3:18" x14ac:dyDescent="0.35">
      <c r="C4957" t="s">
        <v>51</v>
      </c>
      <c r="D4957" t="s">
        <v>23</v>
      </c>
      <c r="E4957" t="s">
        <v>55</v>
      </c>
      <c r="F4957" t="s">
        <v>46</v>
      </c>
      <c r="G4957" s="58">
        <v>141369</v>
      </c>
      <c r="H4957" s="1" t="s">
        <v>48</v>
      </c>
      <c r="I4957" s="1" t="s">
        <v>108</v>
      </c>
      <c r="J4957" s="58">
        <v>4241070</v>
      </c>
      <c r="K4957" s="1" t="s">
        <v>106</v>
      </c>
      <c r="L4957" s="1" t="s">
        <v>114</v>
      </c>
      <c r="M4957" s="1" t="s">
        <v>121</v>
      </c>
      <c r="N4957" s="1">
        <v>1</v>
      </c>
      <c r="O4957" s="58"/>
      <c r="P4957" s="58">
        <v>45238.080000000002</v>
      </c>
      <c r="Q4957" t="s">
        <v>107</v>
      </c>
      <c r="R4957" s="1" t="s">
        <v>158</v>
      </c>
    </row>
    <row r="4958" spans="3:18" x14ac:dyDescent="0.35">
      <c r="C4958" t="s">
        <v>51</v>
      </c>
      <c r="D4958" t="s">
        <v>23</v>
      </c>
      <c r="E4958" t="s">
        <v>45</v>
      </c>
      <c r="F4958" t="s">
        <v>46</v>
      </c>
      <c r="G4958" s="58">
        <v>2450814</v>
      </c>
      <c r="H4958" s="1" t="s">
        <v>56</v>
      </c>
      <c r="I4958" s="1" t="s">
        <v>119</v>
      </c>
      <c r="J4958" s="58">
        <v>19606512</v>
      </c>
      <c r="K4958" s="1" t="s">
        <v>106</v>
      </c>
      <c r="L4958" s="1" t="s">
        <v>120</v>
      </c>
      <c r="N4958" s="1">
        <v>1</v>
      </c>
      <c r="O4958" s="58"/>
      <c r="P4958" s="58">
        <v>1127374.44</v>
      </c>
      <c r="Q4958" t="s">
        <v>113</v>
      </c>
      <c r="R4958" s="1" t="s">
        <v>158</v>
      </c>
    </row>
    <row r="4959" spans="3:18" x14ac:dyDescent="0.35">
      <c r="C4959" t="s">
        <v>51</v>
      </c>
      <c r="D4959" t="s">
        <v>21</v>
      </c>
      <c r="E4959" t="s">
        <v>45</v>
      </c>
      <c r="F4959" t="s">
        <v>46</v>
      </c>
      <c r="G4959" s="58">
        <v>1222946</v>
      </c>
      <c r="H4959" s="1" t="s">
        <v>54</v>
      </c>
      <c r="I4959" s="1" t="s">
        <v>119</v>
      </c>
      <c r="J4959" s="58">
        <v>8560622</v>
      </c>
      <c r="K4959" s="1" t="s">
        <v>106</v>
      </c>
      <c r="L4959" s="1" t="s">
        <v>124</v>
      </c>
      <c r="N4959" s="1">
        <v>1</v>
      </c>
      <c r="O4959" s="58"/>
      <c r="P4959" s="58">
        <v>269048.12</v>
      </c>
      <c r="Q4959" t="s">
        <v>107</v>
      </c>
      <c r="R4959" s="1" t="s">
        <v>158</v>
      </c>
    </row>
    <row r="4960" spans="3:18" x14ac:dyDescent="0.35">
      <c r="C4960" t="s">
        <v>51</v>
      </c>
      <c r="D4960" t="s">
        <v>60</v>
      </c>
      <c r="E4960" t="s">
        <v>60</v>
      </c>
      <c r="F4960" t="s">
        <v>46</v>
      </c>
      <c r="G4960" s="58">
        <v>4966</v>
      </c>
      <c r="H4960" s="1" t="s">
        <v>90</v>
      </c>
      <c r="I4960" s="1" t="s">
        <v>105</v>
      </c>
      <c r="J4960" s="58">
        <v>4966</v>
      </c>
      <c r="K4960" s="1" t="s">
        <v>106</v>
      </c>
      <c r="N4960" s="1">
        <v>1</v>
      </c>
      <c r="O4960" s="58"/>
      <c r="P4960" s="58">
        <v>3724.5</v>
      </c>
      <c r="Q4960" t="s">
        <v>118</v>
      </c>
      <c r="R4960" s="1" t="s">
        <v>90</v>
      </c>
    </row>
    <row r="4961" spans="3:18" x14ac:dyDescent="0.35">
      <c r="C4961" t="s">
        <v>51</v>
      </c>
      <c r="D4961" t="s">
        <v>22</v>
      </c>
      <c r="E4961" t="s">
        <v>45</v>
      </c>
      <c r="F4961" t="s">
        <v>46</v>
      </c>
      <c r="G4961" s="58">
        <v>100875038</v>
      </c>
      <c r="H4961" s="1" t="s">
        <v>47</v>
      </c>
      <c r="I4961" s="1" t="s">
        <v>108</v>
      </c>
      <c r="J4961" s="58">
        <v>3026251140</v>
      </c>
      <c r="K4961" s="1" t="s">
        <v>106</v>
      </c>
      <c r="L4961" s="1" t="s">
        <v>120</v>
      </c>
      <c r="N4961" s="1">
        <v>1</v>
      </c>
      <c r="O4961" s="58"/>
      <c r="P4961" s="58">
        <v>86752532.680000007</v>
      </c>
      <c r="Q4961" t="s">
        <v>127</v>
      </c>
      <c r="R4961" s="1" t="s">
        <v>158</v>
      </c>
    </row>
    <row r="4962" spans="3:18" x14ac:dyDescent="0.35">
      <c r="C4962" t="s">
        <v>51</v>
      </c>
      <c r="D4962" t="s">
        <v>20</v>
      </c>
      <c r="E4962" t="s">
        <v>49</v>
      </c>
      <c r="F4962" t="s">
        <v>46</v>
      </c>
      <c r="G4962" s="58">
        <v>270245</v>
      </c>
      <c r="H4962" s="1" t="s">
        <v>48</v>
      </c>
      <c r="I4962" s="1" t="s">
        <v>108</v>
      </c>
      <c r="J4962" s="58">
        <v>10539555</v>
      </c>
      <c r="K4962" s="1" t="s">
        <v>106</v>
      </c>
      <c r="L4962" s="1" t="s">
        <v>114</v>
      </c>
      <c r="M4962" s="1" t="s">
        <v>123</v>
      </c>
      <c r="N4962" s="1">
        <v>1</v>
      </c>
      <c r="O4962" s="58"/>
      <c r="P4962" s="58">
        <v>275649.90000000002</v>
      </c>
      <c r="Q4962" t="s">
        <v>110</v>
      </c>
      <c r="R4962" s="1" t="s">
        <v>48</v>
      </c>
    </row>
    <row r="4963" spans="3:18" x14ac:dyDescent="0.35">
      <c r="C4963" t="s">
        <v>51</v>
      </c>
      <c r="D4963" t="s">
        <v>22</v>
      </c>
      <c r="E4963" t="s">
        <v>49</v>
      </c>
      <c r="F4963" t="s">
        <v>46</v>
      </c>
      <c r="G4963" s="58">
        <v>181160</v>
      </c>
      <c r="H4963" s="1" t="s">
        <v>48</v>
      </c>
      <c r="I4963" s="1" t="s">
        <v>108</v>
      </c>
      <c r="J4963" s="58">
        <v>5615960</v>
      </c>
      <c r="K4963" s="1" t="s">
        <v>106</v>
      </c>
      <c r="L4963" s="1" t="s">
        <v>114</v>
      </c>
      <c r="M4963" s="1" t="s">
        <v>121</v>
      </c>
      <c r="N4963" s="1">
        <v>1</v>
      </c>
      <c r="O4963" s="58"/>
      <c r="P4963" s="58">
        <v>132246.79999999999</v>
      </c>
      <c r="Q4963" t="s">
        <v>118</v>
      </c>
      <c r="R4963" s="1" t="s">
        <v>48</v>
      </c>
    </row>
    <row r="4964" spans="3:18" x14ac:dyDescent="0.35">
      <c r="C4964" t="s">
        <v>53</v>
      </c>
      <c r="D4964" t="s">
        <v>21</v>
      </c>
      <c r="E4964" t="s">
        <v>49</v>
      </c>
      <c r="F4964" t="s">
        <v>46</v>
      </c>
      <c r="G4964" s="58">
        <v>1742978</v>
      </c>
      <c r="H4964" s="1" t="s">
        <v>54</v>
      </c>
      <c r="I4964" s="1" t="s">
        <v>128</v>
      </c>
      <c r="J4964" s="58"/>
      <c r="K4964" s="1" t="s">
        <v>106</v>
      </c>
      <c r="L4964" s="1" t="s">
        <v>124</v>
      </c>
      <c r="N4964" s="1">
        <v>0</v>
      </c>
      <c r="O4964" s="58"/>
      <c r="P4964" s="58">
        <v>34859.56</v>
      </c>
      <c r="Q4964" t="s">
        <v>107</v>
      </c>
      <c r="R4964" s="1" t="s">
        <v>158</v>
      </c>
    </row>
    <row r="4965" spans="3:18" x14ac:dyDescent="0.35">
      <c r="C4965" t="s">
        <v>51</v>
      </c>
      <c r="D4965" t="s">
        <v>92</v>
      </c>
      <c r="E4965" t="s">
        <v>49</v>
      </c>
      <c r="F4965" t="s">
        <v>46</v>
      </c>
      <c r="G4965" s="58">
        <v>1119811</v>
      </c>
      <c r="H4965" s="1" t="s">
        <v>48</v>
      </c>
      <c r="I4965" s="1" t="s">
        <v>108</v>
      </c>
      <c r="J4965" s="58">
        <v>33594330</v>
      </c>
      <c r="K4965" s="1" t="s">
        <v>106</v>
      </c>
      <c r="L4965" s="1" t="s">
        <v>124</v>
      </c>
      <c r="M4965" s="1" t="s">
        <v>123</v>
      </c>
      <c r="N4965" s="1">
        <v>1</v>
      </c>
      <c r="O4965" s="58"/>
      <c r="P4965" s="58">
        <v>1287782.6499999999</v>
      </c>
      <c r="Q4965" t="s">
        <v>110</v>
      </c>
      <c r="R4965" s="1" t="s">
        <v>158</v>
      </c>
    </row>
    <row r="4966" spans="3:18" x14ac:dyDescent="0.35">
      <c r="C4966" t="s">
        <v>51</v>
      </c>
      <c r="D4966" t="s">
        <v>22</v>
      </c>
      <c r="E4966" t="s">
        <v>45</v>
      </c>
      <c r="F4966" t="s">
        <v>46</v>
      </c>
      <c r="G4966" s="58">
        <v>5625521</v>
      </c>
      <c r="H4966" s="1" t="s">
        <v>59</v>
      </c>
      <c r="I4966" s="1" t="s">
        <v>108</v>
      </c>
      <c r="J4966" s="58">
        <v>163140109</v>
      </c>
      <c r="K4966" s="1" t="s">
        <v>112</v>
      </c>
      <c r="N4966" s="1">
        <v>1</v>
      </c>
      <c r="O4966" s="58"/>
      <c r="P4966" s="58">
        <v>1575145.88</v>
      </c>
      <c r="Q4966" t="s">
        <v>107</v>
      </c>
      <c r="R4966" s="1" t="s">
        <v>158</v>
      </c>
    </row>
    <row r="4967" spans="3:18" x14ac:dyDescent="0.35">
      <c r="C4967" t="s">
        <v>51</v>
      </c>
      <c r="D4967" t="s">
        <v>23</v>
      </c>
      <c r="E4967" t="s">
        <v>62</v>
      </c>
      <c r="F4967" t="s">
        <v>46</v>
      </c>
      <c r="G4967" s="58">
        <v>467979</v>
      </c>
      <c r="H4967" s="1" t="s">
        <v>48</v>
      </c>
      <c r="I4967" s="1" t="s">
        <v>111</v>
      </c>
      <c r="J4967" s="58">
        <v>8423622</v>
      </c>
      <c r="K4967" s="1" t="s">
        <v>112</v>
      </c>
      <c r="N4967" s="1">
        <v>1</v>
      </c>
      <c r="O4967" s="58"/>
      <c r="P4967" s="58">
        <v>238669.29</v>
      </c>
      <c r="Q4967" t="s">
        <v>113</v>
      </c>
      <c r="R4967" s="1" t="s">
        <v>48</v>
      </c>
    </row>
    <row r="4968" spans="3:18" x14ac:dyDescent="0.35">
      <c r="C4968" t="s">
        <v>53</v>
      </c>
      <c r="D4968" t="s">
        <v>91</v>
      </c>
      <c r="E4968" t="s">
        <v>45</v>
      </c>
      <c r="F4968" t="s">
        <v>46</v>
      </c>
      <c r="G4968" s="58">
        <v>270033</v>
      </c>
      <c r="H4968" s="1" t="s">
        <v>54</v>
      </c>
      <c r="I4968" s="1" t="s">
        <v>105</v>
      </c>
      <c r="J4968" s="58">
        <v>270033</v>
      </c>
      <c r="K4968" s="1" t="s">
        <v>106</v>
      </c>
      <c r="L4968" s="1" t="s">
        <v>120</v>
      </c>
      <c r="N4968" s="1">
        <v>1</v>
      </c>
      <c r="O4968" s="58"/>
      <c r="P4968" s="58">
        <v>35104.29</v>
      </c>
      <c r="Q4968" t="s">
        <v>107</v>
      </c>
      <c r="R4968" s="1" t="s">
        <v>158</v>
      </c>
    </row>
    <row r="4969" spans="3:18" x14ac:dyDescent="0.35">
      <c r="C4969" t="s">
        <v>51</v>
      </c>
      <c r="D4969" t="s">
        <v>21</v>
      </c>
      <c r="E4969" t="s">
        <v>49</v>
      </c>
      <c r="F4969" t="s">
        <v>46</v>
      </c>
      <c r="G4969" s="58">
        <v>79844</v>
      </c>
      <c r="H4969" s="1" t="s">
        <v>48</v>
      </c>
      <c r="I4969" s="1" t="s">
        <v>111</v>
      </c>
      <c r="J4969" s="58">
        <v>1197660</v>
      </c>
      <c r="K4969" s="1" t="s">
        <v>106</v>
      </c>
      <c r="L4969" s="1" t="s">
        <v>120</v>
      </c>
      <c r="M4969" s="1" t="s">
        <v>121</v>
      </c>
      <c r="N4969" s="1">
        <v>1</v>
      </c>
      <c r="O4969" s="58"/>
      <c r="P4969" s="58">
        <v>25550.080000000002</v>
      </c>
      <c r="Q4969" t="s">
        <v>107</v>
      </c>
      <c r="R4969" s="1" t="s">
        <v>48</v>
      </c>
    </row>
    <row r="4970" spans="3:18" x14ac:dyDescent="0.35">
      <c r="C4970" t="s">
        <v>51</v>
      </c>
      <c r="D4970" t="s">
        <v>21</v>
      </c>
      <c r="E4970" t="s">
        <v>49</v>
      </c>
      <c r="F4970" t="s">
        <v>46</v>
      </c>
      <c r="G4970" s="58">
        <v>6139897</v>
      </c>
      <c r="H4970" s="1" t="s">
        <v>48</v>
      </c>
      <c r="I4970" s="1" t="s">
        <v>111</v>
      </c>
      <c r="J4970" s="58">
        <v>104378249</v>
      </c>
      <c r="K4970" s="1" t="s">
        <v>106</v>
      </c>
      <c r="L4970" s="1" t="s">
        <v>124</v>
      </c>
      <c r="M4970" s="1" t="s">
        <v>126</v>
      </c>
      <c r="N4970" s="1">
        <v>1</v>
      </c>
      <c r="O4970" s="58"/>
      <c r="P4970" s="58">
        <v>5157513.4800000004</v>
      </c>
      <c r="Q4970" t="s">
        <v>127</v>
      </c>
      <c r="R4970" s="1" t="s">
        <v>158</v>
      </c>
    </row>
    <row r="4971" spans="3:18" x14ac:dyDescent="0.35">
      <c r="C4971" t="s">
        <v>51</v>
      </c>
      <c r="D4971" t="s">
        <v>23</v>
      </c>
      <c r="E4971" t="s">
        <v>45</v>
      </c>
      <c r="F4971" t="s">
        <v>46</v>
      </c>
      <c r="G4971" s="58">
        <v>1070132</v>
      </c>
      <c r="H4971" s="1" t="s">
        <v>47</v>
      </c>
      <c r="I4971" s="1" t="s">
        <v>105</v>
      </c>
      <c r="J4971" s="58">
        <v>3210396</v>
      </c>
      <c r="K4971" s="1" t="s">
        <v>112</v>
      </c>
      <c r="N4971" s="1">
        <v>1</v>
      </c>
      <c r="O4971" s="58"/>
      <c r="P4971" s="58">
        <v>310338.28000000003</v>
      </c>
      <c r="Q4971" t="s">
        <v>107</v>
      </c>
      <c r="R4971" s="1" t="s">
        <v>158</v>
      </c>
    </row>
    <row r="4972" spans="3:18" x14ac:dyDescent="0.35">
      <c r="C4972" t="s">
        <v>51</v>
      </c>
      <c r="D4972" t="s">
        <v>21</v>
      </c>
      <c r="E4972" t="s">
        <v>49</v>
      </c>
      <c r="F4972" t="s">
        <v>46</v>
      </c>
      <c r="G4972" s="58">
        <v>4611</v>
      </c>
      <c r="H4972" s="1" t="s">
        <v>59</v>
      </c>
      <c r="I4972" s="1" t="s">
        <v>105</v>
      </c>
      <c r="J4972" s="58">
        <v>13833</v>
      </c>
      <c r="K4972" s="1" t="s">
        <v>106</v>
      </c>
      <c r="L4972" s="1" t="s">
        <v>124</v>
      </c>
      <c r="N4972" s="1">
        <v>1</v>
      </c>
      <c r="O4972" s="58"/>
      <c r="P4972" s="58">
        <v>5855.97</v>
      </c>
      <c r="Q4972" t="s">
        <v>110</v>
      </c>
      <c r="R4972" s="1" t="s">
        <v>158</v>
      </c>
    </row>
    <row r="4973" spans="3:18" x14ac:dyDescent="0.35">
      <c r="C4973" t="s">
        <v>51</v>
      </c>
      <c r="D4973" t="s">
        <v>22</v>
      </c>
      <c r="E4973" t="s">
        <v>45</v>
      </c>
      <c r="F4973" t="s">
        <v>46</v>
      </c>
      <c r="G4973" s="58">
        <v>0</v>
      </c>
      <c r="H4973" s="1" t="s">
        <v>47</v>
      </c>
      <c r="I4973" s="1" t="s">
        <v>111</v>
      </c>
      <c r="J4973" s="58">
        <v>0</v>
      </c>
      <c r="K4973" s="1" t="s">
        <v>106</v>
      </c>
      <c r="L4973" s="1" t="s">
        <v>124</v>
      </c>
      <c r="N4973" s="1">
        <v>1</v>
      </c>
      <c r="O4973" s="58"/>
      <c r="P4973" s="58">
        <v>0</v>
      </c>
      <c r="Q4973" t="s">
        <v>110</v>
      </c>
      <c r="R4973" s="1" t="s">
        <v>158</v>
      </c>
    </row>
    <row r="4974" spans="3:18" x14ac:dyDescent="0.35">
      <c r="C4974" t="s">
        <v>51</v>
      </c>
      <c r="D4974" t="s">
        <v>91</v>
      </c>
      <c r="E4974" t="s">
        <v>49</v>
      </c>
      <c r="F4974" t="s">
        <v>46</v>
      </c>
      <c r="G4974" s="58">
        <v>606013</v>
      </c>
      <c r="H4974" s="1" t="s">
        <v>48</v>
      </c>
      <c r="I4974" s="1" t="s">
        <v>111</v>
      </c>
      <c r="J4974" s="58">
        <v>11514247</v>
      </c>
      <c r="K4974" s="1" t="s">
        <v>106</v>
      </c>
      <c r="L4974" s="1" t="s">
        <v>124</v>
      </c>
      <c r="M4974" s="1" t="s">
        <v>122</v>
      </c>
      <c r="N4974" s="1">
        <v>1</v>
      </c>
      <c r="O4974" s="58"/>
      <c r="P4974" s="58">
        <v>490870.53</v>
      </c>
      <c r="Q4974" t="s">
        <v>127</v>
      </c>
      <c r="R4974" s="1" t="s">
        <v>158</v>
      </c>
    </row>
    <row r="4975" spans="3:18" x14ac:dyDescent="0.35">
      <c r="C4975" t="s">
        <v>51</v>
      </c>
      <c r="D4975" t="s">
        <v>25</v>
      </c>
      <c r="E4975" t="s">
        <v>45</v>
      </c>
      <c r="F4975" t="s">
        <v>46</v>
      </c>
      <c r="G4975" s="58">
        <v>1405552</v>
      </c>
      <c r="H4975" s="1" t="s">
        <v>47</v>
      </c>
      <c r="I4975" s="1" t="s">
        <v>108</v>
      </c>
      <c r="J4975" s="58">
        <v>33733248</v>
      </c>
      <c r="K4975" s="1" t="s">
        <v>106</v>
      </c>
      <c r="L4975" s="1" t="s">
        <v>120</v>
      </c>
      <c r="N4975" s="1">
        <v>1</v>
      </c>
      <c r="O4975" s="58"/>
      <c r="P4975" s="58">
        <v>407610.08</v>
      </c>
      <c r="Q4975" t="s">
        <v>107</v>
      </c>
      <c r="R4975" s="1" t="s">
        <v>158</v>
      </c>
    </row>
    <row r="4976" spans="3:18" x14ac:dyDescent="0.35">
      <c r="C4976" t="s">
        <v>51</v>
      </c>
      <c r="D4976" t="s">
        <v>22</v>
      </c>
      <c r="E4976" t="s">
        <v>49</v>
      </c>
      <c r="F4976" t="s">
        <v>64</v>
      </c>
      <c r="G4976" s="58">
        <v>599793</v>
      </c>
      <c r="H4976" s="1" t="s">
        <v>48</v>
      </c>
      <c r="I4976" s="1" t="s">
        <v>108</v>
      </c>
      <c r="J4976" s="58">
        <v>20992755</v>
      </c>
      <c r="K4976" s="1" t="s">
        <v>112</v>
      </c>
      <c r="N4976" s="1">
        <v>1</v>
      </c>
      <c r="O4976" s="58"/>
      <c r="P4976" s="58">
        <v>395863.38</v>
      </c>
      <c r="Q4976" t="s">
        <v>118</v>
      </c>
      <c r="R4976" s="1" t="s">
        <v>48</v>
      </c>
    </row>
    <row r="4977" spans="3:18" x14ac:dyDescent="0.35">
      <c r="C4977" t="s">
        <v>51</v>
      </c>
      <c r="D4977" t="s">
        <v>23</v>
      </c>
      <c r="E4977" t="s">
        <v>55</v>
      </c>
      <c r="F4977" t="s">
        <v>46</v>
      </c>
      <c r="G4977" s="58">
        <v>42880258</v>
      </c>
      <c r="H4977" s="1" t="s">
        <v>47</v>
      </c>
      <c r="I4977" s="1" t="s">
        <v>111</v>
      </c>
      <c r="J4977" s="58">
        <v>600323612</v>
      </c>
      <c r="K4977" s="1" t="s">
        <v>106</v>
      </c>
      <c r="L4977" s="1" t="s">
        <v>114</v>
      </c>
      <c r="N4977" s="1">
        <v>1</v>
      </c>
      <c r="O4977" s="58"/>
      <c r="P4977" s="58">
        <v>12006472.24</v>
      </c>
      <c r="Q4977" t="s">
        <v>107</v>
      </c>
      <c r="R4977" s="1" t="s">
        <v>158</v>
      </c>
    </row>
    <row r="4978" spans="3:18" x14ac:dyDescent="0.35">
      <c r="C4978" t="s">
        <v>53</v>
      </c>
      <c r="D4978" t="s">
        <v>92</v>
      </c>
      <c r="E4978" t="s">
        <v>45</v>
      </c>
      <c r="F4978" t="s">
        <v>46</v>
      </c>
      <c r="G4978" s="58">
        <v>29435809</v>
      </c>
      <c r="H4978" s="1" t="s">
        <v>59</v>
      </c>
      <c r="I4978" s="1" t="s">
        <v>119</v>
      </c>
      <c r="J4978" s="58">
        <v>206050663</v>
      </c>
      <c r="K4978" s="1" t="s">
        <v>106</v>
      </c>
      <c r="L4978" s="1" t="s">
        <v>120</v>
      </c>
      <c r="N4978" s="1">
        <v>1</v>
      </c>
      <c r="O4978" s="58"/>
      <c r="P4978" s="58">
        <v>6181519.8899999997</v>
      </c>
      <c r="Q4978" t="s">
        <v>107</v>
      </c>
      <c r="R4978" s="1" t="s">
        <v>158</v>
      </c>
    </row>
    <row r="4979" spans="3:18" x14ac:dyDescent="0.35">
      <c r="C4979" t="s">
        <v>51</v>
      </c>
      <c r="D4979" t="s">
        <v>92</v>
      </c>
      <c r="E4979" t="s">
        <v>49</v>
      </c>
      <c r="F4979" t="s">
        <v>46</v>
      </c>
      <c r="G4979" s="58">
        <v>32761508</v>
      </c>
      <c r="H4979" s="1" t="s">
        <v>47</v>
      </c>
      <c r="I4979" s="1" t="s">
        <v>108</v>
      </c>
      <c r="J4979" s="58">
        <v>851799208</v>
      </c>
      <c r="K4979" s="1" t="s">
        <v>106</v>
      </c>
      <c r="L4979" s="1" t="s">
        <v>124</v>
      </c>
      <c r="N4979" s="1">
        <v>1</v>
      </c>
      <c r="O4979" s="58"/>
      <c r="P4979" s="58">
        <v>9173222.2400000002</v>
      </c>
      <c r="Q4979" t="s">
        <v>107</v>
      </c>
      <c r="R4979" s="1" t="s">
        <v>158</v>
      </c>
    </row>
    <row r="4980" spans="3:18" x14ac:dyDescent="0.35">
      <c r="C4980" t="s">
        <v>51</v>
      </c>
      <c r="D4980" t="s">
        <v>92</v>
      </c>
      <c r="E4980" t="s">
        <v>49</v>
      </c>
      <c r="F4980" t="s">
        <v>46</v>
      </c>
      <c r="G4980" s="58">
        <v>40057209</v>
      </c>
      <c r="H4980" s="1" t="s">
        <v>48</v>
      </c>
      <c r="I4980" s="1" t="s">
        <v>108</v>
      </c>
      <c r="J4980" s="58">
        <v>1361945106</v>
      </c>
      <c r="K4980" s="1" t="s">
        <v>112</v>
      </c>
      <c r="N4980" s="1">
        <v>1</v>
      </c>
      <c r="O4980" s="58"/>
      <c r="P4980" s="58">
        <v>28841190.48</v>
      </c>
      <c r="Q4980" t="s">
        <v>118</v>
      </c>
      <c r="R4980" s="1" t="s">
        <v>48</v>
      </c>
    </row>
    <row r="4981" spans="3:18" x14ac:dyDescent="0.35">
      <c r="C4981" t="s">
        <v>51</v>
      </c>
      <c r="D4981" t="s">
        <v>24</v>
      </c>
      <c r="E4981" t="s">
        <v>55</v>
      </c>
      <c r="F4981" t="s">
        <v>46</v>
      </c>
      <c r="G4981" s="58">
        <v>1205049</v>
      </c>
      <c r="H4981" s="1" t="s">
        <v>59</v>
      </c>
      <c r="I4981" s="1" t="s">
        <v>108</v>
      </c>
      <c r="J4981" s="58">
        <v>37356519</v>
      </c>
      <c r="K4981" s="1" t="s">
        <v>112</v>
      </c>
      <c r="N4981" s="1">
        <v>1</v>
      </c>
      <c r="O4981" s="58"/>
      <c r="P4981" s="58">
        <v>313312.74</v>
      </c>
      <c r="Q4981" t="s">
        <v>107</v>
      </c>
      <c r="R4981" s="1" t="s">
        <v>158</v>
      </c>
    </row>
    <row r="4982" spans="3:18" x14ac:dyDescent="0.35">
      <c r="C4982" t="s">
        <v>51</v>
      </c>
      <c r="D4982" t="s">
        <v>22</v>
      </c>
      <c r="E4982" t="s">
        <v>49</v>
      </c>
      <c r="F4982" t="s">
        <v>46</v>
      </c>
      <c r="G4982" s="58">
        <v>66030</v>
      </c>
      <c r="H4982" s="1" t="s">
        <v>47</v>
      </c>
      <c r="I4982" s="1" t="s">
        <v>111</v>
      </c>
      <c r="J4982" s="58">
        <v>990450</v>
      </c>
      <c r="K4982" s="1" t="s">
        <v>112</v>
      </c>
      <c r="N4982" s="1">
        <v>1</v>
      </c>
      <c r="O4982" s="58"/>
      <c r="P4982" s="58">
        <v>34335.599999999999</v>
      </c>
      <c r="Q4982" t="s">
        <v>113</v>
      </c>
      <c r="R4982" s="1" t="s">
        <v>158</v>
      </c>
    </row>
    <row r="4983" spans="3:18" x14ac:dyDescent="0.35">
      <c r="C4983" t="s">
        <v>51</v>
      </c>
      <c r="D4983" t="s">
        <v>22</v>
      </c>
      <c r="E4983" t="s">
        <v>45</v>
      </c>
      <c r="F4983" t="s">
        <v>46</v>
      </c>
      <c r="G4983" s="58">
        <v>46922</v>
      </c>
      <c r="H4983" s="1" t="s">
        <v>48</v>
      </c>
      <c r="I4983" s="1" t="s">
        <v>105</v>
      </c>
      <c r="J4983" s="58"/>
      <c r="K4983" s="1" t="s">
        <v>106</v>
      </c>
      <c r="L4983" s="1" t="s">
        <v>120</v>
      </c>
      <c r="M4983" s="1" t="s">
        <v>115</v>
      </c>
      <c r="N4983" s="1">
        <v>0</v>
      </c>
      <c r="O4983" s="58"/>
      <c r="P4983" s="58">
        <v>1407.66</v>
      </c>
      <c r="Q4983" t="s">
        <v>107</v>
      </c>
      <c r="R4983" s="1" t="s">
        <v>158</v>
      </c>
    </row>
    <row r="4984" spans="3:18" x14ac:dyDescent="0.35">
      <c r="C4984" t="s">
        <v>53</v>
      </c>
      <c r="D4984" t="s">
        <v>92</v>
      </c>
      <c r="E4984" t="s">
        <v>49</v>
      </c>
      <c r="F4984" t="s">
        <v>46</v>
      </c>
      <c r="G4984" s="58">
        <v>287770</v>
      </c>
      <c r="H4984" s="1" t="s">
        <v>54</v>
      </c>
      <c r="I4984" s="1" t="s">
        <v>119</v>
      </c>
      <c r="J4984" s="58">
        <v>2014390</v>
      </c>
      <c r="K4984" s="1" t="s">
        <v>106</v>
      </c>
      <c r="L4984" s="1" t="s">
        <v>124</v>
      </c>
      <c r="N4984" s="1">
        <v>1</v>
      </c>
      <c r="O4984" s="58"/>
      <c r="P4984" s="58">
        <v>184172.79999999999</v>
      </c>
      <c r="Q4984" t="s">
        <v>118</v>
      </c>
      <c r="R4984" s="1" t="s">
        <v>158</v>
      </c>
    </row>
    <row r="4985" spans="3:18" x14ac:dyDescent="0.35">
      <c r="C4985" t="s">
        <v>53</v>
      </c>
      <c r="D4985" t="s">
        <v>21</v>
      </c>
      <c r="E4985" t="s">
        <v>49</v>
      </c>
      <c r="F4985" t="s">
        <v>46</v>
      </c>
      <c r="G4985" s="58">
        <v>10671850</v>
      </c>
      <c r="H4985" s="1" t="s">
        <v>47</v>
      </c>
      <c r="I4985" s="1" t="s">
        <v>111</v>
      </c>
      <c r="J4985" s="58">
        <v>138734050</v>
      </c>
      <c r="K4985" s="1" t="s">
        <v>106</v>
      </c>
      <c r="L4985" s="1" t="s">
        <v>116</v>
      </c>
      <c r="N4985" s="1">
        <v>1</v>
      </c>
      <c r="O4985" s="58"/>
      <c r="P4985" s="58">
        <v>3948584.5</v>
      </c>
      <c r="Q4985" t="s">
        <v>107</v>
      </c>
      <c r="R4985" s="1" t="s">
        <v>158</v>
      </c>
    </row>
    <row r="4986" spans="3:18" x14ac:dyDescent="0.35">
      <c r="C4986" t="s">
        <v>51</v>
      </c>
      <c r="D4986" t="s">
        <v>19</v>
      </c>
      <c r="E4986" t="s">
        <v>49</v>
      </c>
      <c r="F4986" t="s">
        <v>46</v>
      </c>
      <c r="G4986" s="58">
        <v>1542170</v>
      </c>
      <c r="H4986" s="1" t="s">
        <v>56</v>
      </c>
      <c r="I4986" s="1" t="s">
        <v>111</v>
      </c>
      <c r="J4986" s="58">
        <v>24674720</v>
      </c>
      <c r="K4986" s="1" t="s">
        <v>112</v>
      </c>
      <c r="N4986" s="1">
        <v>1</v>
      </c>
      <c r="O4986" s="58"/>
      <c r="P4986" s="58">
        <v>801928.4</v>
      </c>
      <c r="Q4986" t="s">
        <v>113</v>
      </c>
      <c r="R4986" s="1" t="s">
        <v>158</v>
      </c>
    </row>
    <row r="4987" spans="3:18" x14ac:dyDescent="0.35">
      <c r="C4987" t="s">
        <v>51</v>
      </c>
      <c r="D4987" t="s">
        <v>22</v>
      </c>
      <c r="E4987" t="s">
        <v>49</v>
      </c>
      <c r="F4987" t="s">
        <v>46</v>
      </c>
      <c r="G4987" s="58">
        <v>288719</v>
      </c>
      <c r="H4987" s="1" t="s">
        <v>48</v>
      </c>
      <c r="I4987" s="1" t="s">
        <v>108</v>
      </c>
      <c r="J4987" s="58">
        <v>6640537</v>
      </c>
      <c r="K4987" s="1" t="s">
        <v>106</v>
      </c>
      <c r="L4987" s="1" t="s">
        <v>124</v>
      </c>
      <c r="M4987" s="1" t="s">
        <v>126</v>
      </c>
      <c r="N4987" s="1">
        <v>1</v>
      </c>
      <c r="O4987" s="58"/>
      <c r="P4987" s="58">
        <v>147246.69</v>
      </c>
      <c r="Q4987" t="s">
        <v>113</v>
      </c>
      <c r="R4987" s="1" t="s">
        <v>48</v>
      </c>
    </row>
    <row r="4988" spans="3:18" x14ac:dyDescent="0.35">
      <c r="C4988" t="s">
        <v>51</v>
      </c>
      <c r="D4988" t="s">
        <v>20</v>
      </c>
      <c r="E4988" t="s">
        <v>49</v>
      </c>
      <c r="F4988" t="s">
        <v>46</v>
      </c>
      <c r="G4988" s="58">
        <v>68448</v>
      </c>
      <c r="H4988" s="1" t="s">
        <v>59</v>
      </c>
      <c r="I4988" s="1" t="s">
        <v>111</v>
      </c>
      <c r="J4988" s="58">
        <v>1095168</v>
      </c>
      <c r="K4988" s="1" t="s">
        <v>106</v>
      </c>
      <c r="L4988" s="1" t="s">
        <v>120</v>
      </c>
      <c r="N4988" s="1">
        <v>1</v>
      </c>
      <c r="O4988" s="58"/>
      <c r="P4988" s="58">
        <v>15058.56</v>
      </c>
      <c r="Q4988" t="s">
        <v>107</v>
      </c>
      <c r="R4988" s="1" t="s">
        <v>158</v>
      </c>
    </row>
    <row r="4989" spans="3:18" x14ac:dyDescent="0.35">
      <c r="C4989" t="s">
        <v>51</v>
      </c>
      <c r="D4989" t="s">
        <v>21</v>
      </c>
      <c r="E4989" t="s">
        <v>49</v>
      </c>
      <c r="F4989" t="s">
        <v>46</v>
      </c>
      <c r="G4989" s="58">
        <v>6469369</v>
      </c>
      <c r="H4989" s="1" t="s">
        <v>54</v>
      </c>
      <c r="I4989" s="1" t="s">
        <v>108</v>
      </c>
      <c r="J4989" s="58">
        <v>213489177</v>
      </c>
      <c r="K4989" s="1" t="s">
        <v>112</v>
      </c>
      <c r="N4989" s="1">
        <v>1</v>
      </c>
      <c r="O4989" s="58"/>
      <c r="P4989" s="58">
        <v>4593251.99</v>
      </c>
      <c r="Q4989" t="s">
        <v>118</v>
      </c>
      <c r="R4989" s="1" t="s">
        <v>158</v>
      </c>
    </row>
    <row r="4990" spans="3:18" x14ac:dyDescent="0.35">
      <c r="C4990" t="s">
        <v>51</v>
      </c>
      <c r="D4990" t="s">
        <v>24</v>
      </c>
      <c r="E4990" t="s">
        <v>55</v>
      </c>
      <c r="F4990" t="s">
        <v>46</v>
      </c>
      <c r="G4990" s="58">
        <v>622639</v>
      </c>
      <c r="H4990" s="1" t="s">
        <v>54</v>
      </c>
      <c r="I4990" s="1" t="s">
        <v>108</v>
      </c>
      <c r="J4990" s="58">
        <v>18679170</v>
      </c>
      <c r="K4990" s="1" t="s">
        <v>106</v>
      </c>
      <c r="L4990" s="1" t="s">
        <v>114</v>
      </c>
      <c r="N4990" s="1">
        <v>1</v>
      </c>
      <c r="O4990" s="58"/>
      <c r="P4990" s="58">
        <v>716034.85</v>
      </c>
      <c r="Q4990" t="s">
        <v>110</v>
      </c>
      <c r="R4990" s="1" t="s">
        <v>158</v>
      </c>
    </row>
    <row r="4991" spans="3:18" x14ac:dyDescent="0.35">
      <c r="C4991" t="s">
        <v>51</v>
      </c>
      <c r="D4991" t="s">
        <v>91</v>
      </c>
      <c r="E4991" t="s">
        <v>49</v>
      </c>
      <c r="F4991" t="s">
        <v>46</v>
      </c>
      <c r="G4991" s="58">
        <v>224166</v>
      </c>
      <c r="H4991" s="1" t="s">
        <v>48</v>
      </c>
      <c r="I4991" s="1" t="s">
        <v>108</v>
      </c>
      <c r="J4991" s="58">
        <v>5379984</v>
      </c>
      <c r="K4991" s="1" t="s">
        <v>106</v>
      </c>
      <c r="L4991" s="1" t="s">
        <v>114</v>
      </c>
      <c r="M4991" s="1" t="s">
        <v>121</v>
      </c>
      <c r="N4991" s="1">
        <v>1</v>
      </c>
      <c r="O4991" s="58"/>
      <c r="P4991" s="58">
        <v>49316.52</v>
      </c>
      <c r="Q4991" t="s">
        <v>107</v>
      </c>
      <c r="R4991" s="1" t="s">
        <v>158</v>
      </c>
    </row>
    <row r="4992" spans="3:18" x14ac:dyDescent="0.35">
      <c r="C4992" t="s">
        <v>51</v>
      </c>
      <c r="D4992" t="s">
        <v>21</v>
      </c>
      <c r="E4992" t="s">
        <v>49</v>
      </c>
      <c r="F4992" t="s">
        <v>46</v>
      </c>
      <c r="G4992" s="58">
        <v>224392</v>
      </c>
      <c r="H4992" s="1" t="s">
        <v>48</v>
      </c>
      <c r="I4992" s="1" t="s">
        <v>108</v>
      </c>
      <c r="J4992" s="58">
        <v>6731760</v>
      </c>
      <c r="K4992" s="1" t="s">
        <v>106</v>
      </c>
      <c r="L4992" s="1" t="s">
        <v>124</v>
      </c>
      <c r="M4992" s="1" t="s">
        <v>115</v>
      </c>
      <c r="N4992" s="1">
        <v>1</v>
      </c>
      <c r="O4992" s="58"/>
      <c r="P4992" s="58">
        <v>71805.440000000002</v>
      </c>
      <c r="Q4992" t="s">
        <v>107</v>
      </c>
      <c r="R4992" s="1" t="s">
        <v>48</v>
      </c>
    </row>
    <row r="4993" spans="3:18" x14ac:dyDescent="0.35">
      <c r="C4993" t="s">
        <v>51</v>
      </c>
      <c r="D4993" t="s">
        <v>92</v>
      </c>
      <c r="E4993" t="s">
        <v>49</v>
      </c>
      <c r="F4993" t="s">
        <v>46</v>
      </c>
      <c r="G4993" s="58">
        <v>970883</v>
      </c>
      <c r="H4993" s="1" t="s">
        <v>48</v>
      </c>
      <c r="I4993" s="1" t="s">
        <v>108</v>
      </c>
      <c r="J4993" s="58">
        <v>20388543</v>
      </c>
      <c r="K4993" s="1" t="s">
        <v>106</v>
      </c>
      <c r="L4993" s="1" t="s">
        <v>120</v>
      </c>
      <c r="M4993" s="1" t="s">
        <v>123</v>
      </c>
      <c r="N4993" s="1">
        <v>1</v>
      </c>
      <c r="O4993" s="58"/>
      <c r="P4993" s="58">
        <v>320391.39</v>
      </c>
      <c r="Q4993" t="s">
        <v>107</v>
      </c>
      <c r="R4993" s="1" t="s">
        <v>48</v>
      </c>
    </row>
    <row r="4994" spans="3:18" x14ac:dyDescent="0.35">
      <c r="C4994" t="s">
        <v>51</v>
      </c>
      <c r="D4994" t="s">
        <v>23</v>
      </c>
      <c r="E4994" t="s">
        <v>49</v>
      </c>
      <c r="F4994" t="s">
        <v>46</v>
      </c>
      <c r="G4994" s="58">
        <v>290386</v>
      </c>
      <c r="H4994" s="1" t="s">
        <v>47</v>
      </c>
      <c r="I4994" s="1" t="s">
        <v>119</v>
      </c>
      <c r="J4994" s="58">
        <v>2613474</v>
      </c>
      <c r="K4994" s="1" t="s">
        <v>106</v>
      </c>
      <c r="L4994" s="1" t="s">
        <v>124</v>
      </c>
      <c r="N4994" s="1">
        <v>1</v>
      </c>
      <c r="O4994" s="58"/>
      <c r="P4994" s="58">
        <v>136481.42000000001</v>
      </c>
      <c r="Q4994" t="s">
        <v>113</v>
      </c>
      <c r="R4994" s="1" t="s">
        <v>158</v>
      </c>
    </row>
    <row r="4995" spans="3:18" x14ac:dyDescent="0.35">
      <c r="C4995" t="s">
        <v>51</v>
      </c>
      <c r="D4995" t="s">
        <v>23</v>
      </c>
      <c r="E4995" t="s">
        <v>55</v>
      </c>
      <c r="F4995" t="s">
        <v>46</v>
      </c>
      <c r="G4995" s="58">
        <v>260714</v>
      </c>
      <c r="H4995" s="1" t="s">
        <v>47</v>
      </c>
      <c r="I4995" s="1" t="s">
        <v>111</v>
      </c>
      <c r="J4995" s="58">
        <v>2867854</v>
      </c>
      <c r="K4995" s="1" t="s">
        <v>106</v>
      </c>
      <c r="L4995" s="1" t="s">
        <v>124</v>
      </c>
      <c r="N4995" s="1">
        <v>1</v>
      </c>
      <c r="O4995" s="58"/>
      <c r="P4995" s="58">
        <v>229428.32</v>
      </c>
      <c r="Q4995" t="s">
        <v>127</v>
      </c>
      <c r="R4995" s="1" t="s">
        <v>158</v>
      </c>
    </row>
    <row r="4996" spans="3:18" x14ac:dyDescent="0.35">
      <c r="C4996" t="s">
        <v>51</v>
      </c>
      <c r="D4996" t="s">
        <v>23</v>
      </c>
      <c r="E4996" t="s">
        <v>52</v>
      </c>
      <c r="F4996" t="s">
        <v>46</v>
      </c>
      <c r="G4996" s="58">
        <v>1979997</v>
      </c>
      <c r="H4996" s="1" t="s">
        <v>48</v>
      </c>
      <c r="I4996" s="1" t="s">
        <v>111</v>
      </c>
      <c r="J4996" s="58">
        <v>33659949</v>
      </c>
      <c r="K4996" s="1" t="s">
        <v>106</v>
      </c>
      <c r="L4996" s="1" t="s">
        <v>130</v>
      </c>
      <c r="M4996" s="1" t="s">
        <v>125</v>
      </c>
      <c r="N4996" s="1">
        <v>1</v>
      </c>
      <c r="O4996" s="58"/>
      <c r="P4996" s="58">
        <v>1306798.02</v>
      </c>
      <c r="Q4996" t="s">
        <v>118</v>
      </c>
      <c r="R4996" s="1" t="s">
        <v>48</v>
      </c>
    </row>
    <row r="4997" spans="3:18" x14ac:dyDescent="0.35">
      <c r="C4997" t="s">
        <v>53</v>
      </c>
      <c r="D4997" t="s">
        <v>92</v>
      </c>
      <c r="E4997" t="s">
        <v>49</v>
      </c>
      <c r="F4997" t="s">
        <v>46</v>
      </c>
      <c r="G4997" s="58">
        <v>358</v>
      </c>
      <c r="H4997" s="1" t="s">
        <v>47</v>
      </c>
      <c r="I4997" s="1" t="s">
        <v>105</v>
      </c>
      <c r="J4997" s="58"/>
      <c r="K4997" s="1" t="s">
        <v>106</v>
      </c>
      <c r="L4997" s="1" t="s">
        <v>124</v>
      </c>
      <c r="N4997" s="1">
        <v>0</v>
      </c>
      <c r="O4997" s="58"/>
      <c r="P4997" s="58">
        <v>0</v>
      </c>
      <c r="Q4997" t="s">
        <v>107</v>
      </c>
      <c r="R4997" s="1" t="s">
        <v>158</v>
      </c>
    </row>
    <row r="4998" spans="3:18" x14ac:dyDescent="0.35">
      <c r="C4998" t="s">
        <v>51</v>
      </c>
      <c r="D4998" t="s">
        <v>20</v>
      </c>
      <c r="E4998" t="s">
        <v>49</v>
      </c>
      <c r="F4998" t="s">
        <v>46</v>
      </c>
      <c r="G4998" s="58">
        <v>1016534</v>
      </c>
      <c r="H4998" s="1" t="s">
        <v>47</v>
      </c>
      <c r="I4998" s="1" t="s">
        <v>108</v>
      </c>
      <c r="J4998" s="58">
        <v>28462952</v>
      </c>
      <c r="K4998" s="1" t="s">
        <v>106</v>
      </c>
      <c r="L4998" s="1" t="s">
        <v>120</v>
      </c>
      <c r="N4998" s="1">
        <v>1</v>
      </c>
      <c r="O4998" s="58"/>
      <c r="P4998" s="58">
        <v>233802.82</v>
      </c>
      <c r="Q4998" t="s">
        <v>107</v>
      </c>
      <c r="R4998" s="1" t="s">
        <v>158</v>
      </c>
    </row>
    <row r="4999" spans="3:18" x14ac:dyDescent="0.35">
      <c r="C4999" t="s">
        <v>51</v>
      </c>
      <c r="D4999" t="s">
        <v>24</v>
      </c>
      <c r="E4999" t="s">
        <v>55</v>
      </c>
      <c r="F4999" t="s">
        <v>46</v>
      </c>
      <c r="G4999" s="58">
        <v>7747</v>
      </c>
      <c r="H4999" s="1" t="s">
        <v>48</v>
      </c>
      <c r="I4999" s="1" t="s">
        <v>105</v>
      </c>
      <c r="J4999" s="58">
        <v>7747</v>
      </c>
      <c r="K4999" s="1" t="s">
        <v>106</v>
      </c>
      <c r="L4999" s="1" t="s">
        <v>120</v>
      </c>
      <c r="M4999" s="1" t="s">
        <v>121</v>
      </c>
      <c r="N4999" s="1">
        <v>1</v>
      </c>
      <c r="O4999" s="58"/>
      <c r="P4999" s="58">
        <v>852.17</v>
      </c>
      <c r="Q4999" t="s">
        <v>107</v>
      </c>
      <c r="R4999" s="1" t="s">
        <v>158</v>
      </c>
    </row>
    <row r="5000" spans="3:18" x14ac:dyDescent="0.35">
      <c r="C5000" t="s">
        <v>53</v>
      </c>
      <c r="D5000" t="s">
        <v>92</v>
      </c>
      <c r="E5000" t="s">
        <v>45</v>
      </c>
      <c r="F5000" t="s">
        <v>46</v>
      </c>
      <c r="G5000" s="58">
        <v>8297818</v>
      </c>
      <c r="H5000" s="1" t="s">
        <v>54</v>
      </c>
      <c r="I5000" s="1" t="s">
        <v>119</v>
      </c>
      <c r="J5000" s="58">
        <v>58084726</v>
      </c>
      <c r="K5000" s="1" t="s">
        <v>106</v>
      </c>
      <c r="L5000" s="1" t="s">
        <v>120</v>
      </c>
      <c r="N5000" s="1">
        <v>1</v>
      </c>
      <c r="O5000" s="58"/>
      <c r="P5000" s="58">
        <v>4065930.82</v>
      </c>
      <c r="Q5000" t="s">
        <v>113</v>
      </c>
      <c r="R5000" s="1" t="s">
        <v>158</v>
      </c>
    </row>
    <row r="5001" spans="3:18" x14ac:dyDescent="0.35">
      <c r="C5001" t="s">
        <v>53</v>
      </c>
      <c r="D5001" t="s">
        <v>21</v>
      </c>
      <c r="E5001" t="s">
        <v>45</v>
      </c>
      <c r="F5001" t="s">
        <v>46</v>
      </c>
      <c r="G5001" s="58">
        <v>4163837</v>
      </c>
      <c r="H5001" s="1" t="s">
        <v>56</v>
      </c>
      <c r="I5001" s="1" t="s">
        <v>111</v>
      </c>
      <c r="J5001" s="58">
        <v>54129881</v>
      </c>
      <c r="K5001" s="1" t="s">
        <v>112</v>
      </c>
      <c r="N5001" s="1">
        <v>1</v>
      </c>
      <c r="O5001" s="58"/>
      <c r="P5001" s="58">
        <v>2914685.9</v>
      </c>
      <c r="Q5001" t="s">
        <v>118</v>
      </c>
      <c r="R5001" s="1" t="s">
        <v>158</v>
      </c>
    </row>
    <row r="5002" spans="3:18" x14ac:dyDescent="0.35">
      <c r="C5002" t="s">
        <v>51</v>
      </c>
      <c r="D5002" t="s">
        <v>24</v>
      </c>
      <c r="E5002" t="s">
        <v>55</v>
      </c>
      <c r="F5002" t="s">
        <v>46</v>
      </c>
      <c r="G5002" s="58">
        <v>0</v>
      </c>
      <c r="H5002" s="1" t="s">
        <v>54</v>
      </c>
      <c r="I5002" s="1" t="s">
        <v>128</v>
      </c>
      <c r="J5002" s="58"/>
      <c r="K5002" s="1" t="s">
        <v>106</v>
      </c>
      <c r="L5002" s="1" t="s">
        <v>114</v>
      </c>
      <c r="N5002" s="1">
        <v>0</v>
      </c>
      <c r="O5002" s="58"/>
      <c r="P5002" s="58">
        <v>0</v>
      </c>
      <c r="Q5002" t="s">
        <v>107</v>
      </c>
      <c r="R5002" s="1" t="s">
        <v>158</v>
      </c>
    </row>
    <row r="5003" spans="3:18" x14ac:dyDescent="0.35">
      <c r="C5003" t="s">
        <v>51</v>
      </c>
      <c r="D5003" t="s">
        <v>22</v>
      </c>
      <c r="E5003" t="s">
        <v>45</v>
      </c>
      <c r="F5003" t="s">
        <v>46</v>
      </c>
      <c r="G5003" s="58">
        <v>216434</v>
      </c>
      <c r="H5003" s="1" t="s">
        <v>54</v>
      </c>
      <c r="I5003" s="1" t="s">
        <v>111</v>
      </c>
      <c r="J5003" s="58">
        <v>3030076</v>
      </c>
      <c r="K5003" s="1" t="s">
        <v>106</v>
      </c>
      <c r="L5003" s="1" t="s">
        <v>120</v>
      </c>
      <c r="N5003" s="1">
        <v>1</v>
      </c>
      <c r="O5003" s="58"/>
      <c r="P5003" s="58">
        <v>272706.84000000003</v>
      </c>
      <c r="Q5003" t="s">
        <v>110</v>
      </c>
      <c r="R5003" s="1" t="s">
        <v>158</v>
      </c>
    </row>
    <row r="5004" spans="3:18" x14ac:dyDescent="0.35">
      <c r="C5004" t="s">
        <v>51</v>
      </c>
      <c r="D5004" t="s">
        <v>21</v>
      </c>
      <c r="E5004" t="s">
        <v>49</v>
      </c>
      <c r="F5004" t="s">
        <v>46</v>
      </c>
      <c r="G5004" s="58">
        <v>9002918</v>
      </c>
      <c r="H5004" s="1" t="s">
        <v>48</v>
      </c>
      <c r="I5004" s="1" t="s">
        <v>111</v>
      </c>
      <c r="J5004" s="58">
        <v>162052524</v>
      </c>
      <c r="K5004" s="1" t="s">
        <v>106</v>
      </c>
      <c r="L5004" s="1" t="s">
        <v>124</v>
      </c>
      <c r="M5004" s="1" t="s">
        <v>126</v>
      </c>
      <c r="N5004" s="1">
        <v>1</v>
      </c>
      <c r="O5004" s="58"/>
      <c r="P5004" s="58">
        <v>5941925.8799999999</v>
      </c>
      <c r="Q5004" t="s">
        <v>118</v>
      </c>
      <c r="R5004" s="1" t="s">
        <v>48</v>
      </c>
    </row>
    <row r="5005" spans="3:18" x14ac:dyDescent="0.35">
      <c r="C5005" t="s">
        <v>44</v>
      </c>
      <c r="D5005" t="s">
        <v>24</v>
      </c>
      <c r="E5005" t="s">
        <v>45</v>
      </c>
      <c r="F5005" t="s">
        <v>46</v>
      </c>
      <c r="G5005" s="58">
        <v>477625</v>
      </c>
      <c r="H5005" s="1" t="s">
        <v>48</v>
      </c>
      <c r="I5005" s="1" t="s">
        <v>108</v>
      </c>
      <c r="J5005" s="58"/>
      <c r="N5005" s="1">
        <v>0</v>
      </c>
      <c r="O5005" s="58"/>
      <c r="P5005" s="58"/>
      <c r="R5005" s="1" t="s">
        <v>158</v>
      </c>
    </row>
    <row r="5006" spans="3:18" x14ac:dyDescent="0.35">
      <c r="C5006" t="s">
        <v>53</v>
      </c>
      <c r="D5006" t="s">
        <v>24</v>
      </c>
      <c r="E5006" t="s">
        <v>50</v>
      </c>
      <c r="F5006" t="s">
        <v>46</v>
      </c>
      <c r="G5006" s="58">
        <v>854242</v>
      </c>
      <c r="H5006" s="1" t="s">
        <v>54</v>
      </c>
      <c r="I5006" s="1" t="s">
        <v>119</v>
      </c>
      <c r="J5006" s="58">
        <v>4271210</v>
      </c>
      <c r="K5006" s="1" t="s">
        <v>106</v>
      </c>
      <c r="L5006" s="1" t="s">
        <v>109</v>
      </c>
      <c r="N5006" s="1">
        <v>1</v>
      </c>
      <c r="O5006" s="58"/>
      <c r="P5006" s="58">
        <v>179390.82</v>
      </c>
      <c r="Q5006" t="s">
        <v>107</v>
      </c>
      <c r="R5006" s="1" t="s">
        <v>158</v>
      </c>
    </row>
    <row r="5007" spans="3:18" x14ac:dyDescent="0.35">
      <c r="C5007" t="s">
        <v>51</v>
      </c>
      <c r="D5007" t="s">
        <v>22</v>
      </c>
      <c r="E5007" t="s">
        <v>50</v>
      </c>
      <c r="F5007" t="s">
        <v>46</v>
      </c>
      <c r="G5007" s="58">
        <v>3928000</v>
      </c>
      <c r="H5007" s="1" t="s">
        <v>48</v>
      </c>
      <c r="I5007" s="1" t="s">
        <v>108</v>
      </c>
      <c r="J5007" s="58">
        <v>153192000</v>
      </c>
      <c r="K5007" s="1" t="s">
        <v>112</v>
      </c>
      <c r="N5007" s="1">
        <v>1</v>
      </c>
      <c r="O5007" s="58"/>
      <c r="P5007" s="58">
        <v>3928000</v>
      </c>
      <c r="Q5007" t="s">
        <v>110</v>
      </c>
      <c r="R5007" s="1" t="s">
        <v>48</v>
      </c>
    </row>
    <row r="5008" spans="3:18" x14ac:dyDescent="0.35">
      <c r="C5008" t="s">
        <v>51</v>
      </c>
      <c r="D5008" t="s">
        <v>25</v>
      </c>
      <c r="E5008" t="s">
        <v>55</v>
      </c>
      <c r="F5008" t="s">
        <v>46</v>
      </c>
      <c r="G5008" s="58">
        <v>191574</v>
      </c>
      <c r="H5008" s="1" t="s">
        <v>59</v>
      </c>
      <c r="I5008" s="1" t="s">
        <v>108</v>
      </c>
      <c r="J5008" s="58">
        <v>5938794</v>
      </c>
      <c r="K5008" s="1" t="s">
        <v>106</v>
      </c>
      <c r="L5008" s="1" t="s">
        <v>114</v>
      </c>
      <c r="N5008" s="1">
        <v>1</v>
      </c>
      <c r="O5008" s="58"/>
      <c r="P5008" s="58">
        <v>159006.42000000001</v>
      </c>
      <c r="Q5008" t="s">
        <v>127</v>
      </c>
      <c r="R5008" s="1" t="s">
        <v>158</v>
      </c>
    </row>
    <row r="5009" spans="3:18" x14ac:dyDescent="0.35">
      <c r="C5009" t="s">
        <v>51</v>
      </c>
      <c r="D5009" t="s">
        <v>21</v>
      </c>
      <c r="E5009" t="s">
        <v>49</v>
      </c>
      <c r="F5009" t="s">
        <v>64</v>
      </c>
      <c r="G5009" s="58">
        <v>647195</v>
      </c>
      <c r="H5009" s="1" t="s">
        <v>56</v>
      </c>
      <c r="I5009" s="1" t="s">
        <v>108</v>
      </c>
      <c r="J5009" s="58">
        <v>19415850</v>
      </c>
      <c r="K5009" s="1" t="s">
        <v>112</v>
      </c>
      <c r="N5009" s="1">
        <v>1</v>
      </c>
      <c r="O5009" s="58"/>
      <c r="P5009" s="58">
        <v>297709.7</v>
      </c>
      <c r="Q5009" t="s">
        <v>113</v>
      </c>
      <c r="R5009" s="1" t="s">
        <v>158</v>
      </c>
    </row>
    <row r="5010" spans="3:18" x14ac:dyDescent="0.35">
      <c r="C5010" t="s">
        <v>51</v>
      </c>
      <c r="D5010" t="s">
        <v>23</v>
      </c>
      <c r="E5010" t="s">
        <v>45</v>
      </c>
      <c r="F5010" t="s">
        <v>46</v>
      </c>
      <c r="G5010" s="58">
        <v>794000</v>
      </c>
      <c r="H5010" s="1" t="s">
        <v>48</v>
      </c>
      <c r="I5010" s="1" t="s">
        <v>108</v>
      </c>
      <c r="J5010" s="58">
        <v>31760000</v>
      </c>
      <c r="K5010" s="1" t="s">
        <v>112</v>
      </c>
      <c r="N5010" s="1">
        <v>1</v>
      </c>
      <c r="O5010" s="58"/>
      <c r="P5010" s="58">
        <v>794000</v>
      </c>
      <c r="Q5010" t="s">
        <v>110</v>
      </c>
      <c r="R5010" s="1" t="s">
        <v>48</v>
      </c>
    </row>
    <row r="5011" spans="3:18" x14ac:dyDescent="0.35">
      <c r="C5011" t="s">
        <v>51</v>
      </c>
      <c r="D5011" t="s">
        <v>21</v>
      </c>
      <c r="E5011" t="s">
        <v>45</v>
      </c>
      <c r="F5011" t="s">
        <v>46</v>
      </c>
      <c r="G5011" s="58">
        <v>1550791</v>
      </c>
      <c r="H5011" s="1" t="s">
        <v>47</v>
      </c>
      <c r="I5011" s="1" t="s">
        <v>111</v>
      </c>
      <c r="J5011" s="58">
        <v>24812656</v>
      </c>
      <c r="K5011" s="1" t="s">
        <v>106</v>
      </c>
      <c r="L5011" s="1" t="s">
        <v>124</v>
      </c>
      <c r="N5011" s="1">
        <v>1</v>
      </c>
      <c r="O5011" s="58"/>
      <c r="P5011" s="58">
        <v>449729.39</v>
      </c>
      <c r="Q5011" t="s">
        <v>107</v>
      </c>
      <c r="R5011" s="1" t="s">
        <v>158</v>
      </c>
    </row>
    <row r="5012" spans="3:18" x14ac:dyDescent="0.35">
      <c r="C5012" t="s">
        <v>53</v>
      </c>
      <c r="D5012" t="s">
        <v>22</v>
      </c>
      <c r="E5012" t="s">
        <v>55</v>
      </c>
      <c r="F5012" t="s">
        <v>46</v>
      </c>
      <c r="G5012" s="58">
        <v>130470</v>
      </c>
      <c r="H5012" s="1" t="s">
        <v>54</v>
      </c>
      <c r="I5012" s="1" t="s">
        <v>111</v>
      </c>
      <c r="J5012" s="58">
        <v>1696110</v>
      </c>
      <c r="K5012" s="1" t="s">
        <v>106</v>
      </c>
      <c r="L5012" s="1" t="s">
        <v>114</v>
      </c>
      <c r="N5012" s="1">
        <v>1</v>
      </c>
      <c r="O5012" s="58"/>
      <c r="P5012" s="58">
        <v>53492.7</v>
      </c>
      <c r="Q5012" t="s">
        <v>113</v>
      </c>
      <c r="R5012" s="1" t="s">
        <v>158</v>
      </c>
    </row>
    <row r="5013" spans="3:18" x14ac:dyDescent="0.35">
      <c r="C5013" t="s">
        <v>53</v>
      </c>
      <c r="D5013" t="s">
        <v>21</v>
      </c>
      <c r="E5013" t="s">
        <v>45</v>
      </c>
      <c r="F5013" t="s">
        <v>46</v>
      </c>
      <c r="G5013" s="58">
        <v>828941</v>
      </c>
      <c r="H5013" s="1" t="s">
        <v>47</v>
      </c>
      <c r="I5013" s="1" t="s">
        <v>128</v>
      </c>
      <c r="J5013" s="58"/>
      <c r="K5013" s="1" t="s">
        <v>106</v>
      </c>
      <c r="L5013" s="1" t="s">
        <v>120</v>
      </c>
      <c r="N5013" s="1">
        <v>0</v>
      </c>
      <c r="O5013" s="58"/>
      <c r="P5013" s="58">
        <v>373023.45</v>
      </c>
      <c r="Q5013" t="s">
        <v>113</v>
      </c>
      <c r="R5013" s="1" t="s">
        <v>158</v>
      </c>
    </row>
    <row r="5014" spans="3:18" x14ac:dyDescent="0.35">
      <c r="C5014" t="s">
        <v>51</v>
      </c>
      <c r="D5014" t="s">
        <v>21</v>
      </c>
      <c r="E5014" t="s">
        <v>45</v>
      </c>
      <c r="F5014" t="s">
        <v>46</v>
      </c>
      <c r="G5014" s="58">
        <v>11518718</v>
      </c>
      <c r="H5014" s="1" t="s">
        <v>56</v>
      </c>
      <c r="I5014" s="1" t="s">
        <v>108</v>
      </c>
      <c r="J5014" s="58">
        <v>334042822</v>
      </c>
      <c r="K5014" s="1" t="s">
        <v>106</v>
      </c>
      <c r="L5014" s="1" t="s">
        <v>120</v>
      </c>
      <c r="N5014" s="1">
        <v>1</v>
      </c>
      <c r="O5014" s="58"/>
      <c r="P5014" s="58">
        <v>8063102.5999999996</v>
      </c>
      <c r="Q5014" t="s">
        <v>118</v>
      </c>
      <c r="R5014" s="1" t="s">
        <v>158</v>
      </c>
    </row>
    <row r="5015" spans="3:18" x14ac:dyDescent="0.35">
      <c r="C5015" t="s">
        <v>51</v>
      </c>
      <c r="D5015" t="s">
        <v>22</v>
      </c>
      <c r="E5015" t="s">
        <v>49</v>
      </c>
      <c r="F5015" t="s">
        <v>46</v>
      </c>
      <c r="G5015" s="58">
        <v>64470379</v>
      </c>
      <c r="H5015" s="1" t="s">
        <v>54</v>
      </c>
      <c r="I5015" s="1" t="s">
        <v>108</v>
      </c>
      <c r="J5015" s="58">
        <v>1676229854</v>
      </c>
      <c r="K5015" s="1" t="s">
        <v>106</v>
      </c>
      <c r="L5015" s="1" t="s">
        <v>124</v>
      </c>
      <c r="N5015" s="1">
        <v>1</v>
      </c>
      <c r="O5015" s="58"/>
      <c r="P5015" s="58">
        <v>14183483.380000001</v>
      </c>
      <c r="Q5015" t="s">
        <v>107</v>
      </c>
      <c r="R5015" s="1" t="s">
        <v>158</v>
      </c>
    </row>
    <row r="5016" spans="3:18" x14ac:dyDescent="0.35">
      <c r="C5016" t="s">
        <v>51</v>
      </c>
      <c r="D5016" t="s">
        <v>92</v>
      </c>
      <c r="E5016" t="s">
        <v>49</v>
      </c>
      <c r="F5016" t="s">
        <v>46</v>
      </c>
      <c r="G5016" s="58">
        <v>117222</v>
      </c>
      <c r="H5016" s="1" t="s">
        <v>48</v>
      </c>
      <c r="I5016" s="1" t="s">
        <v>119</v>
      </c>
      <c r="J5016" s="58">
        <v>1054998</v>
      </c>
      <c r="K5016" s="1" t="s">
        <v>106</v>
      </c>
      <c r="L5016" s="1" t="s">
        <v>120</v>
      </c>
      <c r="M5016" s="1" t="s">
        <v>115</v>
      </c>
      <c r="N5016" s="1">
        <v>1</v>
      </c>
      <c r="O5016" s="58"/>
      <c r="P5016" s="58">
        <v>33994.379999999997</v>
      </c>
      <c r="Q5016" t="s">
        <v>107</v>
      </c>
      <c r="R5016" s="1" t="s">
        <v>158</v>
      </c>
    </row>
    <row r="5017" spans="3:18" x14ac:dyDescent="0.35">
      <c r="C5017" t="s">
        <v>51</v>
      </c>
      <c r="D5017" t="s">
        <v>22</v>
      </c>
      <c r="E5017" t="s">
        <v>45</v>
      </c>
      <c r="F5017" t="s">
        <v>46</v>
      </c>
      <c r="G5017" s="58">
        <v>154295</v>
      </c>
      <c r="H5017" s="1" t="s">
        <v>59</v>
      </c>
      <c r="I5017" s="1" t="s">
        <v>108</v>
      </c>
      <c r="J5017" s="58">
        <v>4165965</v>
      </c>
      <c r="K5017" s="1" t="s">
        <v>106</v>
      </c>
      <c r="L5017" s="1" t="s">
        <v>109</v>
      </c>
      <c r="N5017" s="1">
        <v>1</v>
      </c>
      <c r="O5017" s="58"/>
      <c r="P5017" s="58">
        <v>91034.05</v>
      </c>
      <c r="Q5017" t="s">
        <v>113</v>
      </c>
      <c r="R5017" s="1" t="s">
        <v>158</v>
      </c>
    </row>
    <row r="5018" spans="3:18" x14ac:dyDescent="0.35">
      <c r="C5018" t="s">
        <v>51</v>
      </c>
      <c r="D5018" t="s">
        <v>92</v>
      </c>
      <c r="E5018" t="s">
        <v>49</v>
      </c>
      <c r="F5018" t="s">
        <v>46</v>
      </c>
      <c r="G5018" s="58">
        <v>9286723</v>
      </c>
      <c r="H5018" s="1" t="s">
        <v>59</v>
      </c>
      <c r="I5018" s="1" t="s">
        <v>108</v>
      </c>
      <c r="J5018" s="58">
        <v>287888413</v>
      </c>
      <c r="K5018" s="1" t="s">
        <v>106</v>
      </c>
      <c r="L5018" s="1" t="s">
        <v>124</v>
      </c>
      <c r="N5018" s="1">
        <v>1</v>
      </c>
      <c r="O5018" s="58"/>
      <c r="P5018" s="58">
        <v>7893714.5499999998</v>
      </c>
      <c r="Q5018" t="s">
        <v>127</v>
      </c>
      <c r="R5018" s="1" t="s">
        <v>158</v>
      </c>
    </row>
    <row r="5019" spans="3:18" x14ac:dyDescent="0.35">
      <c r="C5019" t="s">
        <v>53</v>
      </c>
      <c r="D5019" t="s">
        <v>20</v>
      </c>
      <c r="E5019" t="s">
        <v>49</v>
      </c>
      <c r="F5019" t="s">
        <v>46</v>
      </c>
      <c r="G5019" s="58">
        <v>222292</v>
      </c>
      <c r="H5019" s="1" t="s">
        <v>54</v>
      </c>
      <c r="I5019" s="1" t="s">
        <v>108</v>
      </c>
      <c r="J5019" s="58">
        <v>5779592</v>
      </c>
      <c r="K5019" s="1" t="s">
        <v>112</v>
      </c>
      <c r="N5019" s="1">
        <v>1</v>
      </c>
      <c r="O5019" s="58"/>
      <c r="P5019" s="58">
        <v>113368.92</v>
      </c>
      <c r="Q5019" t="s">
        <v>113</v>
      </c>
      <c r="R5019" s="1" t="s">
        <v>158</v>
      </c>
    </row>
    <row r="5020" spans="3:18" x14ac:dyDescent="0.35">
      <c r="C5020" t="s">
        <v>51</v>
      </c>
      <c r="D5020" t="s">
        <v>22</v>
      </c>
      <c r="E5020" t="s">
        <v>45</v>
      </c>
      <c r="F5020" t="s">
        <v>46</v>
      </c>
      <c r="G5020" s="58">
        <v>21383</v>
      </c>
      <c r="H5020" s="1" t="s">
        <v>59</v>
      </c>
      <c r="I5020" s="1" t="s">
        <v>119</v>
      </c>
      <c r="J5020" s="58">
        <v>192447</v>
      </c>
      <c r="K5020" s="1" t="s">
        <v>106</v>
      </c>
      <c r="L5020" s="1" t="s">
        <v>109</v>
      </c>
      <c r="N5020" s="1">
        <v>1</v>
      </c>
      <c r="O5020" s="58"/>
      <c r="P5020" s="58">
        <v>4918.09</v>
      </c>
      <c r="Q5020" t="s">
        <v>107</v>
      </c>
      <c r="R5020" s="1" t="s">
        <v>158</v>
      </c>
    </row>
    <row r="5021" spans="3:18" x14ac:dyDescent="0.35">
      <c r="C5021" t="s">
        <v>51</v>
      </c>
      <c r="D5021" t="s">
        <v>20</v>
      </c>
      <c r="E5021" t="s">
        <v>49</v>
      </c>
      <c r="F5021" t="s">
        <v>46</v>
      </c>
      <c r="G5021" s="58">
        <v>325196</v>
      </c>
      <c r="H5021" s="1" t="s">
        <v>48</v>
      </c>
      <c r="I5021" s="1" t="s">
        <v>108</v>
      </c>
      <c r="J5021" s="58">
        <v>8129900</v>
      </c>
      <c r="K5021" s="1" t="s">
        <v>106</v>
      </c>
      <c r="L5021" s="1" t="s">
        <v>114</v>
      </c>
      <c r="M5021" s="1" t="s">
        <v>123</v>
      </c>
      <c r="N5021" s="1">
        <v>1</v>
      </c>
      <c r="O5021" s="58"/>
      <c r="P5021" s="58">
        <v>263408.76</v>
      </c>
      <c r="Q5021" t="s">
        <v>127</v>
      </c>
      <c r="R5021" s="1" t="s">
        <v>48</v>
      </c>
    </row>
    <row r="5022" spans="3:18" x14ac:dyDescent="0.35">
      <c r="C5022" t="s">
        <v>51</v>
      </c>
      <c r="D5022" t="s">
        <v>22</v>
      </c>
      <c r="E5022" t="s">
        <v>45</v>
      </c>
      <c r="F5022" t="s">
        <v>46</v>
      </c>
      <c r="G5022" s="58">
        <v>161246</v>
      </c>
      <c r="H5022" s="1" t="s">
        <v>48</v>
      </c>
      <c r="I5022" s="1" t="s">
        <v>119</v>
      </c>
      <c r="J5022" s="58">
        <v>1451214</v>
      </c>
      <c r="K5022" s="1" t="s">
        <v>112</v>
      </c>
      <c r="N5022" s="1">
        <v>1</v>
      </c>
      <c r="O5022" s="58"/>
      <c r="P5022" s="58">
        <v>32249.200000000001</v>
      </c>
      <c r="Q5022" t="s">
        <v>107</v>
      </c>
      <c r="R5022" s="1" t="s">
        <v>48</v>
      </c>
    </row>
    <row r="5023" spans="3:18" x14ac:dyDescent="0.35">
      <c r="C5023" t="s">
        <v>51</v>
      </c>
      <c r="D5023" t="s">
        <v>22</v>
      </c>
      <c r="E5023" t="s">
        <v>45</v>
      </c>
      <c r="F5023" t="s">
        <v>46</v>
      </c>
      <c r="G5023" s="58">
        <v>1330947</v>
      </c>
      <c r="H5023" s="1" t="s">
        <v>47</v>
      </c>
      <c r="I5023" s="1" t="s">
        <v>108</v>
      </c>
      <c r="J5023" s="58">
        <v>41259357</v>
      </c>
      <c r="K5023" s="1" t="s">
        <v>106</v>
      </c>
      <c r="L5023" s="1" t="s">
        <v>109</v>
      </c>
      <c r="N5023" s="1">
        <v>1</v>
      </c>
      <c r="O5023" s="58"/>
      <c r="P5023" s="58">
        <v>319427.28000000003</v>
      </c>
      <c r="Q5023" t="s">
        <v>107</v>
      </c>
      <c r="R5023" s="1" t="s">
        <v>158</v>
      </c>
    </row>
    <row r="5024" spans="3:18" x14ac:dyDescent="0.35">
      <c r="C5024" t="s">
        <v>53</v>
      </c>
      <c r="D5024" t="s">
        <v>21</v>
      </c>
      <c r="E5024" t="s">
        <v>45</v>
      </c>
      <c r="F5024" t="s">
        <v>46</v>
      </c>
      <c r="G5024" s="58">
        <v>92524</v>
      </c>
      <c r="H5024" s="1" t="s">
        <v>47</v>
      </c>
      <c r="I5024" s="1" t="s">
        <v>119</v>
      </c>
      <c r="J5024" s="58">
        <v>740192</v>
      </c>
      <c r="K5024" s="1" t="s">
        <v>106</v>
      </c>
      <c r="L5024" s="1" t="s">
        <v>124</v>
      </c>
      <c r="N5024" s="1">
        <v>1</v>
      </c>
      <c r="O5024" s="58"/>
      <c r="P5024" s="58">
        <v>53663.92</v>
      </c>
      <c r="Q5024" t="s">
        <v>113</v>
      </c>
      <c r="R5024" s="1" t="s">
        <v>158</v>
      </c>
    </row>
    <row r="5025" spans="3:18" x14ac:dyDescent="0.35">
      <c r="C5025" t="s">
        <v>53</v>
      </c>
      <c r="D5025" t="s">
        <v>21</v>
      </c>
      <c r="E5025" t="s">
        <v>49</v>
      </c>
      <c r="F5025" t="s">
        <v>46</v>
      </c>
      <c r="G5025" s="58">
        <v>3884012</v>
      </c>
      <c r="H5025" s="1" t="s">
        <v>54</v>
      </c>
      <c r="I5025" s="1" t="s">
        <v>105</v>
      </c>
      <c r="J5025" s="58">
        <v>7768024</v>
      </c>
      <c r="K5025" s="1" t="s">
        <v>106</v>
      </c>
      <c r="L5025" s="1" t="s">
        <v>124</v>
      </c>
      <c r="N5025" s="1">
        <v>1</v>
      </c>
      <c r="O5025" s="58"/>
      <c r="P5025" s="58">
        <v>1864325.76</v>
      </c>
      <c r="Q5025" t="s">
        <v>113</v>
      </c>
      <c r="R5025" s="1" t="s">
        <v>158</v>
      </c>
    </row>
    <row r="5026" spans="3:18" x14ac:dyDescent="0.35">
      <c r="C5026" t="s">
        <v>53</v>
      </c>
      <c r="D5026" t="s">
        <v>22</v>
      </c>
      <c r="E5026" t="s">
        <v>55</v>
      </c>
      <c r="F5026" t="s">
        <v>46</v>
      </c>
      <c r="G5026" s="58">
        <v>94931</v>
      </c>
      <c r="H5026" s="1" t="s">
        <v>47</v>
      </c>
      <c r="I5026" s="1" t="s">
        <v>119</v>
      </c>
      <c r="J5026" s="58">
        <v>854379</v>
      </c>
      <c r="K5026" s="1" t="s">
        <v>106</v>
      </c>
      <c r="L5026" s="1" t="s">
        <v>114</v>
      </c>
      <c r="N5026" s="1">
        <v>1</v>
      </c>
      <c r="O5026" s="58"/>
      <c r="P5026" s="58">
        <v>69299.63</v>
      </c>
      <c r="Q5026" t="s">
        <v>118</v>
      </c>
      <c r="R5026" s="1" t="s">
        <v>158</v>
      </c>
    </row>
    <row r="5027" spans="3:18" x14ac:dyDescent="0.35">
      <c r="C5027" t="s">
        <v>51</v>
      </c>
      <c r="D5027" t="s">
        <v>21</v>
      </c>
      <c r="E5027" t="s">
        <v>49</v>
      </c>
      <c r="F5027" t="s">
        <v>46</v>
      </c>
      <c r="G5027" s="58">
        <v>800529</v>
      </c>
      <c r="H5027" s="1" t="s">
        <v>59</v>
      </c>
      <c r="I5027" s="1" t="s">
        <v>111</v>
      </c>
      <c r="J5027" s="58">
        <v>11207406</v>
      </c>
      <c r="K5027" s="1" t="s">
        <v>106</v>
      </c>
      <c r="L5027" s="1" t="s">
        <v>120</v>
      </c>
      <c r="N5027" s="1">
        <v>1</v>
      </c>
      <c r="O5027" s="58"/>
      <c r="P5027" s="58">
        <v>272179.86</v>
      </c>
      <c r="Q5027" t="s">
        <v>107</v>
      </c>
      <c r="R5027" s="1" t="s">
        <v>158</v>
      </c>
    </row>
    <row r="5028" spans="3:18" x14ac:dyDescent="0.35">
      <c r="C5028" t="s">
        <v>53</v>
      </c>
      <c r="D5028" t="s">
        <v>22</v>
      </c>
      <c r="E5028" t="s">
        <v>45</v>
      </c>
      <c r="F5028" t="s">
        <v>46</v>
      </c>
      <c r="G5028" s="58">
        <v>3219212</v>
      </c>
      <c r="H5028" s="1" t="s">
        <v>56</v>
      </c>
      <c r="I5028" s="1" t="s">
        <v>119</v>
      </c>
      <c r="J5028" s="58">
        <v>22534484</v>
      </c>
      <c r="K5028" s="1" t="s">
        <v>106</v>
      </c>
      <c r="L5028" s="1" t="s">
        <v>120</v>
      </c>
      <c r="N5028" s="1">
        <v>1</v>
      </c>
      <c r="O5028" s="58"/>
      <c r="P5028" s="58">
        <v>965763.6</v>
      </c>
      <c r="Q5028" t="s">
        <v>107</v>
      </c>
      <c r="R5028" s="1" t="s">
        <v>158</v>
      </c>
    </row>
    <row r="5029" spans="3:18" x14ac:dyDescent="0.35">
      <c r="C5029" t="s">
        <v>51</v>
      </c>
      <c r="D5029" t="s">
        <v>91</v>
      </c>
      <c r="E5029" t="s">
        <v>49</v>
      </c>
      <c r="F5029" t="s">
        <v>46</v>
      </c>
      <c r="G5029" s="58">
        <v>22040404</v>
      </c>
      <c r="H5029" s="1" t="s">
        <v>48</v>
      </c>
      <c r="I5029" s="1" t="s">
        <v>111</v>
      </c>
      <c r="J5029" s="58">
        <v>352646464</v>
      </c>
      <c r="K5029" s="1" t="s">
        <v>106</v>
      </c>
      <c r="L5029" s="1" t="s">
        <v>124</v>
      </c>
      <c r="M5029" s="1" t="s">
        <v>122</v>
      </c>
      <c r="N5029" s="1">
        <v>1</v>
      </c>
      <c r="O5029" s="58"/>
      <c r="P5029" s="58">
        <v>5730505.04</v>
      </c>
      <c r="Q5029" t="s">
        <v>107</v>
      </c>
      <c r="R5029" s="1" t="s">
        <v>158</v>
      </c>
    </row>
    <row r="5030" spans="3:18" x14ac:dyDescent="0.35">
      <c r="C5030" t="s">
        <v>53</v>
      </c>
      <c r="D5030" t="s">
        <v>22</v>
      </c>
      <c r="E5030" t="s">
        <v>45</v>
      </c>
      <c r="F5030" t="s">
        <v>46</v>
      </c>
      <c r="G5030" s="58">
        <v>67343345</v>
      </c>
      <c r="H5030" s="1" t="s">
        <v>47</v>
      </c>
      <c r="I5030" s="1" t="s">
        <v>105</v>
      </c>
      <c r="J5030" s="58">
        <v>134686690</v>
      </c>
      <c r="K5030" s="1" t="s">
        <v>106</v>
      </c>
      <c r="L5030" s="1" t="s">
        <v>120</v>
      </c>
      <c r="N5030" s="1">
        <v>1</v>
      </c>
      <c r="O5030" s="58"/>
      <c r="P5030" s="58">
        <v>10774935.199999999</v>
      </c>
      <c r="Q5030" t="s">
        <v>107</v>
      </c>
      <c r="R5030" s="1" t="s">
        <v>158</v>
      </c>
    </row>
    <row r="5031" spans="3:18" x14ac:dyDescent="0.35">
      <c r="C5031" t="s">
        <v>51</v>
      </c>
      <c r="D5031" t="s">
        <v>20</v>
      </c>
      <c r="E5031" t="s">
        <v>49</v>
      </c>
      <c r="F5031" t="s">
        <v>46</v>
      </c>
      <c r="G5031" s="58">
        <v>1476970</v>
      </c>
      <c r="H5031" s="1" t="s">
        <v>54</v>
      </c>
      <c r="I5031" s="1" t="s">
        <v>111</v>
      </c>
      <c r="J5031" s="58">
        <v>26585460</v>
      </c>
      <c r="K5031" s="1" t="s">
        <v>106</v>
      </c>
      <c r="L5031" s="1" t="s">
        <v>124</v>
      </c>
      <c r="N5031" s="1">
        <v>1</v>
      </c>
      <c r="O5031" s="58"/>
      <c r="P5031" s="58">
        <v>1255424.5</v>
      </c>
      <c r="Q5031" t="s">
        <v>127</v>
      </c>
      <c r="R5031" s="1" t="s">
        <v>158</v>
      </c>
    </row>
    <row r="5032" spans="3:18" x14ac:dyDescent="0.35">
      <c r="C5032" t="s">
        <v>51</v>
      </c>
      <c r="D5032" t="s">
        <v>91</v>
      </c>
      <c r="E5032" t="s">
        <v>49</v>
      </c>
      <c r="F5032" t="s">
        <v>46</v>
      </c>
      <c r="G5032" s="58">
        <v>1104214</v>
      </c>
      <c r="H5032" s="1" t="s">
        <v>48</v>
      </c>
      <c r="I5032" s="1" t="s">
        <v>108</v>
      </c>
      <c r="J5032" s="58">
        <v>36439062</v>
      </c>
      <c r="K5032" s="1" t="s">
        <v>106</v>
      </c>
      <c r="L5032" s="1" t="s">
        <v>120</v>
      </c>
      <c r="M5032" s="1" t="s">
        <v>125</v>
      </c>
      <c r="N5032" s="1">
        <v>1</v>
      </c>
      <c r="O5032" s="58"/>
      <c r="P5032" s="58">
        <v>552107</v>
      </c>
      <c r="Q5032" t="s">
        <v>113</v>
      </c>
      <c r="R5032" s="1" t="s">
        <v>158</v>
      </c>
    </row>
    <row r="5033" spans="3:18" x14ac:dyDescent="0.35">
      <c r="C5033" t="s">
        <v>51</v>
      </c>
      <c r="D5033" t="s">
        <v>23</v>
      </c>
      <c r="E5033" t="s">
        <v>55</v>
      </c>
      <c r="F5033" t="s">
        <v>46</v>
      </c>
      <c r="G5033" s="58">
        <v>569577</v>
      </c>
      <c r="H5033" s="1" t="s">
        <v>48</v>
      </c>
      <c r="I5033" s="1" t="s">
        <v>108</v>
      </c>
      <c r="J5033" s="58">
        <v>13669848</v>
      </c>
      <c r="K5033" s="1" t="s">
        <v>106</v>
      </c>
      <c r="L5033" s="1" t="s">
        <v>124</v>
      </c>
      <c r="M5033" s="1" t="s">
        <v>126</v>
      </c>
      <c r="N5033" s="1">
        <v>1</v>
      </c>
      <c r="O5033" s="58"/>
      <c r="P5033" s="58">
        <v>410095.44</v>
      </c>
      <c r="Q5033" t="s">
        <v>118</v>
      </c>
      <c r="R5033" s="1" t="s">
        <v>158</v>
      </c>
    </row>
    <row r="5034" spans="3:18" x14ac:dyDescent="0.35">
      <c r="C5034" t="s">
        <v>51</v>
      </c>
      <c r="D5034" t="s">
        <v>22</v>
      </c>
      <c r="E5034" t="s">
        <v>45</v>
      </c>
      <c r="F5034" t="s">
        <v>46</v>
      </c>
      <c r="G5034" s="58">
        <v>108543</v>
      </c>
      <c r="H5034" s="1" t="s">
        <v>54</v>
      </c>
      <c r="I5034" s="1" t="s">
        <v>128</v>
      </c>
      <c r="J5034" s="58"/>
      <c r="K5034" s="1" t="s">
        <v>106</v>
      </c>
      <c r="L5034" s="1" t="s">
        <v>120</v>
      </c>
      <c r="N5034" s="1">
        <v>0</v>
      </c>
      <c r="O5034" s="58"/>
      <c r="P5034" s="58">
        <v>16281.45</v>
      </c>
      <c r="Q5034" t="s">
        <v>107</v>
      </c>
      <c r="R5034" s="1" t="s">
        <v>158</v>
      </c>
    </row>
    <row r="5035" spans="3:18" x14ac:dyDescent="0.35">
      <c r="C5035" t="s">
        <v>51</v>
      </c>
      <c r="D5035" t="s">
        <v>22</v>
      </c>
      <c r="E5035" t="s">
        <v>62</v>
      </c>
      <c r="F5035" t="s">
        <v>46</v>
      </c>
      <c r="G5035" s="58">
        <v>175464</v>
      </c>
      <c r="H5035" s="1" t="s">
        <v>48</v>
      </c>
      <c r="I5035" s="1" t="s">
        <v>108</v>
      </c>
      <c r="J5035" s="58">
        <v>5088456</v>
      </c>
      <c r="K5035" s="1" t="s">
        <v>106</v>
      </c>
      <c r="L5035" s="1" t="s">
        <v>131</v>
      </c>
      <c r="M5035" s="1" t="s">
        <v>115</v>
      </c>
      <c r="N5035" s="1">
        <v>1</v>
      </c>
      <c r="O5035" s="58"/>
      <c r="P5035" s="58">
        <v>45620.639999999999</v>
      </c>
      <c r="Q5035" t="s">
        <v>107</v>
      </c>
      <c r="R5035" s="1" t="s">
        <v>48</v>
      </c>
    </row>
    <row r="5036" spans="3:18" x14ac:dyDescent="0.35">
      <c r="C5036" t="s">
        <v>51</v>
      </c>
      <c r="D5036" t="s">
        <v>22</v>
      </c>
      <c r="E5036" t="s">
        <v>45</v>
      </c>
      <c r="F5036" t="s">
        <v>46</v>
      </c>
      <c r="G5036" s="58">
        <v>17015</v>
      </c>
      <c r="H5036" s="1" t="s">
        <v>47</v>
      </c>
      <c r="I5036" s="1" t="s">
        <v>105</v>
      </c>
      <c r="J5036" s="58">
        <v>68060</v>
      </c>
      <c r="K5036" s="1" t="s">
        <v>106</v>
      </c>
      <c r="L5036" s="1" t="s">
        <v>109</v>
      </c>
      <c r="N5036" s="1">
        <v>1</v>
      </c>
      <c r="O5036" s="58"/>
      <c r="P5036" s="58">
        <v>6295.55</v>
      </c>
      <c r="Q5036" t="s">
        <v>107</v>
      </c>
      <c r="R5036" s="1" t="s">
        <v>158</v>
      </c>
    </row>
    <row r="5037" spans="3:18" x14ac:dyDescent="0.35">
      <c r="C5037" t="s">
        <v>53</v>
      </c>
      <c r="D5037" t="s">
        <v>24</v>
      </c>
      <c r="E5037" t="s">
        <v>50</v>
      </c>
      <c r="F5037" t="s">
        <v>46</v>
      </c>
      <c r="G5037" s="58">
        <v>258863</v>
      </c>
      <c r="H5037" s="1" t="s">
        <v>47</v>
      </c>
      <c r="I5037" s="1" t="s">
        <v>119</v>
      </c>
      <c r="J5037" s="58">
        <v>2588630</v>
      </c>
      <c r="K5037" s="1" t="s">
        <v>106</v>
      </c>
      <c r="L5037" s="1" t="s">
        <v>120</v>
      </c>
      <c r="N5037" s="1">
        <v>1</v>
      </c>
      <c r="O5037" s="58"/>
      <c r="P5037" s="58">
        <v>80247.53</v>
      </c>
      <c r="Q5037" t="s">
        <v>107</v>
      </c>
      <c r="R5037" s="1" t="s">
        <v>158</v>
      </c>
    </row>
    <row r="5038" spans="3:18" x14ac:dyDescent="0.35">
      <c r="C5038" t="s">
        <v>51</v>
      </c>
      <c r="D5038" t="s">
        <v>22</v>
      </c>
      <c r="E5038" t="s">
        <v>49</v>
      </c>
      <c r="F5038" t="s">
        <v>46</v>
      </c>
      <c r="G5038" s="58">
        <v>3099854</v>
      </c>
      <c r="H5038" s="1" t="s">
        <v>47</v>
      </c>
      <c r="I5038" s="1" t="s">
        <v>108</v>
      </c>
      <c r="J5038" s="58">
        <v>80596204</v>
      </c>
      <c r="K5038" s="1" t="s">
        <v>106</v>
      </c>
      <c r="L5038" s="1" t="s">
        <v>124</v>
      </c>
      <c r="N5038" s="1">
        <v>1</v>
      </c>
      <c r="O5038" s="58"/>
      <c r="P5038" s="58">
        <v>4401792.68</v>
      </c>
      <c r="Q5038" t="s">
        <v>110</v>
      </c>
      <c r="R5038" s="1" t="s">
        <v>158</v>
      </c>
    </row>
    <row r="5039" spans="3:18" x14ac:dyDescent="0.35">
      <c r="C5039" t="s">
        <v>51</v>
      </c>
      <c r="D5039" t="s">
        <v>19</v>
      </c>
      <c r="E5039" t="s">
        <v>49</v>
      </c>
      <c r="F5039" t="s">
        <v>46</v>
      </c>
      <c r="G5039" s="58">
        <v>118002</v>
      </c>
      <c r="H5039" s="1" t="s">
        <v>47</v>
      </c>
      <c r="I5039" s="1" t="s">
        <v>119</v>
      </c>
      <c r="J5039" s="58">
        <v>944016</v>
      </c>
      <c r="K5039" s="1" t="s">
        <v>112</v>
      </c>
      <c r="N5039" s="1">
        <v>1</v>
      </c>
      <c r="O5039" s="58"/>
      <c r="P5039" s="58">
        <v>21240.36</v>
      </c>
      <c r="Q5039" t="s">
        <v>107</v>
      </c>
      <c r="R5039" s="1" t="s">
        <v>158</v>
      </c>
    </row>
    <row r="5040" spans="3:18" x14ac:dyDescent="0.35">
      <c r="C5040" t="s">
        <v>51</v>
      </c>
      <c r="D5040" t="s">
        <v>21</v>
      </c>
      <c r="E5040" t="s">
        <v>49</v>
      </c>
      <c r="F5040" t="s">
        <v>46</v>
      </c>
      <c r="G5040" s="58">
        <v>1837443</v>
      </c>
      <c r="H5040" s="1" t="s">
        <v>59</v>
      </c>
      <c r="I5040" s="1" t="s">
        <v>119</v>
      </c>
      <c r="J5040" s="58">
        <v>14699544</v>
      </c>
      <c r="K5040" s="1" t="s">
        <v>106</v>
      </c>
      <c r="L5040" s="1" t="s">
        <v>124</v>
      </c>
      <c r="N5040" s="1">
        <v>1</v>
      </c>
      <c r="O5040" s="58"/>
      <c r="P5040" s="58">
        <v>1212712.3799999999</v>
      </c>
      <c r="Q5040" t="s">
        <v>118</v>
      </c>
      <c r="R5040" s="1" t="s">
        <v>158</v>
      </c>
    </row>
    <row r="5041" spans="3:18" x14ac:dyDescent="0.35">
      <c r="C5041" t="s">
        <v>51</v>
      </c>
      <c r="D5041" t="s">
        <v>24</v>
      </c>
      <c r="E5041" t="s">
        <v>49</v>
      </c>
      <c r="F5041" t="s">
        <v>46</v>
      </c>
      <c r="G5041" s="58">
        <v>44990</v>
      </c>
      <c r="H5041" s="1" t="s">
        <v>48</v>
      </c>
      <c r="I5041" s="1" t="s">
        <v>108</v>
      </c>
      <c r="J5041" s="58">
        <v>1349700</v>
      </c>
      <c r="K5041" s="1" t="s">
        <v>106</v>
      </c>
      <c r="L5041" s="1" t="s">
        <v>120</v>
      </c>
      <c r="M5041" s="1" t="s">
        <v>121</v>
      </c>
      <c r="N5041" s="1">
        <v>1</v>
      </c>
      <c r="O5041" s="58"/>
      <c r="P5041" s="58">
        <v>67485</v>
      </c>
      <c r="Q5041" t="s">
        <v>110</v>
      </c>
      <c r="R5041" s="1" t="s">
        <v>48</v>
      </c>
    </row>
    <row r="5042" spans="3:18" x14ac:dyDescent="0.35">
      <c r="C5042" t="s">
        <v>53</v>
      </c>
      <c r="D5042" t="s">
        <v>20</v>
      </c>
      <c r="E5042" t="s">
        <v>45</v>
      </c>
      <c r="F5042" t="s">
        <v>46</v>
      </c>
      <c r="G5042" s="58">
        <v>2210862</v>
      </c>
      <c r="H5042" s="1" t="s">
        <v>54</v>
      </c>
      <c r="I5042" s="1" t="s">
        <v>119</v>
      </c>
      <c r="J5042" s="58">
        <v>19897758</v>
      </c>
      <c r="K5042" s="1" t="s">
        <v>106</v>
      </c>
      <c r="L5042" s="1" t="s">
        <v>120</v>
      </c>
      <c r="N5042" s="1">
        <v>1</v>
      </c>
      <c r="O5042" s="58"/>
      <c r="P5042" s="58">
        <v>1370734.44</v>
      </c>
      <c r="Q5042" t="s">
        <v>118</v>
      </c>
      <c r="R5042" s="1" t="s">
        <v>158</v>
      </c>
    </row>
    <row r="5043" spans="3:18" x14ac:dyDescent="0.35">
      <c r="C5043" t="s">
        <v>51</v>
      </c>
      <c r="D5043" t="s">
        <v>21</v>
      </c>
      <c r="E5043" t="s">
        <v>45</v>
      </c>
      <c r="F5043" t="s">
        <v>46</v>
      </c>
      <c r="G5043" s="58">
        <v>83738</v>
      </c>
      <c r="H5043" s="1" t="s">
        <v>47</v>
      </c>
      <c r="I5043" s="1" t="s">
        <v>111</v>
      </c>
      <c r="J5043" s="58">
        <v>1172332</v>
      </c>
      <c r="K5043" s="1" t="s">
        <v>112</v>
      </c>
      <c r="N5043" s="1">
        <v>1</v>
      </c>
      <c r="O5043" s="58"/>
      <c r="P5043" s="58">
        <v>29308.3</v>
      </c>
      <c r="Q5043" t="s">
        <v>107</v>
      </c>
      <c r="R5043" s="1" t="s">
        <v>158</v>
      </c>
    </row>
    <row r="5044" spans="3:18" x14ac:dyDescent="0.35">
      <c r="C5044" t="s">
        <v>51</v>
      </c>
      <c r="D5044" t="s">
        <v>23</v>
      </c>
      <c r="E5044" t="s">
        <v>62</v>
      </c>
      <c r="F5044" t="s">
        <v>64</v>
      </c>
      <c r="G5044" s="58">
        <v>120724</v>
      </c>
      <c r="H5044" s="1" t="s">
        <v>48</v>
      </c>
      <c r="I5044" s="1" t="s">
        <v>108</v>
      </c>
      <c r="J5044" s="58">
        <v>3742444</v>
      </c>
      <c r="K5044" s="1" t="s">
        <v>112</v>
      </c>
      <c r="N5044" s="1">
        <v>1</v>
      </c>
      <c r="O5044" s="58"/>
      <c r="P5044" s="58">
        <v>37424.44</v>
      </c>
      <c r="Q5044" t="s">
        <v>107</v>
      </c>
      <c r="R5044" s="1" t="s">
        <v>48</v>
      </c>
    </row>
    <row r="5045" spans="3:18" x14ac:dyDescent="0.35">
      <c r="C5045" t="s">
        <v>53</v>
      </c>
      <c r="D5045" t="s">
        <v>22</v>
      </c>
      <c r="E5045" t="s">
        <v>45</v>
      </c>
      <c r="F5045" t="s">
        <v>46</v>
      </c>
      <c r="G5045" s="58">
        <v>17603560</v>
      </c>
      <c r="H5045" s="1" t="s">
        <v>47</v>
      </c>
      <c r="I5045" s="1" t="s">
        <v>119</v>
      </c>
      <c r="J5045" s="58">
        <v>123224920</v>
      </c>
      <c r="K5045" s="1" t="s">
        <v>106</v>
      </c>
      <c r="L5045" s="1" t="s">
        <v>120</v>
      </c>
      <c r="N5045" s="1">
        <v>1</v>
      </c>
      <c r="O5045" s="58"/>
      <c r="P5045" s="58">
        <v>8801780</v>
      </c>
      <c r="Q5045" t="s">
        <v>113</v>
      </c>
      <c r="R5045" s="1" t="s">
        <v>158</v>
      </c>
    </row>
    <row r="5046" spans="3:18" x14ac:dyDescent="0.35">
      <c r="C5046" t="s">
        <v>51</v>
      </c>
      <c r="D5046" t="s">
        <v>22</v>
      </c>
      <c r="E5046" t="s">
        <v>49</v>
      </c>
      <c r="F5046" t="s">
        <v>46</v>
      </c>
      <c r="G5046" s="58">
        <v>402720</v>
      </c>
      <c r="H5046" s="1" t="s">
        <v>48</v>
      </c>
      <c r="I5046" s="1" t="s">
        <v>108</v>
      </c>
      <c r="J5046" s="58">
        <v>11678880</v>
      </c>
      <c r="K5046" s="1" t="s">
        <v>106</v>
      </c>
      <c r="L5046" s="1" t="s">
        <v>124</v>
      </c>
      <c r="M5046" s="1" t="s">
        <v>126</v>
      </c>
      <c r="N5046" s="1">
        <v>1</v>
      </c>
      <c r="O5046" s="58"/>
      <c r="P5046" s="58">
        <v>273849.59999999998</v>
      </c>
      <c r="Q5046" t="s">
        <v>118</v>
      </c>
      <c r="R5046" s="1" t="s">
        <v>48</v>
      </c>
    </row>
    <row r="5047" spans="3:18" x14ac:dyDescent="0.35">
      <c r="C5047" t="s">
        <v>51</v>
      </c>
      <c r="D5047" t="s">
        <v>91</v>
      </c>
      <c r="E5047" t="s">
        <v>49</v>
      </c>
      <c r="F5047" t="s">
        <v>46</v>
      </c>
      <c r="G5047" s="58">
        <v>52640182</v>
      </c>
      <c r="H5047" s="1" t="s">
        <v>48</v>
      </c>
      <c r="I5047" s="1" t="s">
        <v>105</v>
      </c>
      <c r="J5047" s="58">
        <v>52640182</v>
      </c>
      <c r="K5047" s="1" t="s">
        <v>106</v>
      </c>
      <c r="L5047" s="1" t="s">
        <v>124</v>
      </c>
      <c r="M5047" s="1" t="s">
        <v>122</v>
      </c>
      <c r="N5047" s="1">
        <v>1</v>
      </c>
      <c r="O5047" s="58"/>
      <c r="P5047" s="58">
        <v>27899296.460000001</v>
      </c>
      <c r="Q5047" t="s">
        <v>113</v>
      </c>
      <c r="R5047" s="1" t="s">
        <v>158</v>
      </c>
    </row>
    <row r="5048" spans="3:18" x14ac:dyDescent="0.35">
      <c r="C5048" t="s">
        <v>53</v>
      </c>
      <c r="D5048" t="s">
        <v>22</v>
      </c>
      <c r="E5048" t="s">
        <v>49</v>
      </c>
      <c r="F5048" t="s">
        <v>46</v>
      </c>
      <c r="G5048" s="58">
        <v>1425848</v>
      </c>
      <c r="H5048" s="1" t="s">
        <v>54</v>
      </c>
      <c r="I5048" s="1" t="s">
        <v>111</v>
      </c>
      <c r="J5048" s="58">
        <v>19961872</v>
      </c>
      <c r="K5048" s="1" t="s">
        <v>106</v>
      </c>
      <c r="L5048" s="1" t="s">
        <v>124</v>
      </c>
      <c r="N5048" s="1">
        <v>1</v>
      </c>
      <c r="O5048" s="58"/>
      <c r="P5048" s="58">
        <v>356462</v>
      </c>
      <c r="Q5048" t="s">
        <v>107</v>
      </c>
      <c r="R5048" s="1" t="s">
        <v>158</v>
      </c>
    </row>
    <row r="5049" spans="3:18" x14ac:dyDescent="0.35">
      <c r="C5049" t="s">
        <v>53</v>
      </c>
      <c r="D5049" t="s">
        <v>21</v>
      </c>
      <c r="E5049" t="s">
        <v>45</v>
      </c>
      <c r="F5049" t="s">
        <v>46</v>
      </c>
      <c r="G5049" s="58">
        <v>8563239</v>
      </c>
      <c r="H5049" s="1" t="s">
        <v>48</v>
      </c>
      <c r="I5049" s="1" t="s">
        <v>111</v>
      </c>
      <c r="J5049" s="58">
        <v>102758868</v>
      </c>
      <c r="K5049" s="1" t="s">
        <v>106</v>
      </c>
      <c r="L5049" s="1" t="s">
        <v>120</v>
      </c>
      <c r="M5049" s="1" t="s">
        <v>126</v>
      </c>
      <c r="N5049" s="1">
        <v>1</v>
      </c>
      <c r="O5049" s="58"/>
      <c r="P5049" s="58">
        <v>5823002.5199999996</v>
      </c>
      <c r="Q5049" t="s">
        <v>118</v>
      </c>
      <c r="R5049" s="1" t="s">
        <v>158</v>
      </c>
    </row>
    <row r="5050" spans="3:18" x14ac:dyDescent="0.35">
      <c r="C5050" t="s">
        <v>51</v>
      </c>
      <c r="D5050" t="s">
        <v>22</v>
      </c>
      <c r="E5050" t="s">
        <v>45</v>
      </c>
      <c r="F5050" t="s">
        <v>46</v>
      </c>
      <c r="G5050" s="58">
        <v>54098538</v>
      </c>
      <c r="H5050" s="1" t="s">
        <v>59</v>
      </c>
      <c r="I5050" s="1" t="s">
        <v>119</v>
      </c>
      <c r="J5050" s="58">
        <v>378689766</v>
      </c>
      <c r="K5050" s="1" t="s">
        <v>106</v>
      </c>
      <c r="L5050" s="1" t="s">
        <v>120</v>
      </c>
      <c r="N5050" s="1">
        <v>1</v>
      </c>
      <c r="O5050" s="58"/>
      <c r="P5050" s="58">
        <v>12983649.119999999</v>
      </c>
      <c r="Q5050" t="s">
        <v>107</v>
      </c>
      <c r="R5050" s="1" t="s">
        <v>158</v>
      </c>
    </row>
    <row r="5051" spans="3:18" x14ac:dyDescent="0.35">
      <c r="C5051" t="s">
        <v>51</v>
      </c>
      <c r="D5051" t="s">
        <v>20</v>
      </c>
      <c r="E5051" t="s">
        <v>55</v>
      </c>
      <c r="F5051" t="s">
        <v>46</v>
      </c>
      <c r="G5051" s="58">
        <v>348170</v>
      </c>
      <c r="H5051" s="1" t="s">
        <v>48</v>
      </c>
      <c r="I5051" s="1" t="s">
        <v>108</v>
      </c>
      <c r="J5051" s="58">
        <v>11837780</v>
      </c>
      <c r="K5051" s="1" t="s">
        <v>106</v>
      </c>
      <c r="L5051" s="1" t="s">
        <v>114</v>
      </c>
      <c r="M5051" s="1" t="s">
        <v>123</v>
      </c>
      <c r="N5051" s="1">
        <v>1</v>
      </c>
      <c r="O5051" s="58"/>
      <c r="P5051" s="58">
        <v>282017.7</v>
      </c>
      <c r="Q5051" t="s">
        <v>127</v>
      </c>
      <c r="R5051" s="1" t="s">
        <v>48</v>
      </c>
    </row>
    <row r="5052" spans="3:18" x14ac:dyDescent="0.35">
      <c r="C5052" t="s">
        <v>53</v>
      </c>
      <c r="D5052" t="s">
        <v>25</v>
      </c>
      <c r="E5052" t="s">
        <v>45</v>
      </c>
      <c r="F5052" t="s">
        <v>46</v>
      </c>
      <c r="G5052" s="58">
        <v>917779</v>
      </c>
      <c r="H5052" s="1" t="s">
        <v>54</v>
      </c>
      <c r="I5052" s="1" t="s">
        <v>119</v>
      </c>
      <c r="J5052" s="58">
        <v>5506674</v>
      </c>
      <c r="K5052" s="1" t="s">
        <v>106</v>
      </c>
      <c r="L5052" s="1" t="s">
        <v>120</v>
      </c>
      <c r="N5052" s="1">
        <v>1</v>
      </c>
      <c r="O5052" s="58"/>
      <c r="P5052" s="58">
        <v>201911.38</v>
      </c>
      <c r="Q5052" t="s">
        <v>107</v>
      </c>
      <c r="R5052" s="1" t="s">
        <v>158</v>
      </c>
    </row>
    <row r="5053" spans="3:18" x14ac:dyDescent="0.35">
      <c r="C5053" t="s">
        <v>51</v>
      </c>
      <c r="D5053" t="s">
        <v>24</v>
      </c>
      <c r="E5053" t="s">
        <v>50</v>
      </c>
      <c r="F5053" t="s">
        <v>46</v>
      </c>
      <c r="G5053" s="58">
        <v>101755</v>
      </c>
      <c r="H5053" s="1" t="s">
        <v>48</v>
      </c>
      <c r="I5053" s="1" t="s">
        <v>111</v>
      </c>
      <c r="J5053" s="58">
        <v>1221060</v>
      </c>
      <c r="K5053" s="1" t="s">
        <v>106</v>
      </c>
      <c r="L5053" s="1" t="s">
        <v>120</v>
      </c>
      <c r="M5053" s="1" t="s">
        <v>121</v>
      </c>
      <c r="N5053" s="1">
        <v>1</v>
      </c>
      <c r="O5053" s="58"/>
      <c r="P5053" s="58">
        <v>27473.85</v>
      </c>
      <c r="Q5053" t="s">
        <v>107</v>
      </c>
      <c r="R5053" s="1" t="s">
        <v>48</v>
      </c>
    </row>
    <row r="5054" spans="3:18" x14ac:dyDescent="0.35">
      <c r="C5054" t="s">
        <v>51</v>
      </c>
      <c r="D5054" t="s">
        <v>23</v>
      </c>
      <c r="E5054" t="s">
        <v>52</v>
      </c>
      <c r="F5054" t="s">
        <v>64</v>
      </c>
      <c r="G5054" s="58">
        <v>780630</v>
      </c>
      <c r="H5054" s="1" t="s">
        <v>48</v>
      </c>
      <c r="I5054" s="1" t="s">
        <v>108</v>
      </c>
      <c r="J5054" s="58">
        <v>23418900</v>
      </c>
      <c r="K5054" s="1" t="s">
        <v>112</v>
      </c>
      <c r="N5054" s="1">
        <v>1</v>
      </c>
      <c r="O5054" s="58"/>
      <c r="P5054" s="58">
        <v>663535.5</v>
      </c>
      <c r="Q5054" t="s">
        <v>127</v>
      </c>
      <c r="R5054" s="1" t="s">
        <v>48</v>
      </c>
    </row>
    <row r="5055" spans="3:18" x14ac:dyDescent="0.35">
      <c r="C5055" t="s">
        <v>51</v>
      </c>
      <c r="D5055" t="s">
        <v>25</v>
      </c>
      <c r="E5055" t="s">
        <v>50</v>
      </c>
      <c r="F5055" t="s">
        <v>46</v>
      </c>
      <c r="G5055" s="58">
        <v>66694</v>
      </c>
      <c r="H5055" s="1" t="s">
        <v>48</v>
      </c>
      <c r="I5055" s="1" t="s">
        <v>111</v>
      </c>
      <c r="J5055" s="58">
        <v>1200492</v>
      </c>
      <c r="K5055" s="1" t="s">
        <v>106</v>
      </c>
      <c r="L5055" s="1" t="s">
        <v>109</v>
      </c>
      <c r="M5055" s="1" t="s">
        <v>117</v>
      </c>
      <c r="N5055" s="1">
        <v>1</v>
      </c>
      <c r="O5055" s="58"/>
      <c r="P5055" s="58">
        <v>42017.22</v>
      </c>
      <c r="Q5055" t="s">
        <v>118</v>
      </c>
      <c r="R5055" s="1" t="s">
        <v>158</v>
      </c>
    </row>
    <row r="5056" spans="3:18" x14ac:dyDescent="0.35">
      <c r="C5056" t="s">
        <v>51</v>
      </c>
      <c r="D5056" t="s">
        <v>22</v>
      </c>
      <c r="E5056" t="s">
        <v>45</v>
      </c>
      <c r="F5056" t="s">
        <v>46</v>
      </c>
      <c r="G5056" s="58">
        <v>435426</v>
      </c>
      <c r="H5056" s="1" t="s">
        <v>48</v>
      </c>
      <c r="I5056" s="1" t="s">
        <v>108</v>
      </c>
      <c r="J5056" s="58">
        <v>14804484</v>
      </c>
      <c r="K5056" s="1" t="s">
        <v>106</v>
      </c>
      <c r="L5056" s="1" t="s">
        <v>124</v>
      </c>
      <c r="M5056" s="1" t="s">
        <v>115</v>
      </c>
      <c r="N5056" s="1">
        <v>1</v>
      </c>
      <c r="O5056" s="58"/>
      <c r="P5056" s="58">
        <v>357049.32</v>
      </c>
      <c r="Q5056" t="s">
        <v>127</v>
      </c>
      <c r="R5056" s="1" t="s">
        <v>158</v>
      </c>
    </row>
    <row r="5057" spans="3:18" x14ac:dyDescent="0.35">
      <c r="C5057" t="s">
        <v>51</v>
      </c>
      <c r="D5057" t="s">
        <v>24</v>
      </c>
      <c r="E5057" t="s">
        <v>50</v>
      </c>
      <c r="F5057" t="s">
        <v>46</v>
      </c>
      <c r="G5057" s="58">
        <v>261010</v>
      </c>
      <c r="H5057" s="1" t="s">
        <v>48</v>
      </c>
      <c r="I5057" s="1" t="s">
        <v>111</v>
      </c>
      <c r="J5057" s="58">
        <v>4698180</v>
      </c>
      <c r="K5057" s="1" t="s">
        <v>106</v>
      </c>
      <c r="L5057" s="1" t="s">
        <v>120</v>
      </c>
      <c r="M5057" s="1" t="s">
        <v>121</v>
      </c>
      <c r="N5057" s="1">
        <v>1</v>
      </c>
      <c r="O5057" s="58"/>
      <c r="P5057" s="58">
        <v>127894.9</v>
      </c>
      <c r="Q5057" t="s">
        <v>113</v>
      </c>
      <c r="R5057" s="1" t="s">
        <v>48</v>
      </c>
    </row>
    <row r="5058" spans="3:18" x14ac:dyDescent="0.35">
      <c r="C5058" t="s">
        <v>51</v>
      </c>
      <c r="D5058" t="s">
        <v>23</v>
      </c>
      <c r="E5058" t="s">
        <v>45</v>
      </c>
      <c r="F5058" t="s">
        <v>46</v>
      </c>
      <c r="G5058" s="58">
        <v>739716</v>
      </c>
      <c r="H5058" s="1" t="s">
        <v>56</v>
      </c>
      <c r="I5058" s="1" t="s">
        <v>111</v>
      </c>
      <c r="J5058" s="58">
        <v>11095740</v>
      </c>
      <c r="K5058" s="1" t="s">
        <v>112</v>
      </c>
      <c r="N5058" s="1">
        <v>1</v>
      </c>
      <c r="O5058" s="58"/>
      <c r="P5058" s="58">
        <v>473418.23999999999</v>
      </c>
      <c r="Q5058" t="s">
        <v>118</v>
      </c>
      <c r="R5058" s="1" t="s">
        <v>158</v>
      </c>
    </row>
    <row r="5059" spans="3:18" x14ac:dyDescent="0.35">
      <c r="C5059" t="s">
        <v>51</v>
      </c>
      <c r="D5059" t="s">
        <v>21</v>
      </c>
      <c r="E5059" t="s">
        <v>45</v>
      </c>
      <c r="F5059" t="s">
        <v>46</v>
      </c>
      <c r="G5059" s="58">
        <v>13300</v>
      </c>
      <c r="H5059" s="1" t="s">
        <v>48</v>
      </c>
      <c r="I5059" s="1" t="s">
        <v>105</v>
      </c>
      <c r="J5059" s="58">
        <v>26600</v>
      </c>
      <c r="K5059" s="1" t="s">
        <v>106</v>
      </c>
      <c r="L5059" s="1" t="s">
        <v>120</v>
      </c>
      <c r="M5059" s="1" t="s">
        <v>115</v>
      </c>
      <c r="N5059" s="1">
        <v>1</v>
      </c>
      <c r="O5059" s="58"/>
      <c r="P5059" s="58">
        <v>1330</v>
      </c>
      <c r="Q5059" t="s">
        <v>107</v>
      </c>
      <c r="R5059" s="1" t="s">
        <v>158</v>
      </c>
    </row>
    <row r="5060" spans="3:18" x14ac:dyDescent="0.35">
      <c r="C5060" t="s">
        <v>51</v>
      </c>
      <c r="D5060" t="s">
        <v>24</v>
      </c>
      <c r="E5060" t="s">
        <v>50</v>
      </c>
      <c r="F5060" t="s">
        <v>46</v>
      </c>
      <c r="G5060" s="58">
        <v>403815</v>
      </c>
      <c r="H5060" s="1" t="s">
        <v>48</v>
      </c>
      <c r="I5060" s="1" t="s">
        <v>119</v>
      </c>
      <c r="J5060" s="58">
        <v>3230520</v>
      </c>
      <c r="K5060" s="1" t="s">
        <v>106</v>
      </c>
      <c r="L5060" s="1" t="s">
        <v>109</v>
      </c>
      <c r="M5060" s="1" t="s">
        <v>121</v>
      </c>
      <c r="N5060" s="1">
        <v>1</v>
      </c>
      <c r="O5060" s="58"/>
      <c r="P5060" s="58">
        <v>177678.6</v>
      </c>
      <c r="Q5060" t="s">
        <v>113</v>
      </c>
      <c r="R5060" s="1" t="s">
        <v>158</v>
      </c>
    </row>
    <row r="5061" spans="3:18" x14ac:dyDescent="0.35">
      <c r="C5061" t="s">
        <v>51</v>
      </c>
      <c r="D5061" t="s">
        <v>23</v>
      </c>
      <c r="E5061" t="s">
        <v>55</v>
      </c>
      <c r="F5061" t="s">
        <v>46</v>
      </c>
      <c r="G5061" s="58">
        <v>326592</v>
      </c>
      <c r="H5061" s="1" t="s">
        <v>48</v>
      </c>
      <c r="I5061" s="1" t="s">
        <v>111</v>
      </c>
      <c r="J5061" s="58">
        <v>5552064</v>
      </c>
      <c r="K5061" s="1" t="s">
        <v>106</v>
      </c>
      <c r="L5061" s="1" t="s">
        <v>120</v>
      </c>
      <c r="M5061" s="1" t="s">
        <v>125</v>
      </c>
      <c r="N5061" s="1">
        <v>1</v>
      </c>
      <c r="O5061" s="58"/>
      <c r="P5061" s="58">
        <v>75116.160000000003</v>
      </c>
      <c r="Q5061" t="s">
        <v>107</v>
      </c>
      <c r="R5061" s="1" t="s">
        <v>48</v>
      </c>
    </row>
    <row r="5062" spans="3:18" x14ac:dyDescent="0.35">
      <c r="C5062" t="s">
        <v>51</v>
      </c>
      <c r="D5062" t="s">
        <v>22</v>
      </c>
      <c r="E5062" t="s">
        <v>45</v>
      </c>
      <c r="F5062" t="s">
        <v>46</v>
      </c>
      <c r="G5062" s="58">
        <v>424441</v>
      </c>
      <c r="H5062" s="1" t="s">
        <v>47</v>
      </c>
      <c r="I5062" s="1" t="s">
        <v>119</v>
      </c>
      <c r="J5062" s="58">
        <v>3819969</v>
      </c>
      <c r="K5062" s="1" t="s">
        <v>106</v>
      </c>
      <c r="L5062" s="1" t="s">
        <v>120</v>
      </c>
      <c r="N5062" s="1">
        <v>1</v>
      </c>
      <c r="O5062" s="58"/>
      <c r="P5062" s="58">
        <v>377752.49</v>
      </c>
      <c r="Q5062" t="s">
        <v>127</v>
      </c>
      <c r="R5062" s="1" t="s">
        <v>158</v>
      </c>
    </row>
    <row r="5063" spans="3:18" x14ac:dyDescent="0.35">
      <c r="C5063" t="s">
        <v>51</v>
      </c>
      <c r="D5063" t="s">
        <v>92</v>
      </c>
      <c r="E5063" t="s">
        <v>49</v>
      </c>
      <c r="F5063" t="s">
        <v>64</v>
      </c>
      <c r="G5063" s="58">
        <v>98571</v>
      </c>
      <c r="H5063" s="1" t="s">
        <v>47</v>
      </c>
      <c r="I5063" s="1" t="s">
        <v>119</v>
      </c>
      <c r="J5063" s="58">
        <v>591426</v>
      </c>
      <c r="K5063" s="1" t="s">
        <v>106</v>
      </c>
      <c r="L5063" s="1" t="s">
        <v>124</v>
      </c>
      <c r="N5063" s="1">
        <v>1</v>
      </c>
      <c r="O5063" s="58"/>
      <c r="P5063" s="58">
        <v>18728.490000000002</v>
      </c>
      <c r="Q5063" t="s">
        <v>107</v>
      </c>
      <c r="R5063" s="1" t="s">
        <v>158</v>
      </c>
    </row>
    <row r="5064" spans="3:18" x14ac:dyDescent="0.35">
      <c r="C5064" t="s">
        <v>51</v>
      </c>
      <c r="D5064" t="s">
        <v>24</v>
      </c>
      <c r="E5064" t="s">
        <v>55</v>
      </c>
      <c r="F5064" t="s">
        <v>46</v>
      </c>
      <c r="G5064" s="58">
        <v>200886</v>
      </c>
      <c r="H5064" s="1" t="s">
        <v>59</v>
      </c>
      <c r="I5064" s="1" t="s">
        <v>108</v>
      </c>
      <c r="J5064" s="58">
        <v>6026580</v>
      </c>
      <c r="K5064" s="1" t="s">
        <v>106</v>
      </c>
      <c r="L5064" s="1" t="s">
        <v>120</v>
      </c>
      <c r="N5064" s="1">
        <v>1</v>
      </c>
      <c r="O5064" s="58"/>
      <c r="P5064" s="58">
        <v>142629.06</v>
      </c>
      <c r="Q5064" t="s">
        <v>118</v>
      </c>
      <c r="R5064" s="1" t="s">
        <v>158</v>
      </c>
    </row>
    <row r="5065" spans="3:18" x14ac:dyDescent="0.35">
      <c r="C5065" t="s">
        <v>53</v>
      </c>
      <c r="D5065" t="s">
        <v>23</v>
      </c>
      <c r="E5065" t="s">
        <v>45</v>
      </c>
      <c r="F5065" t="s">
        <v>46</v>
      </c>
      <c r="G5065" s="58">
        <v>26260362</v>
      </c>
      <c r="H5065" s="1" t="s">
        <v>47</v>
      </c>
      <c r="I5065" s="1" t="s">
        <v>111</v>
      </c>
      <c r="J5065" s="58">
        <v>341384706</v>
      </c>
      <c r="K5065" s="1" t="s">
        <v>106</v>
      </c>
      <c r="L5065" s="1" t="s">
        <v>120</v>
      </c>
      <c r="N5065" s="1">
        <v>1</v>
      </c>
      <c r="O5065" s="58"/>
      <c r="P5065" s="58">
        <v>17594442.539999999</v>
      </c>
      <c r="Q5065" t="s">
        <v>118</v>
      </c>
      <c r="R5065" s="1" t="s">
        <v>158</v>
      </c>
    </row>
    <row r="5066" spans="3:18" x14ac:dyDescent="0.35">
      <c r="C5066" t="s">
        <v>51</v>
      </c>
      <c r="D5066" t="s">
        <v>21</v>
      </c>
      <c r="E5066" t="s">
        <v>45</v>
      </c>
      <c r="F5066" t="s">
        <v>46</v>
      </c>
      <c r="G5066" s="58">
        <v>29466</v>
      </c>
      <c r="H5066" s="1" t="s">
        <v>48</v>
      </c>
      <c r="I5066" s="1" t="s">
        <v>105</v>
      </c>
      <c r="J5066" s="58">
        <v>147330</v>
      </c>
      <c r="K5066" s="1" t="s">
        <v>106</v>
      </c>
      <c r="L5066" s="1" t="s">
        <v>120</v>
      </c>
      <c r="M5066" s="1" t="s">
        <v>126</v>
      </c>
      <c r="N5066" s="1">
        <v>1</v>
      </c>
      <c r="O5066" s="58"/>
      <c r="P5066" s="58">
        <v>16206.3</v>
      </c>
      <c r="Q5066" t="s">
        <v>113</v>
      </c>
      <c r="R5066" s="1" t="s">
        <v>158</v>
      </c>
    </row>
    <row r="5067" spans="3:18" x14ac:dyDescent="0.35">
      <c r="C5067" t="s">
        <v>51</v>
      </c>
      <c r="D5067" t="s">
        <v>22</v>
      </c>
      <c r="E5067" t="s">
        <v>62</v>
      </c>
      <c r="F5067" t="s">
        <v>46</v>
      </c>
      <c r="G5067" s="58">
        <v>1628132</v>
      </c>
      <c r="H5067" s="1" t="s">
        <v>48</v>
      </c>
      <c r="I5067" s="1" t="s">
        <v>108</v>
      </c>
      <c r="J5067" s="58">
        <v>63497148</v>
      </c>
      <c r="K5067" s="1" t="s">
        <v>112</v>
      </c>
      <c r="N5067" s="1">
        <v>1</v>
      </c>
      <c r="O5067" s="58"/>
      <c r="P5067" s="58">
        <v>1400193.52</v>
      </c>
      <c r="Q5067" t="s">
        <v>127</v>
      </c>
      <c r="R5067" s="1" t="s">
        <v>48</v>
      </c>
    </row>
    <row r="5068" spans="3:18" x14ac:dyDescent="0.35">
      <c r="C5068" t="s">
        <v>51</v>
      </c>
      <c r="D5068" t="s">
        <v>91</v>
      </c>
      <c r="E5068" t="s">
        <v>49</v>
      </c>
      <c r="F5068" t="s">
        <v>46</v>
      </c>
      <c r="G5068" s="58">
        <v>5708667</v>
      </c>
      <c r="H5068" s="1" t="s">
        <v>54</v>
      </c>
      <c r="I5068" s="1" t="s">
        <v>111</v>
      </c>
      <c r="J5068" s="58">
        <v>91338672</v>
      </c>
      <c r="K5068" s="1" t="s">
        <v>106</v>
      </c>
      <c r="L5068" s="1" t="s">
        <v>124</v>
      </c>
      <c r="N5068" s="1">
        <v>1</v>
      </c>
      <c r="O5068" s="58"/>
      <c r="P5068" s="58">
        <v>2797246.83</v>
      </c>
      <c r="Q5068" t="s">
        <v>113</v>
      </c>
      <c r="R5068" s="1" t="s">
        <v>158</v>
      </c>
    </row>
    <row r="5069" spans="3:18" x14ac:dyDescent="0.35">
      <c r="C5069" t="s">
        <v>51</v>
      </c>
      <c r="D5069" t="s">
        <v>91</v>
      </c>
      <c r="E5069" t="s">
        <v>49</v>
      </c>
      <c r="F5069" t="s">
        <v>46</v>
      </c>
      <c r="G5069" s="58">
        <v>4945077</v>
      </c>
      <c r="H5069" s="1" t="s">
        <v>59</v>
      </c>
      <c r="I5069" s="1" t="s">
        <v>111</v>
      </c>
      <c r="J5069" s="58">
        <v>74176155</v>
      </c>
      <c r="K5069" s="1" t="s">
        <v>106</v>
      </c>
      <c r="L5069" s="1" t="s">
        <v>124</v>
      </c>
      <c r="N5069" s="1">
        <v>1</v>
      </c>
      <c r="O5069" s="58"/>
      <c r="P5069" s="58">
        <v>1384621.56</v>
      </c>
      <c r="Q5069" t="s">
        <v>107</v>
      </c>
      <c r="R5069" s="1" t="s">
        <v>158</v>
      </c>
    </row>
    <row r="5070" spans="3:18" x14ac:dyDescent="0.35">
      <c r="C5070" t="s">
        <v>51</v>
      </c>
      <c r="D5070" t="s">
        <v>22</v>
      </c>
      <c r="E5070" t="s">
        <v>45</v>
      </c>
      <c r="F5070" t="s">
        <v>46</v>
      </c>
      <c r="G5070" s="58">
        <v>44708070</v>
      </c>
      <c r="H5070" s="1" t="s">
        <v>48</v>
      </c>
      <c r="I5070" s="1" t="s">
        <v>108</v>
      </c>
      <c r="J5070" s="58">
        <v>1296534030</v>
      </c>
      <c r="K5070" s="1" t="s">
        <v>106</v>
      </c>
      <c r="L5070" s="1" t="s">
        <v>120</v>
      </c>
      <c r="M5070" s="1" t="s">
        <v>115</v>
      </c>
      <c r="N5070" s="1">
        <v>1</v>
      </c>
      <c r="O5070" s="58"/>
      <c r="P5070" s="58">
        <v>22801115.699999999</v>
      </c>
      <c r="Q5070" t="s">
        <v>113</v>
      </c>
      <c r="R5070" s="1" t="s">
        <v>48</v>
      </c>
    </row>
    <row r="5071" spans="3:18" x14ac:dyDescent="0.35">
      <c r="C5071" t="s">
        <v>51</v>
      </c>
      <c r="D5071" t="s">
        <v>21</v>
      </c>
      <c r="E5071" t="s">
        <v>49</v>
      </c>
      <c r="F5071" t="s">
        <v>46</v>
      </c>
      <c r="G5071" s="58">
        <v>38062717</v>
      </c>
      <c r="H5071" s="1" t="s">
        <v>54</v>
      </c>
      <c r="I5071" s="1" t="s">
        <v>108</v>
      </c>
      <c r="J5071" s="58">
        <v>1179944227</v>
      </c>
      <c r="K5071" s="1" t="s">
        <v>106</v>
      </c>
      <c r="L5071" s="1" t="s">
        <v>124</v>
      </c>
      <c r="N5071" s="1">
        <v>1</v>
      </c>
      <c r="O5071" s="58"/>
      <c r="P5071" s="58">
        <v>32733936.620000001</v>
      </c>
      <c r="Q5071" t="s">
        <v>127</v>
      </c>
      <c r="R5071" s="1" t="s">
        <v>158</v>
      </c>
    </row>
    <row r="5072" spans="3:18" x14ac:dyDescent="0.35">
      <c r="C5072" t="s">
        <v>53</v>
      </c>
      <c r="D5072" t="s">
        <v>92</v>
      </c>
      <c r="E5072" t="s">
        <v>49</v>
      </c>
      <c r="F5072" t="s">
        <v>46</v>
      </c>
      <c r="G5072" s="58">
        <v>428737</v>
      </c>
      <c r="H5072" s="1" t="s">
        <v>48</v>
      </c>
      <c r="I5072" s="1" t="s">
        <v>119</v>
      </c>
      <c r="J5072" s="58">
        <v>2143685</v>
      </c>
      <c r="K5072" s="1" t="s">
        <v>106</v>
      </c>
      <c r="L5072" s="1" t="s">
        <v>124</v>
      </c>
      <c r="M5072" s="1" t="s">
        <v>123</v>
      </c>
      <c r="N5072" s="1">
        <v>1</v>
      </c>
      <c r="O5072" s="58"/>
      <c r="P5072" s="58">
        <v>77172.66</v>
      </c>
      <c r="Q5072" t="s">
        <v>107</v>
      </c>
      <c r="R5072" s="1" t="s">
        <v>158</v>
      </c>
    </row>
    <row r="5073" spans="3:18" x14ac:dyDescent="0.35">
      <c r="C5073" t="s">
        <v>51</v>
      </c>
      <c r="D5073" t="s">
        <v>91</v>
      </c>
      <c r="E5073" t="s">
        <v>55</v>
      </c>
      <c r="F5073" t="s">
        <v>46</v>
      </c>
      <c r="G5073" s="58">
        <v>3090967</v>
      </c>
      <c r="H5073" s="1" t="s">
        <v>48</v>
      </c>
      <c r="I5073" s="1" t="s">
        <v>108</v>
      </c>
      <c r="J5073" s="58">
        <v>102001911</v>
      </c>
      <c r="K5073" s="1" t="s">
        <v>106</v>
      </c>
      <c r="L5073" s="1" t="s">
        <v>114</v>
      </c>
      <c r="M5073" s="1" t="s">
        <v>122</v>
      </c>
      <c r="N5073" s="1">
        <v>1</v>
      </c>
      <c r="O5073" s="58"/>
      <c r="P5073" s="58">
        <v>2163676.9</v>
      </c>
      <c r="Q5073" t="s">
        <v>118</v>
      </c>
      <c r="R5073" s="1" t="s">
        <v>158</v>
      </c>
    </row>
    <row r="5074" spans="3:18" x14ac:dyDescent="0.35">
      <c r="C5074" t="s">
        <v>51</v>
      </c>
      <c r="D5074" t="s">
        <v>22</v>
      </c>
      <c r="E5074" t="s">
        <v>45</v>
      </c>
      <c r="F5074" t="s">
        <v>46</v>
      </c>
      <c r="G5074" s="58">
        <v>1166877</v>
      </c>
      <c r="H5074" s="1" t="s">
        <v>48</v>
      </c>
      <c r="I5074" s="1" t="s">
        <v>111</v>
      </c>
      <c r="J5074" s="58">
        <v>18670032</v>
      </c>
      <c r="K5074" s="1" t="s">
        <v>112</v>
      </c>
      <c r="N5074" s="1">
        <v>1</v>
      </c>
      <c r="O5074" s="58"/>
      <c r="P5074" s="58">
        <v>560100.96</v>
      </c>
      <c r="Q5074" t="s">
        <v>113</v>
      </c>
      <c r="R5074" s="1" t="s">
        <v>158</v>
      </c>
    </row>
    <row r="5075" spans="3:18" x14ac:dyDescent="0.35">
      <c r="C5075" t="s">
        <v>51</v>
      </c>
      <c r="D5075" t="s">
        <v>92</v>
      </c>
      <c r="E5075" t="s">
        <v>49</v>
      </c>
      <c r="F5075" t="s">
        <v>46</v>
      </c>
      <c r="G5075" s="58">
        <v>19954982</v>
      </c>
      <c r="H5075" s="1" t="s">
        <v>56</v>
      </c>
      <c r="I5075" s="1" t="s">
        <v>111</v>
      </c>
      <c r="J5075" s="58">
        <v>339234694</v>
      </c>
      <c r="K5075" s="1" t="s">
        <v>106</v>
      </c>
      <c r="L5075" s="1" t="s">
        <v>124</v>
      </c>
      <c r="N5075" s="1">
        <v>1</v>
      </c>
      <c r="O5075" s="58"/>
      <c r="P5075" s="58">
        <v>9777941.1799999997</v>
      </c>
      <c r="Q5075" t="s">
        <v>113</v>
      </c>
      <c r="R5075" s="1" t="s">
        <v>158</v>
      </c>
    </row>
    <row r="5076" spans="3:18" x14ac:dyDescent="0.35">
      <c r="C5076" t="s">
        <v>51</v>
      </c>
      <c r="D5076" t="s">
        <v>21</v>
      </c>
      <c r="E5076" t="s">
        <v>49</v>
      </c>
      <c r="F5076" t="s">
        <v>46</v>
      </c>
      <c r="G5076" s="58">
        <v>556138</v>
      </c>
      <c r="H5076" s="1" t="s">
        <v>47</v>
      </c>
      <c r="I5076" s="1" t="s">
        <v>119</v>
      </c>
      <c r="J5076" s="58">
        <v>3892966</v>
      </c>
      <c r="K5076" s="1" t="s">
        <v>106</v>
      </c>
      <c r="L5076" s="1" t="s">
        <v>114</v>
      </c>
      <c r="N5076" s="1">
        <v>1</v>
      </c>
      <c r="O5076" s="58"/>
      <c r="P5076" s="58">
        <v>133473.12</v>
      </c>
      <c r="Q5076" t="s">
        <v>107</v>
      </c>
      <c r="R5076" s="1" t="s">
        <v>158</v>
      </c>
    </row>
    <row r="5077" spans="3:18" x14ac:dyDescent="0.35">
      <c r="C5077" t="s">
        <v>51</v>
      </c>
      <c r="D5077" t="s">
        <v>19</v>
      </c>
      <c r="E5077" t="s">
        <v>49</v>
      </c>
      <c r="F5077" t="s">
        <v>46</v>
      </c>
      <c r="G5077" s="58">
        <v>569278</v>
      </c>
      <c r="H5077" s="1" t="s">
        <v>48</v>
      </c>
      <c r="I5077" s="1" t="s">
        <v>108</v>
      </c>
      <c r="J5077" s="58">
        <v>17647618</v>
      </c>
      <c r="K5077" s="1" t="s">
        <v>106</v>
      </c>
      <c r="L5077" s="1" t="s">
        <v>120</v>
      </c>
      <c r="M5077" s="1" t="s">
        <v>122</v>
      </c>
      <c r="N5077" s="1">
        <v>1</v>
      </c>
      <c r="O5077" s="58"/>
      <c r="P5077" s="58">
        <v>398494.6</v>
      </c>
      <c r="Q5077" t="s">
        <v>118</v>
      </c>
      <c r="R5077" s="1" t="s">
        <v>158</v>
      </c>
    </row>
    <row r="5078" spans="3:18" x14ac:dyDescent="0.35">
      <c r="C5078" t="s">
        <v>53</v>
      </c>
      <c r="D5078" t="s">
        <v>91</v>
      </c>
      <c r="E5078" t="s">
        <v>45</v>
      </c>
      <c r="F5078" t="s">
        <v>46</v>
      </c>
      <c r="G5078" s="58">
        <v>4190522</v>
      </c>
      <c r="H5078" s="1" t="s">
        <v>54</v>
      </c>
      <c r="I5078" s="1" t="s">
        <v>119</v>
      </c>
      <c r="J5078" s="58">
        <v>29333654</v>
      </c>
      <c r="K5078" s="1" t="s">
        <v>106</v>
      </c>
      <c r="L5078" s="1" t="s">
        <v>120</v>
      </c>
      <c r="N5078" s="1">
        <v>1</v>
      </c>
      <c r="O5078" s="58"/>
      <c r="P5078" s="58">
        <v>1047630.5</v>
      </c>
      <c r="Q5078" t="s">
        <v>107</v>
      </c>
      <c r="R5078" s="1" t="s">
        <v>158</v>
      </c>
    </row>
    <row r="5079" spans="3:18" x14ac:dyDescent="0.35">
      <c r="C5079" t="s">
        <v>51</v>
      </c>
      <c r="D5079" t="s">
        <v>91</v>
      </c>
      <c r="E5079" t="s">
        <v>49</v>
      </c>
      <c r="F5079" t="s">
        <v>46</v>
      </c>
      <c r="G5079" s="58">
        <v>873352</v>
      </c>
      <c r="H5079" s="1" t="s">
        <v>47</v>
      </c>
      <c r="I5079" s="1" t="s">
        <v>108</v>
      </c>
      <c r="J5079" s="58">
        <v>25327208</v>
      </c>
      <c r="K5079" s="1" t="s">
        <v>106</v>
      </c>
      <c r="L5079" s="1" t="s">
        <v>114</v>
      </c>
      <c r="N5079" s="1">
        <v>1</v>
      </c>
      <c r="O5079" s="58"/>
      <c r="P5079" s="58">
        <v>751082.72</v>
      </c>
      <c r="Q5079" t="s">
        <v>127</v>
      </c>
      <c r="R5079" s="1" t="s">
        <v>158</v>
      </c>
    </row>
    <row r="5080" spans="3:18" x14ac:dyDescent="0.35">
      <c r="C5080" t="s">
        <v>51</v>
      </c>
      <c r="D5080" t="s">
        <v>23</v>
      </c>
      <c r="E5080" t="s">
        <v>45</v>
      </c>
      <c r="F5080" t="s">
        <v>46</v>
      </c>
      <c r="G5080" s="58">
        <v>3028827</v>
      </c>
      <c r="H5080" s="1" t="s">
        <v>47</v>
      </c>
      <c r="I5080" s="1" t="s">
        <v>108</v>
      </c>
      <c r="J5080" s="58">
        <v>75720675</v>
      </c>
      <c r="K5080" s="1" t="s">
        <v>106</v>
      </c>
      <c r="L5080" s="1" t="s">
        <v>124</v>
      </c>
      <c r="N5080" s="1">
        <v>1</v>
      </c>
      <c r="O5080" s="58"/>
      <c r="P5080" s="58">
        <v>1574990.04</v>
      </c>
      <c r="Q5080" t="s">
        <v>113</v>
      </c>
      <c r="R5080" s="1" t="s">
        <v>158</v>
      </c>
    </row>
    <row r="5081" spans="3:18" x14ac:dyDescent="0.35">
      <c r="C5081" t="s">
        <v>53</v>
      </c>
      <c r="D5081" t="s">
        <v>20</v>
      </c>
      <c r="E5081" t="s">
        <v>45</v>
      </c>
      <c r="F5081" t="s">
        <v>46</v>
      </c>
      <c r="G5081" s="58">
        <v>2546045</v>
      </c>
      <c r="H5081" s="1" t="s">
        <v>48</v>
      </c>
      <c r="I5081" s="1" t="s">
        <v>111</v>
      </c>
      <c r="J5081" s="58">
        <v>35644630</v>
      </c>
      <c r="K5081" s="1" t="s">
        <v>106</v>
      </c>
      <c r="L5081" s="1" t="s">
        <v>120</v>
      </c>
      <c r="M5081" s="1" t="s">
        <v>123</v>
      </c>
      <c r="N5081" s="1">
        <v>1</v>
      </c>
      <c r="O5081" s="58"/>
      <c r="P5081" s="58">
        <v>738353.05</v>
      </c>
      <c r="Q5081" t="s">
        <v>107</v>
      </c>
      <c r="R5081" s="1" t="s">
        <v>158</v>
      </c>
    </row>
    <row r="5082" spans="3:18" x14ac:dyDescent="0.35">
      <c r="C5082" t="s">
        <v>51</v>
      </c>
      <c r="D5082" t="s">
        <v>25</v>
      </c>
      <c r="E5082" t="s">
        <v>45</v>
      </c>
      <c r="F5082" t="s">
        <v>46</v>
      </c>
      <c r="G5082" s="58">
        <v>252001</v>
      </c>
      <c r="H5082" s="1" t="s">
        <v>54</v>
      </c>
      <c r="I5082" s="1" t="s">
        <v>119</v>
      </c>
      <c r="J5082" s="58">
        <v>2016008</v>
      </c>
      <c r="K5082" s="1" t="s">
        <v>106</v>
      </c>
      <c r="L5082" s="1" t="s">
        <v>120</v>
      </c>
      <c r="N5082" s="1">
        <v>1</v>
      </c>
      <c r="O5082" s="58"/>
      <c r="P5082" s="58">
        <v>57960.23</v>
      </c>
      <c r="Q5082" t="s">
        <v>107</v>
      </c>
      <c r="R5082" s="1" t="s">
        <v>158</v>
      </c>
    </row>
    <row r="5083" spans="3:18" x14ac:dyDescent="0.35">
      <c r="C5083" t="s">
        <v>51</v>
      </c>
      <c r="D5083" t="s">
        <v>20</v>
      </c>
      <c r="E5083" t="s">
        <v>45</v>
      </c>
      <c r="F5083" t="s">
        <v>64</v>
      </c>
      <c r="G5083" s="58">
        <v>778324</v>
      </c>
      <c r="H5083" s="1" t="s">
        <v>48</v>
      </c>
      <c r="I5083" s="1" t="s">
        <v>108</v>
      </c>
      <c r="J5083" s="58">
        <v>26463016</v>
      </c>
      <c r="K5083" s="1" t="s">
        <v>112</v>
      </c>
      <c r="N5083" s="1">
        <v>1</v>
      </c>
      <c r="O5083" s="58"/>
      <c r="P5083" s="58">
        <v>544826.80000000005</v>
      </c>
      <c r="Q5083" t="s">
        <v>118</v>
      </c>
      <c r="R5083" s="1" t="s">
        <v>48</v>
      </c>
    </row>
    <row r="5084" spans="3:18" x14ac:dyDescent="0.35">
      <c r="C5084" t="s">
        <v>51</v>
      </c>
      <c r="D5084" t="s">
        <v>21</v>
      </c>
      <c r="E5084" t="s">
        <v>55</v>
      </c>
      <c r="F5084" t="s">
        <v>46</v>
      </c>
      <c r="G5084" s="58">
        <v>1152963</v>
      </c>
      <c r="H5084" s="1" t="s">
        <v>48</v>
      </c>
      <c r="I5084" s="1" t="s">
        <v>108</v>
      </c>
      <c r="J5084" s="58">
        <v>35741853</v>
      </c>
      <c r="K5084" s="1" t="s">
        <v>106</v>
      </c>
      <c r="L5084" s="1" t="s">
        <v>120</v>
      </c>
      <c r="M5084" s="1" t="s">
        <v>126</v>
      </c>
      <c r="N5084" s="1">
        <v>1</v>
      </c>
      <c r="O5084" s="58"/>
      <c r="P5084" s="58">
        <v>853192.62</v>
      </c>
      <c r="Q5084" t="s">
        <v>118</v>
      </c>
      <c r="R5084" s="1" t="s">
        <v>48</v>
      </c>
    </row>
    <row r="5085" spans="3:18" x14ac:dyDescent="0.35">
      <c r="C5085" t="s">
        <v>51</v>
      </c>
      <c r="D5085" t="s">
        <v>22</v>
      </c>
      <c r="E5085" t="s">
        <v>49</v>
      </c>
      <c r="F5085" t="s">
        <v>46</v>
      </c>
      <c r="G5085" s="58">
        <v>278917</v>
      </c>
      <c r="H5085" s="1" t="s">
        <v>48</v>
      </c>
      <c r="I5085" s="1" t="s">
        <v>108</v>
      </c>
      <c r="J5085" s="58">
        <v>10598846</v>
      </c>
      <c r="K5085" s="1" t="s">
        <v>106</v>
      </c>
      <c r="L5085" s="1" t="s">
        <v>120</v>
      </c>
      <c r="M5085" s="1" t="s">
        <v>125</v>
      </c>
      <c r="N5085" s="1">
        <v>1</v>
      </c>
      <c r="O5085" s="58"/>
      <c r="P5085" s="58">
        <v>203609.41</v>
      </c>
      <c r="Q5085" t="s">
        <v>118</v>
      </c>
      <c r="R5085" s="1" t="s">
        <v>48</v>
      </c>
    </row>
    <row r="5086" spans="3:18" x14ac:dyDescent="0.35">
      <c r="C5086" t="s">
        <v>51</v>
      </c>
      <c r="D5086" t="s">
        <v>23</v>
      </c>
      <c r="E5086" t="s">
        <v>55</v>
      </c>
      <c r="F5086" t="s">
        <v>46</v>
      </c>
      <c r="G5086" s="58">
        <v>51149891</v>
      </c>
      <c r="H5086" s="1" t="s">
        <v>47</v>
      </c>
      <c r="I5086" s="1" t="s">
        <v>111</v>
      </c>
      <c r="J5086" s="58">
        <v>818398256</v>
      </c>
      <c r="K5086" s="1" t="s">
        <v>106</v>
      </c>
      <c r="L5086" s="1" t="s">
        <v>114</v>
      </c>
      <c r="N5086" s="1">
        <v>1</v>
      </c>
      <c r="O5086" s="58"/>
      <c r="P5086" s="58">
        <v>25063446.59</v>
      </c>
      <c r="Q5086" t="s">
        <v>113</v>
      </c>
      <c r="R5086" s="1" t="s">
        <v>158</v>
      </c>
    </row>
    <row r="5087" spans="3:18" x14ac:dyDescent="0.35">
      <c r="C5087" t="s">
        <v>51</v>
      </c>
      <c r="D5087" t="s">
        <v>23</v>
      </c>
      <c r="E5087" t="s">
        <v>52</v>
      </c>
      <c r="F5087" t="s">
        <v>46</v>
      </c>
      <c r="G5087" s="58">
        <v>77077</v>
      </c>
      <c r="H5087" s="1" t="s">
        <v>48</v>
      </c>
      <c r="I5087" s="1" t="s">
        <v>111</v>
      </c>
      <c r="J5087" s="58">
        <v>1310309</v>
      </c>
      <c r="K5087" s="1" t="s">
        <v>106</v>
      </c>
      <c r="L5087" s="1" t="s">
        <v>114</v>
      </c>
      <c r="M5087" s="1" t="s">
        <v>125</v>
      </c>
      <c r="N5087" s="1">
        <v>1</v>
      </c>
      <c r="O5087" s="58"/>
      <c r="P5087" s="58">
        <v>32372.34</v>
      </c>
      <c r="Q5087" t="s">
        <v>113</v>
      </c>
      <c r="R5087" s="1" t="s">
        <v>48</v>
      </c>
    </row>
    <row r="5088" spans="3:18" x14ac:dyDescent="0.35">
      <c r="C5088" t="s">
        <v>51</v>
      </c>
      <c r="D5088" t="s">
        <v>22</v>
      </c>
      <c r="E5088" t="s">
        <v>55</v>
      </c>
      <c r="F5088" t="s">
        <v>46</v>
      </c>
      <c r="G5088" s="58">
        <v>747116</v>
      </c>
      <c r="H5088" s="1" t="s">
        <v>48</v>
      </c>
      <c r="I5088" s="1" t="s">
        <v>108</v>
      </c>
      <c r="J5088" s="58">
        <v>23160596</v>
      </c>
      <c r="K5088" s="1" t="s">
        <v>112</v>
      </c>
      <c r="N5088" s="1">
        <v>1</v>
      </c>
      <c r="O5088" s="58"/>
      <c r="P5088" s="58">
        <v>515510.04</v>
      </c>
      <c r="Q5088" t="s">
        <v>118</v>
      </c>
      <c r="R5088" s="1" t="s">
        <v>158</v>
      </c>
    </row>
    <row r="5089" spans="3:18" x14ac:dyDescent="0.35">
      <c r="C5089" t="s">
        <v>51</v>
      </c>
      <c r="D5089" t="s">
        <v>24</v>
      </c>
      <c r="E5089" t="s">
        <v>45</v>
      </c>
      <c r="F5089" t="s">
        <v>46</v>
      </c>
      <c r="G5089" s="58">
        <v>797377</v>
      </c>
      <c r="H5089" s="1" t="s">
        <v>56</v>
      </c>
      <c r="I5089" s="1" t="s">
        <v>111</v>
      </c>
      <c r="J5089" s="58">
        <v>12758032</v>
      </c>
      <c r="K5089" s="1" t="s">
        <v>106</v>
      </c>
      <c r="L5089" s="1" t="s">
        <v>120</v>
      </c>
      <c r="N5089" s="1">
        <v>1</v>
      </c>
      <c r="O5089" s="58"/>
      <c r="P5089" s="58">
        <v>191370.48</v>
      </c>
      <c r="Q5089" t="s">
        <v>107</v>
      </c>
      <c r="R5089" s="1" t="s">
        <v>158</v>
      </c>
    </row>
    <row r="5090" spans="3:18" x14ac:dyDescent="0.35">
      <c r="C5090" t="s">
        <v>51</v>
      </c>
      <c r="D5090" t="s">
        <v>19</v>
      </c>
      <c r="E5090" t="s">
        <v>45</v>
      </c>
      <c r="F5090" t="s">
        <v>46</v>
      </c>
      <c r="G5090" s="58">
        <v>171025</v>
      </c>
      <c r="H5090" s="1" t="s">
        <v>48</v>
      </c>
      <c r="I5090" s="1" t="s">
        <v>111</v>
      </c>
      <c r="J5090" s="58">
        <v>2394350</v>
      </c>
      <c r="K5090" s="1" t="s">
        <v>106</v>
      </c>
      <c r="L5090" s="1" t="s">
        <v>120</v>
      </c>
      <c r="M5090" s="1" t="s">
        <v>122</v>
      </c>
      <c r="N5090" s="1">
        <v>1</v>
      </c>
      <c r="O5090" s="58"/>
      <c r="P5090" s="58">
        <v>109456</v>
      </c>
      <c r="Q5090" t="s">
        <v>118</v>
      </c>
      <c r="R5090" s="1" t="s">
        <v>48</v>
      </c>
    </row>
    <row r="5091" spans="3:18" x14ac:dyDescent="0.35">
      <c r="C5091" t="s">
        <v>44</v>
      </c>
      <c r="D5091" t="s">
        <v>22</v>
      </c>
      <c r="E5091" t="s">
        <v>45</v>
      </c>
      <c r="F5091" t="s">
        <v>46</v>
      </c>
      <c r="G5091" s="58">
        <v>31247</v>
      </c>
      <c r="H5091" s="1" t="s">
        <v>56</v>
      </c>
      <c r="I5091" s="1" t="s">
        <v>108</v>
      </c>
      <c r="J5091" s="58"/>
      <c r="N5091" s="1">
        <v>0</v>
      </c>
      <c r="O5091" s="58"/>
      <c r="P5091" s="58"/>
      <c r="R5091" s="1" t="s">
        <v>158</v>
      </c>
    </row>
    <row r="5092" spans="3:18" x14ac:dyDescent="0.35">
      <c r="C5092" t="s">
        <v>51</v>
      </c>
      <c r="D5092" t="s">
        <v>22</v>
      </c>
      <c r="E5092" t="s">
        <v>55</v>
      </c>
      <c r="F5092" t="s">
        <v>46</v>
      </c>
      <c r="G5092" s="58">
        <v>11129</v>
      </c>
      <c r="H5092" s="1" t="s">
        <v>54</v>
      </c>
      <c r="I5092" s="1" t="s">
        <v>105</v>
      </c>
      <c r="J5092" s="58">
        <v>22258</v>
      </c>
      <c r="K5092" s="1" t="s">
        <v>106</v>
      </c>
      <c r="L5092" s="1" t="s">
        <v>114</v>
      </c>
      <c r="N5092" s="1">
        <v>1</v>
      </c>
      <c r="O5092" s="58"/>
      <c r="P5092" s="58">
        <v>1001.61</v>
      </c>
      <c r="Q5092" t="s">
        <v>107</v>
      </c>
      <c r="R5092" s="1" t="s">
        <v>158</v>
      </c>
    </row>
    <row r="5093" spans="3:18" x14ac:dyDescent="0.35">
      <c r="C5093" t="s">
        <v>51</v>
      </c>
      <c r="D5093" t="s">
        <v>24</v>
      </c>
      <c r="E5093" t="s">
        <v>45</v>
      </c>
      <c r="F5093" t="s">
        <v>46</v>
      </c>
      <c r="G5093" s="58">
        <v>168444</v>
      </c>
      <c r="H5093" s="1" t="s">
        <v>47</v>
      </c>
      <c r="I5093" s="1" t="s">
        <v>111</v>
      </c>
      <c r="J5093" s="58">
        <v>3368880</v>
      </c>
      <c r="K5093" s="1" t="s">
        <v>106</v>
      </c>
      <c r="L5093" s="1" t="s">
        <v>120</v>
      </c>
      <c r="N5093" s="1">
        <v>1</v>
      </c>
      <c r="O5093" s="58"/>
      <c r="P5093" s="58">
        <v>104435.28</v>
      </c>
      <c r="Q5093" t="s">
        <v>118</v>
      </c>
      <c r="R5093" s="1" t="s">
        <v>158</v>
      </c>
    </row>
    <row r="5094" spans="3:18" x14ac:dyDescent="0.35">
      <c r="C5094" t="s">
        <v>51</v>
      </c>
      <c r="D5094" t="s">
        <v>91</v>
      </c>
      <c r="E5094" t="s">
        <v>49</v>
      </c>
      <c r="F5094" t="s">
        <v>46</v>
      </c>
      <c r="G5094" s="58">
        <v>32313</v>
      </c>
      <c r="H5094" s="1" t="s">
        <v>47</v>
      </c>
      <c r="I5094" s="1" t="s">
        <v>119</v>
      </c>
      <c r="J5094" s="58">
        <v>323130</v>
      </c>
      <c r="K5094" s="1" t="s">
        <v>106</v>
      </c>
      <c r="L5094" s="1" t="s">
        <v>114</v>
      </c>
      <c r="N5094" s="1">
        <v>1</v>
      </c>
      <c r="O5094" s="58"/>
      <c r="P5094" s="58">
        <v>14863.98</v>
      </c>
      <c r="Q5094" t="s">
        <v>113</v>
      </c>
      <c r="R5094" s="1" t="s">
        <v>158</v>
      </c>
    </row>
    <row r="5095" spans="3:18" x14ac:dyDescent="0.35">
      <c r="C5095" t="s">
        <v>51</v>
      </c>
      <c r="D5095" t="s">
        <v>92</v>
      </c>
      <c r="E5095" t="s">
        <v>49</v>
      </c>
      <c r="F5095" t="s">
        <v>46</v>
      </c>
      <c r="G5095" s="58">
        <v>365702</v>
      </c>
      <c r="H5095" s="1" t="s">
        <v>48</v>
      </c>
      <c r="I5095" s="1" t="s">
        <v>105</v>
      </c>
      <c r="J5095" s="58">
        <v>1097106</v>
      </c>
      <c r="K5095" s="1" t="s">
        <v>106</v>
      </c>
      <c r="L5095" s="1" t="s">
        <v>124</v>
      </c>
      <c r="M5095" s="1" t="s">
        <v>123</v>
      </c>
      <c r="N5095" s="1">
        <v>1</v>
      </c>
      <c r="O5095" s="58"/>
      <c r="P5095" s="58">
        <v>58512.32</v>
      </c>
      <c r="Q5095" t="s">
        <v>107</v>
      </c>
      <c r="R5095" s="1" t="s">
        <v>48</v>
      </c>
    </row>
    <row r="5096" spans="3:18" x14ac:dyDescent="0.35">
      <c r="C5096" t="s">
        <v>51</v>
      </c>
      <c r="D5096" t="s">
        <v>25</v>
      </c>
      <c r="E5096" t="s">
        <v>55</v>
      </c>
      <c r="F5096" t="s">
        <v>46</v>
      </c>
      <c r="G5096" s="58">
        <v>200268</v>
      </c>
      <c r="H5096" s="1" t="s">
        <v>54</v>
      </c>
      <c r="I5096" s="1" t="s">
        <v>128</v>
      </c>
      <c r="J5096" s="58"/>
      <c r="K5096" s="1" t="s">
        <v>106</v>
      </c>
      <c r="L5096" s="1" t="s">
        <v>114</v>
      </c>
      <c r="N5096" s="1">
        <v>0</v>
      </c>
      <c r="O5096" s="58"/>
      <c r="P5096" s="58">
        <v>172230.48</v>
      </c>
      <c r="Q5096" t="s">
        <v>127</v>
      </c>
      <c r="R5096" s="1" t="s">
        <v>158</v>
      </c>
    </row>
    <row r="5097" spans="3:18" x14ac:dyDescent="0.35">
      <c r="C5097" t="s">
        <v>51</v>
      </c>
      <c r="D5097" t="s">
        <v>91</v>
      </c>
      <c r="E5097" t="s">
        <v>49</v>
      </c>
      <c r="F5097" t="s">
        <v>46</v>
      </c>
      <c r="G5097" s="58">
        <v>300680</v>
      </c>
      <c r="H5097" s="1" t="s">
        <v>48</v>
      </c>
      <c r="I5097" s="1" t="s">
        <v>111</v>
      </c>
      <c r="J5097" s="58">
        <v>4810880</v>
      </c>
      <c r="K5097" s="1" t="s">
        <v>106</v>
      </c>
      <c r="L5097" s="1" t="s">
        <v>120</v>
      </c>
      <c r="M5097" s="1" t="s">
        <v>115</v>
      </c>
      <c r="N5097" s="1">
        <v>1</v>
      </c>
      <c r="O5097" s="58"/>
      <c r="P5097" s="58">
        <v>204462.4</v>
      </c>
      <c r="Q5097" t="s">
        <v>118</v>
      </c>
      <c r="R5097" s="1" t="s">
        <v>158</v>
      </c>
    </row>
    <row r="5098" spans="3:18" x14ac:dyDescent="0.35">
      <c r="C5098" t="s">
        <v>51</v>
      </c>
      <c r="D5098" t="s">
        <v>22</v>
      </c>
      <c r="E5098" t="s">
        <v>45</v>
      </c>
      <c r="F5098" t="s">
        <v>46</v>
      </c>
      <c r="G5098" s="58">
        <v>109508</v>
      </c>
      <c r="H5098" s="1" t="s">
        <v>56</v>
      </c>
      <c r="I5098" s="1" t="s">
        <v>108</v>
      </c>
      <c r="J5098" s="58">
        <v>2737700</v>
      </c>
      <c r="K5098" s="1" t="s">
        <v>106</v>
      </c>
      <c r="L5098" s="1" t="s">
        <v>116</v>
      </c>
      <c r="N5098" s="1">
        <v>1</v>
      </c>
      <c r="O5098" s="58"/>
      <c r="P5098" s="58">
        <v>47088.44</v>
      </c>
      <c r="Q5098" t="s">
        <v>113</v>
      </c>
      <c r="R5098" s="1" t="s">
        <v>158</v>
      </c>
    </row>
    <row r="5099" spans="3:18" x14ac:dyDescent="0.35">
      <c r="C5099" t="s">
        <v>51</v>
      </c>
      <c r="D5099" t="s">
        <v>24</v>
      </c>
      <c r="E5099" t="s">
        <v>45</v>
      </c>
      <c r="F5099" t="s">
        <v>46</v>
      </c>
      <c r="G5099" s="58">
        <v>40103</v>
      </c>
      <c r="H5099" s="1" t="s">
        <v>54</v>
      </c>
      <c r="I5099" s="1" t="s">
        <v>108</v>
      </c>
      <c r="J5099" s="58">
        <v>1363502</v>
      </c>
      <c r="K5099" s="1" t="s">
        <v>112</v>
      </c>
      <c r="N5099" s="1">
        <v>1</v>
      </c>
      <c r="O5099" s="58"/>
      <c r="P5099" s="58">
        <v>30077.25</v>
      </c>
      <c r="Q5099" t="s">
        <v>118</v>
      </c>
      <c r="R5099" s="1" t="s">
        <v>158</v>
      </c>
    </row>
    <row r="5100" spans="3:18" x14ac:dyDescent="0.35">
      <c r="C5100" t="s">
        <v>51</v>
      </c>
      <c r="D5100" t="s">
        <v>19</v>
      </c>
      <c r="E5100" t="s">
        <v>49</v>
      </c>
      <c r="F5100" t="s">
        <v>46</v>
      </c>
      <c r="G5100" s="58">
        <v>2525799</v>
      </c>
      <c r="H5100" s="1" t="s">
        <v>48</v>
      </c>
      <c r="I5100" s="1" t="s">
        <v>108</v>
      </c>
      <c r="J5100" s="58">
        <v>78299769</v>
      </c>
      <c r="K5100" s="1" t="s">
        <v>106</v>
      </c>
      <c r="L5100" s="1" t="s">
        <v>114</v>
      </c>
      <c r="M5100" s="1" t="s">
        <v>121</v>
      </c>
      <c r="N5100" s="1">
        <v>1</v>
      </c>
      <c r="O5100" s="58"/>
      <c r="P5100" s="58">
        <v>1768059.3</v>
      </c>
      <c r="Q5100" t="s">
        <v>118</v>
      </c>
      <c r="R5100" s="1" t="s">
        <v>158</v>
      </c>
    </row>
    <row r="5101" spans="3:18" x14ac:dyDescent="0.35">
      <c r="C5101" t="s">
        <v>51</v>
      </c>
      <c r="D5101" t="s">
        <v>21</v>
      </c>
      <c r="E5101" t="s">
        <v>49</v>
      </c>
      <c r="F5101" t="s">
        <v>46</v>
      </c>
      <c r="G5101" s="58">
        <v>83006</v>
      </c>
      <c r="H5101" s="1" t="s">
        <v>59</v>
      </c>
      <c r="I5101" s="1" t="s">
        <v>111</v>
      </c>
      <c r="J5101" s="58">
        <v>1577114</v>
      </c>
      <c r="K5101" s="1" t="s">
        <v>106</v>
      </c>
      <c r="L5101" s="1" t="s">
        <v>114</v>
      </c>
      <c r="N5101" s="1">
        <v>1</v>
      </c>
      <c r="O5101" s="58"/>
      <c r="P5101" s="58">
        <v>55614.02</v>
      </c>
      <c r="Q5101" t="s">
        <v>118</v>
      </c>
      <c r="R5101" s="1" t="s">
        <v>158</v>
      </c>
    </row>
    <row r="5102" spans="3:18" x14ac:dyDescent="0.35">
      <c r="C5102" t="s">
        <v>51</v>
      </c>
      <c r="D5102" t="s">
        <v>22</v>
      </c>
      <c r="E5102" t="s">
        <v>55</v>
      </c>
      <c r="F5102" t="s">
        <v>46</v>
      </c>
      <c r="G5102" s="58">
        <v>92986</v>
      </c>
      <c r="H5102" s="1" t="s">
        <v>48</v>
      </c>
      <c r="I5102" s="1" t="s">
        <v>111</v>
      </c>
      <c r="J5102" s="58">
        <v>1208818</v>
      </c>
      <c r="K5102" s="1" t="s">
        <v>106</v>
      </c>
      <c r="L5102" s="1" t="s">
        <v>124</v>
      </c>
      <c r="M5102" s="1" t="s">
        <v>115</v>
      </c>
      <c r="N5102" s="1">
        <v>1</v>
      </c>
      <c r="O5102" s="58"/>
      <c r="P5102" s="58">
        <v>60440.9</v>
      </c>
      <c r="Q5102" t="s">
        <v>118</v>
      </c>
      <c r="R5102" s="1" t="s">
        <v>48</v>
      </c>
    </row>
    <row r="5103" spans="3:18" x14ac:dyDescent="0.35">
      <c r="C5103" t="s">
        <v>51</v>
      </c>
      <c r="D5103" t="s">
        <v>22</v>
      </c>
      <c r="E5103" t="s">
        <v>45</v>
      </c>
      <c r="F5103" t="s">
        <v>46</v>
      </c>
      <c r="G5103" s="58">
        <v>72974</v>
      </c>
      <c r="H5103" s="1" t="s">
        <v>47</v>
      </c>
      <c r="I5103" s="1" t="s">
        <v>119</v>
      </c>
      <c r="J5103" s="58">
        <v>437844</v>
      </c>
      <c r="K5103" s="1" t="s">
        <v>106</v>
      </c>
      <c r="L5103" s="1" t="s">
        <v>109</v>
      </c>
      <c r="N5103" s="1">
        <v>1</v>
      </c>
      <c r="O5103" s="58"/>
      <c r="P5103" s="58">
        <v>16054.28</v>
      </c>
      <c r="Q5103" t="s">
        <v>107</v>
      </c>
      <c r="R5103" s="1" t="s">
        <v>158</v>
      </c>
    </row>
    <row r="5104" spans="3:18" x14ac:dyDescent="0.35">
      <c r="C5104" t="s">
        <v>51</v>
      </c>
      <c r="D5104" t="s">
        <v>60</v>
      </c>
      <c r="E5104" t="s">
        <v>60</v>
      </c>
      <c r="F5104" t="s">
        <v>46</v>
      </c>
      <c r="G5104" s="58">
        <v>400895</v>
      </c>
      <c r="H5104" s="1" t="s">
        <v>61</v>
      </c>
      <c r="I5104" s="1" t="s">
        <v>128</v>
      </c>
      <c r="J5104" s="58"/>
      <c r="K5104" s="1" t="s">
        <v>106</v>
      </c>
      <c r="N5104" s="1">
        <v>0</v>
      </c>
      <c r="O5104" s="58"/>
      <c r="P5104" s="58">
        <v>96214.8</v>
      </c>
      <c r="Q5104" t="s">
        <v>107</v>
      </c>
    </row>
    <row r="5105" spans="3:18" x14ac:dyDescent="0.35">
      <c r="C5105" t="s">
        <v>51</v>
      </c>
      <c r="D5105" t="s">
        <v>22</v>
      </c>
      <c r="E5105" t="s">
        <v>45</v>
      </c>
      <c r="F5105" t="s">
        <v>64</v>
      </c>
      <c r="G5105" s="58">
        <v>168605</v>
      </c>
      <c r="H5105" s="1" t="s">
        <v>47</v>
      </c>
      <c r="I5105" s="1" t="s">
        <v>119</v>
      </c>
      <c r="J5105" s="58">
        <v>1011630</v>
      </c>
      <c r="K5105" s="1" t="s">
        <v>106</v>
      </c>
      <c r="L5105" s="1" t="s">
        <v>120</v>
      </c>
      <c r="N5105" s="1">
        <v>1</v>
      </c>
      <c r="O5105" s="58"/>
      <c r="P5105" s="58">
        <v>30348.9</v>
      </c>
      <c r="Q5105" t="s">
        <v>107</v>
      </c>
      <c r="R5105" s="1" t="s">
        <v>158</v>
      </c>
    </row>
    <row r="5106" spans="3:18" x14ac:dyDescent="0.35">
      <c r="C5106" t="s">
        <v>51</v>
      </c>
      <c r="D5106" t="s">
        <v>19</v>
      </c>
      <c r="E5106" t="s">
        <v>49</v>
      </c>
      <c r="F5106" t="s">
        <v>46</v>
      </c>
      <c r="G5106" s="58">
        <v>5441411</v>
      </c>
      <c r="H5106" s="1" t="s">
        <v>48</v>
      </c>
      <c r="I5106" s="1" t="s">
        <v>111</v>
      </c>
      <c r="J5106" s="58">
        <v>97945398</v>
      </c>
      <c r="K5106" s="1" t="s">
        <v>112</v>
      </c>
      <c r="N5106" s="1">
        <v>1</v>
      </c>
      <c r="O5106" s="58"/>
      <c r="P5106" s="58">
        <v>3754573.59</v>
      </c>
      <c r="Q5106" t="s">
        <v>118</v>
      </c>
      <c r="R5106" s="1" t="s">
        <v>48</v>
      </c>
    </row>
    <row r="5107" spans="3:18" x14ac:dyDescent="0.35">
      <c r="C5107" t="s">
        <v>51</v>
      </c>
      <c r="D5107" t="s">
        <v>22</v>
      </c>
      <c r="E5107" t="s">
        <v>45</v>
      </c>
      <c r="F5107" t="s">
        <v>46</v>
      </c>
      <c r="G5107" s="58">
        <v>204369035</v>
      </c>
      <c r="H5107" s="1" t="s">
        <v>47</v>
      </c>
      <c r="I5107" s="1" t="s">
        <v>119</v>
      </c>
      <c r="J5107" s="58">
        <v>1430583245</v>
      </c>
      <c r="K5107" s="1" t="s">
        <v>106</v>
      </c>
      <c r="L5107" s="1" t="s">
        <v>120</v>
      </c>
      <c r="N5107" s="1">
        <v>1</v>
      </c>
      <c r="O5107" s="58"/>
      <c r="P5107" s="58">
        <v>44961187.700000003</v>
      </c>
      <c r="Q5107" t="s">
        <v>107</v>
      </c>
      <c r="R5107" s="1" t="s">
        <v>158</v>
      </c>
    </row>
    <row r="5108" spans="3:18" x14ac:dyDescent="0.35">
      <c r="C5108" t="s">
        <v>51</v>
      </c>
      <c r="D5108" t="s">
        <v>21</v>
      </c>
      <c r="E5108" t="s">
        <v>45</v>
      </c>
      <c r="F5108" t="s">
        <v>46</v>
      </c>
      <c r="G5108" s="58">
        <v>15543889</v>
      </c>
      <c r="H5108" s="1" t="s">
        <v>48</v>
      </c>
      <c r="I5108" s="1" t="s">
        <v>108</v>
      </c>
      <c r="J5108" s="58">
        <v>544036115</v>
      </c>
      <c r="K5108" s="1" t="s">
        <v>106</v>
      </c>
      <c r="L5108" s="1" t="s">
        <v>124</v>
      </c>
      <c r="M5108" s="1" t="s">
        <v>126</v>
      </c>
      <c r="N5108" s="1">
        <v>1</v>
      </c>
      <c r="O5108" s="58"/>
      <c r="P5108" s="58">
        <v>12901427.869999999</v>
      </c>
      <c r="Q5108" t="s">
        <v>127</v>
      </c>
      <c r="R5108" s="1" t="s">
        <v>48</v>
      </c>
    </row>
    <row r="5109" spans="3:18" x14ac:dyDescent="0.35">
      <c r="C5109" t="s">
        <v>53</v>
      </c>
      <c r="D5109" t="s">
        <v>22</v>
      </c>
      <c r="E5109" t="s">
        <v>45</v>
      </c>
      <c r="F5109" t="s">
        <v>46</v>
      </c>
      <c r="G5109" s="58">
        <v>56730</v>
      </c>
      <c r="H5109" s="1" t="s">
        <v>47</v>
      </c>
      <c r="I5109" s="1" t="s">
        <v>108</v>
      </c>
      <c r="J5109" s="58">
        <v>1248060</v>
      </c>
      <c r="K5109" s="1" t="s">
        <v>106</v>
      </c>
      <c r="L5109" s="1" t="s">
        <v>120</v>
      </c>
      <c r="N5109" s="1">
        <v>1</v>
      </c>
      <c r="O5109" s="58"/>
      <c r="P5109" s="58">
        <v>23259.3</v>
      </c>
      <c r="Q5109" t="s">
        <v>113</v>
      </c>
      <c r="R5109" s="1" t="s">
        <v>158</v>
      </c>
    </row>
    <row r="5110" spans="3:18" x14ac:dyDescent="0.35">
      <c r="C5110" t="s">
        <v>51</v>
      </c>
      <c r="D5110" t="s">
        <v>24</v>
      </c>
      <c r="E5110" t="s">
        <v>50</v>
      </c>
      <c r="F5110" t="s">
        <v>46</v>
      </c>
      <c r="G5110" s="58">
        <v>3542460</v>
      </c>
      <c r="H5110" s="1" t="s">
        <v>47</v>
      </c>
      <c r="I5110" s="1" t="s">
        <v>105</v>
      </c>
      <c r="J5110" s="58">
        <v>10627380</v>
      </c>
      <c r="K5110" s="1" t="s">
        <v>106</v>
      </c>
      <c r="L5110" s="1" t="s">
        <v>109</v>
      </c>
      <c r="N5110" s="1">
        <v>1</v>
      </c>
      <c r="O5110" s="58"/>
      <c r="P5110" s="58">
        <v>425095.2</v>
      </c>
      <c r="Q5110" t="s">
        <v>107</v>
      </c>
      <c r="R5110" s="1" t="s">
        <v>158</v>
      </c>
    </row>
    <row r="5111" spans="3:18" x14ac:dyDescent="0.35">
      <c r="C5111" t="s">
        <v>53</v>
      </c>
      <c r="D5111" t="s">
        <v>92</v>
      </c>
      <c r="E5111" t="s">
        <v>49</v>
      </c>
      <c r="F5111" t="s">
        <v>46</v>
      </c>
      <c r="G5111" s="58">
        <v>1113472</v>
      </c>
      <c r="H5111" s="1" t="s">
        <v>48</v>
      </c>
      <c r="I5111" s="1" t="s">
        <v>105</v>
      </c>
      <c r="J5111" s="58">
        <v>4453888</v>
      </c>
      <c r="K5111" s="1" t="s">
        <v>106</v>
      </c>
      <c r="L5111" s="1" t="s">
        <v>124</v>
      </c>
      <c r="M5111" s="1" t="s">
        <v>123</v>
      </c>
      <c r="N5111" s="1">
        <v>1</v>
      </c>
      <c r="O5111" s="58"/>
      <c r="P5111" s="58">
        <v>656948.47999999998</v>
      </c>
      <c r="Q5111" t="s">
        <v>113</v>
      </c>
      <c r="R5111" s="1" t="s">
        <v>48</v>
      </c>
    </row>
    <row r="5112" spans="3:18" x14ac:dyDescent="0.35">
      <c r="C5112" t="s">
        <v>51</v>
      </c>
      <c r="D5112" t="s">
        <v>22</v>
      </c>
      <c r="E5112" t="s">
        <v>45</v>
      </c>
      <c r="F5112" t="s">
        <v>46</v>
      </c>
      <c r="G5112" s="58">
        <v>550918591</v>
      </c>
      <c r="H5112" s="1" t="s">
        <v>47</v>
      </c>
      <c r="I5112" s="1" t="s">
        <v>108</v>
      </c>
      <c r="J5112" s="58">
        <v>14323883366</v>
      </c>
      <c r="K5112" s="1" t="s">
        <v>106</v>
      </c>
      <c r="L5112" s="1" t="s">
        <v>120</v>
      </c>
      <c r="N5112" s="1">
        <v>1</v>
      </c>
      <c r="O5112" s="58"/>
      <c r="P5112" s="58">
        <v>280968481.41000003</v>
      </c>
      <c r="Q5112" t="s">
        <v>113</v>
      </c>
      <c r="R5112" s="1" t="s">
        <v>158</v>
      </c>
    </row>
    <row r="5113" spans="3:18" x14ac:dyDescent="0.35">
      <c r="C5113" t="s">
        <v>51</v>
      </c>
      <c r="D5113" t="s">
        <v>22</v>
      </c>
      <c r="E5113" t="s">
        <v>45</v>
      </c>
      <c r="F5113" t="s">
        <v>46</v>
      </c>
      <c r="G5113" s="58">
        <v>374686</v>
      </c>
      <c r="H5113" s="1" t="s">
        <v>59</v>
      </c>
      <c r="I5113" s="1" t="s">
        <v>111</v>
      </c>
      <c r="J5113" s="58">
        <v>6744348</v>
      </c>
      <c r="K5113" s="1" t="s">
        <v>112</v>
      </c>
      <c r="N5113" s="1">
        <v>1</v>
      </c>
      <c r="O5113" s="58"/>
      <c r="P5113" s="58">
        <v>273520.78000000003</v>
      </c>
      <c r="Q5113" t="s">
        <v>118</v>
      </c>
      <c r="R5113" s="1" t="s">
        <v>158</v>
      </c>
    </row>
    <row r="5114" spans="3:18" x14ac:dyDescent="0.35">
      <c r="C5114" t="s">
        <v>51</v>
      </c>
      <c r="D5114" t="s">
        <v>23</v>
      </c>
      <c r="E5114" t="s">
        <v>49</v>
      </c>
      <c r="F5114" t="s">
        <v>46</v>
      </c>
      <c r="G5114" s="58">
        <v>303952</v>
      </c>
      <c r="H5114" s="1" t="s">
        <v>47</v>
      </c>
      <c r="I5114" s="1" t="s">
        <v>108</v>
      </c>
      <c r="J5114" s="58">
        <v>7598800</v>
      </c>
      <c r="K5114" s="1" t="s">
        <v>112</v>
      </c>
      <c r="N5114" s="1">
        <v>1</v>
      </c>
      <c r="O5114" s="58"/>
      <c r="P5114" s="58">
        <v>127659.84</v>
      </c>
      <c r="Q5114" t="s">
        <v>113</v>
      </c>
      <c r="R5114" s="1" t="s">
        <v>158</v>
      </c>
    </row>
    <row r="5115" spans="3:18" x14ac:dyDescent="0.35">
      <c r="C5115" t="s">
        <v>51</v>
      </c>
      <c r="D5115" t="s">
        <v>24</v>
      </c>
      <c r="E5115" t="s">
        <v>55</v>
      </c>
      <c r="F5115" t="s">
        <v>46</v>
      </c>
      <c r="G5115" s="58">
        <v>29674</v>
      </c>
      <c r="H5115" s="1" t="s">
        <v>54</v>
      </c>
      <c r="I5115" s="1" t="s">
        <v>105</v>
      </c>
      <c r="J5115" s="58"/>
      <c r="K5115" s="1" t="s">
        <v>106</v>
      </c>
      <c r="L5115" s="1" t="s">
        <v>114</v>
      </c>
      <c r="N5115" s="1">
        <v>0</v>
      </c>
      <c r="O5115" s="58"/>
      <c r="P5115" s="58">
        <v>890.22</v>
      </c>
      <c r="Q5115" t="s">
        <v>107</v>
      </c>
      <c r="R5115" s="1" t="s">
        <v>158</v>
      </c>
    </row>
    <row r="5116" spans="3:18" x14ac:dyDescent="0.35">
      <c r="C5116" t="s">
        <v>51</v>
      </c>
      <c r="D5116" t="s">
        <v>19</v>
      </c>
      <c r="E5116" t="s">
        <v>49</v>
      </c>
      <c r="F5116" t="s">
        <v>46</v>
      </c>
      <c r="G5116" s="58">
        <v>6277901</v>
      </c>
      <c r="H5116" s="1" t="s">
        <v>56</v>
      </c>
      <c r="I5116" s="1" t="s">
        <v>105</v>
      </c>
      <c r="J5116" s="58">
        <v>18833703</v>
      </c>
      <c r="K5116" s="1" t="s">
        <v>106</v>
      </c>
      <c r="L5116" s="1" t="s">
        <v>124</v>
      </c>
      <c r="N5116" s="1">
        <v>1</v>
      </c>
      <c r="O5116" s="58"/>
      <c r="P5116" s="58">
        <v>1067243.17</v>
      </c>
      <c r="Q5116" t="s">
        <v>107</v>
      </c>
      <c r="R5116" s="1" t="s">
        <v>158</v>
      </c>
    </row>
    <row r="5117" spans="3:18" x14ac:dyDescent="0.35">
      <c r="C5117" t="s">
        <v>51</v>
      </c>
      <c r="D5117" t="s">
        <v>21</v>
      </c>
      <c r="E5117" t="s">
        <v>49</v>
      </c>
      <c r="F5117" t="s">
        <v>46</v>
      </c>
      <c r="G5117" s="58">
        <v>5178680</v>
      </c>
      <c r="H5117" s="1" t="s">
        <v>56</v>
      </c>
      <c r="I5117" s="1" t="s">
        <v>111</v>
      </c>
      <c r="J5117" s="58">
        <v>82858880</v>
      </c>
      <c r="K5117" s="1" t="s">
        <v>112</v>
      </c>
      <c r="N5117" s="1">
        <v>1</v>
      </c>
      <c r="O5117" s="58"/>
      <c r="P5117" s="58">
        <v>1398243.6</v>
      </c>
      <c r="Q5117" t="s">
        <v>107</v>
      </c>
      <c r="R5117" s="1" t="s">
        <v>158</v>
      </c>
    </row>
    <row r="5118" spans="3:18" x14ac:dyDescent="0.35">
      <c r="C5118" t="s">
        <v>51</v>
      </c>
      <c r="D5118" t="s">
        <v>23</v>
      </c>
      <c r="E5118" t="s">
        <v>50</v>
      </c>
      <c r="F5118" t="s">
        <v>46</v>
      </c>
      <c r="G5118" s="58">
        <v>5643033</v>
      </c>
      <c r="H5118" s="1" t="s">
        <v>48</v>
      </c>
      <c r="I5118" s="1" t="s">
        <v>108</v>
      </c>
      <c r="J5118" s="58">
        <v>197506155</v>
      </c>
      <c r="K5118" s="1" t="s">
        <v>106</v>
      </c>
      <c r="L5118" s="1" t="s">
        <v>120</v>
      </c>
      <c r="M5118" s="1" t="s">
        <v>125</v>
      </c>
      <c r="N5118" s="1">
        <v>1</v>
      </c>
      <c r="O5118" s="58"/>
      <c r="P5118" s="58">
        <v>4627287.0599999996</v>
      </c>
      <c r="Q5118" t="s">
        <v>127</v>
      </c>
      <c r="R5118" s="1" t="s">
        <v>48</v>
      </c>
    </row>
    <row r="5119" spans="3:18" x14ac:dyDescent="0.35">
      <c r="C5119" t="s">
        <v>53</v>
      </c>
      <c r="D5119" t="s">
        <v>92</v>
      </c>
      <c r="E5119" t="s">
        <v>45</v>
      </c>
      <c r="F5119" t="s">
        <v>46</v>
      </c>
      <c r="G5119" s="58">
        <v>376000</v>
      </c>
      <c r="H5119" s="1" t="s">
        <v>59</v>
      </c>
      <c r="I5119" s="1" t="s">
        <v>105</v>
      </c>
      <c r="J5119" s="58">
        <v>1128000</v>
      </c>
      <c r="K5119" s="1" t="s">
        <v>106</v>
      </c>
      <c r="L5119" s="1" t="s">
        <v>120</v>
      </c>
      <c r="N5119" s="1">
        <v>1</v>
      </c>
      <c r="O5119" s="58"/>
      <c r="P5119" s="58">
        <v>345920</v>
      </c>
      <c r="Q5119" t="s">
        <v>127</v>
      </c>
      <c r="R5119" s="1" t="s">
        <v>158</v>
      </c>
    </row>
    <row r="5120" spans="3:18" x14ac:dyDescent="0.35">
      <c r="C5120" t="s">
        <v>51</v>
      </c>
      <c r="D5120" t="s">
        <v>92</v>
      </c>
      <c r="E5120" t="s">
        <v>45</v>
      </c>
      <c r="F5120" t="s">
        <v>46</v>
      </c>
      <c r="G5120" s="58">
        <v>309298</v>
      </c>
      <c r="H5120" s="1" t="s">
        <v>48</v>
      </c>
      <c r="I5120" s="1" t="s">
        <v>108</v>
      </c>
      <c r="J5120" s="58">
        <v>12062622</v>
      </c>
      <c r="K5120" s="1" t="s">
        <v>106</v>
      </c>
      <c r="L5120" s="1" t="s">
        <v>120</v>
      </c>
      <c r="M5120" s="1" t="s">
        <v>123</v>
      </c>
      <c r="N5120" s="1">
        <v>1</v>
      </c>
      <c r="O5120" s="58"/>
      <c r="P5120" s="58">
        <v>330948.86</v>
      </c>
      <c r="Q5120" t="s">
        <v>110</v>
      </c>
      <c r="R5120" s="1" t="s">
        <v>158</v>
      </c>
    </row>
    <row r="5121" spans="3:18" x14ac:dyDescent="0.35">
      <c r="C5121" t="s">
        <v>51</v>
      </c>
      <c r="D5121" t="s">
        <v>24</v>
      </c>
      <c r="E5121" t="s">
        <v>50</v>
      </c>
      <c r="F5121" t="s">
        <v>46</v>
      </c>
      <c r="G5121" s="58">
        <v>440085</v>
      </c>
      <c r="H5121" s="1" t="s">
        <v>47</v>
      </c>
      <c r="I5121" s="1" t="s">
        <v>108</v>
      </c>
      <c r="J5121" s="58">
        <v>15843060</v>
      </c>
      <c r="K5121" s="1" t="s">
        <v>106</v>
      </c>
      <c r="L5121" s="1" t="s">
        <v>120</v>
      </c>
      <c r="N5121" s="1">
        <v>1</v>
      </c>
      <c r="O5121" s="58"/>
      <c r="P5121" s="58">
        <v>158430.6</v>
      </c>
      <c r="Q5121" t="s">
        <v>107</v>
      </c>
      <c r="R5121" s="1" t="s">
        <v>158</v>
      </c>
    </row>
    <row r="5122" spans="3:18" x14ac:dyDescent="0.35">
      <c r="C5122" t="s">
        <v>53</v>
      </c>
      <c r="D5122" t="s">
        <v>21</v>
      </c>
      <c r="E5122" t="s">
        <v>45</v>
      </c>
      <c r="F5122" t="s">
        <v>46</v>
      </c>
      <c r="G5122" s="58">
        <v>51366552</v>
      </c>
      <c r="H5122" s="1" t="s">
        <v>56</v>
      </c>
      <c r="I5122" s="1" t="s">
        <v>105</v>
      </c>
      <c r="J5122" s="58">
        <v>205466208</v>
      </c>
      <c r="K5122" s="1" t="s">
        <v>106</v>
      </c>
      <c r="L5122" s="1" t="s">
        <v>120</v>
      </c>
      <c r="N5122" s="1">
        <v>1</v>
      </c>
      <c r="O5122" s="58"/>
      <c r="P5122" s="58">
        <v>25169610.48</v>
      </c>
      <c r="Q5122" t="s">
        <v>113</v>
      </c>
      <c r="R5122" s="1" t="s">
        <v>158</v>
      </c>
    </row>
    <row r="5123" spans="3:18" x14ac:dyDescent="0.35">
      <c r="C5123" t="s">
        <v>51</v>
      </c>
      <c r="D5123" t="s">
        <v>20</v>
      </c>
      <c r="E5123" t="s">
        <v>49</v>
      </c>
      <c r="F5123" t="s">
        <v>46</v>
      </c>
      <c r="G5123" s="58">
        <v>262574</v>
      </c>
      <c r="H5123" s="1" t="s">
        <v>48</v>
      </c>
      <c r="I5123" s="1" t="s">
        <v>108</v>
      </c>
      <c r="J5123" s="58">
        <v>6301776</v>
      </c>
      <c r="K5123" s="1" t="s">
        <v>106</v>
      </c>
      <c r="L5123" s="1" t="s">
        <v>120</v>
      </c>
      <c r="M5123" s="1" t="s">
        <v>115</v>
      </c>
      <c r="N5123" s="1">
        <v>1</v>
      </c>
      <c r="O5123" s="58"/>
      <c r="P5123" s="58">
        <v>123409.78</v>
      </c>
      <c r="Q5123" t="s">
        <v>113</v>
      </c>
      <c r="R5123" s="1" t="s">
        <v>158</v>
      </c>
    </row>
    <row r="5124" spans="3:18" x14ac:dyDescent="0.35">
      <c r="C5124" t="s">
        <v>51</v>
      </c>
      <c r="D5124" t="s">
        <v>23</v>
      </c>
      <c r="E5124" t="s">
        <v>45</v>
      </c>
      <c r="F5124" t="s">
        <v>46</v>
      </c>
      <c r="G5124" s="58">
        <v>4658061</v>
      </c>
      <c r="H5124" s="1" t="s">
        <v>56</v>
      </c>
      <c r="I5124" s="1" t="s">
        <v>108</v>
      </c>
      <c r="J5124" s="58">
        <v>125767647</v>
      </c>
      <c r="K5124" s="1" t="s">
        <v>112</v>
      </c>
      <c r="N5124" s="1">
        <v>1</v>
      </c>
      <c r="O5124" s="58"/>
      <c r="P5124" s="58">
        <v>2468772.33</v>
      </c>
      <c r="Q5124" t="s">
        <v>113</v>
      </c>
      <c r="R5124" s="1" t="s">
        <v>158</v>
      </c>
    </row>
    <row r="5125" spans="3:18" x14ac:dyDescent="0.35">
      <c r="C5125" t="s">
        <v>51</v>
      </c>
      <c r="D5125" t="s">
        <v>24</v>
      </c>
      <c r="E5125" t="s">
        <v>49</v>
      </c>
      <c r="F5125" t="s">
        <v>46</v>
      </c>
      <c r="G5125" s="58">
        <v>256950</v>
      </c>
      <c r="H5125" s="1" t="s">
        <v>48</v>
      </c>
      <c r="I5125" s="1" t="s">
        <v>119</v>
      </c>
      <c r="J5125" s="58">
        <v>2569500</v>
      </c>
      <c r="K5125" s="1" t="s">
        <v>106</v>
      </c>
      <c r="L5125" s="1" t="s">
        <v>124</v>
      </c>
      <c r="M5125" s="1" t="s">
        <v>121</v>
      </c>
      <c r="N5125" s="1">
        <v>1</v>
      </c>
      <c r="O5125" s="58"/>
      <c r="P5125" s="58">
        <v>156739.5</v>
      </c>
      <c r="Q5125" t="s">
        <v>118</v>
      </c>
      <c r="R5125" s="1" t="s">
        <v>48</v>
      </c>
    </row>
    <row r="5126" spans="3:18" x14ac:dyDescent="0.35">
      <c r="C5126" t="s">
        <v>51</v>
      </c>
      <c r="D5126" t="s">
        <v>24</v>
      </c>
      <c r="E5126" t="s">
        <v>55</v>
      </c>
      <c r="F5126" t="s">
        <v>46</v>
      </c>
      <c r="G5126" s="58">
        <v>606141</v>
      </c>
      <c r="H5126" s="1" t="s">
        <v>48</v>
      </c>
      <c r="I5126" s="1" t="s">
        <v>108</v>
      </c>
      <c r="J5126" s="58">
        <v>22427217</v>
      </c>
      <c r="K5126" s="1" t="s">
        <v>106</v>
      </c>
      <c r="L5126" s="1" t="s">
        <v>120</v>
      </c>
      <c r="M5126" s="1" t="s">
        <v>121</v>
      </c>
      <c r="N5126" s="1">
        <v>1</v>
      </c>
      <c r="O5126" s="58"/>
      <c r="P5126" s="58">
        <v>497035.62</v>
      </c>
      <c r="Q5126" t="s">
        <v>127</v>
      </c>
      <c r="R5126" s="1" t="s">
        <v>48</v>
      </c>
    </row>
    <row r="5127" spans="3:18" x14ac:dyDescent="0.35">
      <c r="C5127" t="s">
        <v>51</v>
      </c>
      <c r="D5127" t="s">
        <v>24</v>
      </c>
      <c r="E5127" t="s">
        <v>52</v>
      </c>
      <c r="F5127" t="s">
        <v>46</v>
      </c>
      <c r="G5127" s="58">
        <v>435755</v>
      </c>
      <c r="H5127" s="1" t="s">
        <v>48</v>
      </c>
      <c r="I5127" s="1" t="s">
        <v>111</v>
      </c>
      <c r="J5127" s="58">
        <v>7407835</v>
      </c>
      <c r="K5127" s="1" t="s">
        <v>106</v>
      </c>
      <c r="L5127" s="1" t="s">
        <v>130</v>
      </c>
      <c r="M5127" s="1" t="s">
        <v>121</v>
      </c>
      <c r="N5127" s="1">
        <v>1</v>
      </c>
      <c r="O5127" s="58"/>
      <c r="P5127" s="58">
        <v>296313.40000000002</v>
      </c>
      <c r="Q5127" t="s">
        <v>118</v>
      </c>
      <c r="R5127" s="1" t="s">
        <v>48</v>
      </c>
    </row>
    <row r="5128" spans="3:18" x14ac:dyDescent="0.35">
      <c r="C5128" t="s">
        <v>51</v>
      </c>
      <c r="D5128" t="s">
        <v>92</v>
      </c>
      <c r="E5128" t="s">
        <v>49</v>
      </c>
      <c r="F5128" t="s">
        <v>46</v>
      </c>
      <c r="G5128" s="58">
        <v>936738</v>
      </c>
      <c r="H5128" s="1" t="s">
        <v>59</v>
      </c>
      <c r="I5128" s="1" t="s">
        <v>108</v>
      </c>
      <c r="J5128" s="58">
        <v>28102140</v>
      </c>
      <c r="K5128" s="1" t="s">
        <v>112</v>
      </c>
      <c r="N5128" s="1">
        <v>1</v>
      </c>
      <c r="O5128" s="58"/>
      <c r="P5128" s="58">
        <v>786859.92</v>
      </c>
      <c r="Q5128" t="s">
        <v>127</v>
      </c>
      <c r="R5128" s="1" t="s">
        <v>158</v>
      </c>
    </row>
    <row r="5129" spans="3:18" x14ac:dyDescent="0.35">
      <c r="C5129" t="s">
        <v>51</v>
      </c>
      <c r="D5129" t="s">
        <v>22</v>
      </c>
      <c r="E5129" t="s">
        <v>55</v>
      </c>
      <c r="F5129" t="s">
        <v>46</v>
      </c>
      <c r="G5129" s="58">
        <v>169881</v>
      </c>
      <c r="H5129" s="1" t="s">
        <v>48</v>
      </c>
      <c r="I5129" s="1" t="s">
        <v>108</v>
      </c>
      <c r="J5129" s="58">
        <v>5606073</v>
      </c>
      <c r="K5129" s="1" t="s">
        <v>106</v>
      </c>
      <c r="L5129" s="1" t="s">
        <v>124</v>
      </c>
      <c r="M5129" s="1" t="s">
        <v>123</v>
      </c>
      <c r="N5129" s="1">
        <v>1</v>
      </c>
      <c r="O5129" s="58"/>
      <c r="P5129" s="58">
        <v>117217.89</v>
      </c>
      <c r="Q5129" t="s">
        <v>118</v>
      </c>
      <c r="R5129" s="1" t="s">
        <v>48</v>
      </c>
    </row>
    <row r="5130" spans="3:18" x14ac:dyDescent="0.35">
      <c r="C5130" t="s">
        <v>51</v>
      </c>
      <c r="D5130" t="s">
        <v>22</v>
      </c>
      <c r="E5130" t="s">
        <v>49</v>
      </c>
      <c r="F5130" t="s">
        <v>46</v>
      </c>
      <c r="G5130" s="58">
        <v>798380</v>
      </c>
      <c r="H5130" s="1" t="s">
        <v>56</v>
      </c>
      <c r="I5130" s="1" t="s">
        <v>108</v>
      </c>
      <c r="J5130" s="58">
        <v>24749780</v>
      </c>
      <c r="K5130" s="1" t="s">
        <v>112</v>
      </c>
      <c r="N5130" s="1">
        <v>1</v>
      </c>
      <c r="O5130" s="58"/>
      <c r="P5130" s="58">
        <v>534914.6</v>
      </c>
      <c r="Q5130" t="s">
        <v>118</v>
      </c>
      <c r="R5130" s="1" t="s">
        <v>158</v>
      </c>
    </row>
    <row r="5131" spans="3:18" x14ac:dyDescent="0.35">
      <c r="C5131" t="s">
        <v>51</v>
      </c>
      <c r="D5131" t="s">
        <v>22</v>
      </c>
      <c r="E5131" t="s">
        <v>49</v>
      </c>
      <c r="F5131" t="s">
        <v>46</v>
      </c>
      <c r="G5131" s="58">
        <v>2269612</v>
      </c>
      <c r="H5131" s="1" t="s">
        <v>47</v>
      </c>
      <c r="I5131" s="1" t="s">
        <v>119</v>
      </c>
      <c r="J5131" s="58">
        <v>20426508</v>
      </c>
      <c r="K5131" s="1" t="s">
        <v>106</v>
      </c>
      <c r="L5131" s="1" t="s">
        <v>120</v>
      </c>
      <c r="N5131" s="1">
        <v>1</v>
      </c>
      <c r="O5131" s="58"/>
      <c r="P5131" s="58">
        <v>1157502.1200000001</v>
      </c>
      <c r="Q5131" t="s">
        <v>113</v>
      </c>
      <c r="R5131" s="1" t="s">
        <v>158</v>
      </c>
    </row>
    <row r="5132" spans="3:18" x14ac:dyDescent="0.35">
      <c r="C5132" t="s">
        <v>51</v>
      </c>
      <c r="D5132" t="s">
        <v>21</v>
      </c>
      <c r="E5132" t="s">
        <v>50</v>
      </c>
      <c r="F5132" t="s">
        <v>46</v>
      </c>
      <c r="G5132" s="58">
        <v>575799</v>
      </c>
      <c r="H5132" s="1" t="s">
        <v>48</v>
      </c>
      <c r="I5132" s="1" t="s">
        <v>108</v>
      </c>
      <c r="J5132" s="58">
        <v>17849769</v>
      </c>
      <c r="K5132" s="1" t="s">
        <v>106</v>
      </c>
      <c r="L5132" s="1" t="s">
        <v>109</v>
      </c>
      <c r="M5132" s="1" t="s">
        <v>126</v>
      </c>
      <c r="N5132" s="1">
        <v>1</v>
      </c>
      <c r="O5132" s="58"/>
      <c r="P5132" s="58">
        <v>310931.46000000002</v>
      </c>
      <c r="Q5132" t="s">
        <v>113</v>
      </c>
      <c r="R5132" s="1" t="s">
        <v>48</v>
      </c>
    </row>
    <row r="5133" spans="3:18" x14ac:dyDescent="0.35">
      <c r="C5133" t="s">
        <v>51</v>
      </c>
      <c r="D5133" t="s">
        <v>21</v>
      </c>
      <c r="E5133" t="s">
        <v>49</v>
      </c>
      <c r="F5133" t="s">
        <v>46</v>
      </c>
      <c r="G5133" s="58">
        <v>805614513</v>
      </c>
      <c r="H5133" s="1" t="s">
        <v>48</v>
      </c>
      <c r="I5133" s="1" t="s">
        <v>108</v>
      </c>
      <c r="J5133" s="58">
        <v>27390893442</v>
      </c>
      <c r="K5133" s="1" t="s">
        <v>106</v>
      </c>
      <c r="L5133" s="1" t="s">
        <v>124</v>
      </c>
      <c r="M5133" s="1" t="s">
        <v>126</v>
      </c>
      <c r="N5133" s="1">
        <v>1</v>
      </c>
      <c r="O5133" s="58"/>
      <c r="P5133" s="58">
        <v>660603900.65999997</v>
      </c>
      <c r="Q5133" t="s">
        <v>127</v>
      </c>
      <c r="R5133" s="1" t="s">
        <v>158</v>
      </c>
    </row>
    <row r="5134" spans="3:18" x14ac:dyDescent="0.35">
      <c r="C5134" t="s">
        <v>51</v>
      </c>
      <c r="D5134" t="s">
        <v>19</v>
      </c>
      <c r="E5134" t="s">
        <v>49</v>
      </c>
      <c r="F5134" t="s">
        <v>64</v>
      </c>
      <c r="G5134" s="58">
        <v>32360</v>
      </c>
      <c r="H5134" s="1" t="s">
        <v>47</v>
      </c>
      <c r="I5134" s="1" t="s">
        <v>105</v>
      </c>
      <c r="J5134" s="58">
        <v>64720</v>
      </c>
      <c r="K5134" s="1" t="s">
        <v>106</v>
      </c>
      <c r="L5134" s="1" t="s">
        <v>124</v>
      </c>
      <c r="N5134" s="1">
        <v>1</v>
      </c>
      <c r="O5134" s="58"/>
      <c r="P5134" s="58">
        <v>7119.2</v>
      </c>
      <c r="Q5134" t="s">
        <v>107</v>
      </c>
      <c r="R5134" s="1" t="s">
        <v>158</v>
      </c>
    </row>
    <row r="5135" spans="3:18" x14ac:dyDescent="0.35">
      <c r="C5135" t="s">
        <v>51</v>
      </c>
      <c r="D5135" t="s">
        <v>20</v>
      </c>
      <c r="E5135" t="s">
        <v>49</v>
      </c>
      <c r="F5135" t="s">
        <v>46</v>
      </c>
      <c r="G5135" s="58">
        <v>602235</v>
      </c>
      <c r="H5135" s="1" t="s">
        <v>59</v>
      </c>
      <c r="I5135" s="1" t="s">
        <v>108</v>
      </c>
      <c r="J5135" s="58">
        <v>20475990</v>
      </c>
      <c r="K5135" s="1" t="s">
        <v>106</v>
      </c>
      <c r="L5135" s="1" t="s">
        <v>124</v>
      </c>
      <c r="N5135" s="1">
        <v>1</v>
      </c>
      <c r="O5135" s="58"/>
      <c r="P5135" s="58">
        <v>770860.8</v>
      </c>
      <c r="Q5135" t="s">
        <v>110</v>
      </c>
      <c r="R5135" s="1" t="s">
        <v>158</v>
      </c>
    </row>
    <row r="5136" spans="3:18" x14ac:dyDescent="0.35">
      <c r="C5136" t="s">
        <v>51</v>
      </c>
      <c r="D5136" t="s">
        <v>21</v>
      </c>
      <c r="E5136" t="s">
        <v>62</v>
      </c>
      <c r="F5136" t="s">
        <v>46</v>
      </c>
      <c r="G5136" s="58">
        <v>638269</v>
      </c>
      <c r="H5136" s="1" t="s">
        <v>48</v>
      </c>
      <c r="I5136" s="1" t="s">
        <v>108</v>
      </c>
      <c r="J5136" s="58">
        <v>20424608</v>
      </c>
      <c r="K5136" s="1" t="s">
        <v>106</v>
      </c>
      <c r="L5136" s="1" t="s">
        <v>131</v>
      </c>
      <c r="M5136" s="1" t="s">
        <v>126</v>
      </c>
      <c r="N5136" s="1">
        <v>1</v>
      </c>
      <c r="O5136" s="58"/>
      <c r="P5136" s="58">
        <v>210628.77</v>
      </c>
      <c r="Q5136" t="s">
        <v>107</v>
      </c>
      <c r="R5136" s="1" t="s">
        <v>48</v>
      </c>
    </row>
    <row r="5137" spans="3:18" x14ac:dyDescent="0.35">
      <c r="C5137" t="s">
        <v>53</v>
      </c>
      <c r="D5137" t="s">
        <v>22</v>
      </c>
      <c r="E5137" t="s">
        <v>49</v>
      </c>
      <c r="F5137" t="s">
        <v>46</v>
      </c>
      <c r="G5137" s="58">
        <v>1342155</v>
      </c>
      <c r="H5137" s="1" t="s">
        <v>58</v>
      </c>
      <c r="I5137" s="1" t="s">
        <v>119</v>
      </c>
      <c r="J5137" s="58">
        <v>12079395</v>
      </c>
      <c r="K5137" s="1" t="s">
        <v>106</v>
      </c>
      <c r="L5137" s="1" t="s">
        <v>124</v>
      </c>
      <c r="N5137" s="1">
        <v>1</v>
      </c>
      <c r="O5137" s="58"/>
      <c r="P5137" s="58">
        <v>0</v>
      </c>
      <c r="Q5137" t="s">
        <v>107</v>
      </c>
      <c r="R5137" s="1" t="s">
        <v>158</v>
      </c>
    </row>
    <row r="5138" spans="3:18" x14ac:dyDescent="0.35">
      <c r="C5138" t="s">
        <v>51</v>
      </c>
      <c r="D5138" t="s">
        <v>19</v>
      </c>
      <c r="E5138" t="s">
        <v>49</v>
      </c>
      <c r="F5138" t="s">
        <v>64</v>
      </c>
      <c r="G5138" s="58">
        <v>497400</v>
      </c>
      <c r="H5138" s="1" t="s">
        <v>48</v>
      </c>
      <c r="I5138" s="1" t="s">
        <v>111</v>
      </c>
      <c r="J5138" s="58">
        <v>8953200</v>
      </c>
      <c r="K5138" s="1" t="s">
        <v>112</v>
      </c>
      <c r="N5138" s="1">
        <v>1</v>
      </c>
      <c r="O5138" s="58"/>
      <c r="P5138" s="58">
        <v>174090</v>
      </c>
      <c r="Q5138" t="s">
        <v>107</v>
      </c>
      <c r="R5138" s="1" t="s">
        <v>158</v>
      </c>
    </row>
    <row r="5139" spans="3:18" x14ac:dyDescent="0.35">
      <c r="C5139" t="s">
        <v>51</v>
      </c>
      <c r="D5139" t="s">
        <v>23</v>
      </c>
      <c r="E5139" t="s">
        <v>49</v>
      </c>
      <c r="F5139" t="s">
        <v>46</v>
      </c>
      <c r="G5139" s="58">
        <v>3957745</v>
      </c>
      <c r="H5139" s="1" t="s">
        <v>54</v>
      </c>
      <c r="I5139" s="1" t="s">
        <v>111</v>
      </c>
      <c r="J5139" s="58">
        <v>67281665</v>
      </c>
      <c r="K5139" s="1" t="s">
        <v>106</v>
      </c>
      <c r="L5139" s="1" t="s">
        <v>124</v>
      </c>
      <c r="N5139" s="1">
        <v>1</v>
      </c>
      <c r="O5139" s="58"/>
      <c r="P5139" s="58">
        <v>1939295.05</v>
      </c>
      <c r="Q5139" t="s">
        <v>113</v>
      </c>
      <c r="R5139" s="1" t="s">
        <v>158</v>
      </c>
    </row>
    <row r="5140" spans="3:18" x14ac:dyDescent="0.35">
      <c r="C5140" t="s">
        <v>51</v>
      </c>
      <c r="D5140" t="s">
        <v>25</v>
      </c>
      <c r="E5140" t="s">
        <v>45</v>
      </c>
      <c r="F5140" t="s">
        <v>46</v>
      </c>
      <c r="G5140" s="58">
        <v>118520</v>
      </c>
      <c r="H5140" s="1" t="s">
        <v>54</v>
      </c>
      <c r="I5140" s="1" t="s">
        <v>111</v>
      </c>
      <c r="J5140" s="58">
        <v>1540760</v>
      </c>
      <c r="K5140" s="1" t="s">
        <v>106</v>
      </c>
      <c r="L5140" s="1" t="s">
        <v>120</v>
      </c>
      <c r="N5140" s="1">
        <v>1</v>
      </c>
      <c r="O5140" s="58"/>
      <c r="P5140" s="58">
        <v>32000.400000000001</v>
      </c>
      <c r="Q5140" t="s">
        <v>107</v>
      </c>
      <c r="R5140" s="1" t="s">
        <v>158</v>
      </c>
    </row>
    <row r="5141" spans="3:18" x14ac:dyDescent="0.35">
      <c r="C5141" t="s">
        <v>53</v>
      </c>
      <c r="D5141" t="s">
        <v>19</v>
      </c>
      <c r="E5141" t="s">
        <v>49</v>
      </c>
      <c r="F5141" t="s">
        <v>46</v>
      </c>
      <c r="G5141" s="58">
        <v>3678542</v>
      </c>
      <c r="H5141" s="1" t="s">
        <v>47</v>
      </c>
      <c r="I5141" s="1" t="s">
        <v>105</v>
      </c>
      <c r="J5141" s="58">
        <v>14714168</v>
      </c>
      <c r="K5141" s="1" t="s">
        <v>106</v>
      </c>
      <c r="L5141" s="1" t="s">
        <v>120</v>
      </c>
      <c r="N5141" s="1">
        <v>1</v>
      </c>
      <c r="O5141" s="58"/>
      <c r="P5141" s="58">
        <v>478210.46</v>
      </c>
      <c r="Q5141" t="s">
        <v>107</v>
      </c>
      <c r="R5141" s="1" t="s">
        <v>158</v>
      </c>
    </row>
    <row r="5142" spans="3:18" x14ac:dyDescent="0.35">
      <c r="C5142" t="s">
        <v>53</v>
      </c>
      <c r="D5142" t="s">
        <v>25</v>
      </c>
      <c r="E5142" t="s">
        <v>45</v>
      </c>
      <c r="F5142" t="s">
        <v>46</v>
      </c>
      <c r="G5142" s="58">
        <v>85356</v>
      </c>
      <c r="H5142" s="1" t="s">
        <v>47</v>
      </c>
      <c r="I5142" s="1" t="s">
        <v>111</v>
      </c>
      <c r="J5142" s="58">
        <v>938916</v>
      </c>
      <c r="K5142" s="1" t="s">
        <v>106</v>
      </c>
      <c r="L5142" s="1" t="s">
        <v>120</v>
      </c>
      <c r="N5142" s="1">
        <v>1</v>
      </c>
      <c r="O5142" s="58"/>
      <c r="P5142" s="58">
        <v>6828.48</v>
      </c>
      <c r="Q5142" t="s">
        <v>107</v>
      </c>
      <c r="R5142" s="1" t="s">
        <v>158</v>
      </c>
    </row>
    <row r="5143" spans="3:18" x14ac:dyDescent="0.35">
      <c r="C5143" t="s">
        <v>51</v>
      </c>
      <c r="D5143" t="s">
        <v>22</v>
      </c>
      <c r="E5143" t="s">
        <v>49</v>
      </c>
      <c r="F5143" t="s">
        <v>46</v>
      </c>
      <c r="G5143" s="58">
        <v>49236</v>
      </c>
      <c r="H5143" s="1" t="s">
        <v>48</v>
      </c>
      <c r="I5143" s="1" t="s">
        <v>111</v>
      </c>
      <c r="J5143" s="58">
        <v>590832</v>
      </c>
      <c r="K5143" s="1" t="s">
        <v>112</v>
      </c>
      <c r="N5143" s="1">
        <v>1</v>
      </c>
      <c r="O5143" s="58"/>
      <c r="P5143" s="58">
        <v>29541.599999999999</v>
      </c>
      <c r="Q5143" t="s">
        <v>118</v>
      </c>
      <c r="R5143" s="1" t="s">
        <v>158</v>
      </c>
    </row>
    <row r="5144" spans="3:18" x14ac:dyDescent="0.35">
      <c r="C5144" t="s">
        <v>51</v>
      </c>
      <c r="D5144" t="s">
        <v>21</v>
      </c>
      <c r="E5144" t="s">
        <v>45</v>
      </c>
      <c r="F5144" t="s">
        <v>46</v>
      </c>
      <c r="G5144" s="58">
        <v>595387</v>
      </c>
      <c r="H5144" s="1" t="s">
        <v>48</v>
      </c>
      <c r="I5144" s="1" t="s">
        <v>111</v>
      </c>
      <c r="J5144" s="58">
        <v>9526192</v>
      </c>
      <c r="K5144" s="1" t="s">
        <v>112</v>
      </c>
      <c r="N5144" s="1">
        <v>1</v>
      </c>
      <c r="O5144" s="58"/>
      <c r="P5144" s="58">
        <v>500125.08</v>
      </c>
      <c r="Q5144" t="s">
        <v>127</v>
      </c>
      <c r="R5144" s="1" t="s">
        <v>48</v>
      </c>
    </row>
    <row r="5145" spans="3:18" x14ac:dyDescent="0.35">
      <c r="C5145" t="s">
        <v>51</v>
      </c>
      <c r="D5145" t="s">
        <v>23</v>
      </c>
      <c r="E5145" t="s">
        <v>45</v>
      </c>
      <c r="F5145" t="s">
        <v>46</v>
      </c>
      <c r="G5145" s="58">
        <v>716789</v>
      </c>
      <c r="H5145" s="1" t="s">
        <v>54</v>
      </c>
      <c r="I5145" s="1" t="s">
        <v>108</v>
      </c>
      <c r="J5145" s="58">
        <v>17202936</v>
      </c>
      <c r="K5145" s="1" t="s">
        <v>112</v>
      </c>
      <c r="N5145" s="1">
        <v>1</v>
      </c>
      <c r="O5145" s="58"/>
      <c r="P5145" s="58">
        <v>544759.64</v>
      </c>
      <c r="Q5145" t="s">
        <v>118</v>
      </c>
      <c r="R5145" s="1" t="s">
        <v>158</v>
      </c>
    </row>
    <row r="5146" spans="3:18" x14ac:dyDescent="0.35">
      <c r="C5146" t="s">
        <v>53</v>
      </c>
      <c r="D5146" t="s">
        <v>23</v>
      </c>
      <c r="E5146" t="s">
        <v>45</v>
      </c>
      <c r="F5146" t="s">
        <v>46</v>
      </c>
      <c r="G5146" s="58">
        <v>24978715</v>
      </c>
      <c r="H5146" s="1" t="s">
        <v>48</v>
      </c>
      <c r="I5146" s="1" t="s">
        <v>105</v>
      </c>
      <c r="J5146" s="58">
        <v>74936145</v>
      </c>
      <c r="K5146" s="1" t="s">
        <v>106</v>
      </c>
      <c r="L5146" s="1" t="s">
        <v>120</v>
      </c>
      <c r="M5146" s="1" t="s">
        <v>125</v>
      </c>
      <c r="N5146" s="1">
        <v>1</v>
      </c>
      <c r="O5146" s="58"/>
      <c r="P5146" s="58">
        <v>8242975.9500000002</v>
      </c>
      <c r="Q5146" t="s">
        <v>107</v>
      </c>
      <c r="R5146" s="1" t="s">
        <v>158</v>
      </c>
    </row>
    <row r="5147" spans="3:18" x14ac:dyDescent="0.35">
      <c r="C5147" t="s">
        <v>51</v>
      </c>
      <c r="D5147" t="s">
        <v>23</v>
      </c>
      <c r="E5147" t="s">
        <v>55</v>
      </c>
      <c r="F5147" t="s">
        <v>46</v>
      </c>
      <c r="G5147" s="58">
        <v>2147999</v>
      </c>
      <c r="H5147" s="1" t="s">
        <v>54</v>
      </c>
      <c r="I5147" s="1" t="s">
        <v>119</v>
      </c>
      <c r="J5147" s="58">
        <v>19331991</v>
      </c>
      <c r="K5147" s="1" t="s">
        <v>106</v>
      </c>
      <c r="L5147" s="1" t="s">
        <v>114</v>
      </c>
      <c r="N5147" s="1">
        <v>1</v>
      </c>
      <c r="O5147" s="58"/>
      <c r="P5147" s="58">
        <v>1031039.52</v>
      </c>
      <c r="Q5147" t="s">
        <v>113</v>
      </c>
      <c r="R5147" s="1" t="s">
        <v>158</v>
      </c>
    </row>
    <row r="5148" spans="3:18" x14ac:dyDescent="0.35">
      <c r="C5148" t="s">
        <v>51</v>
      </c>
      <c r="D5148" t="s">
        <v>23</v>
      </c>
      <c r="E5148" t="s">
        <v>55</v>
      </c>
      <c r="F5148" t="s">
        <v>46</v>
      </c>
      <c r="G5148" s="58">
        <v>350456</v>
      </c>
      <c r="H5148" s="1" t="s">
        <v>48</v>
      </c>
      <c r="I5148" s="1" t="s">
        <v>108</v>
      </c>
      <c r="J5148" s="58">
        <v>9111856</v>
      </c>
      <c r="K5148" s="1" t="s">
        <v>106</v>
      </c>
      <c r="L5148" s="1" t="s">
        <v>131</v>
      </c>
      <c r="M5148" s="1" t="s">
        <v>125</v>
      </c>
      <c r="N5148" s="1">
        <v>1</v>
      </c>
      <c r="O5148" s="58"/>
      <c r="P5148" s="58">
        <v>255832.88</v>
      </c>
      <c r="Q5148" t="s">
        <v>118</v>
      </c>
      <c r="R5148" s="1" t="s">
        <v>48</v>
      </c>
    </row>
    <row r="5149" spans="3:18" x14ac:dyDescent="0.35">
      <c r="C5149" t="s">
        <v>53</v>
      </c>
      <c r="D5149" t="s">
        <v>22</v>
      </c>
      <c r="E5149" t="s">
        <v>49</v>
      </c>
      <c r="F5149" t="s">
        <v>46</v>
      </c>
      <c r="G5149" s="58">
        <v>32731</v>
      </c>
      <c r="H5149" s="1" t="s">
        <v>47</v>
      </c>
      <c r="I5149" s="1" t="s">
        <v>105</v>
      </c>
      <c r="J5149" s="58"/>
      <c r="K5149" s="1" t="s">
        <v>106</v>
      </c>
      <c r="L5149" s="1" t="s">
        <v>124</v>
      </c>
      <c r="N5149" s="1">
        <v>0</v>
      </c>
      <c r="O5149" s="58"/>
      <c r="P5149" s="58">
        <v>4582.34</v>
      </c>
      <c r="Q5149" t="s">
        <v>107</v>
      </c>
      <c r="R5149" s="1" t="s">
        <v>158</v>
      </c>
    </row>
    <row r="5150" spans="3:18" x14ac:dyDescent="0.35">
      <c r="C5150" t="s">
        <v>51</v>
      </c>
      <c r="D5150" t="s">
        <v>21</v>
      </c>
      <c r="E5150" t="s">
        <v>49</v>
      </c>
      <c r="F5150" t="s">
        <v>64</v>
      </c>
      <c r="G5150" s="58">
        <v>12667</v>
      </c>
      <c r="H5150" s="1" t="s">
        <v>56</v>
      </c>
      <c r="I5150" s="1" t="s">
        <v>105</v>
      </c>
      <c r="J5150" s="58">
        <v>12667</v>
      </c>
      <c r="K5150" s="1" t="s">
        <v>106</v>
      </c>
      <c r="L5150" s="1" t="s">
        <v>124</v>
      </c>
      <c r="N5150" s="1">
        <v>1</v>
      </c>
      <c r="O5150" s="58"/>
      <c r="P5150" s="58">
        <v>1266.7</v>
      </c>
      <c r="Q5150" t="s">
        <v>107</v>
      </c>
      <c r="R5150" s="1" t="s">
        <v>158</v>
      </c>
    </row>
    <row r="5151" spans="3:18" x14ac:dyDescent="0.35">
      <c r="C5151" t="s">
        <v>51</v>
      </c>
      <c r="D5151" t="s">
        <v>20</v>
      </c>
      <c r="E5151" t="s">
        <v>45</v>
      </c>
      <c r="F5151" t="s">
        <v>46</v>
      </c>
      <c r="G5151" s="58">
        <v>80405</v>
      </c>
      <c r="H5151" s="1" t="s">
        <v>47</v>
      </c>
      <c r="I5151" s="1" t="s">
        <v>111</v>
      </c>
      <c r="J5151" s="58">
        <v>1447290</v>
      </c>
      <c r="K5151" s="1" t="s">
        <v>106</v>
      </c>
      <c r="L5151" s="1" t="s">
        <v>120</v>
      </c>
      <c r="N5151" s="1">
        <v>1</v>
      </c>
      <c r="O5151" s="58"/>
      <c r="P5151" s="58">
        <v>16081</v>
      </c>
      <c r="Q5151" t="s">
        <v>107</v>
      </c>
      <c r="R5151" s="1" t="s">
        <v>158</v>
      </c>
    </row>
    <row r="5152" spans="3:18" x14ac:dyDescent="0.35">
      <c r="C5152" t="s">
        <v>51</v>
      </c>
      <c r="D5152" t="s">
        <v>22</v>
      </c>
      <c r="E5152" t="s">
        <v>45</v>
      </c>
      <c r="F5152" t="s">
        <v>46</v>
      </c>
      <c r="G5152" s="58">
        <v>8206480</v>
      </c>
      <c r="H5152" s="1" t="s">
        <v>48</v>
      </c>
      <c r="I5152" s="1" t="s">
        <v>105</v>
      </c>
      <c r="J5152" s="58">
        <v>24619440</v>
      </c>
      <c r="K5152" s="1" t="s">
        <v>106</v>
      </c>
      <c r="L5152" s="1" t="s">
        <v>120</v>
      </c>
      <c r="M5152" s="1" t="s">
        <v>115</v>
      </c>
      <c r="N5152" s="1">
        <v>1</v>
      </c>
      <c r="O5152" s="58"/>
      <c r="P5152" s="58">
        <v>1148907.2</v>
      </c>
      <c r="Q5152" t="s">
        <v>107</v>
      </c>
      <c r="R5152" s="1" t="s">
        <v>158</v>
      </c>
    </row>
    <row r="5153" spans="3:18" x14ac:dyDescent="0.35">
      <c r="C5153" t="s">
        <v>51</v>
      </c>
      <c r="D5153" t="s">
        <v>21</v>
      </c>
      <c r="E5153" t="s">
        <v>49</v>
      </c>
      <c r="F5153" t="s">
        <v>46</v>
      </c>
      <c r="G5153" s="58">
        <v>9817333</v>
      </c>
      <c r="H5153" s="1" t="s">
        <v>48</v>
      </c>
      <c r="I5153" s="1" t="s">
        <v>111</v>
      </c>
      <c r="J5153" s="58">
        <v>147259995</v>
      </c>
      <c r="K5153" s="1" t="s">
        <v>106</v>
      </c>
      <c r="L5153" s="1" t="s">
        <v>124</v>
      </c>
      <c r="M5153" s="1" t="s">
        <v>126</v>
      </c>
      <c r="N5153" s="1">
        <v>1</v>
      </c>
      <c r="O5153" s="58"/>
      <c r="P5153" s="58">
        <v>2748853.24</v>
      </c>
      <c r="Q5153" t="s">
        <v>107</v>
      </c>
      <c r="R5153" s="1" t="s">
        <v>48</v>
      </c>
    </row>
    <row r="5154" spans="3:18" x14ac:dyDescent="0.35">
      <c r="C5154" t="s">
        <v>51</v>
      </c>
      <c r="D5154" t="s">
        <v>23</v>
      </c>
      <c r="E5154" t="s">
        <v>45</v>
      </c>
      <c r="F5154" t="s">
        <v>46</v>
      </c>
      <c r="G5154" s="58">
        <v>43073</v>
      </c>
      <c r="H5154" s="1" t="s">
        <v>48</v>
      </c>
      <c r="I5154" s="1" t="s">
        <v>105</v>
      </c>
      <c r="J5154" s="58">
        <v>172292</v>
      </c>
      <c r="K5154" s="1" t="s">
        <v>106</v>
      </c>
      <c r="L5154" s="1" t="s">
        <v>120</v>
      </c>
      <c r="M5154" s="1" t="s">
        <v>125</v>
      </c>
      <c r="N5154" s="1">
        <v>1</v>
      </c>
      <c r="O5154" s="58"/>
      <c r="P5154" s="58">
        <v>8614.6</v>
      </c>
      <c r="Q5154" t="s">
        <v>107</v>
      </c>
      <c r="R5154" s="1" t="s">
        <v>48</v>
      </c>
    </row>
    <row r="5155" spans="3:18" x14ac:dyDescent="0.35">
      <c r="C5155" t="s">
        <v>51</v>
      </c>
      <c r="D5155" t="s">
        <v>91</v>
      </c>
      <c r="E5155" t="s">
        <v>49</v>
      </c>
      <c r="F5155" t="s">
        <v>46</v>
      </c>
      <c r="G5155" s="58">
        <v>651634</v>
      </c>
      <c r="H5155" s="1" t="s">
        <v>47</v>
      </c>
      <c r="I5155" s="1" t="s">
        <v>119</v>
      </c>
      <c r="J5155" s="58">
        <v>5864706</v>
      </c>
      <c r="K5155" s="1" t="s">
        <v>112</v>
      </c>
      <c r="N5155" s="1">
        <v>1</v>
      </c>
      <c r="O5155" s="58"/>
      <c r="P5155" s="58">
        <v>143359.48000000001</v>
      </c>
      <c r="Q5155" t="s">
        <v>107</v>
      </c>
      <c r="R5155" s="1" t="s">
        <v>158</v>
      </c>
    </row>
    <row r="5156" spans="3:18" x14ac:dyDescent="0.35">
      <c r="C5156" t="s">
        <v>51</v>
      </c>
      <c r="D5156" t="s">
        <v>21</v>
      </c>
      <c r="E5156" t="s">
        <v>49</v>
      </c>
      <c r="F5156" t="s">
        <v>46</v>
      </c>
      <c r="G5156" s="58">
        <v>359946</v>
      </c>
      <c r="H5156" s="1" t="s">
        <v>59</v>
      </c>
      <c r="I5156" s="1" t="s">
        <v>111</v>
      </c>
      <c r="J5156" s="58">
        <v>5399190</v>
      </c>
      <c r="K5156" s="1" t="s">
        <v>106</v>
      </c>
      <c r="L5156" s="1" t="s">
        <v>124</v>
      </c>
      <c r="N5156" s="1">
        <v>1</v>
      </c>
      <c r="O5156" s="58"/>
      <c r="P5156" s="58">
        <v>424736.28</v>
      </c>
      <c r="Q5156" t="s">
        <v>110</v>
      </c>
      <c r="R5156" s="1" t="s">
        <v>158</v>
      </c>
    </row>
    <row r="5157" spans="3:18" x14ac:dyDescent="0.35">
      <c r="C5157" t="s">
        <v>51</v>
      </c>
      <c r="D5157" t="s">
        <v>19</v>
      </c>
      <c r="E5157" t="s">
        <v>49</v>
      </c>
      <c r="F5157" t="s">
        <v>46</v>
      </c>
      <c r="G5157" s="58">
        <v>251105</v>
      </c>
      <c r="H5157" s="1" t="s">
        <v>47</v>
      </c>
      <c r="I5157" s="1" t="s">
        <v>119</v>
      </c>
      <c r="J5157" s="58">
        <v>2259945</v>
      </c>
      <c r="K5157" s="1" t="s">
        <v>106</v>
      </c>
      <c r="L5157" s="1" t="s">
        <v>120</v>
      </c>
      <c r="N5157" s="1">
        <v>1</v>
      </c>
      <c r="O5157" s="58"/>
      <c r="P5157" s="58">
        <v>118019.35</v>
      </c>
      <c r="Q5157" t="s">
        <v>113</v>
      </c>
      <c r="R5157" s="1" t="s">
        <v>158</v>
      </c>
    </row>
    <row r="5158" spans="3:18" x14ac:dyDescent="0.35">
      <c r="C5158" t="s">
        <v>51</v>
      </c>
      <c r="D5158" t="s">
        <v>23</v>
      </c>
      <c r="E5158" t="s">
        <v>45</v>
      </c>
      <c r="F5158" t="s">
        <v>46</v>
      </c>
      <c r="G5158" s="58">
        <v>180289</v>
      </c>
      <c r="H5158" s="1" t="s">
        <v>48</v>
      </c>
      <c r="I5158" s="1" t="s">
        <v>108</v>
      </c>
      <c r="J5158" s="58">
        <v>4326936</v>
      </c>
      <c r="K5158" s="1" t="s">
        <v>106</v>
      </c>
      <c r="L5158" s="1" t="s">
        <v>124</v>
      </c>
      <c r="M5158" s="1" t="s">
        <v>126</v>
      </c>
      <c r="N5158" s="1">
        <v>1</v>
      </c>
      <c r="O5158" s="58"/>
      <c r="P5158" s="58">
        <v>79327.16</v>
      </c>
      <c r="Q5158" t="s">
        <v>113</v>
      </c>
      <c r="R5158" s="1" t="s">
        <v>158</v>
      </c>
    </row>
    <row r="5159" spans="3:18" x14ac:dyDescent="0.35">
      <c r="C5159" t="s">
        <v>53</v>
      </c>
      <c r="D5159" t="s">
        <v>24</v>
      </c>
      <c r="E5159" t="s">
        <v>55</v>
      </c>
      <c r="F5159" t="s">
        <v>46</v>
      </c>
      <c r="G5159" s="58">
        <v>131438</v>
      </c>
      <c r="H5159" s="1" t="s">
        <v>47</v>
      </c>
      <c r="I5159" s="1" t="s">
        <v>108</v>
      </c>
      <c r="J5159" s="58">
        <v>4074578</v>
      </c>
      <c r="K5159" s="1" t="s">
        <v>106</v>
      </c>
      <c r="L5159" s="1" t="s">
        <v>114</v>
      </c>
      <c r="N5159" s="1">
        <v>1</v>
      </c>
      <c r="O5159" s="58"/>
      <c r="P5159" s="58">
        <v>109093.54</v>
      </c>
      <c r="Q5159" t="s">
        <v>127</v>
      </c>
      <c r="R5159" s="1" t="s">
        <v>158</v>
      </c>
    </row>
    <row r="5160" spans="3:18" x14ac:dyDescent="0.35">
      <c r="C5160" t="s">
        <v>51</v>
      </c>
      <c r="D5160" t="s">
        <v>19</v>
      </c>
      <c r="E5160" t="s">
        <v>49</v>
      </c>
      <c r="F5160" t="s">
        <v>46</v>
      </c>
      <c r="G5160" s="58">
        <v>3895992</v>
      </c>
      <c r="H5160" s="1" t="s">
        <v>48</v>
      </c>
      <c r="I5160" s="1" t="s">
        <v>111</v>
      </c>
      <c r="J5160" s="58">
        <v>66231864</v>
      </c>
      <c r="K5160" s="1" t="s">
        <v>112</v>
      </c>
      <c r="N5160" s="1">
        <v>1</v>
      </c>
      <c r="O5160" s="58"/>
      <c r="P5160" s="58">
        <v>935038.08</v>
      </c>
      <c r="Q5160" t="s">
        <v>107</v>
      </c>
      <c r="R5160" s="1" t="s">
        <v>48</v>
      </c>
    </row>
    <row r="5161" spans="3:18" x14ac:dyDescent="0.35">
      <c r="C5161" t="s">
        <v>51</v>
      </c>
      <c r="D5161" t="s">
        <v>19</v>
      </c>
      <c r="E5161" t="s">
        <v>49</v>
      </c>
      <c r="F5161" t="s">
        <v>46</v>
      </c>
      <c r="G5161" s="58">
        <v>3780200</v>
      </c>
      <c r="H5161" s="1" t="s">
        <v>48</v>
      </c>
      <c r="I5161" s="1" t="s">
        <v>108</v>
      </c>
      <c r="J5161" s="58">
        <v>143647600</v>
      </c>
      <c r="K5161" s="1" t="s">
        <v>112</v>
      </c>
      <c r="N5161" s="1">
        <v>1</v>
      </c>
      <c r="O5161" s="58"/>
      <c r="P5161" s="58">
        <v>3780200</v>
      </c>
      <c r="Q5161" t="s">
        <v>110</v>
      </c>
      <c r="R5161" s="1" t="s">
        <v>48</v>
      </c>
    </row>
    <row r="5162" spans="3:18" x14ac:dyDescent="0.35">
      <c r="C5162" t="s">
        <v>53</v>
      </c>
      <c r="D5162" t="s">
        <v>24</v>
      </c>
      <c r="E5162" t="s">
        <v>55</v>
      </c>
      <c r="F5162" t="s">
        <v>46</v>
      </c>
      <c r="G5162" s="58">
        <v>189383</v>
      </c>
      <c r="H5162" s="1" t="s">
        <v>59</v>
      </c>
      <c r="I5162" s="1" t="s">
        <v>105</v>
      </c>
      <c r="J5162" s="58">
        <v>568149</v>
      </c>
      <c r="K5162" s="1" t="s">
        <v>106</v>
      </c>
      <c r="L5162" s="1" t="s">
        <v>114</v>
      </c>
      <c r="N5162" s="1">
        <v>1</v>
      </c>
      <c r="O5162" s="58"/>
      <c r="P5162" s="58">
        <v>43558.09</v>
      </c>
      <c r="Q5162" t="s">
        <v>107</v>
      </c>
      <c r="R5162" s="1" t="s">
        <v>158</v>
      </c>
    </row>
    <row r="5163" spans="3:18" x14ac:dyDescent="0.35">
      <c r="C5163" t="s">
        <v>53</v>
      </c>
      <c r="D5163" t="s">
        <v>20</v>
      </c>
      <c r="E5163" t="s">
        <v>45</v>
      </c>
      <c r="F5163" t="s">
        <v>46</v>
      </c>
      <c r="G5163" s="58">
        <v>107196</v>
      </c>
      <c r="H5163" s="1" t="s">
        <v>56</v>
      </c>
      <c r="I5163" s="1" t="s">
        <v>111</v>
      </c>
      <c r="J5163" s="58">
        <v>1179156</v>
      </c>
      <c r="K5163" s="1" t="s">
        <v>106</v>
      </c>
      <c r="L5163" s="1" t="s">
        <v>120</v>
      </c>
      <c r="N5163" s="1">
        <v>1</v>
      </c>
      <c r="O5163" s="58"/>
      <c r="P5163" s="58">
        <v>83612.88</v>
      </c>
      <c r="Q5163" t="s">
        <v>118</v>
      </c>
      <c r="R5163" s="1" t="s">
        <v>158</v>
      </c>
    </row>
    <row r="5164" spans="3:18" x14ac:dyDescent="0.35">
      <c r="C5164" t="s">
        <v>51</v>
      </c>
      <c r="D5164" t="s">
        <v>92</v>
      </c>
      <c r="E5164" t="s">
        <v>49</v>
      </c>
      <c r="F5164" t="s">
        <v>46</v>
      </c>
      <c r="G5164" s="58">
        <v>84244</v>
      </c>
      <c r="H5164" s="1" t="s">
        <v>59</v>
      </c>
      <c r="I5164" s="1" t="s">
        <v>105</v>
      </c>
      <c r="J5164" s="58">
        <v>252732</v>
      </c>
      <c r="K5164" s="1" t="s">
        <v>106</v>
      </c>
      <c r="L5164" s="1" t="s">
        <v>124</v>
      </c>
      <c r="N5164" s="1">
        <v>1</v>
      </c>
      <c r="O5164" s="58"/>
      <c r="P5164" s="58">
        <v>42964.44</v>
      </c>
      <c r="Q5164" t="s">
        <v>113</v>
      </c>
      <c r="R5164" s="1" t="s">
        <v>158</v>
      </c>
    </row>
    <row r="5165" spans="3:18" x14ac:dyDescent="0.35">
      <c r="C5165" t="s">
        <v>51</v>
      </c>
      <c r="D5165" t="s">
        <v>25</v>
      </c>
      <c r="E5165" t="s">
        <v>50</v>
      </c>
      <c r="F5165" t="s">
        <v>46</v>
      </c>
      <c r="G5165" s="58">
        <v>399207</v>
      </c>
      <c r="H5165" s="1" t="s">
        <v>54</v>
      </c>
      <c r="I5165" s="1" t="s">
        <v>108</v>
      </c>
      <c r="J5165" s="58">
        <v>9181761</v>
      </c>
      <c r="K5165" s="1" t="s">
        <v>106</v>
      </c>
      <c r="L5165" s="1" t="s">
        <v>109</v>
      </c>
      <c r="N5165" s="1">
        <v>1</v>
      </c>
      <c r="O5165" s="58"/>
      <c r="P5165" s="58">
        <v>211579.71</v>
      </c>
      <c r="Q5165" t="s">
        <v>113</v>
      </c>
      <c r="R5165" s="1" t="s">
        <v>158</v>
      </c>
    </row>
    <row r="5166" spans="3:18" x14ac:dyDescent="0.35">
      <c r="C5166" t="s">
        <v>51</v>
      </c>
      <c r="D5166" t="s">
        <v>24</v>
      </c>
      <c r="E5166" t="s">
        <v>50</v>
      </c>
      <c r="F5166" t="s">
        <v>46</v>
      </c>
      <c r="G5166" s="58">
        <v>13359</v>
      </c>
      <c r="H5166" s="1" t="s">
        <v>58</v>
      </c>
      <c r="I5166" s="1" t="s">
        <v>105</v>
      </c>
      <c r="J5166" s="58">
        <v>40077</v>
      </c>
      <c r="K5166" s="1" t="s">
        <v>106</v>
      </c>
      <c r="L5166" s="1" t="s">
        <v>109</v>
      </c>
      <c r="N5166" s="1">
        <v>1</v>
      </c>
      <c r="O5166" s="58"/>
      <c r="P5166" s="58">
        <v>1202.31</v>
      </c>
      <c r="Q5166" t="s">
        <v>107</v>
      </c>
      <c r="R5166" s="1" t="s">
        <v>158</v>
      </c>
    </row>
    <row r="5167" spans="3:18" x14ac:dyDescent="0.35">
      <c r="C5167" t="s">
        <v>51</v>
      </c>
      <c r="D5167" t="s">
        <v>92</v>
      </c>
      <c r="E5167" t="s">
        <v>49</v>
      </c>
      <c r="F5167" t="s">
        <v>46</v>
      </c>
      <c r="G5167" s="58">
        <v>2409</v>
      </c>
      <c r="H5167" s="1" t="s">
        <v>56</v>
      </c>
      <c r="I5167" s="1" t="s">
        <v>105</v>
      </c>
      <c r="J5167" s="58"/>
      <c r="K5167" s="1" t="s">
        <v>106</v>
      </c>
      <c r="L5167" s="1" t="s">
        <v>124</v>
      </c>
      <c r="N5167" s="1">
        <v>0</v>
      </c>
      <c r="O5167" s="58"/>
      <c r="P5167" s="58">
        <v>96.36</v>
      </c>
      <c r="Q5167" t="s">
        <v>107</v>
      </c>
      <c r="R5167" s="1" t="s">
        <v>158</v>
      </c>
    </row>
    <row r="5168" spans="3:18" x14ac:dyDescent="0.35">
      <c r="C5168" t="s">
        <v>51</v>
      </c>
      <c r="D5168" t="s">
        <v>23</v>
      </c>
      <c r="E5168" t="s">
        <v>45</v>
      </c>
      <c r="F5168" t="s">
        <v>46</v>
      </c>
      <c r="G5168" s="58">
        <v>595379</v>
      </c>
      <c r="H5168" s="1" t="s">
        <v>48</v>
      </c>
      <c r="I5168" s="1" t="s">
        <v>108</v>
      </c>
      <c r="J5168" s="58">
        <v>19647507</v>
      </c>
      <c r="K5168" s="1" t="s">
        <v>106</v>
      </c>
      <c r="L5168" s="1" t="s">
        <v>114</v>
      </c>
      <c r="M5168" s="1" t="s">
        <v>125</v>
      </c>
      <c r="N5168" s="1">
        <v>1</v>
      </c>
      <c r="O5168" s="58"/>
      <c r="P5168" s="58">
        <v>434626.67</v>
      </c>
      <c r="Q5168" t="s">
        <v>118</v>
      </c>
      <c r="R5168" s="1" t="s">
        <v>158</v>
      </c>
    </row>
    <row r="5169" spans="3:18" x14ac:dyDescent="0.35">
      <c r="C5169" t="s">
        <v>51</v>
      </c>
      <c r="D5169" t="s">
        <v>24</v>
      </c>
      <c r="E5169" t="s">
        <v>55</v>
      </c>
      <c r="F5169" t="s">
        <v>46</v>
      </c>
      <c r="G5169" s="58">
        <v>622363</v>
      </c>
      <c r="H5169" s="1" t="s">
        <v>48</v>
      </c>
      <c r="I5169" s="1" t="s">
        <v>111</v>
      </c>
      <c r="J5169" s="58">
        <v>9335445</v>
      </c>
      <c r="K5169" s="1" t="s">
        <v>112</v>
      </c>
      <c r="N5169" s="1">
        <v>1</v>
      </c>
      <c r="O5169" s="58"/>
      <c r="P5169" s="58">
        <v>286286.98</v>
      </c>
      <c r="Q5169" t="s">
        <v>113</v>
      </c>
      <c r="R5169" s="1" t="s">
        <v>158</v>
      </c>
    </row>
    <row r="5170" spans="3:18" x14ac:dyDescent="0.35">
      <c r="C5170" t="s">
        <v>51</v>
      </c>
      <c r="D5170" t="s">
        <v>23</v>
      </c>
      <c r="E5170" t="s">
        <v>50</v>
      </c>
      <c r="F5170" t="s">
        <v>46</v>
      </c>
      <c r="G5170" s="58">
        <v>189627</v>
      </c>
      <c r="H5170" s="1" t="s">
        <v>47</v>
      </c>
      <c r="I5170" s="1" t="s">
        <v>108</v>
      </c>
      <c r="J5170" s="58">
        <v>6826572</v>
      </c>
      <c r="K5170" s="1" t="s">
        <v>106</v>
      </c>
      <c r="L5170" s="1" t="s">
        <v>109</v>
      </c>
      <c r="N5170" s="1">
        <v>1</v>
      </c>
      <c r="O5170" s="58"/>
      <c r="P5170" s="58">
        <v>68265.72</v>
      </c>
      <c r="Q5170" t="s">
        <v>107</v>
      </c>
      <c r="R5170" s="1" t="s">
        <v>158</v>
      </c>
    </row>
    <row r="5171" spans="3:18" x14ac:dyDescent="0.35">
      <c r="C5171" t="s">
        <v>51</v>
      </c>
      <c r="D5171" t="s">
        <v>20</v>
      </c>
      <c r="E5171" t="s">
        <v>49</v>
      </c>
      <c r="F5171" t="s">
        <v>46</v>
      </c>
      <c r="G5171" s="58">
        <v>20808181</v>
      </c>
      <c r="H5171" s="1" t="s">
        <v>48</v>
      </c>
      <c r="I5171" s="1" t="s">
        <v>111</v>
      </c>
      <c r="J5171" s="58">
        <v>353739077</v>
      </c>
      <c r="K5171" s="1" t="s">
        <v>106</v>
      </c>
      <c r="L5171" s="1" t="s">
        <v>124</v>
      </c>
      <c r="M5171" s="1" t="s">
        <v>123</v>
      </c>
      <c r="N5171" s="1">
        <v>1</v>
      </c>
      <c r="O5171" s="58"/>
      <c r="P5171" s="58">
        <v>13733399.460000001</v>
      </c>
      <c r="Q5171" t="s">
        <v>118</v>
      </c>
      <c r="R5171" s="1" t="s">
        <v>158</v>
      </c>
    </row>
    <row r="5172" spans="3:18" x14ac:dyDescent="0.35">
      <c r="C5172" t="s">
        <v>53</v>
      </c>
      <c r="D5172" t="s">
        <v>20</v>
      </c>
      <c r="E5172" t="s">
        <v>45</v>
      </c>
      <c r="F5172" t="s">
        <v>46</v>
      </c>
      <c r="G5172" s="58">
        <v>79177</v>
      </c>
      <c r="H5172" s="1" t="s">
        <v>48</v>
      </c>
      <c r="I5172" s="1" t="s">
        <v>105</v>
      </c>
      <c r="J5172" s="58">
        <v>316708</v>
      </c>
      <c r="K5172" s="1" t="s">
        <v>106</v>
      </c>
      <c r="L5172" s="1" t="s">
        <v>120</v>
      </c>
      <c r="M5172" s="1" t="s">
        <v>123</v>
      </c>
      <c r="N5172" s="1">
        <v>1</v>
      </c>
      <c r="O5172" s="58"/>
      <c r="P5172" s="58">
        <v>31670.799999999999</v>
      </c>
      <c r="Q5172" t="s">
        <v>113</v>
      </c>
      <c r="R5172" s="1" t="s">
        <v>158</v>
      </c>
    </row>
    <row r="5173" spans="3:18" x14ac:dyDescent="0.35">
      <c r="C5173" t="s">
        <v>51</v>
      </c>
      <c r="D5173" t="s">
        <v>92</v>
      </c>
      <c r="E5173" t="s">
        <v>49</v>
      </c>
      <c r="F5173" t="s">
        <v>46</v>
      </c>
      <c r="G5173" s="58">
        <v>889624</v>
      </c>
      <c r="H5173" s="1" t="s">
        <v>47</v>
      </c>
      <c r="I5173" s="1" t="s">
        <v>111</v>
      </c>
      <c r="J5173" s="58">
        <v>15123608</v>
      </c>
      <c r="K5173" s="1" t="s">
        <v>106</v>
      </c>
      <c r="L5173" s="1" t="s">
        <v>120</v>
      </c>
      <c r="N5173" s="1">
        <v>1</v>
      </c>
      <c r="O5173" s="58"/>
      <c r="P5173" s="58">
        <v>631633.04</v>
      </c>
      <c r="Q5173" t="s">
        <v>118</v>
      </c>
      <c r="R5173" s="1" t="s">
        <v>158</v>
      </c>
    </row>
    <row r="5174" spans="3:18" x14ac:dyDescent="0.35">
      <c r="C5174" t="s">
        <v>51</v>
      </c>
      <c r="D5174" t="s">
        <v>23</v>
      </c>
      <c r="E5174" t="s">
        <v>55</v>
      </c>
      <c r="F5174" t="s">
        <v>46</v>
      </c>
      <c r="G5174" s="58">
        <v>123299</v>
      </c>
      <c r="H5174" s="1" t="s">
        <v>56</v>
      </c>
      <c r="I5174" s="1" t="s">
        <v>108</v>
      </c>
      <c r="J5174" s="58">
        <v>3205774</v>
      </c>
      <c r="K5174" s="1" t="s">
        <v>106</v>
      </c>
      <c r="L5174" s="1" t="s">
        <v>116</v>
      </c>
      <c r="N5174" s="1">
        <v>1</v>
      </c>
      <c r="O5174" s="58"/>
      <c r="P5174" s="58">
        <v>76445.38</v>
      </c>
      <c r="Q5174" t="s">
        <v>118</v>
      </c>
      <c r="R5174" s="1" t="s">
        <v>158</v>
      </c>
    </row>
    <row r="5175" spans="3:18" x14ac:dyDescent="0.35">
      <c r="C5175" t="s">
        <v>51</v>
      </c>
      <c r="D5175" t="s">
        <v>23</v>
      </c>
      <c r="E5175" t="s">
        <v>45</v>
      </c>
      <c r="F5175" t="s">
        <v>46</v>
      </c>
      <c r="G5175" s="58">
        <v>24090099</v>
      </c>
      <c r="H5175" s="1" t="s">
        <v>47</v>
      </c>
      <c r="I5175" s="1" t="s">
        <v>111</v>
      </c>
      <c r="J5175" s="58">
        <v>409531683</v>
      </c>
      <c r="K5175" s="1" t="s">
        <v>106</v>
      </c>
      <c r="L5175" s="1" t="s">
        <v>120</v>
      </c>
      <c r="N5175" s="1">
        <v>1</v>
      </c>
      <c r="O5175" s="58"/>
      <c r="P5175" s="58">
        <v>16381267.32</v>
      </c>
      <c r="Q5175" t="s">
        <v>118</v>
      </c>
      <c r="R5175" s="1" t="s">
        <v>158</v>
      </c>
    </row>
    <row r="5176" spans="3:18" x14ac:dyDescent="0.35">
      <c r="C5176" t="s">
        <v>51</v>
      </c>
      <c r="D5176" t="s">
        <v>20</v>
      </c>
      <c r="E5176" t="s">
        <v>45</v>
      </c>
      <c r="F5176" t="s">
        <v>46</v>
      </c>
      <c r="G5176" s="58">
        <v>339366</v>
      </c>
      <c r="H5176" s="1" t="s">
        <v>48</v>
      </c>
      <c r="I5176" s="1" t="s">
        <v>111</v>
      </c>
      <c r="J5176" s="58">
        <v>4411758</v>
      </c>
      <c r="K5176" s="1" t="s">
        <v>106</v>
      </c>
      <c r="L5176" s="1" t="s">
        <v>120</v>
      </c>
      <c r="M5176" s="1" t="s">
        <v>123</v>
      </c>
      <c r="N5176" s="1">
        <v>1</v>
      </c>
      <c r="O5176" s="58"/>
      <c r="P5176" s="58">
        <v>240949.86</v>
      </c>
      <c r="Q5176" t="s">
        <v>118</v>
      </c>
      <c r="R5176" s="1" t="s">
        <v>48</v>
      </c>
    </row>
    <row r="5177" spans="3:18" x14ac:dyDescent="0.35">
      <c r="C5177" t="s">
        <v>51</v>
      </c>
      <c r="D5177" t="s">
        <v>23</v>
      </c>
      <c r="E5177" t="s">
        <v>55</v>
      </c>
      <c r="F5177" t="s">
        <v>46</v>
      </c>
      <c r="G5177" s="58">
        <v>118317</v>
      </c>
      <c r="H5177" s="1" t="s">
        <v>47</v>
      </c>
      <c r="I5177" s="1" t="s">
        <v>119</v>
      </c>
      <c r="J5177" s="58">
        <v>1064853</v>
      </c>
      <c r="K5177" s="1" t="s">
        <v>112</v>
      </c>
      <c r="N5177" s="1">
        <v>1</v>
      </c>
      <c r="O5177" s="58"/>
      <c r="P5177" s="58">
        <v>61524.84</v>
      </c>
      <c r="Q5177" t="s">
        <v>113</v>
      </c>
      <c r="R5177" s="1" t="s">
        <v>158</v>
      </c>
    </row>
    <row r="5178" spans="3:18" x14ac:dyDescent="0.35">
      <c r="C5178" t="s">
        <v>51</v>
      </c>
      <c r="D5178" t="s">
        <v>24</v>
      </c>
      <c r="E5178" t="s">
        <v>45</v>
      </c>
      <c r="F5178" t="s">
        <v>46</v>
      </c>
      <c r="G5178" s="58">
        <v>1540000</v>
      </c>
      <c r="H5178" s="1" t="s">
        <v>48</v>
      </c>
      <c r="I5178" s="1" t="s">
        <v>108</v>
      </c>
      <c r="J5178" s="58">
        <v>47740000</v>
      </c>
      <c r="K5178" s="1" t="s">
        <v>112</v>
      </c>
      <c r="N5178" s="1">
        <v>1</v>
      </c>
      <c r="O5178" s="58"/>
      <c r="P5178" s="58">
        <v>1031800</v>
      </c>
      <c r="Q5178" t="s">
        <v>118</v>
      </c>
      <c r="R5178" s="1" t="s">
        <v>158</v>
      </c>
    </row>
    <row r="5179" spans="3:18" x14ac:dyDescent="0.35">
      <c r="C5179" t="s">
        <v>53</v>
      </c>
      <c r="D5179" t="s">
        <v>21</v>
      </c>
      <c r="E5179" t="s">
        <v>49</v>
      </c>
      <c r="F5179" t="s">
        <v>46</v>
      </c>
      <c r="G5179" s="58">
        <v>272954</v>
      </c>
      <c r="H5179" s="1" t="s">
        <v>48</v>
      </c>
      <c r="I5179" s="1" t="s">
        <v>111</v>
      </c>
      <c r="J5179" s="58">
        <v>2729540</v>
      </c>
      <c r="K5179" s="1" t="s">
        <v>106</v>
      </c>
      <c r="L5179" s="1" t="s">
        <v>124</v>
      </c>
      <c r="M5179" s="1" t="s">
        <v>126</v>
      </c>
      <c r="N5179" s="1">
        <v>1</v>
      </c>
      <c r="O5179" s="58"/>
      <c r="P5179" s="58">
        <v>204715.5</v>
      </c>
      <c r="Q5179" t="s">
        <v>118</v>
      </c>
      <c r="R5179" s="1" t="s">
        <v>158</v>
      </c>
    </row>
    <row r="5180" spans="3:18" x14ac:dyDescent="0.35">
      <c r="C5180" t="s">
        <v>51</v>
      </c>
      <c r="D5180" t="s">
        <v>19</v>
      </c>
      <c r="E5180" t="s">
        <v>49</v>
      </c>
      <c r="F5180" t="s">
        <v>46</v>
      </c>
      <c r="G5180" s="58">
        <v>4212237</v>
      </c>
      <c r="H5180" s="1" t="s">
        <v>59</v>
      </c>
      <c r="I5180" s="1" t="s">
        <v>119</v>
      </c>
      <c r="J5180" s="58">
        <v>33697896</v>
      </c>
      <c r="K5180" s="1" t="s">
        <v>106</v>
      </c>
      <c r="L5180" s="1" t="s">
        <v>124</v>
      </c>
      <c r="N5180" s="1">
        <v>1</v>
      </c>
      <c r="O5180" s="58"/>
      <c r="P5180" s="58">
        <v>884569.77</v>
      </c>
      <c r="Q5180" t="s">
        <v>107</v>
      </c>
      <c r="R5180" s="1" t="s">
        <v>158</v>
      </c>
    </row>
    <row r="5181" spans="3:18" x14ac:dyDescent="0.35">
      <c r="C5181" t="s">
        <v>51</v>
      </c>
      <c r="D5181" t="s">
        <v>25</v>
      </c>
      <c r="E5181" t="s">
        <v>55</v>
      </c>
      <c r="F5181" t="s">
        <v>46</v>
      </c>
      <c r="G5181" s="58">
        <v>1192800</v>
      </c>
      <c r="H5181" s="1" t="s">
        <v>59</v>
      </c>
      <c r="I5181" s="1" t="s">
        <v>111</v>
      </c>
      <c r="J5181" s="58">
        <v>20277600</v>
      </c>
      <c r="K5181" s="1" t="s">
        <v>106</v>
      </c>
      <c r="L5181" s="1" t="s">
        <v>114</v>
      </c>
      <c r="N5181" s="1">
        <v>1</v>
      </c>
      <c r="O5181" s="58"/>
      <c r="P5181" s="58">
        <v>584472</v>
      </c>
      <c r="Q5181" t="s">
        <v>113</v>
      </c>
      <c r="R5181" s="1" t="s">
        <v>158</v>
      </c>
    </row>
    <row r="5182" spans="3:18" x14ac:dyDescent="0.35">
      <c r="C5182" t="s">
        <v>53</v>
      </c>
      <c r="D5182" t="s">
        <v>60</v>
      </c>
      <c r="E5182" t="s">
        <v>60</v>
      </c>
      <c r="F5182" t="s">
        <v>46</v>
      </c>
      <c r="G5182" s="58">
        <v>10166581</v>
      </c>
      <c r="H5182" s="1" t="s">
        <v>90</v>
      </c>
      <c r="I5182" s="1" t="s">
        <v>119</v>
      </c>
      <c r="J5182" s="58">
        <v>71166067</v>
      </c>
      <c r="K5182" s="1" t="s">
        <v>106</v>
      </c>
      <c r="N5182" s="1">
        <v>1</v>
      </c>
      <c r="O5182" s="58"/>
      <c r="P5182" s="58">
        <v>11589902.34</v>
      </c>
      <c r="Q5182" t="s">
        <v>110</v>
      </c>
      <c r="R5182" s="1" t="s">
        <v>90</v>
      </c>
    </row>
    <row r="5183" spans="3:18" x14ac:dyDescent="0.35">
      <c r="C5183" t="s">
        <v>44</v>
      </c>
      <c r="D5183" t="s">
        <v>92</v>
      </c>
      <c r="E5183" t="s">
        <v>45</v>
      </c>
      <c r="F5183" t="s">
        <v>46</v>
      </c>
      <c r="G5183" s="58">
        <v>154497</v>
      </c>
      <c r="H5183" s="1" t="s">
        <v>48</v>
      </c>
      <c r="I5183" s="1" t="s">
        <v>108</v>
      </c>
      <c r="J5183" s="58"/>
      <c r="N5183" s="1">
        <v>0</v>
      </c>
      <c r="O5183" s="58"/>
      <c r="P5183" s="58"/>
      <c r="R5183" s="1" t="s">
        <v>158</v>
      </c>
    </row>
    <row r="5184" spans="3:18" x14ac:dyDescent="0.35">
      <c r="C5184" t="s">
        <v>51</v>
      </c>
      <c r="D5184" t="s">
        <v>23</v>
      </c>
      <c r="E5184" t="s">
        <v>45</v>
      </c>
      <c r="F5184" t="s">
        <v>46</v>
      </c>
      <c r="G5184" s="58">
        <v>1109040</v>
      </c>
      <c r="H5184" s="1" t="s">
        <v>48</v>
      </c>
      <c r="I5184" s="1" t="s">
        <v>111</v>
      </c>
      <c r="J5184" s="58">
        <v>19962720</v>
      </c>
      <c r="K5184" s="1" t="s">
        <v>112</v>
      </c>
      <c r="N5184" s="1">
        <v>1</v>
      </c>
      <c r="O5184" s="58"/>
      <c r="P5184" s="58">
        <v>820689.6</v>
      </c>
      <c r="Q5184" t="s">
        <v>118</v>
      </c>
      <c r="R5184" s="1" t="s">
        <v>158</v>
      </c>
    </row>
    <row r="5185" spans="3:18" x14ac:dyDescent="0.35">
      <c r="C5185" t="s">
        <v>51</v>
      </c>
      <c r="D5185" t="s">
        <v>20</v>
      </c>
      <c r="E5185" t="s">
        <v>49</v>
      </c>
      <c r="F5185" t="s">
        <v>46</v>
      </c>
      <c r="G5185" s="58">
        <v>37960378</v>
      </c>
      <c r="H5185" s="1" t="s">
        <v>48</v>
      </c>
      <c r="I5185" s="1" t="s">
        <v>108</v>
      </c>
      <c r="J5185" s="58">
        <v>1290652852</v>
      </c>
      <c r="K5185" s="1" t="s">
        <v>112</v>
      </c>
      <c r="N5185" s="1">
        <v>1</v>
      </c>
      <c r="O5185" s="58"/>
      <c r="P5185" s="58">
        <v>26951868.379999999</v>
      </c>
      <c r="Q5185" t="s">
        <v>118</v>
      </c>
      <c r="R5185" s="1" t="s">
        <v>48</v>
      </c>
    </row>
    <row r="5186" spans="3:18" x14ac:dyDescent="0.35">
      <c r="C5186" t="s">
        <v>51</v>
      </c>
      <c r="D5186" t="s">
        <v>19</v>
      </c>
      <c r="E5186" t="s">
        <v>55</v>
      </c>
      <c r="F5186" t="s">
        <v>46</v>
      </c>
      <c r="G5186" s="58">
        <v>97976</v>
      </c>
      <c r="H5186" s="1" t="s">
        <v>48</v>
      </c>
      <c r="I5186" s="1" t="s">
        <v>105</v>
      </c>
      <c r="J5186" s="58">
        <v>391904</v>
      </c>
      <c r="K5186" s="1" t="s">
        <v>106</v>
      </c>
      <c r="L5186" s="1" t="s">
        <v>114</v>
      </c>
      <c r="M5186" s="1" t="s">
        <v>122</v>
      </c>
      <c r="N5186" s="1">
        <v>1</v>
      </c>
      <c r="O5186" s="58"/>
      <c r="P5186" s="58">
        <v>13716.64</v>
      </c>
      <c r="Q5186" t="s">
        <v>107</v>
      </c>
      <c r="R5186" s="1" t="s">
        <v>158</v>
      </c>
    </row>
    <row r="5187" spans="3:18" x14ac:dyDescent="0.35">
      <c r="C5187" t="s">
        <v>51</v>
      </c>
      <c r="D5187" t="s">
        <v>22</v>
      </c>
      <c r="E5187" t="s">
        <v>49</v>
      </c>
      <c r="F5187" t="s">
        <v>46</v>
      </c>
      <c r="G5187" s="58">
        <v>1120088</v>
      </c>
      <c r="H5187" s="1" t="s">
        <v>47</v>
      </c>
      <c r="I5187" s="1" t="s">
        <v>105</v>
      </c>
      <c r="J5187" s="58">
        <v>4480352</v>
      </c>
      <c r="K5187" s="1" t="s">
        <v>106</v>
      </c>
      <c r="L5187" s="1" t="s">
        <v>124</v>
      </c>
      <c r="N5187" s="1">
        <v>1</v>
      </c>
      <c r="O5187" s="58"/>
      <c r="P5187" s="58">
        <v>795262.48</v>
      </c>
      <c r="Q5187" t="s">
        <v>118</v>
      </c>
      <c r="R5187" s="1" t="s">
        <v>158</v>
      </c>
    </row>
    <row r="5188" spans="3:18" x14ac:dyDescent="0.35">
      <c r="C5188" t="s">
        <v>51</v>
      </c>
      <c r="D5188" t="s">
        <v>23</v>
      </c>
      <c r="E5188" t="s">
        <v>55</v>
      </c>
      <c r="F5188" t="s">
        <v>46</v>
      </c>
      <c r="G5188" s="58">
        <v>1407</v>
      </c>
      <c r="H5188" s="1" t="s">
        <v>47</v>
      </c>
      <c r="I5188" s="1" t="s">
        <v>105</v>
      </c>
      <c r="J5188" s="58">
        <v>4221</v>
      </c>
      <c r="K5188" s="1" t="s">
        <v>106</v>
      </c>
      <c r="L5188" s="1" t="s">
        <v>124</v>
      </c>
      <c r="N5188" s="1">
        <v>1</v>
      </c>
      <c r="O5188" s="58"/>
      <c r="P5188" s="58">
        <v>647.22</v>
      </c>
      <c r="Q5188" t="s">
        <v>113</v>
      </c>
      <c r="R5188" s="1" t="s">
        <v>158</v>
      </c>
    </row>
    <row r="5189" spans="3:18" x14ac:dyDescent="0.35">
      <c r="C5189" t="s">
        <v>51</v>
      </c>
      <c r="D5189" t="s">
        <v>25</v>
      </c>
      <c r="E5189" t="s">
        <v>45</v>
      </c>
      <c r="F5189" t="s">
        <v>46</v>
      </c>
      <c r="G5189" s="58">
        <v>1179711</v>
      </c>
      <c r="H5189" s="1" t="s">
        <v>54</v>
      </c>
      <c r="I5189" s="1" t="s">
        <v>108</v>
      </c>
      <c r="J5189" s="58">
        <v>40110174</v>
      </c>
      <c r="K5189" s="1" t="s">
        <v>106</v>
      </c>
      <c r="L5189" s="1" t="s">
        <v>120</v>
      </c>
      <c r="N5189" s="1">
        <v>1</v>
      </c>
      <c r="O5189" s="58"/>
      <c r="P5189" s="58">
        <v>542667.06000000006</v>
      </c>
      <c r="Q5189" t="s">
        <v>113</v>
      </c>
      <c r="R5189" s="1" t="s">
        <v>158</v>
      </c>
    </row>
    <row r="5190" spans="3:18" x14ac:dyDescent="0.35">
      <c r="C5190" t="s">
        <v>53</v>
      </c>
      <c r="D5190" t="s">
        <v>92</v>
      </c>
      <c r="E5190" t="s">
        <v>45</v>
      </c>
      <c r="F5190" t="s">
        <v>46</v>
      </c>
      <c r="G5190" s="58">
        <v>19187751</v>
      </c>
      <c r="H5190" s="1" t="s">
        <v>48</v>
      </c>
      <c r="I5190" s="1" t="s">
        <v>105</v>
      </c>
      <c r="J5190" s="58">
        <v>57563253</v>
      </c>
      <c r="K5190" s="1" t="s">
        <v>106</v>
      </c>
      <c r="L5190" s="1" t="s">
        <v>120</v>
      </c>
      <c r="M5190" s="1" t="s">
        <v>123</v>
      </c>
      <c r="N5190" s="1">
        <v>1</v>
      </c>
      <c r="O5190" s="58"/>
      <c r="P5190" s="58">
        <v>3070040.16</v>
      </c>
      <c r="Q5190" t="s">
        <v>107</v>
      </c>
      <c r="R5190" s="1" t="s">
        <v>158</v>
      </c>
    </row>
    <row r="5191" spans="3:18" x14ac:dyDescent="0.35">
      <c r="C5191" t="s">
        <v>51</v>
      </c>
      <c r="D5191" t="s">
        <v>20</v>
      </c>
      <c r="E5191" t="s">
        <v>49</v>
      </c>
      <c r="F5191" t="s">
        <v>46</v>
      </c>
      <c r="G5191" s="58">
        <v>30486024</v>
      </c>
      <c r="H5191" s="1" t="s">
        <v>54</v>
      </c>
      <c r="I5191" s="1" t="s">
        <v>111</v>
      </c>
      <c r="J5191" s="58">
        <v>487776384</v>
      </c>
      <c r="K5191" s="1" t="s">
        <v>106</v>
      </c>
      <c r="L5191" s="1" t="s">
        <v>124</v>
      </c>
      <c r="N5191" s="1">
        <v>1</v>
      </c>
      <c r="O5191" s="58"/>
      <c r="P5191" s="58">
        <v>14938151.76</v>
      </c>
      <c r="Q5191" t="s">
        <v>113</v>
      </c>
      <c r="R5191" s="1" t="s">
        <v>158</v>
      </c>
    </row>
    <row r="5192" spans="3:18" x14ac:dyDescent="0.35">
      <c r="C5192" t="s">
        <v>51</v>
      </c>
      <c r="D5192" t="s">
        <v>91</v>
      </c>
      <c r="E5192" t="s">
        <v>49</v>
      </c>
      <c r="F5192" t="s">
        <v>46</v>
      </c>
      <c r="G5192" s="58">
        <v>940711</v>
      </c>
      <c r="H5192" s="1" t="s">
        <v>56</v>
      </c>
      <c r="I5192" s="1" t="s">
        <v>111</v>
      </c>
      <c r="J5192" s="58">
        <v>15051376</v>
      </c>
      <c r="K5192" s="1" t="s">
        <v>106</v>
      </c>
      <c r="L5192" s="1" t="s">
        <v>124</v>
      </c>
      <c r="N5192" s="1">
        <v>1</v>
      </c>
      <c r="O5192" s="58"/>
      <c r="P5192" s="58">
        <v>169327.98</v>
      </c>
      <c r="Q5192" t="s">
        <v>107</v>
      </c>
      <c r="R5192" s="1" t="s">
        <v>158</v>
      </c>
    </row>
    <row r="5193" spans="3:18" x14ac:dyDescent="0.35">
      <c r="C5193" t="s">
        <v>51</v>
      </c>
      <c r="D5193" t="s">
        <v>22</v>
      </c>
      <c r="E5193" t="s">
        <v>50</v>
      </c>
      <c r="F5193" t="s">
        <v>46</v>
      </c>
      <c r="G5193" s="58">
        <v>82704</v>
      </c>
      <c r="H5193" s="1" t="s">
        <v>48</v>
      </c>
      <c r="I5193" s="1" t="s">
        <v>108</v>
      </c>
      <c r="J5193" s="58">
        <v>2811936</v>
      </c>
      <c r="K5193" s="1" t="s">
        <v>106</v>
      </c>
      <c r="L5193" s="1" t="s">
        <v>124</v>
      </c>
      <c r="M5193" s="1" t="s">
        <v>126</v>
      </c>
      <c r="N5193" s="1">
        <v>1</v>
      </c>
      <c r="O5193" s="58"/>
      <c r="P5193" s="58">
        <v>34735.68</v>
      </c>
      <c r="Q5193" t="s">
        <v>113</v>
      </c>
      <c r="R5193" s="1" t="s">
        <v>48</v>
      </c>
    </row>
    <row r="5194" spans="3:18" x14ac:dyDescent="0.35">
      <c r="C5194" t="s">
        <v>51</v>
      </c>
      <c r="D5194" t="s">
        <v>21</v>
      </c>
      <c r="E5194" t="s">
        <v>49</v>
      </c>
      <c r="F5194" t="s">
        <v>46</v>
      </c>
      <c r="G5194" s="58">
        <v>283715</v>
      </c>
      <c r="H5194" s="1" t="s">
        <v>58</v>
      </c>
      <c r="I5194" s="1" t="s">
        <v>108</v>
      </c>
      <c r="J5194" s="58">
        <v>9362595</v>
      </c>
      <c r="K5194" s="1" t="s">
        <v>106</v>
      </c>
      <c r="L5194" s="1" t="s">
        <v>124</v>
      </c>
      <c r="N5194" s="1">
        <v>1</v>
      </c>
      <c r="O5194" s="58"/>
      <c r="P5194" s="58">
        <v>192926.2</v>
      </c>
      <c r="Q5194" t="s">
        <v>118</v>
      </c>
      <c r="R5194" s="1" t="s">
        <v>158</v>
      </c>
    </row>
    <row r="5195" spans="3:18" x14ac:dyDescent="0.35">
      <c r="C5195" t="s">
        <v>53</v>
      </c>
      <c r="D5195" t="s">
        <v>24</v>
      </c>
      <c r="E5195" t="s">
        <v>55</v>
      </c>
      <c r="F5195" t="s">
        <v>46</v>
      </c>
      <c r="G5195" s="58">
        <v>3763473</v>
      </c>
      <c r="H5195" s="1" t="s">
        <v>54</v>
      </c>
      <c r="I5195" s="1" t="s">
        <v>111</v>
      </c>
      <c r="J5195" s="58">
        <v>48925149</v>
      </c>
      <c r="K5195" s="1" t="s">
        <v>106</v>
      </c>
      <c r="L5195" s="1" t="s">
        <v>114</v>
      </c>
      <c r="N5195" s="1">
        <v>1</v>
      </c>
      <c r="O5195" s="58"/>
      <c r="P5195" s="58">
        <v>2559161.64</v>
      </c>
      <c r="Q5195" t="s">
        <v>118</v>
      </c>
      <c r="R5195" s="1" t="s">
        <v>158</v>
      </c>
    </row>
    <row r="5196" spans="3:18" x14ac:dyDescent="0.35">
      <c r="C5196" t="s">
        <v>53</v>
      </c>
      <c r="D5196" t="s">
        <v>23</v>
      </c>
      <c r="E5196" t="s">
        <v>55</v>
      </c>
      <c r="F5196" t="s">
        <v>46</v>
      </c>
      <c r="G5196" s="58">
        <v>987720</v>
      </c>
      <c r="H5196" s="1" t="s">
        <v>47</v>
      </c>
      <c r="I5196" s="1" t="s">
        <v>111</v>
      </c>
      <c r="J5196" s="58">
        <v>12840360</v>
      </c>
      <c r="K5196" s="1" t="s">
        <v>106</v>
      </c>
      <c r="L5196" s="1" t="s">
        <v>114</v>
      </c>
      <c r="N5196" s="1">
        <v>1</v>
      </c>
      <c r="O5196" s="58"/>
      <c r="P5196" s="58">
        <v>543246</v>
      </c>
      <c r="Q5196" t="s">
        <v>113</v>
      </c>
      <c r="R5196" s="1" t="s">
        <v>158</v>
      </c>
    </row>
    <row r="5197" spans="3:18" x14ac:dyDescent="0.35">
      <c r="C5197" t="s">
        <v>51</v>
      </c>
      <c r="D5197" t="s">
        <v>92</v>
      </c>
      <c r="E5197" t="s">
        <v>49</v>
      </c>
      <c r="F5197" t="s">
        <v>46</v>
      </c>
      <c r="G5197" s="58">
        <v>652232</v>
      </c>
      <c r="H5197" s="1" t="s">
        <v>48</v>
      </c>
      <c r="I5197" s="1" t="s">
        <v>108</v>
      </c>
      <c r="J5197" s="58">
        <v>23480352</v>
      </c>
      <c r="K5197" s="1" t="s">
        <v>106</v>
      </c>
      <c r="L5197" s="1" t="s">
        <v>120</v>
      </c>
      <c r="M5197" s="1" t="s">
        <v>123</v>
      </c>
      <c r="N5197" s="1">
        <v>1</v>
      </c>
      <c r="O5197" s="58"/>
      <c r="P5197" s="58">
        <v>463084.72</v>
      </c>
      <c r="Q5197" t="s">
        <v>118</v>
      </c>
      <c r="R5197" s="1" t="s">
        <v>158</v>
      </c>
    </row>
    <row r="5198" spans="3:18" x14ac:dyDescent="0.35">
      <c r="C5198" t="s">
        <v>51</v>
      </c>
      <c r="D5198" t="s">
        <v>23</v>
      </c>
      <c r="E5198" t="s">
        <v>45</v>
      </c>
      <c r="F5198" t="s">
        <v>46</v>
      </c>
      <c r="G5198" s="58">
        <v>1558778</v>
      </c>
      <c r="H5198" s="1" t="s">
        <v>56</v>
      </c>
      <c r="I5198" s="1" t="s">
        <v>105</v>
      </c>
      <c r="J5198" s="58">
        <v>6235112</v>
      </c>
      <c r="K5198" s="1" t="s">
        <v>106</v>
      </c>
      <c r="L5198" s="1" t="s">
        <v>120</v>
      </c>
      <c r="N5198" s="1">
        <v>1</v>
      </c>
      <c r="O5198" s="58"/>
      <c r="P5198" s="58">
        <v>732625.66</v>
      </c>
      <c r="Q5198" t="s">
        <v>113</v>
      </c>
      <c r="R5198" s="1" t="s">
        <v>158</v>
      </c>
    </row>
    <row r="5199" spans="3:18" x14ac:dyDescent="0.35">
      <c r="C5199" t="s">
        <v>51</v>
      </c>
      <c r="D5199" t="s">
        <v>22</v>
      </c>
      <c r="E5199" t="s">
        <v>55</v>
      </c>
      <c r="F5199" t="s">
        <v>46</v>
      </c>
      <c r="G5199" s="58">
        <v>2340317</v>
      </c>
      <c r="H5199" s="1" t="s">
        <v>48</v>
      </c>
      <c r="I5199" s="1" t="s">
        <v>111</v>
      </c>
      <c r="J5199" s="58">
        <v>39785389</v>
      </c>
      <c r="K5199" s="1" t="s">
        <v>106</v>
      </c>
      <c r="L5199" s="1" t="s">
        <v>114</v>
      </c>
      <c r="M5199" s="1" t="s">
        <v>115</v>
      </c>
      <c r="N5199" s="1">
        <v>1</v>
      </c>
      <c r="O5199" s="58"/>
      <c r="P5199" s="58">
        <v>1568012.39</v>
      </c>
      <c r="Q5199" t="s">
        <v>118</v>
      </c>
      <c r="R5199" s="1" t="s">
        <v>158</v>
      </c>
    </row>
    <row r="5200" spans="3:18" x14ac:dyDescent="0.35">
      <c r="C5200" t="s">
        <v>53</v>
      </c>
      <c r="D5200" t="s">
        <v>25</v>
      </c>
      <c r="E5200" t="s">
        <v>50</v>
      </c>
      <c r="F5200" t="s">
        <v>46</v>
      </c>
      <c r="G5200" s="58">
        <v>1500846</v>
      </c>
      <c r="H5200" s="1" t="s">
        <v>54</v>
      </c>
      <c r="I5200" s="1" t="s">
        <v>119</v>
      </c>
      <c r="J5200" s="58">
        <v>10505922</v>
      </c>
      <c r="K5200" s="1" t="s">
        <v>106</v>
      </c>
      <c r="L5200" s="1" t="s">
        <v>109</v>
      </c>
      <c r="N5200" s="1">
        <v>1</v>
      </c>
      <c r="O5200" s="58"/>
      <c r="P5200" s="58">
        <v>510287.64</v>
      </c>
      <c r="Q5200" t="s">
        <v>107</v>
      </c>
      <c r="R5200" s="1" t="s">
        <v>158</v>
      </c>
    </row>
    <row r="5201" spans="3:18" x14ac:dyDescent="0.35">
      <c r="C5201" t="s">
        <v>51</v>
      </c>
      <c r="D5201" t="s">
        <v>19</v>
      </c>
      <c r="E5201" t="s">
        <v>49</v>
      </c>
      <c r="F5201" t="s">
        <v>46</v>
      </c>
      <c r="G5201" s="58">
        <v>1868940</v>
      </c>
      <c r="H5201" s="1" t="s">
        <v>54</v>
      </c>
      <c r="I5201" s="1" t="s">
        <v>111</v>
      </c>
      <c r="J5201" s="58">
        <v>31771980</v>
      </c>
      <c r="K5201" s="1" t="s">
        <v>106</v>
      </c>
      <c r="L5201" s="1" t="s">
        <v>124</v>
      </c>
      <c r="N5201" s="1">
        <v>1</v>
      </c>
      <c r="O5201" s="58"/>
      <c r="P5201" s="58">
        <v>1252189.8</v>
      </c>
      <c r="Q5201" t="s">
        <v>118</v>
      </c>
      <c r="R5201" s="1" t="s">
        <v>158</v>
      </c>
    </row>
    <row r="5202" spans="3:18" x14ac:dyDescent="0.35">
      <c r="C5202" t="s">
        <v>51</v>
      </c>
      <c r="D5202" t="s">
        <v>20</v>
      </c>
      <c r="E5202" t="s">
        <v>45</v>
      </c>
      <c r="F5202" t="s">
        <v>46</v>
      </c>
      <c r="G5202" s="58">
        <v>44852851</v>
      </c>
      <c r="H5202" s="1" t="s">
        <v>48</v>
      </c>
      <c r="I5202" s="1" t="s">
        <v>108</v>
      </c>
      <c r="J5202" s="58">
        <v>1390438381</v>
      </c>
      <c r="K5202" s="1" t="s">
        <v>106</v>
      </c>
      <c r="L5202" s="1" t="s">
        <v>120</v>
      </c>
      <c r="M5202" s="1" t="s">
        <v>123</v>
      </c>
      <c r="N5202" s="1">
        <v>1</v>
      </c>
      <c r="O5202" s="58"/>
      <c r="P5202" s="58">
        <v>31845524.210000001</v>
      </c>
      <c r="Q5202" t="s">
        <v>118</v>
      </c>
      <c r="R5202" s="1" t="s">
        <v>158</v>
      </c>
    </row>
    <row r="5203" spans="3:18" x14ac:dyDescent="0.35">
      <c r="C5203" t="s">
        <v>51</v>
      </c>
      <c r="D5203" t="s">
        <v>24</v>
      </c>
      <c r="E5203" t="s">
        <v>55</v>
      </c>
      <c r="F5203" t="s">
        <v>46</v>
      </c>
      <c r="G5203" s="58">
        <v>6979441</v>
      </c>
      <c r="H5203" s="1" t="s">
        <v>47</v>
      </c>
      <c r="I5203" s="1" t="s">
        <v>119</v>
      </c>
      <c r="J5203" s="58">
        <v>55835528</v>
      </c>
      <c r="K5203" s="1" t="s">
        <v>106</v>
      </c>
      <c r="L5203" s="1" t="s">
        <v>114</v>
      </c>
      <c r="N5203" s="1">
        <v>1</v>
      </c>
      <c r="O5203" s="58"/>
      <c r="P5203" s="58">
        <v>3350131.68</v>
      </c>
      <c r="Q5203" t="s">
        <v>113</v>
      </c>
      <c r="R5203" s="1" t="s">
        <v>158</v>
      </c>
    </row>
    <row r="5204" spans="3:18" x14ac:dyDescent="0.35">
      <c r="C5204" t="s">
        <v>51</v>
      </c>
      <c r="D5204" t="s">
        <v>22</v>
      </c>
      <c r="E5204" t="s">
        <v>45</v>
      </c>
      <c r="F5204" t="s">
        <v>46</v>
      </c>
      <c r="G5204" s="58">
        <v>264230148</v>
      </c>
      <c r="H5204" s="1" t="s">
        <v>47</v>
      </c>
      <c r="I5204" s="1" t="s">
        <v>111</v>
      </c>
      <c r="J5204" s="58">
        <v>3963452220</v>
      </c>
      <c r="K5204" s="1" t="s">
        <v>106</v>
      </c>
      <c r="L5204" s="1" t="s">
        <v>120</v>
      </c>
      <c r="N5204" s="1">
        <v>1</v>
      </c>
      <c r="O5204" s="58"/>
      <c r="P5204" s="58">
        <v>71342139.959999993</v>
      </c>
      <c r="Q5204" t="s">
        <v>107</v>
      </c>
      <c r="R5204" s="1" t="s">
        <v>158</v>
      </c>
    </row>
    <row r="5205" spans="3:18" x14ac:dyDescent="0.35">
      <c r="C5205" t="s">
        <v>51</v>
      </c>
      <c r="D5205" t="s">
        <v>91</v>
      </c>
      <c r="E5205" t="s">
        <v>49</v>
      </c>
      <c r="F5205" t="s">
        <v>46</v>
      </c>
      <c r="G5205" s="58">
        <v>2558941</v>
      </c>
      <c r="H5205" s="1" t="s">
        <v>54</v>
      </c>
      <c r="I5205" s="1" t="s">
        <v>108</v>
      </c>
      <c r="J5205" s="58">
        <v>74209289</v>
      </c>
      <c r="K5205" s="1" t="s">
        <v>106</v>
      </c>
      <c r="L5205" s="1" t="s">
        <v>124</v>
      </c>
      <c r="N5205" s="1">
        <v>1</v>
      </c>
      <c r="O5205" s="58"/>
      <c r="P5205" s="58">
        <v>2149510.44</v>
      </c>
      <c r="Q5205" t="s">
        <v>127</v>
      </c>
      <c r="R5205" s="1" t="s">
        <v>158</v>
      </c>
    </row>
    <row r="5206" spans="3:18" x14ac:dyDescent="0.35">
      <c r="C5206" t="s">
        <v>51</v>
      </c>
      <c r="D5206" t="s">
        <v>21</v>
      </c>
      <c r="E5206" t="s">
        <v>49</v>
      </c>
      <c r="F5206" t="s">
        <v>46</v>
      </c>
      <c r="G5206" s="58">
        <v>5163</v>
      </c>
      <c r="H5206" s="1" t="s">
        <v>59</v>
      </c>
      <c r="I5206" s="1" t="s">
        <v>105</v>
      </c>
      <c r="J5206" s="58">
        <v>10326</v>
      </c>
      <c r="K5206" s="1" t="s">
        <v>106</v>
      </c>
      <c r="L5206" s="1" t="s">
        <v>120</v>
      </c>
      <c r="N5206" s="1">
        <v>1</v>
      </c>
      <c r="O5206" s="58"/>
      <c r="P5206" s="58">
        <v>309.77999999999997</v>
      </c>
      <c r="Q5206" t="s">
        <v>107</v>
      </c>
      <c r="R5206" s="1" t="s">
        <v>158</v>
      </c>
    </row>
    <row r="5207" spans="3:18" x14ac:dyDescent="0.35">
      <c r="C5207" t="s">
        <v>51</v>
      </c>
      <c r="D5207" t="s">
        <v>23</v>
      </c>
      <c r="E5207" t="s">
        <v>55</v>
      </c>
      <c r="F5207" t="s">
        <v>46</v>
      </c>
      <c r="G5207" s="58">
        <v>31401</v>
      </c>
      <c r="H5207" s="1" t="s">
        <v>59</v>
      </c>
      <c r="I5207" s="1" t="s">
        <v>119</v>
      </c>
      <c r="J5207" s="58">
        <v>219807</v>
      </c>
      <c r="K5207" s="1" t="s">
        <v>106</v>
      </c>
      <c r="L5207" s="1" t="s">
        <v>114</v>
      </c>
      <c r="N5207" s="1">
        <v>1</v>
      </c>
      <c r="O5207" s="58"/>
      <c r="P5207" s="58">
        <v>20096.64</v>
      </c>
      <c r="Q5207" t="s">
        <v>118</v>
      </c>
      <c r="R5207" s="1" t="s">
        <v>158</v>
      </c>
    </row>
    <row r="5208" spans="3:18" x14ac:dyDescent="0.35">
      <c r="C5208" t="s">
        <v>53</v>
      </c>
      <c r="D5208" t="s">
        <v>22</v>
      </c>
      <c r="E5208" t="s">
        <v>45</v>
      </c>
      <c r="F5208" t="s">
        <v>46</v>
      </c>
      <c r="G5208" s="58">
        <v>34617057</v>
      </c>
      <c r="H5208" s="1" t="s">
        <v>47</v>
      </c>
      <c r="I5208" s="1" t="s">
        <v>111</v>
      </c>
      <c r="J5208" s="58">
        <v>450021741</v>
      </c>
      <c r="K5208" s="1" t="s">
        <v>106</v>
      </c>
      <c r="L5208" s="1" t="s">
        <v>120</v>
      </c>
      <c r="N5208" s="1">
        <v>1</v>
      </c>
      <c r="O5208" s="58"/>
      <c r="P5208" s="58">
        <v>7961923.1100000003</v>
      </c>
      <c r="Q5208" t="s">
        <v>107</v>
      </c>
      <c r="R5208" s="1" t="s">
        <v>158</v>
      </c>
    </row>
    <row r="5209" spans="3:18" x14ac:dyDescent="0.35">
      <c r="C5209" t="s">
        <v>51</v>
      </c>
      <c r="D5209" t="s">
        <v>19</v>
      </c>
      <c r="E5209" t="s">
        <v>49</v>
      </c>
      <c r="F5209" t="s">
        <v>46</v>
      </c>
      <c r="G5209" s="58">
        <v>2786715</v>
      </c>
      <c r="H5209" s="1" t="s">
        <v>47</v>
      </c>
      <c r="I5209" s="1" t="s">
        <v>108</v>
      </c>
      <c r="J5209" s="58">
        <v>83601450</v>
      </c>
      <c r="K5209" s="1" t="s">
        <v>106</v>
      </c>
      <c r="L5209" s="1" t="s">
        <v>120</v>
      </c>
      <c r="N5209" s="1">
        <v>1</v>
      </c>
      <c r="O5209" s="58"/>
      <c r="P5209" s="58">
        <v>2368707.75</v>
      </c>
      <c r="Q5209" t="s">
        <v>127</v>
      </c>
      <c r="R5209" s="1" t="s">
        <v>158</v>
      </c>
    </row>
    <row r="5210" spans="3:18" x14ac:dyDescent="0.35">
      <c r="C5210" t="s">
        <v>53</v>
      </c>
      <c r="D5210" t="s">
        <v>19</v>
      </c>
      <c r="E5210" t="s">
        <v>45</v>
      </c>
      <c r="F5210" t="s">
        <v>46</v>
      </c>
      <c r="G5210" s="58">
        <v>832121</v>
      </c>
      <c r="H5210" s="1" t="s">
        <v>54</v>
      </c>
      <c r="I5210" s="1" t="s">
        <v>111</v>
      </c>
      <c r="J5210" s="58">
        <v>9985452</v>
      </c>
      <c r="K5210" s="1" t="s">
        <v>106</v>
      </c>
      <c r="L5210" s="1" t="s">
        <v>120</v>
      </c>
      <c r="N5210" s="1">
        <v>1</v>
      </c>
      <c r="O5210" s="58"/>
      <c r="P5210" s="58">
        <v>158102.99</v>
      </c>
      <c r="Q5210" t="s">
        <v>107</v>
      </c>
      <c r="R5210" s="1" t="s">
        <v>158</v>
      </c>
    </row>
    <row r="5211" spans="3:18" x14ac:dyDescent="0.35">
      <c r="C5211" t="s">
        <v>51</v>
      </c>
      <c r="D5211" t="s">
        <v>22</v>
      </c>
      <c r="E5211" t="s">
        <v>50</v>
      </c>
      <c r="F5211" t="s">
        <v>46</v>
      </c>
      <c r="G5211" s="58">
        <v>148771</v>
      </c>
      <c r="H5211" s="1" t="s">
        <v>48</v>
      </c>
      <c r="I5211" s="1" t="s">
        <v>108</v>
      </c>
      <c r="J5211" s="58">
        <v>3272962</v>
      </c>
      <c r="K5211" s="1" t="s">
        <v>106</v>
      </c>
      <c r="L5211" s="1" t="s">
        <v>124</v>
      </c>
      <c r="M5211" s="1" t="s">
        <v>123</v>
      </c>
      <c r="N5211" s="1">
        <v>1</v>
      </c>
      <c r="O5211" s="58"/>
      <c r="P5211" s="58">
        <v>101164.28</v>
      </c>
      <c r="Q5211" t="s">
        <v>118</v>
      </c>
      <c r="R5211" s="1" t="s">
        <v>48</v>
      </c>
    </row>
    <row r="5212" spans="3:18" x14ac:dyDescent="0.35">
      <c r="C5212" t="s">
        <v>51</v>
      </c>
      <c r="D5212" t="s">
        <v>21</v>
      </c>
      <c r="E5212" t="s">
        <v>45</v>
      </c>
      <c r="F5212" t="s">
        <v>46</v>
      </c>
      <c r="G5212" s="58">
        <v>91386</v>
      </c>
      <c r="H5212" s="1" t="s">
        <v>59</v>
      </c>
      <c r="I5212" s="1" t="s">
        <v>111</v>
      </c>
      <c r="J5212" s="58">
        <v>1279404</v>
      </c>
      <c r="K5212" s="1" t="s">
        <v>106</v>
      </c>
      <c r="L5212" s="1" t="s">
        <v>124</v>
      </c>
      <c r="N5212" s="1">
        <v>1</v>
      </c>
      <c r="O5212" s="58"/>
      <c r="P5212" s="58">
        <v>39295.980000000003</v>
      </c>
      <c r="Q5212" t="s">
        <v>113</v>
      </c>
      <c r="R5212" s="1" t="s">
        <v>158</v>
      </c>
    </row>
    <row r="5213" spans="3:18" x14ac:dyDescent="0.35">
      <c r="C5213" t="s">
        <v>51</v>
      </c>
      <c r="D5213" t="s">
        <v>23</v>
      </c>
      <c r="E5213" t="s">
        <v>50</v>
      </c>
      <c r="F5213" t="s">
        <v>64</v>
      </c>
      <c r="G5213" s="58">
        <v>321434</v>
      </c>
      <c r="H5213" s="1" t="s">
        <v>48</v>
      </c>
      <c r="I5213" s="1" t="s">
        <v>108</v>
      </c>
      <c r="J5213" s="58">
        <v>9000152</v>
      </c>
      <c r="K5213" s="1" t="s">
        <v>112</v>
      </c>
      <c r="N5213" s="1">
        <v>1</v>
      </c>
      <c r="O5213" s="58"/>
      <c r="P5213" s="58">
        <v>180003.04</v>
      </c>
      <c r="Q5213" t="s">
        <v>113</v>
      </c>
      <c r="R5213" s="1" t="s">
        <v>48</v>
      </c>
    </row>
    <row r="5214" spans="3:18" x14ac:dyDescent="0.35">
      <c r="C5214" t="s">
        <v>53</v>
      </c>
      <c r="D5214" t="s">
        <v>20</v>
      </c>
      <c r="E5214" t="s">
        <v>49</v>
      </c>
      <c r="F5214" t="s">
        <v>46</v>
      </c>
      <c r="G5214" s="58">
        <v>55197</v>
      </c>
      <c r="H5214" s="1" t="s">
        <v>47</v>
      </c>
      <c r="I5214" s="1" t="s">
        <v>105</v>
      </c>
      <c r="J5214" s="58"/>
      <c r="K5214" s="1" t="s">
        <v>106</v>
      </c>
      <c r="L5214" s="1" t="s">
        <v>124</v>
      </c>
      <c r="N5214" s="1">
        <v>0</v>
      </c>
      <c r="O5214" s="58"/>
      <c r="P5214" s="58">
        <v>0</v>
      </c>
      <c r="Q5214" t="s">
        <v>107</v>
      </c>
      <c r="R5214" s="1" t="s">
        <v>158</v>
      </c>
    </row>
    <row r="5215" spans="3:18" x14ac:dyDescent="0.35">
      <c r="C5215" t="s">
        <v>51</v>
      </c>
      <c r="D5215" t="s">
        <v>19</v>
      </c>
      <c r="E5215" t="s">
        <v>49</v>
      </c>
      <c r="F5215" t="s">
        <v>46</v>
      </c>
      <c r="G5215" s="58">
        <v>662459</v>
      </c>
      <c r="H5215" s="1" t="s">
        <v>48</v>
      </c>
      <c r="I5215" s="1" t="s">
        <v>108</v>
      </c>
      <c r="J5215" s="58">
        <v>15899016</v>
      </c>
      <c r="K5215" s="1" t="s">
        <v>106</v>
      </c>
      <c r="L5215" s="1" t="s">
        <v>120</v>
      </c>
      <c r="M5215" s="1" t="s">
        <v>115</v>
      </c>
      <c r="N5215" s="1">
        <v>1</v>
      </c>
      <c r="O5215" s="58"/>
      <c r="P5215" s="58">
        <v>324604.90999999997</v>
      </c>
      <c r="Q5215" t="s">
        <v>113</v>
      </c>
      <c r="R5215" s="1" t="s">
        <v>48</v>
      </c>
    </row>
    <row r="5216" spans="3:18" x14ac:dyDescent="0.35">
      <c r="C5216" t="s">
        <v>51</v>
      </c>
      <c r="D5216" t="s">
        <v>19</v>
      </c>
      <c r="E5216" t="s">
        <v>49</v>
      </c>
      <c r="F5216" t="s">
        <v>46</v>
      </c>
      <c r="G5216" s="58">
        <v>767355</v>
      </c>
      <c r="H5216" s="1" t="s">
        <v>47</v>
      </c>
      <c r="I5216" s="1" t="s">
        <v>111</v>
      </c>
      <c r="J5216" s="58">
        <v>12277680</v>
      </c>
      <c r="K5216" s="1" t="s">
        <v>112</v>
      </c>
      <c r="N5216" s="1">
        <v>1</v>
      </c>
      <c r="O5216" s="58"/>
      <c r="P5216" s="58">
        <v>506454.3</v>
      </c>
      <c r="Q5216" t="s">
        <v>118</v>
      </c>
      <c r="R5216" s="1" t="s">
        <v>158</v>
      </c>
    </row>
    <row r="5217" spans="3:18" x14ac:dyDescent="0.35">
      <c r="C5217" t="s">
        <v>53</v>
      </c>
      <c r="D5217" t="s">
        <v>60</v>
      </c>
      <c r="E5217" t="s">
        <v>60</v>
      </c>
      <c r="F5217" t="s">
        <v>46</v>
      </c>
      <c r="G5217" s="58">
        <v>6491729</v>
      </c>
      <c r="H5217" s="1" t="s">
        <v>61</v>
      </c>
      <c r="I5217" s="1" t="s">
        <v>128</v>
      </c>
      <c r="J5217" s="58"/>
      <c r="K5217" s="1" t="s">
        <v>106</v>
      </c>
      <c r="N5217" s="1">
        <v>0</v>
      </c>
      <c r="O5217" s="58"/>
      <c r="P5217" s="58">
        <v>1038676.64</v>
      </c>
      <c r="Q5217" t="s">
        <v>107</v>
      </c>
    </row>
    <row r="5218" spans="3:18" x14ac:dyDescent="0.35">
      <c r="C5218" t="s">
        <v>51</v>
      </c>
      <c r="D5218" t="s">
        <v>20</v>
      </c>
      <c r="E5218" t="s">
        <v>49</v>
      </c>
      <c r="F5218" t="s">
        <v>46</v>
      </c>
      <c r="G5218" s="58">
        <v>133441</v>
      </c>
      <c r="H5218" s="1" t="s">
        <v>48</v>
      </c>
      <c r="I5218" s="1" t="s">
        <v>108</v>
      </c>
      <c r="J5218" s="58">
        <v>3069143</v>
      </c>
      <c r="K5218" s="1" t="s">
        <v>106</v>
      </c>
      <c r="L5218" s="1" t="s">
        <v>120</v>
      </c>
      <c r="M5218" s="1" t="s">
        <v>125</v>
      </c>
      <c r="N5218" s="1">
        <v>1</v>
      </c>
      <c r="O5218" s="58"/>
      <c r="P5218" s="58">
        <v>61382.86</v>
      </c>
      <c r="Q5218" t="s">
        <v>113</v>
      </c>
      <c r="R5218" s="1" t="s">
        <v>48</v>
      </c>
    </row>
    <row r="5219" spans="3:18" x14ac:dyDescent="0.35">
      <c r="C5219" t="s">
        <v>51</v>
      </c>
      <c r="D5219" t="s">
        <v>23</v>
      </c>
      <c r="E5219" t="s">
        <v>45</v>
      </c>
      <c r="F5219" t="s">
        <v>46</v>
      </c>
      <c r="G5219" s="58">
        <v>9375895</v>
      </c>
      <c r="H5219" s="1" t="s">
        <v>47</v>
      </c>
      <c r="I5219" s="1" t="s">
        <v>108</v>
      </c>
      <c r="J5219" s="58">
        <v>281276850</v>
      </c>
      <c r="K5219" s="1" t="s">
        <v>112</v>
      </c>
      <c r="N5219" s="1">
        <v>1</v>
      </c>
      <c r="O5219" s="58"/>
      <c r="P5219" s="58">
        <v>6563126.5</v>
      </c>
      <c r="Q5219" t="s">
        <v>118</v>
      </c>
      <c r="R5219" s="1" t="s">
        <v>158</v>
      </c>
    </row>
    <row r="5220" spans="3:18" x14ac:dyDescent="0.35">
      <c r="C5220" t="s">
        <v>51</v>
      </c>
      <c r="D5220" t="s">
        <v>24</v>
      </c>
      <c r="E5220" t="s">
        <v>62</v>
      </c>
      <c r="F5220" t="s">
        <v>46</v>
      </c>
      <c r="G5220" s="58">
        <v>13221121</v>
      </c>
      <c r="H5220" s="1" t="s">
        <v>48</v>
      </c>
      <c r="I5220" s="1" t="s">
        <v>111</v>
      </c>
      <c r="J5220" s="58">
        <v>224759057</v>
      </c>
      <c r="K5220" s="1" t="s">
        <v>106</v>
      </c>
      <c r="L5220" s="1" t="s">
        <v>131</v>
      </c>
      <c r="M5220" s="1" t="s">
        <v>121</v>
      </c>
      <c r="N5220" s="1">
        <v>1</v>
      </c>
      <c r="O5220" s="58"/>
      <c r="P5220" s="58">
        <v>8858151.0700000003</v>
      </c>
      <c r="Q5220" t="s">
        <v>118</v>
      </c>
      <c r="R5220" s="1" t="s">
        <v>48</v>
      </c>
    </row>
    <row r="5221" spans="3:18" x14ac:dyDescent="0.35">
      <c r="C5221" t="s">
        <v>51</v>
      </c>
      <c r="D5221" t="s">
        <v>24</v>
      </c>
      <c r="E5221" t="s">
        <v>52</v>
      </c>
      <c r="F5221" t="s">
        <v>46</v>
      </c>
      <c r="G5221" s="58">
        <v>3907860</v>
      </c>
      <c r="H5221" s="1" t="s">
        <v>48</v>
      </c>
      <c r="I5221" s="1" t="s">
        <v>108</v>
      </c>
      <c r="J5221" s="58">
        <v>140682960</v>
      </c>
      <c r="K5221" s="1" t="s">
        <v>106</v>
      </c>
      <c r="L5221" s="1" t="s">
        <v>130</v>
      </c>
      <c r="M5221" s="1" t="s">
        <v>121</v>
      </c>
      <c r="N5221" s="1">
        <v>1</v>
      </c>
      <c r="O5221" s="58"/>
      <c r="P5221" s="58">
        <v>3204445.2</v>
      </c>
      <c r="Q5221" t="s">
        <v>127</v>
      </c>
      <c r="R5221" s="1" t="s">
        <v>48</v>
      </c>
    </row>
    <row r="5222" spans="3:18" x14ac:dyDescent="0.35">
      <c r="C5222" t="s">
        <v>51</v>
      </c>
      <c r="D5222" t="s">
        <v>21</v>
      </c>
      <c r="E5222" t="s">
        <v>49</v>
      </c>
      <c r="F5222" t="s">
        <v>46</v>
      </c>
      <c r="G5222" s="58">
        <v>1921774</v>
      </c>
      <c r="H5222" s="1" t="s">
        <v>56</v>
      </c>
      <c r="I5222" s="1" t="s">
        <v>105</v>
      </c>
      <c r="J5222" s="58">
        <v>5765322</v>
      </c>
      <c r="K5222" s="1" t="s">
        <v>112</v>
      </c>
      <c r="N5222" s="1">
        <v>1</v>
      </c>
      <c r="O5222" s="58"/>
      <c r="P5222" s="58">
        <v>384354.8</v>
      </c>
      <c r="Q5222" t="s">
        <v>107</v>
      </c>
      <c r="R5222" s="1" t="s">
        <v>158</v>
      </c>
    </row>
    <row r="5223" spans="3:18" x14ac:dyDescent="0.35">
      <c r="C5223" t="s">
        <v>51</v>
      </c>
      <c r="D5223" t="s">
        <v>22</v>
      </c>
      <c r="E5223" t="s">
        <v>55</v>
      </c>
      <c r="F5223" t="s">
        <v>46</v>
      </c>
      <c r="G5223" s="58">
        <v>508201</v>
      </c>
      <c r="H5223" s="1" t="s">
        <v>48</v>
      </c>
      <c r="I5223" s="1" t="s">
        <v>119</v>
      </c>
      <c r="J5223" s="58">
        <v>4065608</v>
      </c>
      <c r="K5223" s="1" t="s">
        <v>106</v>
      </c>
      <c r="L5223" s="1" t="s">
        <v>114</v>
      </c>
      <c r="M5223" s="1" t="s">
        <v>115</v>
      </c>
      <c r="N5223" s="1">
        <v>1</v>
      </c>
      <c r="O5223" s="58"/>
      <c r="P5223" s="58">
        <v>238854.47</v>
      </c>
      <c r="Q5223" t="s">
        <v>113</v>
      </c>
      <c r="R5223" s="1" t="s">
        <v>48</v>
      </c>
    </row>
    <row r="5224" spans="3:18" x14ac:dyDescent="0.35">
      <c r="C5224" t="s">
        <v>53</v>
      </c>
      <c r="D5224" t="s">
        <v>22</v>
      </c>
      <c r="E5224" t="s">
        <v>45</v>
      </c>
      <c r="F5224" t="s">
        <v>46</v>
      </c>
      <c r="G5224" s="58">
        <v>816820</v>
      </c>
      <c r="H5224" s="1" t="s">
        <v>59</v>
      </c>
      <c r="I5224" s="1" t="s">
        <v>111</v>
      </c>
      <c r="J5224" s="58">
        <v>8985020</v>
      </c>
      <c r="K5224" s="1" t="s">
        <v>106</v>
      </c>
      <c r="L5224" s="1" t="s">
        <v>120</v>
      </c>
      <c r="N5224" s="1">
        <v>1</v>
      </c>
      <c r="O5224" s="58"/>
      <c r="P5224" s="58">
        <v>302223.40000000002</v>
      </c>
      <c r="Q5224" t="s">
        <v>107</v>
      </c>
      <c r="R5224" s="1" t="s">
        <v>158</v>
      </c>
    </row>
    <row r="5225" spans="3:18" x14ac:dyDescent="0.35">
      <c r="C5225" t="s">
        <v>51</v>
      </c>
      <c r="D5225" t="s">
        <v>21</v>
      </c>
      <c r="E5225" t="s">
        <v>52</v>
      </c>
      <c r="F5225" t="s">
        <v>46</v>
      </c>
      <c r="G5225" s="58">
        <v>632687</v>
      </c>
      <c r="H5225" s="1" t="s">
        <v>48</v>
      </c>
      <c r="I5225" s="1" t="s">
        <v>108</v>
      </c>
      <c r="J5225" s="58">
        <v>22144045</v>
      </c>
      <c r="K5225" s="1" t="s">
        <v>112</v>
      </c>
      <c r="N5225" s="1">
        <v>1</v>
      </c>
      <c r="O5225" s="58"/>
      <c r="P5225" s="58">
        <v>537783.94999999995</v>
      </c>
      <c r="Q5225" t="s">
        <v>127</v>
      </c>
      <c r="R5225" s="1" t="s">
        <v>48</v>
      </c>
    </row>
    <row r="5226" spans="3:18" x14ac:dyDescent="0.35">
      <c r="C5226" t="s">
        <v>53</v>
      </c>
      <c r="D5226" t="s">
        <v>21</v>
      </c>
      <c r="E5226" t="s">
        <v>45</v>
      </c>
      <c r="F5226" t="s">
        <v>46</v>
      </c>
      <c r="G5226" s="58">
        <v>3608302</v>
      </c>
      <c r="H5226" s="1" t="s">
        <v>47</v>
      </c>
      <c r="I5226" s="1" t="s">
        <v>111</v>
      </c>
      <c r="J5226" s="58">
        <v>46907926</v>
      </c>
      <c r="K5226" s="1" t="s">
        <v>112</v>
      </c>
      <c r="N5226" s="1">
        <v>1</v>
      </c>
      <c r="O5226" s="58"/>
      <c r="P5226" s="58">
        <v>2670143.48</v>
      </c>
      <c r="Q5226" t="s">
        <v>118</v>
      </c>
      <c r="R5226" s="1" t="s">
        <v>158</v>
      </c>
    </row>
    <row r="5227" spans="3:18" x14ac:dyDescent="0.35">
      <c r="C5227" t="s">
        <v>53</v>
      </c>
      <c r="D5227" t="s">
        <v>24</v>
      </c>
      <c r="E5227" t="s">
        <v>55</v>
      </c>
      <c r="F5227" t="s">
        <v>46</v>
      </c>
      <c r="G5227" s="58">
        <v>4954905</v>
      </c>
      <c r="H5227" s="1" t="s">
        <v>47</v>
      </c>
      <c r="I5227" s="1" t="s">
        <v>105</v>
      </c>
      <c r="J5227" s="58">
        <v>14864715</v>
      </c>
      <c r="K5227" s="1" t="s">
        <v>106</v>
      </c>
      <c r="L5227" s="1" t="s">
        <v>114</v>
      </c>
      <c r="N5227" s="1">
        <v>1</v>
      </c>
      <c r="O5227" s="58"/>
      <c r="P5227" s="58">
        <v>644137.65</v>
      </c>
      <c r="Q5227" t="s">
        <v>107</v>
      </c>
      <c r="R5227" s="1" t="s">
        <v>158</v>
      </c>
    </row>
    <row r="5228" spans="3:18" x14ac:dyDescent="0.35">
      <c r="C5228" t="s">
        <v>51</v>
      </c>
      <c r="D5228" t="s">
        <v>21</v>
      </c>
      <c r="E5228" t="s">
        <v>49</v>
      </c>
      <c r="F5228" t="s">
        <v>46</v>
      </c>
      <c r="G5228" s="58">
        <v>36564</v>
      </c>
      <c r="H5228" s="1" t="s">
        <v>48</v>
      </c>
      <c r="I5228" s="1" t="s">
        <v>111</v>
      </c>
      <c r="J5228" s="58">
        <v>731280</v>
      </c>
      <c r="K5228" s="1" t="s">
        <v>106</v>
      </c>
      <c r="L5228" s="1" t="s">
        <v>124</v>
      </c>
      <c r="M5228" s="1" t="s">
        <v>122</v>
      </c>
      <c r="N5228" s="1">
        <v>1</v>
      </c>
      <c r="O5228" s="58"/>
      <c r="P5228" s="58">
        <v>14625.6</v>
      </c>
      <c r="Q5228" t="s">
        <v>113</v>
      </c>
      <c r="R5228" s="1" t="s">
        <v>48</v>
      </c>
    </row>
    <row r="5229" spans="3:18" x14ac:dyDescent="0.35">
      <c r="C5229" t="s">
        <v>51</v>
      </c>
      <c r="D5229" t="s">
        <v>21</v>
      </c>
      <c r="E5229" t="s">
        <v>55</v>
      </c>
      <c r="F5229" t="s">
        <v>46</v>
      </c>
      <c r="G5229" s="58">
        <v>862059</v>
      </c>
      <c r="H5229" s="1" t="s">
        <v>48</v>
      </c>
      <c r="I5229" s="1" t="s">
        <v>111</v>
      </c>
      <c r="J5229" s="58">
        <v>15517062</v>
      </c>
      <c r="K5229" s="1" t="s">
        <v>106</v>
      </c>
      <c r="L5229" s="1" t="s">
        <v>120</v>
      </c>
      <c r="M5229" s="1" t="s">
        <v>126</v>
      </c>
      <c r="N5229" s="1">
        <v>1</v>
      </c>
      <c r="O5229" s="58"/>
      <c r="P5229" s="58">
        <v>620682.48</v>
      </c>
      <c r="Q5229" t="s">
        <v>118</v>
      </c>
      <c r="R5229" s="1" t="s">
        <v>158</v>
      </c>
    </row>
    <row r="5230" spans="3:18" x14ac:dyDescent="0.35">
      <c r="C5230" t="s">
        <v>51</v>
      </c>
      <c r="D5230" t="s">
        <v>24</v>
      </c>
      <c r="E5230" t="s">
        <v>45</v>
      </c>
      <c r="F5230" t="s">
        <v>46</v>
      </c>
      <c r="G5230" s="58">
        <v>470018</v>
      </c>
      <c r="H5230" s="1" t="s">
        <v>47</v>
      </c>
      <c r="I5230" s="1" t="s">
        <v>108</v>
      </c>
      <c r="J5230" s="58">
        <v>14570558</v>
      </c>
      <c r="K5230" s="1" t="s">
        <v>112</v>
      </c>
      <c r="N5230" s="1">
        <v>1</v>
      </c>
      <c r="O5230" s="58"/>
      <c r="P5230" s="58">
        <v>126904.86</v>
      </c>
      <c r="Q5230" t="s">
        <v>107</v>
      </c>
      <c r="R5230" s="1" t="s">
        <v>158</v>
      </c>
    </row>
    <row r="5231" spans="3:18" x14ac:dyDescent="0.35">
      <c r="C5231" t="s">
        <v>53</v>
      </c>
      <c r="D5231" t="s">
        <v>25</v>
      </c>
      <c r="E5231" t="s">
        <v>55</v>
      </c>
      <c r="F5231" t="s">
        <v>46</v>
      </c>
      <c r="G5231" s="58">
        <v>516401</v>
      </c>
      <c r="H5231" s="1" t="s">
        <v>54</v>
      </c>
      <c r="I5231" s="1" t="s">
        <v>111</v>
      </c>
      <c r="J5231" s="58">
        <v>6196812</v>
      </c>
      <c r="K5231" s="1" t="s">
        <v>106</v>
      </c>
      <c r="L5231" s="1" t="s">
        <v>114</v>
      </c>
      <c r="N5231" s="1">
        <v>1</v>
      </c>
      <c r="O5231" s="58"/>
      <c r="P5231" s="58">
        <v>345988.67</v>
      </c>
      <c r="Q5231" t="s">
        <v>118</v>
      </c>
      <c r="R5231" s="1" t="s">
        <v>158</v>
      </c>
    </row>
    <row r="5232" spans="3:18" x14ac:dyDescent="0.35">
      <c r="C5232" t="s">
        <v>51</v>
      </c>
      <c r="D5232" t="s">
        <v>19</v>
      </c>
      <c r="E5232" t="s">
        <v>49</v>
      </c>
      <c r="F5232" t="s">
        <v>46</v>
      </c>
      <c r="G5232" s="58">
        <v>126131</v>
      </c>
      <c r="H5232" s="1" t="s">
        <v>59</v>
      </c>
      <c r="I5232" s="1" t="s">
        <v>111</v>
      </c>
      <c r="J5232" s="58">
        <v>2270358</v>
      </c>
      <c r="K5232" s="1" t="s">
        <v>106</v>
      </c>
      <c r="L5232" s="1" t="s">
        <v>124</v>
      </c>
      <c r="N5232" s="1">
        <v>1</v>
      </c>
      <c r="O5232" s="58"/>
      <c r="P5232" s="58">
        <v>102166.11</v>
      </c>
      <c r="Q5232" t="s">
        <v>127</v>
      </c>
      <c r="R5232" s="1" t="s">
        <v>158</v>
      </c>
    </row>
    <row r="5233" spans="3:18" x14ac:dyDescent="0.35">
      <c r="C5233" t="s">
        <v>51</v>
      </c>
      <c r="D5233" t="s">
        <v>23</v>
      </c>
      <c r="E5233" t="s">
        <v>55</v>
      </c>
      <c r="F5233" t="s">
        <v>46</v>
      </c>
      <c r="G5233" s="58">
        <v>108439</v>
      </c>
      <c r="H5233" s="1" t="s">
        <v>48</v>
      </c>
      <c r="I5233" s="1" t="s">
        <v>108</v>
      </c>
      <c r="J5233" s="58">
        <v>3470048</v>
      </c>
      <c r="K5233" s="1" t="s">
        <v>106</v>
      </c>
      <c r="L5233" s="1" t="s">
        <v>124</v>
      </c>
      <c r="M5233" s="1" t="s">
        <v>125</v>
      </c>
      <c r="N5233" s="1">
        <v>1</v>
      </c>
      <c r="O5233" s="58"/>
      <c r="P5233" s="58">
        <v>62894.62</v>
      </c>
      <c r="Q5233" t="s">
        <v>113</v>
      </c>
      <c r="R5233" s="1" t="s">
        <v>158</v>
      </c>
    </row>
    <row r="5234" spans="3:18" x14ac:dyDescent="0.35">
      <c r="C5234" t="s">
        <v>51</v>
      </c>
      <c r="D5234" t="s">
        <v>19</v>
      </c>
      <c r="E5234" t="s">
        <v>49</v>
      </c>
      <c r="F5234" t="s">
        <v>46</v>
      </c>
      <c r="G5234" s="58">
        <v>211710</v>
      </c>
      <c r="H5234" s="1" t="s">
        <v>47</v>
      </c>
      <c r="I5234" s="1" t="s">
        <v>108</v>
      </c>
      <c r="J5234" s="58">
        <v>7198140</v>
      </c>
      <c r="K5234" s="1" t="s">
        <v>106</v>
      </c>
      <c r="L5234" s="1" t="s">
        <v>109</v>
      </c>
      <c r="N5234" s="1">
        <v>1</v>
      </c>
      <c r="O5234" s="58"/>
      <c r="P5234" s="58">
        <v>175719.3</v>
      </c>
      <c r="Q5234" t="s">
        <v>127</v>
      </c>
      <c r="R5234" s="1" t="s">
        <v>158</v>
      </c>
    </row>
    <row r="5235" spans="3:18" x14ac:dyDescent="0.35">
      <c r="C5235" t="s">
        <v>53</v>
      </c>
      <c r="D5235" t="s">
        <v>21</v>
      </c>
      <c r="E5235" t="s">
        <v>45</v>
      </c>
      <c r="F5235" t="s">
        <v>46</v>
      </c>
      <c r="G5235" s="58">
        <v>1326928</v>
      </c>
      <c r="H5235" s="1" t="s">
        <v>47</v>
      </c>
      <c r="I5235" s="1" t="s">
        <v>111</v>
      </c>
      <c r="J5235" s="58">
        <v>14596208</v>
      </c>
      <c r="K5235" s="1" t="s">
        <v>106</v>
      </c>
      <c r="L5235" s="1" t="s">
        <v>124</v>
      </c>
      <c r="N5235" s="1">
        <v>1</v>
      </c>
      <c r="O5235" s="58"/>
      <c r="P5235" s="58">
        <v>490963.36</v>
      </c>
      <c r="Q5235" t="s">
        <v>107</v>
      </c>
      <c r="R5235" s="1" t="s">
        <v>158</v>
      </c>
    </row>
    <row r="5236" spans="3:18" x14ac:dyDescent="0.35">
      <c r="C5236" t="s">
        <v>51</v>
      </c>
      <c r="D5236" t="s">
        <v>24</v>
      </c>
      <c r="E5236" t="s">
        <v>62</v>
      </c>
      <c r="F5236" t="s">
        <v>46</v>
      </c>
      <c r="G5236" s="58">
        <v>188192</v>
      </c>
      <c r="H5236" s="1" t="s">
        <v>48</v>
      </c>
      <c r="I5236" s="1" t="s">
        <v>108</v>
      </c>
      <c r="J5236" s="58">
        <v>5833952</v>
      </c>
      <c r="K5236" s="1" t="s">
        <v>106</v>
      </c>
      <c r="L5236" s="1" t="s">
        <v>109</v>
      </c>
      <c r="M5236" s="1" t="s">
        <v>121</v>
      </c>
      <c r="N5236" s="1">
        <v>1</v>
      </c>
      <c r="O5236" s="58"/>
      <c r="P5236" s="58">
        <v>63985.279999999999</v>
      </c>
      <c r="Q5236" t="s">
        <v>107</v>
      </c>
      <c r="R5236" s="1" t="s">
        <v>48</v>
      </c>
    </row>
    <row r="5237" spans="3:18" x14ac:dyDescent="0.35">
      <c r="C5237" t="s">
        <v>51</v>
      </c>
      <c r="D5237" t="s">
        <v>23</v>
      </c>
      <c r="E5237" t="s">
        <v>45</v>
      </c>
      <c r="F5237" t="s">
        <v>46</v>
      </c>
      <c r="G5237" s="58">
        <v>261563</v>
      </c>
      <c r="H5237" s="1" t="s">
        <v>48</v>
      </c>
      <c r="I5237" s="1" t="s">
        <v>111</v>
      </c>
      <c r="J5237" s="58">
        <v>4708134</v>
      </c>
      <c r="K5237" s="1" t="s">
        <v>106</v>
      </c>
      <c r="L5237" s="1" t="s">
        <v>124</v>
      </c>
      <c r="M5237" s="1" t="s">
        <v>126</v>
      </c>
      <c r="N5237" s="1">
        <v>1</v>
      </c>
      <c r="O5237" s="58"/>
      <c r="P5237" s="58">
        <v>52312.6</v>
      </c>
      <c r="Q5237" t="s">
        <v>107</v>
      </c>
      <c r="R5237" s="1" t="s">
        <v>48</v>
      </c>
    </row>
    <row r="5238" spans="3:18" x14ac:dyDescent="0.35">
      <c r="C5238" t="s">
        <v>51</v>
      </c>
      <c r="D5238" t="s">
        <v>21</v>
      </c>
      <c r="E5238" t="s">
        <v>45</v>
      </c>
      <c r="F5238" t="s">
        <v>46</v>
      </c>
      <c r="G5238" s="58">
        <v>1385004</v>
      </c>
      <c r="H5238" s="1" t="s">
        <v>48</v>
      </c>
      <c r="I5238" s="1" t="s">
        <v>111</v>
      </c>
      <c r="J5238" s="58">
        <v>24930072</v>
      </c>
      <c r="K5238" s="1" t="s">
        <v>106</v>
      </c>
      <c r="L5238" s="1" t="s">
        <v>120</v>
      </c>
      <c r="M5238" s="1" t="s">
        <v>126</v>
      </c>
      <c r="N5238" s="1">
        <v>1</v>
      </c>
      <c r="O5238" s="58"/>
      <c r="P5238" s="58">
        <v>1121853.24</v>
      </c>
      <c r="Q5238" t="s">
        <v>127</v>
      </c>
      <c r="R5238" s="1" t="s">
        <v>158</v>
      </c>
    </row>
    <row r="5239" spans="3:18" x14ac:dyDescent="0.35">
      <c r="C5239" t="s">
        <v>51</v>
      </c>
      <c r="D5239" t="s">
        <v>23</v>
      </c>
      <c r="E5239" t="s">
        <v>45</v>
      </c>
      <c r="F5239" t="s">
        <v>64</v>
      </c>
      <c r="G5239" s="58">
        <v>198087</v>
      </c>
      <c r="H5239" s="1" t="s">
        <v>48</v>
      </c>
      <c r="I5239" s="1" t="s">
        <v>111</v>
      </c>
      <c r="J5239" s="58">
        <v>2377044</v>
      </c>
      <c r="K5239" s="1" t="s">
        <v>112</v>
      </c>
      <c r="N5239" s="1">
        <v>1</v>
      </c>
      <c r="O5239" s="58"/>
      <c r="P5239" s="58">
        <v>79234.8</v>
      </c>
      <c r="Q5239" t="s">
        <v>113</v>
      </c>
      <c r="R5239" s="1" t="s">
        <v>48</v>
      </c>
    </row>
    <row r="5240" spans="3:18" x14ac:dyDescent="0.35">
      <c r="C5240" t="s">
        <v>51</v>
      </c>
      <c r="D5240" t="s">
        <v>22</v>
      </c>
      <c r="E5240" t="s">
        <v>55</v>
      </c>
      <c r="F5240" t="s">
        <v>46</v>
      </c>
      <c r="G5240" s="58">
        <v>16352</v>
      </c>
      <c r="H5240" s="1" t="s">
        <v>56</v>
      </c>
      <c r="I5240" s="1" t="s">
        <v>119</v>
      </c>
      <c r="J5240" s="58">
        <v>98112</v>
      </c>
      <c r="K5240" s="1" t="s">
        <v>106</v>
      </c>
      <c r="L5240" s="1" t="s">
        <v>114</v>
      </c>
      <c r="N5240" s="1">
        <v>1</v>
      </c>
      <c r="O5240" s="58"/>
      <c r="P5240" s="58">
        <v>3106.88</v>
      </c>
      <c r="Q5240" t="s">
        <v>107</v>
      </c>
      <c r="R5240" s="1" t="s">
        <v>158</v>
      </c>
    </row>
    <row r="5241" spans="3:18" x14ac:dyDescent="0.35">
      <c r="C5241" t="s">
        <v>51</v>
      </c>
      <c r="D5241" t="s">
        <v>22</v>
      </c>
      <c r="E5241" t="s">
        <v>45</v>
      </c>
      <c r="F5241" t="s">
        <v>46</v>
      </c>
      <c r="G5241" s="58">
        <v>18945004</v>
      </c>
      <c r="H5241" s="1" t="s">
        <v>59</v>
      </c>
      <c r="I5241" s="1" t="s">
        <v>105</v>
      </c>
      <c r="J5241" s="58">
        <v>56835012</v>
      </c>
      <c r="K5241" s="1" t="s">
        <v>106</v>
      </c>
      <c r="L5241" s="1" t="s">
        <v>120</v>
      </c>
      <c r="N5241" s="1">
        <v>1</v>
      </c>
      <c r="O5241" s="58"/>
      <c r="P5241" s="58">
        <v>2462850.52</v>
      </c>
      <c r="Q5241" t="s">
        <v>107</v>
      </c>
      <c r="R5241" s="1" t="s">
        <v>158</v>
      </c>
    </row>
    <row r="5242" spans="3:18" x14ac:dyDescent="0.35">
      <c r="C5242" t="s">
        <v>51</v>
      </c>
      <c r="D5242" t="s">
        <v>23</v>
      </c>
      <c r="E5242" t="s">
        <v>49</v>
      </c>
      <c r="F5242" t="s">
        <v>46</v>
      </c>
      <c r="G5242" s="58">
        <v>476210</v>
      </c>
      <c r="H5242" s="1" t="s">
        <v>54</v>
      </c>
      <c r="I5242" s="1" t="s">
        <v>108</v>
      </c>
      <c r="J5242" s="58">
        <v>15714930</v>
      </c>
      <c r="K5242" s="1" t="s">
        <v>106</v>
      </c>
      <c r="L5242" s="1" t="s">
        <v>124</v>
      </c>
      <c r="N5242" s="1">
        <v>1</v>
      </c>
      <c r="O5242" s="58"/>
      <c r="P5242" s="58">
        <v>414302.7</v>
      </c>
      <c r="Q5242" t="s">
        <v>127</v>
      </c>
      <c r="R5242" s="1" t="s">
        <v>158</v>
      </c>
    </row>
    <row r="5243" spans="3:18" x14ac:dyDescent="0.35">
      <c r="C5243" t="s">
        <v>51</v>
      </c>
      <c r="D5243" t="s">
        <v>22</v>
      </c>
      <c r="E5243" t="s">
        <v>45</v>
      </c>
      <c r="F5243" t="s">
        <v>46</v>
      </c>
      <c r="G5243" s="58">
        <v>1100693</v>
      </c>
      <c r="H5243" s="1" t="s">
        <v>47</v>
      </c>
      <c r="I5243" s="1" t="s">
        <v>111</v>
      </c>
      <c r="J5243" s="58">
        <v>18711781</v>
      </c>
      <c r="K5243" s="1" t="s">
        <v>106</v>
      </c>
      <c r="L5243" s="1" t="s">
        <v>124</v>
      </c>
      <c r="N5243" s="1">
        <v>1</v>
      </c>
      <c r="O5243" s="58"/>
      <c r="P5243" s="58">
        <v>781492.03</v>
      </c>
      <c r="Q5243" t="s">
        <v>118</v>
      </c>
      <c r="R5243" s="1" t="s">
        <v>158</v>
      </c>
    </row>
    <row r="5244" spans="3:18" x14ac:dyDescent="0.35">
      <c r="C5244" t="s">
        <v>53</v>
      </c>
      <c r="D5244" t="s">
        <v>21</v>
      </c>
      <c r="E5244" t="s">
        <v>55</v>
      </c>
      <c r="F5244" t="s">
        <v>46</v>
      </c>
      <c r="G5244" s="58">
        <v>33359</v>
      </c>
      <c r="H5244" s="1" t="s">
        <v>48</v>
      </c>
      <c r="I5244" s="1" t="s">
        <v>105</v>
      </c>
      <c r="J5244" s="58"/>
      <c r="K5244" s="1" t="s">
        <v>106</v>
      </c>
      <c r="L5244" s="1" t="s">
        <v>114</v>
      </c>
      <c r="M5244" s="1" t="s">
        <v>126</v>
      </c>
      <c r="N5244" s="1">
        <v>0</v>
      </c>
      <c r="O5244" s="58"/>
      <c r="P5244" s="58">
        <v>0</v>
      </c>
      <c r="Q5244" t="s">
        <v>107</v>
      </c>
      <c r="R5244" s="1" t="s">
        <v>158</v>
      </c>
    </row>
    <row r="5245" spans="3:18" x14ac:dyDescent="0.35">
      <c r="C5245" t="s">
        <v>51</v>
      </c>
      <c r="D5245" t="s">
        <v>20</v>
      </c>
      <c r="E5245" t="s">
        <v>49</v>
      </c>
      <c r="F5245" t="s">
        <v>64</v>
      </c>
      <c r="G5245" s="58">
        <v>1503310</v>
      </c>
      <c r="H5245" s="1" t="s">
        <v>48</v>
      </c>
      <c r="I5245" s="1" t="s">
        <v>108</v>
      </c>
      <c r="J5245" s="58">
        <v>55622470</v>
      </c>
      <c r="K5245" s="1" t="s">
        <v>112</v>
      </c>
      <c r="N5245" s="1">
        <v>1</v>
      </c>
      <c r="O5245" s="58"/>
      <c r="P5245" s="58">
        <v>977151.5</v>
      </c>
      <c r="Q5245" t="s">
        <v>118</v>
      </c>
      <c r="R5245" s="1" t="s">
        <v>48</v>
      </c>
    </row>
    <row r="5246" spans="3:18" x14ac:dyDescent="0.35">
      <c r="C5246" t="s">
        <v>53</v>
      </c>
      <c r="D5246" t="s">
        <v>22</v>
      </c>
      <c r="E5246" t="s">
        <v>45</v>
      </c>
      <c r="F5246" t="s">
        <v>46</v>
      </c>
      <c r="G5246" s="58">
        <v>2379831</v>
      </c>
      <c r="H5246" s="1" t="s">
        <v>59</v>
      </c>
      <c r="I5246" s="1" t="s">
        <v>119</v>
      </c>
      <c r="J5246" s="58">
        <v>16658817</v>
      </c>
      <c r="K5246" s="1" t="s">
        <v>106</v>
      </c>
      <c r="L5246" s="1" t="s">
        <v>120</v>
      </c>
      <c r="N5246" s="1">
        <v>1</v>
      </c>
      <c r="O5246" s="58"/>
      <c r="P5246" s="58">
        <v>571159.43999999994</v>
      </c>
      <c r="Q5246" t="s">
        <v>107</v>
      </c>
      <c r="R5246" s="1" t="s">
        <v>158</v>
      </c>
    </row>
    <row r="5247" spans="3:18" x14ac:dyDescent="0.35">
      <c r="C5247" t="s">
        <v>53</v>
      </c>
      <c r="D5247" t="s">
        <v>22</v>
      </c>
      <c r="E5247" t="s">
        <v>45</v>
      </c>
      <c r="F5247" t="s">
        <v>46</v>
      </c>
      <c r="G5247" s="58">
        <v>12323454</v>
      </c>
      <c r="H5247" s="1" t="s">
        <v>47</v>
      </c>
      <c r="I5247" s="1" t="s">
        <v>105</v>
      </c>
      <c r="J5247" s="58">
        <v>24646908</v>
      </c>
      <c r="K5247" s="1" t="s">
        <v>106</v>
      </c>
      <c r="L5247" s="1" t="s">
        <v>120</v>
      </c>
      <c r="N5247" s="1">
        <v>1</v>
      </c>
      <c r="O5247" s="58"/>
      <c r="P5247" s="58">
        <v>6038492.46</v>
      </c>
      <c r="Q5247" t="s">
        <v>113</v>
      </c>
      <c r="R5247" s="1" t="s">
        <v>158</v>
      </c>
    </row>
    <row r="5248" spans="3:18" x14ac:dyDescent="0.35">
      <c r="C5248" t="s">
        <v>51</v>
      </c>
      <c r="D5248" t="s">
        <v>24</v>
      </c>
      <c r="E5248" t="s">
        <v>50</v>
      </c>
      <c r="F5248" t="s">
        <v>46</v>
      </c>
      <c r="G5248" s="58">
        <v>939500</v>
      </c>
      <c r="H5248" s="1" t="s">
        <v>59</v>
      </c>
      <c r="I5248" s="1" t="s">
        <v>105</v>
      </c>
      <c r="J5248" s="58">
        <v>3758000</v>
      </c>
      <c r="K5248" s="1" t="s">
        <v>106</v>
      </c>
      <c r="L5248" s="1" t="s">
        <v>109</v>
      </c>
      <c r="N5248" s="1">
        <v>1</v>
      </c>
      <c r="O5248" s="58"/>
      <c r="P5248" s="58">
        <v>150320</v>
      </c>
      <c r="Q5248" t="s">
        <v>107</v>
      </c>
      <c r="R5248" s="1" t="s">
        <v>158</v>
      </c>
    </row>
    <row r="5249" spans="3:18" x14ac:dyDescent="0.35">
      <c r="C5249" t="s">
        <v>51</v>
      </c>
      <c r="D5249" t="s">
        <v>22</v>
      </c>
      <c r="E5249" t="s">
        <v>55</v>
      </c>
      <c r="F5249" t="s">
        <v>46</v>
      </c>
      <c r="G5249" s="58">
        <v>67252</v>
      </c>
      <c r="H5249" s="1" t="s">
        <v>47</v>
      </c>
      <c r="I5249" s="1" t="s">
        <v>108</v>
      </c>
      <c r="J5249" s="58">
        <v>1815804</v>
      </c>
      <c r="K5249" s="1" t="s">
        <v>106</v>
      </c>
      <c r="L5249" s="1" t="s">
        <v>120</v>
      </c>
      <c r="N5249" s="1">
        <v>1</v>
      </c>
      <c r="O5249" s="58"/>
      <c r="P5249" s="58">
        <v>30263.4</v>
      </c>
      <c r="Q5249" t="s">
        <v>113</v>
      </c>
      <c r="R5249" s="1" t="s">
        <v>158</v>
      </c>
    </row>
    <row r="5250" spans="3:18" x14ac:dyDescent="0.35">
      <c r="C5250" t="s">
        <v>51</v>
      </c>
      <c r="D5250" t="s">
        <v>23</v>
      </c>
      <c r="E5250" t="s">
        <v>45</v>
      </c>
      <c r="F5250" t="s">
        <v>46</v>
      </c>
      <c r="G5250" s="58">
        <v>352232</v>
      </c>
      <c r="H5250" s="1" t="s">
        <v>48</v>
      </c>
      <c r="I5250" s="1" t="s">
        <v>108</v>
      </c>
      <c r="J5250" s="58">
        <v>11623656</v>
      </c>
      <c r="K5250" s="1" t="s">
        <v>106</v>
      </c>
      <c r="L5250" s="1" t="s">
        <v>114</v>
      </c>
      <c r="M5250" s="1" t="s">
        <v>125</v>
      </c>
      <c r="N5250" s="1">
        <v>1</v>
      </c>
      <c r="O5250" s="58"/>
      <c r="P5250" s="58">
        <v>295874.88</v>
      </c>
      <c r="Q5250" t="s">
        <v>127</v>
      </c>
      <c r="R5250" s="1" t="s">
        <v>48</v>
      </c>
    </row>
    <row r="5251" spans="3:18" x14ac:dyDescent="0.35">
      <c r="C5251" t="s">
        <v>53</v>
      </c>
      <c r="D5251" t="s">
        <v>60</v>
      </c>
      <c r="E5251" t="s">
        <v>60</v>
      </c>
      <c r="F5251" t="s">
        <v>46</v>
      </c>
      <c r="G5251" s="58">
        <v>52006</v>
      </c>
      <c r="H5251" s="1" t="s">
        <v>90</v>
      </c>
      <c r="I5251" s="1" t="s">
        <v>128</v>
      </c>
      <c r="J5251" s="58"/>
      <c r="K5251" s="1" t="s">
        <v>106</v>
      </c>
      <c r="N5251" s="1">
        <v>0</v>
      </c>
      <c r="O5251" s="58"/>
      <c r="P5251" s="58">
        <v>60326.96</v>
      </c>
      <c r="Q5251" t="s">
        <v>110</v>
      </c>
      <c r="R5251" s="1" t="s">
        <v>90</v>
      </c>
    </row>
    <row r="5252" spans="3:18" x14ac:dyDescent="0.35">
      <c r="C5252" t="s">
        <v>51</v>
      </c>
      <c r="D5252" t="s">
        <v>24</v>
      </c>
      <c r="E5252" t="s">
        <v>49</v>
      </c>
      <c r="F5252" t="s">
        <v>46</v>
      </c>
      <c r="G5252" s="58">
        <v>422858</v>
      </c>
      <c r="H5252" s="1" t="s">
        <v>56</v>
      </c>
      <c r="I5252" s="1" t="s">
        <v>108</v>
      </c>
      <c r="J5252" s="58">
        <v>10994308</v>
      </c>
      <c r="K5252" s="1" t="s">
        <v>106</v>
      </c>
      <c r="L5252" s="1" t="s">
        <v>124</v>
      </c>
      <c r="N5252" s="1">
        <v>1</v>
      </c>
      <c r="O5252" s="58"/>
      <c r="P5252" s="58">
        <v>236800.48</v>
      </c>
      <c r="Q5252" t="s">
        <v>113</v>
      </c>
      <c r="R5252" s="1" t="s">
        <v>158</v>
      </c>
    </row>
    <row r="5253" spans="3:18" x14ac:dyDescent="0.35">
      <c r="C5253" t="s">
        <v>53</v>
      </c>
      <c r="D5253" t="s">
        <v>19</v>
      </c>
      <c r="E5253" t="s">
        <v>55</v>
      </c>
      <c r="F5253" t="s">
        <v>46</v>
      </c>
      <c r="G5253" s="58">
        <v>149974</v>
      </c>
      <c r="H5253" s="1" t="s">
        <v>48</v>
      </c>
      <c r="I5253" s="1" t="s">
        <v>111</v>
      </c>
      <c r="J5253" s="58">
        <v>1649714</v>
      </c>
      <c r="K5253" s="1" t="s">
        <v>106</v>
      </c>
      <c r="L5253" s="1" t="s">
        <v>114</v>
      </c>
      <c r="M5253" s="1" t="s">
        <v>122</v>
      </c>
      <c r="N5253" s="1">
        <v>1</v>
      </c>
      <c r="O5253" s="58"/>
      <c r="P5253" s="58">
        <v>112480.5</v>
      </c>
      <c r="Q5253" t="s">
        <v>118</v>
      </c>
      <c r="R5253" s="1" t="s">
        <v>158</v>
      </c>
    </row>
    <row r="5254" spans="3:18" x14ac:dyDescent="0.35">
      <c r="C5254" t="s">
        <v>51</v>
      </c>
      <c r="D5254" t="s">
        <v>21</v>
      </c>
      <c r="E5254" t="s">
        <v>49</v>
      </c>
      <c r="F5254" t="s">
        <v>46</v>
      </c>
      <c r="G5254" s="58">
        <v>436024</v>
      </c>
      <c r="H5254" s="1" t="s">
        <v>59</v>
      </c>
      <c r="I5254" s="1" t="s">
        <v>108</v>
      </c>
      <c r="J5254" s="58">
        <v>14388792</v>
      </c>
      <c r="K5254" s="1" t="s">
        <v>106</v>
      </c>
      <c r="L5254" s="1" t="s">
        <v>116</v>
      </c>
      <c r="N5254" s="1">
        <v>1</v>
      </c>
      <c r="O5254" s="58"/>
      <c r="P5254" s="58">
        <v>270334.88</v>
      </c>
      <c r="Q5254" t="s">
        <v>118</v>
      </c>
      <c r="R5254" s="1" t="s">
        <v>158</v>
      </c>
    </row>
    <row r="5255" spans="3:18" x14ac:dyDescent="0.35">
      <c r="C5255" t="s">
        <v>51</v>
      </c>
      <c r="D5255" t="s">
        <v>24</v>
      </c>
      <c r="E5255" t="s">
        <v>55</v>
      </c>
      <c r="F5255" t="s">
        <v>46</v>
      </c>
      <c r="G5255" s="58">
        <v>87855731</v>
      </c>
      <c r="H5255" s="1" t="s">
        <v>47</v>
      </c>
      <c r="I5255" s="1" t="s">
        <v>111</v>
      </c>
      <c r="J5255" s="58">
        <v>1405691696</v>
      </c>
      <c r="K5255" s="1" t="s">
        <v>106</v>
      </c>
      <c r="L5255" s="1" t="s">
        <v>114</v>
      </c>
      <c r="N5255" s="1">
        <v>1</v>
      </c>
      <c r="O5255" s="58"/>
      <c r="P5255" s="58">
        <v>43049308.189999998</v>
      </c>
      <c r="Q5255" t="s">
        <v>113</v>
      </c>
      <c r="R5255" s="1" t="s">
        <v>158</v>
      </c>
    </row>
    <row r="5256" spans="3:18" x14ac:dyDescent="0.35">
      <c r="C5256" t="s">
        <v>51</v>
      </c>
      <c r="D5256" t="s">
        <v>92</v>
      </c>
      <c r="E5256" t="s">
        <v>49</v>
      </c>
      <c r="F5256" t="s">
        <v>46</v>
      </c>
      <c r="G5256" s="58">
        <v>239229</v>
      </c>
      <c r="H5256" s="1" t="s">
        <v>48</v>
      </c>
      <c r="I5256" s="1" t="s">
        <v>108</v>
      </c>
      <c r="J5256" s="58">
        <v>8373015</v>
      </c>
      <c r="K5256" s="1" t="s">
        <v>106</v>
      </c>
      <c r="L5256" s="1" t="s">
        <v>120</v>
      </c>
      <c r="M5256" s="1" t="s">
        <v>121</v>
      </c>
      <c r="N5256" s="1">
        <v>1</v>
      </c>
      <c r="O5256" s="58"/>
      <c r="P5256" s="58">
        <v>193775.49</v>
      </c>
      <c r="Q5256" t="s">
        <v>127</v>
      </c>
      <c r="R5256" s="1" t="s">
        <v>48</v>
      </c>
    </row>
    <row r="5257" spans="3:18" x14ac:dyDescent="0.35">
      <c r="C5257" t="s">
        <v>51</v>
      </c>
      <c r="D5257" t="s">
        <v>23</v>
      </c>
      <c r="E5257" t="s">
        <v>55</v>
      </c>
      <c r="F5257" t="s">
        <v>46</v>
      </c>
      <c r="G5257" s="58">
        <v>15831720</v>
      </c>
      <c r="H5257" s="1" t="s">
        <v>48</v>
      </c>
      <c r="I5257" s="1" t="s">
        <v>111</v>
      </c>
      <c r="J5257" s="58">
        <v>253307520</v>
      </c>
      <c r="K5257" s="1" t="s">
        <v>106</v>
      </c>
      <c r="L5257" s="1" t="s">
        <v>114</v>
      </c>
      <c r="M5257" s="1" t="s">
        <v>125</v>
      </c>
      <c r="N5257" s="1">
        <v>1</v>
      </c>
      <c r="O5257" s="58"/>
      <c r="P5257" s="58">
        <v>8074177.2000000002</v>
      </c>
      <c r="Q5257" t="s">
        <v>113</v>
      </c>
      <c r="R5257" s="1" t="s">
        <v>158</v>
      </c>
    </row>
    <row r="5258" spans="3:18" x14ac:dyDescent="0.35">
      <c r="C5258" t="s">
        <v>51</v>
      </c>
      <c r="D5258" t="s">
        <v>23</v>
      </c>
      <c r="E5258" t="s">
        <v>55</v>
      </c>
      <c r="F5258" t="s">
        <v>46</v>
      </c>
      <c r="G5258" s="58">
        <v>3135117</v>
      </c>
      <c r="H5258" s="1" t="s">
        <v>59</v>
      </c>
      <c r="I5258" s="1" t="s">
        <v>111</v>
      </c>
      <c r="J5258" s="58">
        <v>53296989</v>
      </c>
      <c r="K5258" s="1" t="s">
        <v>106</v>
      </c>
      <c r="L5258" s="1" t="s">
        <v>114</v>
      </c>
      <c r="N5258" s="1">
        <v>1</v>
      </c>
      <c r="O5258" s="58"/>
      <c r="P5258" s="58">
        <v>2069177.22</v>
      </c>
      <c r="Q5258" t="s">
        <v>118</v>
      </c>
      <c r="R5258" s="1" t="s">
        <v>158</v>
      </c>
    </row>
    <row r="5259" spans="3:18" x14ac:dyDescent="0.35">
      <c r="C5259" t="s">
        <v>51</v>
      </c>
      <c r="D5259" t="s">
        <v>24</v>
      </c>
      <c r="E5259" t="s">
        <v>55</v>
      </c>
      <c r="F5259" t="s">
        <v>46</v>
      </c>
      <c r="G5259" s="58">
        <v>6552303</v>
      </c>
      <c r="H5259" s="1" t="s">
        <v>48</v>
      </c>
      <c r="I5259" s="1" t="s">
        <v>108</v>
      </c>
      <c r="J5259" s="58">
        <v>209673696</v>
      </c>
      <c r="K5259" s="1" t="s">
        <v>112</v>
      </c>
      <c r="N5259" s="1">
        <v>1</v>
      </c>
      <c r="O5259" s="58"/>
      <c r="P5259" s="58">
        <v>4586612.0999999996</v>
      </c>
      <c r="Q5259" t="s">
        <v>118</v>
      </c>
      <c r="R5259" s="1" t="s">
        <v>158</v>
      </c>
    </row>
    <row r="5260" spans="3:18" x14ac:dyDescent="0.35">
      <c r="C5260" t="s">
        <v>51</v>
      </c>
      <c r="D5260" t="s">
        <v>23</v>
      </c>
      <c r="E5260" t="s">
        <v>55</v>
      </c>
      <c r="F5260" t="s">
        <v>46</v>
      </c>
      <c r="G5260" s="58">
        <v>1431408</v>
      </c>
      <c r="H5260" s="1" t="s">
        <v>56</v>
      </c>
      <c r="I5260" s="1" t="s">
        <v>108</v>
      </c>
      <c r="J5260" s="58">
        <v>42942240</v>
      </c>
      <c r="K5260" s="1" t="s">
        <v>112</v>
      </c>
      <c r="N5260" s="1">
        <v>1</v>
      </c>
      <c r="O5260" s="58"/>
      <c r="P5260" s="58">
        <v>1030613.76</v>
      </c>
      <c r="Q5260" t="s">
        <v>118</v>
      </c>
      <c r="R5260" s="1" t="s">
        <v>158</v>
      </c>
    </row>
    <row r="5261" spans="3:18" x14ac:dyDescent="0.35">
      <c r="C5261" t="s">
        <v>51</v>
      </c>
      <c r="D5261" t="s">
        <v>21</v>
      </c>
      <c r="E5261" t="s">
        <v>49</v>
      </c>
      <c r="F5261" t="s">
        <v>46</v>
      </c>
      <c r="G5261" s="58">
        <v>1226416</v>
      </c>
      <c r="H5261" s="1" t="s">
        <v>56</v>
      </c>
      <c r="I5261" s="1" t="s">
        <v>105</v>
      </c>
      <c r="J5261" s="58">
        <v>3679248</v>
      </c>
      <c r="K5261" s="1" t="s">
        <v>106</v>
      </c>
      <c r="L5261" s="1" t="s">
        <v>124</v>
      </c>
      <c r="N5261" s="1">
        <v>1</v>
      </c>
      <c r="O5261" s="58"/>
      <c r="P5261" s="58">
        <v>797170.4</v>
      </c>
      <c r="Q5261" t="s">
        <v>118</v>
      </c>
      <c r="R5261" s="1" t="s">
        <v>158</v>
      </c>
    </row>
    <row r="5262" spans="3:18" x14ac:dyDescent="0.35">
      <c r="C5262" t="s">
        <v>51</v>
      </c>
      <c r="D5262" t="s">
        <v>23</v>
      </c>
      <c r="E5262" t="s">
        <v>55</v>
      </c>
      <c r="F5262" t="s">
        <v>46</v>
      </c>
      <c r="G5262" s="58">
        <v>3245637</v>
      </c>
      <c r="H5262" s="1" t="s">
        <v>59</v>
      </c>
      <c r="I5262" s="1" t="s">
        <v>108</v>
      </c>
      <c r="J5262" s="58">
        <v>103860384</v>
      </c>
      <c r="K5262" s="1" t="s">
        <v>112</v>
      </c>
      <c r="N5262" s="1">
        <v>1</v>
      </c>
      <c r="O5262" s="58"/>
      <c r="P5262" s="58">
        <v>2336858.64</v>
      </c>
      <c r="Q5262" t="s">
        <v>118</v>
      </c>
      <c r="R5262" s="1" t="s">
        <v>158</v>
      </c>
    </row>
    <row r="5263" spans="3:18" x14ac:dyDescent="0.35">
      <c r="C5263" t="s">
        <v>51</v>
      </c>
      <c r="D5263" t="s">
        <v>25</v>
      </c>
      <c r="E5263" t="s">
        <v>55</v>
      </c>
      <c r="F5263" t="s">
        <v>46</v>
      </c>
      <c r="G5263" s="58">
        <v>522091</v>
      </c>
      <c r="H5263" s="1" t="s">
        <v>54</v>
      </c>
      <c r="I5263" s="1" t="s">
        <v>108</v>
      </c>
      <c r="J5263" s="58">
        <v>13052275</v>
      </c>
      <c r="K5263" s="1" t="s">
        <v>106</v>
      </c>
      <c r="L5263" s="1" t="s">
        <v>120</v>
      </c>
      <c r="N5263" s="1">
        <v>1</v>
      </c>
      <c r="O5263" s="58"/>
      <c r="P5263" s="58">
        <v>151406.39000000001</v>
      </c>
      <c r="Q5263" t="s">
        <v>107</v>
      </c>
      <c r="R5263" s="1" t="s">
        <v>158</v>
      </c>
    </row>
    <row r="5264" spans="3:18" x14ac:dyDescent="0.35">
      <c r="C5264" t="s">
        <v>51</v>
      </c>
      <c r="D5264" t="s">
        <v>20</v>
      </c>
      <c r="E5264" t="s">
        <v>45</v>
      </c>
      <c r="F5264" t="s">
        <v>46</v>
      </c>
      <c r="G5264" s="58">
        <v>2979876</v>
      </c>
      <c r="H5264" s="1" t="s">
        <v>48</v>
      </c>
      <c r="I5264" s="1" t="s">
        <v>108</v>
      </c>
      <c r="J5264" s="58">
        <v>104295660</v>
      </c>
      <c r="K5264" s="1" t="s">
        <v>106</v>
      </c>
      <c r="L5264" s="1" t="s">
        <v>120</v>
      </c>
      <c r="M5264" s="1" t="s">
        <v>123</v>
      </c>
      <c r="N5264" s="1">
        <v>1</v>
      </c>
      <c r="O5264" s="58"/>
      <c r="P5264" s="58">
        <v>2503095.84</v>
      </c>
      <c r="Q5264" t="s">
        <v>127</v>
      </c>
      <c r="R5264" s="1" t="s">
        <v>48</v>
      </c>
    </row>
    <row r="5265" spans="3:18" x14ac:dyDescent="0.35">
      <c r="C5265" t="s">
        <v>51</v>
      </c>
      <c r="D5265" t="s">
        <v>23</v>
      </c>
      <c r="E5265" t="s">
        <v>52</v>
      </c>
      <c r="F5265" t="s">
        <v>46</v>
      </c>
      <c r="G5265" s="58">
        <v>88932</v>
      </c>
      <c r="H5265" s="1" t="s">
        <v>48</v>
      </c>
      <c r="I5265" s="1" t="s">
        <v>111</v>
      </c>
      <c r="J5265" s="58">
        <v>1689708</v>
      </c>
      <c r="K5265" s="1" t="s">
        <v>106</v>
      </c>
      <c r="L5265" s="1" t="s">
        <v>114</v>
      </c>
      <c r="M5265" s="1" t="s">
        <v>125</v>
      </c>
      <c r="N5265" s="1">
        <v>1</v>
      </c>
      <c r="O5265" s="58"/>
      <c r="P5265" s="58">
        <v>58695.12</v>
      </c>
      <c r="Q5265" t="s">
        <v>118</v>
      </c>
      <c r="R5265" s="1" t="s">
        <v>48</v>
      </c>
    </row>
    <row r="5266" spans="3:18" x14ac:dyDescent="0.35">
      <c r="C5266" t="s">
        <v>53</v>
      </c>
      <c r="D5266" t="s">
        <v>21</v>
      </c>
      <c r="E5266" t="s">
        <v>45</v>
      </c>
      <c r="F5266" t="s">
        <v>46</v>
      </c>
      <c r="G5266" s="58">
        <v>42644506</v>
      </c>
      <c r="H5266" s="1" t="s">
        <v>47</v>
      </c>
      <c r="I5266" s="1" t="s">
        <v>111</v>
      </c>
      <c r="J5266" s="58">
        <v>554378578</v>
      </c>
      <c r="K5266" s="1" t="s">
        <v>106</v>
      </c>
      <c r="L5266" s="1" t="s">
        <v>120</v>
      </c>
      <c r="N5266" s="1">
        <v>1</v>
      </c>
      <c r="O5266" s="58"/>
      <c r="P5266" s="58">
        <v>29424709.140000001</v>
      </c>
      <c r="Q5266" t="s">
        <v>118</v>
      </c>
      <c r="R5266" s="1" t="s">
        <v>158</v>
      </c>
    </row>
    <row r="5267" spans="3:18" x14ac:dyDescent="0.35">
      <c r="C5267" t="s">
        <v>51</v>
      </c>
      <c r="D5267" t="s">
        <v>92</v>
      </c>
      <c r="E5267" t="s">
        <v>49</v>
      </c>
      <c r="F5267" t="s">
        <v>46</v>
      </c>
      <c r="G5267" s="58">
        <v>65425707</v>
      </c>
      <c r="H5267" s="1" t="s">
        <v>54</v>
      </c>
      <c r="I5267" s="1" t="s">
        <v>108</v>
      </c>
      <c r="J5267" s="58">
        <v>1701068382</v>
      </c>
      <c r="K5267" s="1" t="s">
        <v>106</v>
      </c>
      <c r="L5267" s="1" t="s">
        <v>124</v>
      </c>
      <c r="N5267" s="1">
        <v>1</v>
      </c>
      <c r="O5267" s="58"/>
      <c r="P5267" s="58">
        <v>34021367.640000001</v>
      </c>
      <c r="Q5267" t="s">
        <v>113</v>
      </c>
      <c r="R5267" s="1" t="s">
        <v>158</v>
      </c>
    </row>
    <row r="5268" spans="3:18" x14ac:dyDescent="0.35">
      <c r="C5268" t="s">
        <v>51</v>
      </c>
      <c r="D5268" t="s">
        <v>23</v>
      </c>
      <c r="E5268" t="s">
        <v>49</v>
      </c>
      <c r="F5268" t="s">
        <v>46</v>
      </c>
      <c r="G5268" s="58">
        <v>5983623</v>
      </c>
      <c r="H5268" s="1" t="s">
        <v>47</v>
      </c>
      <c r="I5268" s="1" t="s">
        <v>111</v>
      </c>
      <c r="J5268" s="58">
        <v>101721591</v>
      </c>
      <c r="K5268" s="1" t="s">
        <v>106</v>
      </c>
      <c r="L5268" s="1" t="s">
        <v>124</v>
      </c>
      <c r="N5268" s="1">
        <v>1</v>
      </c>
      <c r="O5268" s="58"/>
      <c r="P5268" s="58">
        <v>2872139.04</v>
      </c>
      <c r="Q5268" t="s">
        <v>113</v>
      </c>
      <c r="R5268" s="1" t="s">
        <v>158</v>
      </c>
    </row>
    <row r="5269" spans="3:18" x14ac:dyDescent="0.35">
      <c r="C5269" t="s">
        <v>51</v>
      </c>
      <c r="D5269" t="s">
        <v>24</v>
      </c>
      <c r="E5269" t="s">
        <v>55</v>
      </c>
      <c r="F5269" t="s">
        <v>46</v>
      </c>
      <c r="G5269" s="58">
        <v>26642</v>
      </c>
      <c r="H5269" s="1" t="s">
        <v>48</v>
      </c>
      <c r="I5269" s="1" t="s">
        <v>119</v>
      </c>
      <c r="J5269" s="58">
        <v>239778</v>
      </c>
      <c r="K5269" s="1" t="s">
        <v>106</v>
      </c>
      <c r="L5269" s="1" t="s">
        <v>114</v>
      </c>
      <c r="M5269" s="1" t="s">
        <v>121</v>
      </c>
      <c r="N5269" s="1">
        <v>1</v>
      </c>
      <c r="O5269" s="58"/>
      <c r="P5269" s="58">
        <v>22112.86</v>
      </c>
      <c r="Q5269" t="s">
        <v>127</v>
      </c>
      <c r="R5269" s="1" t="s">
        <v>158</v>
      </c>
    </row>
    <row r="5270" spans="3:18" x14ac:dyDescent="0.35">
      <c r="C5270" t="s">
        <v>51</v>
      </c>
      <c r="D5270" t="s">
        <v>24</v>
      </c>
      <c r="E5270" t="s">
        <v>50</v>
      </c>
      <c r="F5270" t="s">
        <v>46</v>
      </c>
      <c r="G5270" s="58">
        <v>490765</v>
      </c>
      <c r="H5270" s="1" t="s">
        <v>56</v>
      </c>
      <c r="I5270" s="1" t="s">
        <v>111</v>
      </c>
      <c r="J5270" s="58">
        <v>8343005</v>
      </c>
      <c r="K5270" s="1" t="s">
        <v>106</v>
      </c>
      <c r="L5270" s="1" t="s">
        <v>109</v>
      </c>
      <c r="N5270" s="1">
        <v>1</v>
      </c>
      <c r="O5270" s="58"/>
      <c r="P5270" s="58">
        <v>245382.5</v>
      </c>
      <c r="Q5270" t="s">
        <v>113</v>
      </c>
      <c r="R5270" s="1" t="s">
        <v>158</v>
      </c>
    </row>
    <row r="5271" spans="3:18" x14ac:dyDescent="0.35">
      <c r="C5271" t="s">
        <v>53</v>
      </c>
      <c r="D5271" t="s">
        <v>92</v>
      </c>
      <c r="E5271" t="s">
        <v>49</v>
      </c>
      <c r="F5271" t="s">
        <v>46</v>
      </c>
      <c r="G5271" s="58">
        <v>11006</v>
      </c>
      <c r="H5271" s="1" t="s">
        <v>54</v>
      </c>
      <c r="I5271" s="1" t="s">
        <v>128</v>
      </c>
      <c r="J5271" s="58"/>
      <c r="K5271" s="1" t="s">
        <v>106</v>
      </c>
      <c r="L5271" s="1" t="s">
        <v>124</v>
      </c>
      <c r="N5271" s="1">
        <v>0</v>
      </c>
      <c r="O5271" s="58"/>
      <c r="P5271" s="58">
        <v>440.24</v>
      </c>
      <c r="Q5271" t="s">
        <v>107</v>
      </c>
      <c r="R5271" s="1" t="s">
        <v>158</v>
      </c>
    </row>
    <row r="5272" spans="3:18" x14ac:dyDescent="0.35">
      <c r="C5272" t="s">
        <v>53</v>
      </c>
      <c r="D5272" t="s">
        <v>21</v>
      </c>
      <c r="E5272" t="s">
        <v>45</v>
      </c>
      <c r="F5272" t="s">
        <v>46</v>
      </c>
      <c r="G5272" s="58">
        <v>2780520</v>
      </c>
      <c r="H5272" s="1" t="s">
        <v>54</v>
      </c>
      <c r="I5272" s="1" t="s">
        <v>105</v>
      </c>
      <c r="J5272" s="58">
        <v>11122080</v>
      </c>
      <c r="K5272" s="1" t="s">
        <v>106</v>
      </c>
      <c r="L5272" s="1" t="s">
        <v>120</v>
      </c>
      <c r="N5272" s="1">
        <v>1</v>
      </c>
      <c r="O5272" s="58"/>
      <c r="P5272" s="58">
        <v>1918558.8</v>
      </c>
      <c r="Q5272" t="s">
        <v>118</v>
      </c>
      <c r="R5272" s="1" t="s">
        <v>158</v>
      </c>
    </row>
    <row r="5273" spans="3:18" x14ac:dyDescent="0.35">
      <c r="C5273" t="s">
        <v>51</v>
      </c>
      <c r="D5273" t="s">
        <v>20</v>
      </c>
      <c r="E5273" t="s">
        <v>49</v>
      </c>
      <c r="F5273" t="s">
        <v>46</v>
      </c>
      <c r="G5273" s="58">
        <v>40953</v>
      </c>
      <c r="H5273" s="1" t="s">
        <v>56</v>
      </c>
      <c r="I5273" s="1" t="s">
        <v>119</v>
      </c>
      <c r="J5273" s="58">
        <v>286671</v>
      </c>
      <c r="K5273" s="1" t="s">
        <v>106</v>
      </c>
      <c r="L5273" s="1" t="s">
        <v>116</v>
      </c>
      <c r="N5273" s="1">
        <v>1</v>
      </c>
      <c r="O5273" s="58"/>
      <c r="P5273" s="58">
        <v>17609.79</v>
      </c>
      <c r="Q5273" t="s">
        <v>113</v>
      </c>
      <c r="R5273" s="1" t="s">
        <v>158</v>
      </c>
    </row>
    <row r="5274" spans="3:18" x14ac:dyDescent="0.35">
      <c r="C5274" t="s">
        <v>51</v>
      </c>
      <c r="D5274" t="s">
        <v>23</v>
      </c>
      <c r="E5274" t="s">
        <v>45</v>
      </c>
      <c r="F5274" t="s">
        <v>46</v>
      </c>
      <c r="G5274" s="58">
        <v>71000</v>
      </c>
      <c r="H5274" s="1" t="s">
        <v>54</v>
      </c>
      <c r="I5274" s="1" t="s">
        <v>119</v>
      </c>
      <c r="J5274" s="58">
        <v>639000</v>
      </c>
      <c r="K5274" s="1" t="s">
        <v>106</v>
      </c>
      <c r="L5274" s="1" t="s">
        <v>120</v>
      </c>
      <c r="N5274" s="1">
        <v>1</v>
      </c>
      <c r="O5274" s="58"/>
      <c r="P5274" s="58">
        <v>73840</v>
      </c>
      <c r="Q5274" t="s">
        <v>110</v>
      </c>
      <c r="R5274" s="1" t="s">
        <v>158</v>
      </c>
    </row>
    <row r="5275" spans="3:18" x14ac:dyDescent="0.35">
      <c r="C5275" t="s">
        <v>51</v>
      </c>
      <c r="D5275" t="s">
        <v>91</v>
      </c>
      <c r="E5275" t="s">
        <v>49</v>
      </c>
      <c r="F5275" t="s">
        <v>46</v>
      </c>
      <c r="G5275" s="58">
        <v>28044663</v>
      </c>
      <c r="H5275" s="1" t="s">
        <v>48</v>
      </c>
      <c r="I5275" s="1" t="s">
        <v>108</v>
      </c>
      <c r="J5275" s="58">
        <v>841339890</v>
      </c>
      <c r="K5275" s="1" t="s">
        <v>106</v>
      </c>
      <c r="L5275" s="1" t="s">
        <v>124</v>
      </c>
      <c r="M5275" s="1" t="s">
        <v>122</v>
      </c>
      <c r="N5275" s="1">
        <v>1</v>
      </c>
      <c r="O5275" s="58"/>
      <c r="P5275" s="58">
        <v>14022331.5</v>
      </c>
      <c r="Q5275" t="s">
        <v>113</v>
      </c>
      <c r="R5275" s="1" t="s">
        <v>48</v>
      </c>
    </row>
    <row r="5276" spans="3:18" x14ac:dyDescent="0.35">
      <c r="C5276" t="s">
        <v>51</v>
      </c>
      <c r="D5276" t="s">
        <v>92</v>
      </c>
      <c r="E5276" t="s">
        <v>49</v>
      </c>
      <c r="F5276" t="s">
        <v>46</v>
      </c>
      <c r="G5276" s="58">
        <v>22434061</v>
      </c>
      <c r="H5276" s="1" t="s">
        <v>59</v>
      </c>
      <c r="I5276" s="1" t="s">
        <v>111</v>
      </c>
      <c r="J5276" s="58">
        <v>336510915</v>
      </c>
      <c r="K5276" s="1" t="s">
        <v>106</v>
      </c>
      <c r="L5276" s="1" t="s">
        <v>124</v>
      </c>
      <c r="N5276" s="1">
        <v>1</v>
      </c>
      <c r="O5276" s="58"/>
      <c r="P5276" s="58">
        <v>6281537.0800000001</v>
      </c>
      <c r="Q5276" t="s">
        <v>107</v>
      </c>
      <c r="R5276" s="1" t="s">
        <v>158</v>
      </c>
    </row>
    <row r="5277" spans="3:18" x14ac:dyDescent="0.35">
      <c r="C5277" t="s">
        <v>51</v>
      </c>
      <c r="D5277" t="s">
        <v>22</v>
      </c>
      <c r="E5277" t="s">
        <v>45</v>
      </c>
      <c r="F5277" t="s">
        <v>46</v>
      </c>
      <c r="G5277" s="58">
        <v>537739</v>
      </c>
      <c r="H5277" s="1" t="s">
        <v>48</v>
      </c>
      <c r="I5277" s="1" t="s">
        <v>119</v>
      </c>
      <c r="J5277" s="58">
        <v>5377390</v>
      </c>
      <c r="K5277" s="1" t="s">
        <v>112</v>
      </c>
      <c r="N5277" s="1">
        <v>1</v>
      </c>
      <c r="O5277" s="58"/>
      <c r="P5277" s="58">
        <v>360285.13</v>
      </c>
      <c r="Q5277" t="s">
        <v>118</v>
      </c>
      <c r="R5277" s="1" t="s">
        <v>158</v>
      </c>
    </row>
    <row r="5278" spans="3:18" x14ac:dyDescent="0.35">
      <c r="C5278" t="s">
        <v>51</v>
      </c>
      <c r="D5278" t="s">
        <v>22</v>
      </c>
      <c r="E5278" t="s">
        <v>45</v>
      </c>
      <c r="F5278" t="s">
        <v>46</v>
      </c>
      <c r="G5278" s="58">
        <v>1637995</v>
      </c>
      <c r="H5278" s="1" t="s">
        <v>48</v>
      </c>
      <c r="I5278" s="1" t="s">
        <v>119</v>
      </c>
      <c r="J5278" s="58">
        <v>13103960</v>
      </c>
      <c r="K5278" s="1" t="s">
        <v>106</v>
      </c>
      <c r="L5278" s="1" t="s">
        <v>120</v>
      </c>
      <c r="M5278" s="1" t="s">
        <v>115</v>
      </c>
      <c r="N5278" s="1">
        <v>1</v>
      </c>
      <c r="O5278" s="58"/>
      <c r="P5278" s="58">
        <v>425878.7</v>
      </c>
      <c r="Q5278" t="s">
        <v>107</v>
      </c>
      <c r="R5278" s="1" t="s">
        <v>48</v>
      </c>
    </row>
    <row r="5279" spans="3:18" x14ac:dyDescent="0.35">
      <c r="C5279" t="s">
        <v>51</v>
      </c>
      <c r="D5279" t="s">
        <v>21</v>
      </c>
      <c r="E5279" t="s">
        <v>49</v>
      </c>
      <c r="F5279" t="s">
        <v>46</v>
      </c>
      <c r="G5279" s="58">
        <v>606689</v>
      </c>
      <c r="H5279" s="1" t="s">
        <v>47</v>
      </c>
      <c r="I5279" s="1" t="s">
        <v>111</v>
      </c>
      <c r="J5279" s="58">
        <v>9100335</v>
      </c>
      <c r="K5279" s="1" t="s">
        <v>106</v>
      </c>
      <c r="L5279" s="1" t="s">
        <v>114</v>
      </c>
      <c r="N5279" s="1">
        <v>1</v>
      </c>
      <c r="O5279" s="58"/>
      <c r="P5279" s="58">
        <v>151672.25</v>
      </c>
      <c r="Q5279" t="s">
        <v>107</v>
      </c>
      <c r="R5279" s="1" t="s">
        <v>158</v>
      </c>
    </row>
    <row r="5280" spans="3:18" x14ac:dyDescent="0.35">
      <c r="C5280" t="s">
        <v>51</v>
      </c>
      <c r="D5280" t="s">
        <v>24</v>
      </c>
      <c r="E5280" t="s">
        <v>55</v>
      </c>
      <c r="F5280" t="s">
        <v>46</v>
      </c>
      <c r="G5280" s="58">
        <v>610933</v>
      </c>
      <c r="H5280" s="1" t="s">
        <v>48</v>
      </c>
      <c r="I5280" s="1" t="s">
        <v>105</v>
      </c>
      <c r="J5280" s="58">
        <v>1221866</v>
      </c>
      <c r="K5280" s="1" t="s">
        <v>106</v>
      </c>
      <c r="L5280" s="1" t="s">
        <v>114</v>
      </c>
      <c r="M5280" s="1" t="s">
        <v>121</v>
      </c>
      <c r="N5280" s="1">
        <v>1</v>
      </c>
      <c r="O5280" s="58"/>
      <c r="P5280" s="58">
        <v>317685.15999999997</v>
      </c>
      <c r="Q5280" t="s">
        <v>113</v>
      </c>
      <c r="R5280" s="1" t="s">
        <v>48</v>
      </c>
    </row>
    <row r="5281" spans="3:18" x14ac:dyDescent="0.35">
      <c r="C5281" t="s">
        <v>51</v>
      </c>
      <c r="D5281" t="s">
        <v>23</v>
      </c>
      <c r="E5281" t="s">
        <v>45</v>
      </c>
      <c r="F5281" t="s">
        <v>46</v>
      </c>
      <c r="G5281" s="58">
        <v>1315708</v>
      </c>
      <c r="H5281" s="1" t="s">
        <v>48</v>
      </c>
      <c r="I5281" s="1" t="s">
        <v>119</v>
      </c>
      <c r="J5281" s="58">
        <v>10525664</v>
      </c>
      <c r="K5281" s="1" t="s">
        <v>106</v>
      </c>
      <c r="L5281" s="1" t="s">
        <v>120</v>
      </c>
      <c r="M5281" s="1" t="s">
        <v>125</v>
      </c>
      <c r="N5281" s="1">
        <v>1</v>
      </c>
      <c r="O5281" s="58"/>
      <c r="P5281" s="58">
        <v>855210.2</v>
      </c>
      <c r="Q5281" t="s">
        <v>118</v>
      </c>
      <c r="R5281" s="1" t="s">
        <v>158</v>
      </c>
    </row>
    <row r="5282" spans="3:18" x14ac:dyDescent="0.35">
      <c r="C5282" t="s">
        <v>51</v>
      </c>
      <c r="D5282" t="s">
        <v>23</v>
      </c>
      <c r="E5282" t="s">
        <v>45</v>
      </c>
      <c r="F5282" t="s">
        <v>46</v>
      </c>
      <c r="G5282" s="58">
        <v>1564319</v>
      </c>
      <c r="H5282" s="1" t="s">
        <v>47</v>
      </c>
      <c r="I5282" s="1" t="s">
        <v>111</v>
      </c>
      <c r="J5282" s="58">
        <v>21900466</v>
      </c>
      <c r="K5282" s="1" t="s">
        <v>106</v>
      </c>
      <c r="L5282" s="1" t="s">
        <v>124</v>
      </c>
      <c r="N5282" s="1">
        <v>1</v>
      </c>
      <c r="O5282" s="58"/>
      <c r="P5282" s="58">
        <v>359793.37</v>
      </c>
      <c r="Q5282" t="s">
        <v>107</v>
      </c>
      <c r="R5282" s="1" t="s">
        <v>158</v>
      </c>
    </row>
    <row r="5283" spans="3:18" x14ac:dyDescent="0.35">
      <c r="C5283" t="s">
        <v>51</v>
      </c>
      <c r="D5283" t="s">
        <v>92</v>
      </c>
      <c r="E5283" t="s">
        <v>49</v>
      </c>
      <c r="F5283" t="s">
        <v>46</v>
      </c>
      <c r="G5283" s="58">
        <v>34284842</v>
      </c>
      <c r="H5283" s="1" t="s">
        <v>47</v>
      </c>
      <c r="I5283" s="1" t="s">
        <v>111</v>
      </c>
      <c r="J5283" s="58">
        <v>479987788</v>
      </c>
      <c r="K5283" s="1" t="s">
        <v>106</v>
      </c>
      <c r="L5283" s="1" t="s">
        <v>124</v>
      </c>
      <c r="N5283" s="1">
        <v>1</v>
      </c>
      <c r="O5283" s="58"/>
      <c r="P5283" s="58">
        <v>9256907.3399999999</v>
      </c>
      <c r="Q5283" t="s">
        <v>107</v>
      </c>
      <c r="R5283" s="1" t="s">
        <v>158</v>
      </c>
    </row>
    <row r="5284" spans="3:18" x14ac:dyDescent="0.35">
      <c r="C5284" t="s">
        <v>51</v>
      </c>
      <c r="D5284" t="s">
        <v>23</v>
      </c>
      <c r="E5284" t="s">
        <v>55</v>
      </c>
      <c r="F5284" t="s">
        <v>46</v>
      </c>
      <c r="G5284" s="58">
        <v>42959187</v>
      </c>
      <c r="H5284" s="1" t="s">
        <v>47</v>
      </c>
      <c r="I5284" s="1" t="s">
        <v>108</v>
      </c>
      <c r="J5284" s="58">
        <v>1116938862</v>
      </c>
      <c r="K5284" s="1" t="s">
        <v>106</v>
      </c>
      <c r="L5284" s="1" t="s">
        <v>114</v>
      </c>
      <c r="N5284" s="1">
        <v>1</v>
      </c>
      <c r="O5284" s="58"/>
      <c r="P5284" s="58">
        <v>11598980.49</v>
      </c>
      <c r="Q5284" t="s">
        <v>107</v>
      </c>
      <c r="R5284" s="1" t="s">
        <v>158</v>
      </c>
    </row>
    <row r="5285" spans="3:18" x14ac:dyDescent="0.35">
      <c r="C5285" t="s">
        <v>51</v>
      </c>
      <c r="D5285" t="s">
        <v>25</v>
      </c>
      <c r="E5285" t="s">
        <v>45</v>
      </c>
      <c r="F5285" t="s">
        <v>46</v>
      </c>
      <c r="G5285" s="58">
        <v>549110</v>
      </c>
      <c r="H5285" s="1" t="s">
        <v>47</v>
      </c>
      <c r="I5285" s="1" t="s">
        <v>111</v>
      </c>
      <c r="J5285" s="58">
        <v>8236650</v>
      </c>
      <c r="K5285" s="1" t="s">
        <v>106</v>
      </c>
      <c r="L5285" s="1" t="s">
        <v>120</v>
      </c>
      <c r="N5285" s="1">
        <v>1</v>
      </c>
      <c r="O5285" s="58"/>
      <c r="P5285" s="58">
        <v>148259.70000000001</v>
      </c>
      <c r="Q5285" t="s">
        <v>107</v>
      </c>
      <c r="R5285" s="1" t="s">
        <v>158</v>
      </c>
    </row>
    <row r="5286" spans="3:18" x14ac:dyDescent="0.35">
      <c r="C5286" t="s">
        <v>51</v>
      </c>
      <c r="D5286" t="s">
        <v>21</v>
      </c>
      <c r="E5286" t="s">
        <v>49</v>
      </c>
      <c r="F5286" t="s">
        <v>46</v>
      </c>
      <c r="G5286" s="58">
        <v>218705650</v>
      </c>
      <c r="H5286" s="1" t="s">
        <v>47</v>
      </c>
      <c r="I5286" s="1" t="s">
        <v>105</v>
      </c>
      <c r="J5286" s="58">
        <v>656116950</v>
      </c>
      <c r="K5286" s="1" t="s">
        <v>106</v>
      </c>
      <c r="L5286" s="1" t="s">
        <v>124</v>
      </c>
      <c r="N5286" s="1">
        <v>1</v>
      </c>
      <c r="O5286" s="58"/>
      <c r="P5286" s="58">
        <v>26244678</v>
      </c>
      <c r="Q5286" t="s">
        <v>107</v>
      </c>
      <c r="R5286" s="1" t="s">
        <v>158</v>
      </c>
    </row>
    <row r="5287" spans="3:18" x14ac:dyDescent="0.35">
      <c r="C5287" t="s">
        <v>51</v>
      </c>
      <c r="D5287" t="s">
        <v>23</v>
      </c>
      <c r="E5287" t="s">
        <v>55</v>
      </c>
      <c r="F5287" t="s">
        <v>46</v>
      </c>
      <c r="G5287" s="58">
        <v>6359062</v>
      </c>
      <c r="H5287" s="1" t="s">
        <v>47</v>
      </c>
      <c r="I5287" s="1" t="s">
        <v>119</v>
      </c>
      <c r="J5287" s="58">
        <v>50872496</v>
      </c>
      <c r="K5287" s="1" t="s">
        <v>106</v>
      </c>
      <c r="L5287" s="1" t="s">
        <v>114</v>
      </c>
      <c r="N5287" s="1">
        <v>1</v>
      </c>
      <c r="O5287" s="58"/>
      <c r="P5287" s="58">
        <v>2988759.14</v>
      </c>
      <c r="Q5287" t="s">
        <v>113</v>
      </c>
      <c r="R5287" s="1" t="s">
        <v>158</v>
      </c>
    </row>
    <row r="5288" spans="3:18" x14ac:dyDescent="0.35">
      <c r="C5288" t="s">
        <v>51</v>
      </c>
      <c r="D5288" t="s">
        <v>24</v>
      </c>
      <c r="E5288" t="s">
        <v>62</v>
      </c>
      <c r="F5288" t="s">
        <v>46</v>
      </c>
      <c r="G5288" s="58">
        <v>355174</v>
      </c>
      <c r="H5288" s="1" t="s">
        <v>48</v>
      </c>
      <c r="I5288" s="1" t="s">
        <v>108</v>
      </c>
      <c r="J5288" s="58">
        <v>11720742</v>
      </c>
      <c r="K5288" s="1" t="s">
        <v>106</v>
      </c>
      <c r="L5288" s="1" t="s">
        <v>109</v>
      </c>
      <c r="M5288" s="1" t="s">
        <v>121</v>
      </c>
      <c r="N5288" s="1">
        <v>1</v>
      </c>
      <c r="O5288" s="58"/>
      <c r="P5288" s="58">
        <v>245070.06</v>
      </c>
      <c r="Q5288" t="s">
        <v>118</v>
      </c>
      <c r="R5288" s="1" t="s">
        <v>48</v>
      </c>
    </row>
    <row r="5289" spans="3:18" x14ac:dyDescent="0.35">
      <c r="C5289" t="s">
        <v>51</v>
      </c>
      <c r="D5289" t="s">
        <v>24</v>
      </c>
      <c r="E5289" t="s">
        <v>49</v>
      </c>
      <c r="F5289" t="s">
        <v>46</v>
      </c>
      <c r="G5289" s="58">
        <v>1855173</v>
      </c>
      <c r="H5289" s="1" t="s">
        <v>48</v>
      </c>
      <c r="I5289" s="1" t="s">
        <v>108</v>
      </c>
      <c r="J5289" s="58">
        <v>61220709</v>
      </c>
      <c r="K5289" s="1" t="s">
        <v>106</v>
      </c>
      <c r="L5289" s="1" t="s">
        <v>124</v>
      </c>
      <c r="M5289" s="1" t="s">
        <v>121</v>
      </c>
      <c r="N5289" s="1">
        <v>1</v>
      </c>
      <c r="O5289" s="58"/>
      <c r="P5289" s="58">
        <v>2393173.17</v>
      </c>
      <c r="Q5289" t="s">
        <v>110</v>
      </c>
      <c r="R5289" s="1" t="s">
        <v>158</v>
      </c>
    </row>
    <row r="5290" spans="3:18" x14ac:dyDescent="0.35">
      <c r="C5290" t="s">
        <v>51</v>
      </c>
      <c r="D5290" t="s">
        <v>22</v>
      </c>
      <c r="E5290" t="s">
        <v>49</v>
      </c>
      <c r="F5290" t="s">
        <v>46</v>
      </c>
      <c r="G5290" s="58">
        <v>424526</v>
      </c>
      <c r="H5290" s="1" t="s">
        <v>47</v>
      </c>
      <c r="I5290" s="1" t="s">
        <v>105</v>
      </c>
      <c r="J5290" s="58">
        <v>1273578</v>
      </c>
      <c r="K5290" s="1" t="s">
        <v>112</v>
      </c>
      <c r="N5290" s="1">
        <v>1</v>
      </c>
      <c r="O5290" s="58"/>
      <c r="P5290" s="58">
        <v>38207.339999999997</v>
      </c>
      <c r="Q5290" t="s">
        <v>107</v>
      </c>
      <c r="R5290" s="1" t="s">
        <v>158</v>
      </c>
    </row>
    <row r="5291" spans="3:18" x14ac:dyDescent="0.35">
      <c r="C5291" t="s">
        <v>51</v>
      </c>
      <c r="D5291" t="s">
        <v>92</v>
      </c>
      <c r="E5291" t="s">
        <v>45</v>
      </c>
      <c r="F5291" t="s">
        <v>46</v>
      </c>
      <c r="G5291" s="58">
        <v>2270263</v>
      </c>
      <c r="H5291" s="1" t="s">
        <v>48</v>
      </c>
      <c r="I5291" s="1" t="s">
        <v>111</v>
      </c>
      <c r="J5291" s="58">
        <v>38594471</v>
      </c>
      <c r="K5291" s="1" t="s">
        <v>106</v>
      </c>
      <c r="L5291" s="1" t="s">
        <v>120</v>
      </c>
      <c r="M5291" s="1" t="s">
        <v>123</v>
      </c>
      <c r="N5291" s="1">
        <v>1</v>
      </c>
      <c r="O5291" s="58"/>
      <c r="P5291" s="58">
        <v>1498373.58</v>
      </c>
      <c r="Q5291" t="s">
        <v>118</v>
      </c>
      <c r="R5291" s="1" t="s">
        <v>158</v>
      </c>
    </row>
    <row r="5292" spans="3:18" x14ac:dyDescent="0.35">
      <c r="C5292" t="s">
        <v>51</v>
      </c>
      <c r="D5292" t="s">
        <v>23</v>
      </c>
      <c r="E5292" t="s">
        <v>45</v>
      </c>
      <c r="F5292" t="s">
        <v>46</v>
      </c>
      <c r="G5292" s="58">
        <v>158387</v>
      </c>
      <c r="H5292" s="1" t="s">
        <v>47</v>
      </c>
      <c r="I5292" s="1" t="s">
        <v>111</v>
      </c>
      <c r="J5292" s="58">
        <v>3009353</v>
      </c>
      <c r="K5292" s="1" t="s">
        <v>106</v>
      </c>
      <c r="L5292" s="1" t="s">
        <v>116</v>
      </c>
      <c r="N5292" s="1">
        <v>1</v>
      </c>
      <c r="O5292" s="58"/>
      <c r="P5292" s="58">
        <v>41180.620000000003</v>
      </c>
      <c r="Q5292" t="s">
        <v>107</v>
      </c>
      <c r="R5292" s="1" t="s">
        <v>158</v>
      </c>
    </row>
    <row r="5293" spans="3:18" x14ac:dyDescent="0.35">
      <c r="C5293" t="s">
        <v>51</v>
      </c>
      <c r="D5293" t="s">
        <v>91</v>
      </c>
      <c r="E5293" t="s">
        <v>49</v>
      </c>
      <c r="F5293" t="s">
        <v>46</v>
      </c>
      <c r="G5293" s="58">
        <v>110921</v>
      </c>
      <c r="H5293" s="1" t="s">
        <v>56</v>
      </c>
      <c r="I5293" s="1" t="s">
        <v>119</v>
      </c>
      <c r="J5293" s="58">
        <v>554605</v>
      </c>
      <c r="K5293" s="1" t="s">
        <v>106</v>
      </c>
      <c r="L5293" s="1" t="s">
        <v>116</v>
      </c>
      <c r="N5293" s="1">
        <v>1</v>
      </c>
      <c r="O5293" s="58"/>
      <c r="P5293" s="58">
        <v>33276.300000000003</v>
      </c>
      <c r="Q5293" t="s">
        <v>107</v>
      </c>
      <c r="R5293" s="1" t="s">
        <v>158</v>
      </c>
    </row>
    <row r="5294" spans="3:18" x14ac:dyDescent="0.35">
      <c r="C5294" t="s">
        <v>53</v>
      </c>
      <c r="D5294" t="s">
        <v>20</v>
      </c>
      <c r="E5294" t="s">
        <v>45</v>
      </c>
      <c r="F5294" t="s">
        <v>46</v>
      </c>
      <c r="G5294" s="58">
        <v>6862605</v>
      </c>
      <c r="H5294" s="1" t="s">
        <v>47</v>
      </c>
      <c r="I5294" s="1" t="s">
        <v>111</v>
      </c>
      <c r="J5294" s="58">
        <v>75488655</v>
      </c>
      <c r="K5294" s="1" t="s">
        <v>106</v>
      </c>
      <c r="L5294" s="1" t="s">
        <v>120</v>
      </c>
      <c r="N5294" s="1">
        <v>1</v>
      </c>
      <c r="O5294" s="58"/>
      <c r="P5294" s="58">
        <v>2196033.6</v>
      </c>
      <c r="Q5294" t="s">
        <v>107</v>
      </c>
      <c r="R5294" s="1" t="s">
        <v>158</v>
      </c>
    </row>
    <row r="5295" spans="3:18" x14ac:dyDescent="0.35">
      <c r="C5295" t="s">
        <v>51</v>
      </c>
      <c r="D5295" t="s">
        <v>22</v>
      </c>
      <c r="E5295" t="s">
        <v>50</v>
      </c>
      <c r="F5295" t="s">
        <v>46</v>
      </c>
      <c r="G5295" s="58">
        <v>392288</v>
      </c>
      <c r="H5295" s="1" t="s">
        <v>48</v>
      </c>
      <c r="I5295" s="1" t="s">
        <v>111</v>
      </c>
      <c r="J5295" s="58">
        <v>6668896</v>
      </c>
      <c r="K5295" s="1" t="s">
        <v>112</v>
      </c>
      <c r="N5295" s="1">
        <v>1</v>
      </c>
      <c r="O5295" s="58"/>
      <c r="P5295" s="58">
        <v>258910.07999999999</v>
      </c>
      <c r="Q5295" t="s">
        <v>118</v>
      </c>
      <c r="R5295" s="1" t="s">
        <v>48</v>
      </c>
    </row>
    <row r="5296" spans="3:18" x14ac:dyDescent="0.35">
      <c r="C5296" t="s">
        <v>51</v>
      </c>
      <c r="D5296" t="s">
        <v>60</v>
      </c>
      <c r="E5296" t="s">
        <v>60</v>
      </c>
      <c r="F5296" t="s">
        <v>46</v>
      </c>
      <c r="G5296" s="58">
        <v>1021</v>
      </c>
      <c r="H5296" s="1" t="s">
        <v>90</v>
      </c>
      <c r="I5296" s="1" t="s">
        <v>105</v>
      </c>
      <c r="J5296" s="58">
        <v>4084</v>
      </c>
      <c r="K5296" s="1" t="s">
        <v>106</v>
      </c>
      <c r="N5296" s="1">
        <v>1</v>
      </c>
      <c r="O5296" s="58"/>
      <c r="P5296" s="58">
        <v>918.9</v>
      </c>
      <c r="Q5296" t="s">
        <v>127</v>
      </c>
      <c r="R5296" s="1" t="s">
        <v>90</v>
      </c>
    </row>
    <row r="5297" spans="3:18" x14ac:dyDescent="0.35">
      <c r="C5297" t="s">
        <v>51</v>
      </c>
      <c r="D5297" t="s">
        <v>23</v>
      </c>
      <c r="E5297" t="s">
        <v>45</v>
      </c>
      <c r="F5297" t="s">
        <v>46</v>
      </c>
      <c r="G5297" s="58">
        <v>25404615</v>
      </c>
      <c r="H5297" s="1" t="s">
        <v>48</v>
      </c>
      <c r="I5297" s="1" t="s">
        <v>108</v>
      </c>
      <c r="J5297" s="58">
        <v>965375370</v>
      </c>
      <c r="K5297" s="1" t="s">
        <v>112</v>
      </c>
      <c r="N5297" s="1">
        <v>1</v>
      </c>
      <c r="O5297" s="58"/>
      <c r="P5297" s="58">
        <v>22610107.350000001</v>
      </c>
      <c r="Q5297" t="s">
        <v>127</v>
      </c>
      <c r="R5297" s="1" t="s">
        <v>48</v>
      </c>
    </row>
    <row r="5298" spans="3:18" x14ac:dyDescent="0.35">
      <c r="C5298" t="s">
        <v>51</v>
      </c>
      <c r="D5298" t="s">
        <v>23</v>
      </c>
      <c r="E5298" t="s">
        <v>55</v>
      </c>
      <c r="F5298" t="s">
        <v>46</v>
      </c>
      <c r="G5298" s="58">
        <v>37831</v>
      </c>
      <c r="H5298" s="1" t="s">
        <v>56</v>
      </c>
      <c r="I5298" s="1" t="s">
        <v>119</v>
      </c>
      <c r="J5298" s="58">
        <v>264817</v>
      </c>
      <c r="K5298" s="1" t="s">
        <v>106</v>
      </c>
      <c r="L5298" s="1" t="s">
        <v>114</v>
      </c>
      <c r="N5298" s="1">
        <v>1</v>
      </c>
      <c r="O5298" s="58"/>
      <c r="P5298" s="58">
        <v>29886.49</v>
      </c>
      <c r="Q5298" t="s">
        <v>118</v>
      </c>
      <c r="R5298" s="1" t="s">
        <v>158</v>
      </c>
    </row>
    <row r="5299" spans="3:18" x14ac:dyDescent="0.35">
      <c r="C5299" t="s">
        <v>51</v>
      </c>
      <c r="D5299" t="s">
        <v>25</v>
      </c>
      <c r="E5299" t="s">
        <v>55</v>
      </c>
      <c r="F5299" t="s">
        <v>46</v>
      </c>
      <c r="G5299" s="58">
        <v>133054</v>
      </c>
      <c r="H5299" s="1" t="s">
        <v>56</v>
      </c>
      <c r="I5299" s="1" t="s">
        <v>108</v>
      </c>
      <c r="J5299" s="58">
        <v>2794134</v>
      </c>
      <c r="K5299" s="1" t="s">
        <v>106</v>
      </c>
      <c r="L5299" s="1" t="s">
        <v>114</v>
      </c>
      <c r="N5299" s="1">
        <v>1</v>
      </c>
      <c r="O5299" s="58"/>
      <c r="P5299" s="58">
        <v>79832.399999999994</v>
      </c>
      <c r="Q5299" t="s">
        <v>113</v>
      </c>
      <c r="R5299" s="1" t="s">
        <v>158</v>
      </c>
    </row>
    <row r="5300" spans="3:18" x14ac:dyDescent="0.35">
      <c r="C5300" t="s">
        <v>51</v>
      </c>
      <c r="D5300" t="s">
        <v>23</v>
      </c>
      <c r="E5300" t="s">
        <v>45</v>
      </c>
      <c r="F5300" t="s">
        <v>46</v>
      </c>
      <c r="G5300" s="58">
        <v>30198578</v>
      </c>
      <c r="H5300" s="1" t="s">
        <v>56</v>
      </c>
      <c r="I5300" s="1" t="s">
        <v>111</v>
      </c>
      <c r="J5300" s="58">
        <v>452978670</v>
      </c>
      <c r="K5300" s="1" t="s">
        <v>106</v>
      </c>
      <c r="L5300" s="1" t="s">
        <v>120</v>
      </c>
      <c r="N5300" s="1">
        <v>1</v>
      </c>
      <c r="O5300" s="58"/>
      <c r="P5300" s="58">
        <v>8455601.8399999999</v>
      </c>
      <c r="Q5300" t="s">
        <v>107</v>
      </c>
      <c r="R5300" s="1" t="s">
        <v>158</v>
      </c>
    </row>
    <row r="5301" spans="3:18" x14ac:dyDescent="0.35">
      <c r="C5301" t="s">
        <v>51</v>
      </c>
      <c r="D5301" t="s">
        <v>23</v>
      </c>
      <c r="E5301" t="s">
        <v>52</v>
      </c>
      <c r="F5301" t="s">
        <v>46</v>
      </c>
      <c r="G5301" s="58">
        <v>9290477</v>
      </c>
      <c r="H5301" s="1" t="s">
        <v>48</v>
      </c>
      <c r="I5301" s="1" t="s">
        <v>108</v>
      </c>
      <c r="J5301" s="58">
        <v>315876218</v>
      </c>
      <c r="K5301" s="1" t="s">
        <v>106</v>
      </c>
      <c r="L5301" s="1" t="s">
        <v>130</v>
      </c>
      <c r="M5301" s="1" t="s">
        <v>125</v>
      </c>
      <c r="N5301" s="1">
        <v>1</v>
      </c>
      <c r="O5301" s="58"/>
      <c r="P5301" s="58">
        <v>7711095.9100000001</v>
      </c>
      <c r="Q5301" t="s">
        <v>127</v>
      </c>
      <c r="R5301" s="1" t="s">
        <v>48</v>
      </c>
    </row>
    <row r="5302" spans="3:18" x14ac:dyDescent="0.35">
      <c r="C5302" t="s">
        <v>53</v>
      </c>
      <c r="D5302" t="s">
        <v>20</v>
      </c>
      <c r="E5302" t="s">
        <v>45</v>
      </c>
      <c r="F5302" t="s">
        <v>46</v>
      </c>
      <c r="G5302" s="58">
        <v>238500</v>
      </c>
      <c r="H5302" s="1" t="s">
        <v>54</v>
      </c>
      <c r="I5302" s="1" t="s">
        <v>111</v>
      </c>
      <c r="J5302" s="58">
        <v>2623500</v>
      </c>
      <c r="K5302" s="1" t="s">
        <v>106</v>
      </c>
      <c r="L5302" s="1" t="s">
        <v>120</v>
      </c>
      <c r="N5302" s="1">
        <v>1</v>
      </c>
      <c r="O5302" s="58"/>
      <c r="P5302" s="58">
        <v>357750</v>
      </c>
      <c r="Q5302" t="s">
        <v>110</v>
      </c>
      <c r="R5302" s="1" t="s">
        <v>158</v>
      </c>
    </row>
    <row r="5303" spans="3:18" x14ac:dyDescent="0.35">
      <c r="C5303" t="s">
        <v>51</v>
      </c>
      <c r="D5303" t="s">
        <v>21</v>
      </c>
      <c r="E5303" t="s">
        <v>45</v>
      </c>
      <c r="F5303" t="s">
        <v>46</v>
      </c>
      <c r="G5303" s="58">
        <v>537365</v>
      </c>
      <c r="H5303" s="1" t="s">
        <v>54</v>
      </c>
      <c r="I5303" s="1" t="s">
        <v>108</v>
      </c>
      <c r="J5303" s="58">
        <v>16658315</v>
      </c>
      <c r="K5303" s="1" t="s">
        <v>112</v>
      </c>
      <c r="N5303" s="1">
        <v>1</v>
      </c>
      <c r="O5303" s="58"/>
      <c r="P5303" s="58">
        <v>53736.5</v>
      </c>
      <c r="Q5303" t="s">
        <v>107</v>
      </c>
      <c r="R5303" s="1" t="s">
        <v>158</v>
      </c>
    </row>
    <row r="5304" spans="3:18" x14ac:dyDescent="0.35">
      <c r="C5304" t="s">
        <v>53</v>
      </c>
      <c r="D5304" t="s">
        <v>23</v>
      </c>
      <c r="E5304" t="s">
        <v>45</v>
      </c>
      <c r="F5304" t="s">
        <v>46</v>
      </c>
      <c r="G5304" s="58">
        <v>21737</v>
      </c>
      <c r="H5304" s="1" t="s">
        <v>47</v>
      </c>
      <c r="I5304" s="1" t="s">
        <v>119</v>
      </c>
      <c r="J5304" s="58">
        <v>173896</v>
      </c>
      <c r="K5304" s="1" t="s">
        <v>106</v>
      </c>
      <c r="L5304" s="1" t="s">
        <v>120</v>
      </c>
      <c r="N5304" s="1">
        <v>1</v>
      </c>
      <c r="O5304" s="58"/>
      <c r="P5304" s="58">
        <v>13476.94</v>
      </c>
      <c r="Q5304" t="s">
        <v>118</v>
      </c>
      <c r="R5304" s="1" t="s">
        <v>158</v>
      </c>
    </row>
    <row r="5305" spans="3:18" x14ac:dyDescent="0.35">
      <c r="C5305" t="s">
        <v>51</v>
      </c>
      <c r="D5305" t="s">
        <v>24</v>
      </c>
      <c r="E5305" t="s">
        <v>55</v>
      </c>
      <c r="F5305" t="s">
        <v>46</v>
      </c>
      <c r="G5305" s="58">
        <v>1552601</v>
      </c>
      <c r="H5305" s="1" t="s">
        <v>48</v>
      </c>
      <c r="I5305" s="1" t="s">
        <v>111</v>
      </c>
      <c r="J5305" s="58">
        <v>27946818</v>
      </c>
      <c r="K5305" s="1" t="s">
        <v>106</v>
      </c>
      <c r="L5305" s="1" t="s">
        <v>114</v>
      </c>
      <c r="M5305" s="1" t="s">
        <v>121</v>
      </c>
      <c r="N5305" s="1">
        <v>1</v>
      </c>
      <c r="O5305" s="58"/>
      <c r="P5305" s="58">
        <v>1288658.83</v>
      </c>
      <c r="Q5305" t="s">
        <v>127</v>
      </c>
      <c r="R5305" s="1" t="s">
        <v>158</v>
      </c>
    </row>
    <row r="5306" spans="3:18" x14ac:dyDescent="0.35">
      <c r="C5306" t="s">
        <v>51</v>
      </c>
      <c r="D5306" t="s">
        <v>21</v>
      </c>
      <c r="E5306" t="s">
        <v>45</v>
      </c>
      <c r="F5306" t="s">
        <v>46</v>
      </c>
      <c r="G5306" s="58">
        <v>34194718</v>
      </c>
      <c r="H5306" s="1" t="s">
        <v>48</v>
      </c>
      <c r="I5306" s="1" t="s">
        <v>108</v>
      </c>
      <c r="J5306" s="58">
        <v>1094230976</v>
      </c>
      <c r="K5306" s="1" t="s">
        <v>112</v>
      </c>
      <c r="N5306" s="1">
        <v>1</v>
      </c>
      <c r="O5306" s="58"/>
      <c r="P5306" s="58">
        <v>17781253.359999999</v>
      </c>
      <c r="Q5306" t="s">
        <v>113</v>
      </c>
      <c r="R5306" s="1" t="s">
        <v>48</v>
      </c>
    </row>
    <row r="5307" spans="3:18" x14ac:dyDescent="0.35">
      <c r="C5307" t="s">
        <v>51</v>
      </c>
      <c r="D5307" t="s">
        <v>60</v>
      </c>
      <c r="E5307" t="s">
        <v>60</v>
      </c>
      <c r="F5307" t="s">
        <v>46</v>
      </c>
      <c r="G5307" s="58">
        <v>0</v>
      </c>
      <c r="H5307" s="1" t="s">
        <v>61</v>
      </c>
      <c r="I5307" s="1" t="s">
        <v>105</v>
      </c>
      <c r="J5307" s="58">
        <v>0</v>
      </c>
      <c r="K5307" s="1" t="s">
        <v>106</v>
      </c>
      <c r="N5307" s="1">
        <v>1</v>
      </c>
      <c r="O5307" s="58"/>
      <c r="P5307" s="58">
        <v>0</v>
      </c>
      <c r="Q5307" t="s">
        <v>110</v>
      </c>
    </row>
    <row r="5308" spans="3:18" x14ac:dyDescent="0.35">
      <c r="C5308" t="s">
        <v>51</v>
      </c>
      <c r="D5308" t="s">
        <v>24</v>
      </c>
      <c r="E5308" t="s">
        <v>50</v>
      </c>
      <c r="F5308" t="s">
        <v>46</v>
      </c>
      <c r="G5308" s="58">
        <v>1729533</v>
      </c>
      <c r="H5308" s="1" t="s">
        <v>54</v>
      </c>
      <c r="I5308" s="1" t="s">
        <v>119</v>
      </c>
      <c r="J5308" s="58">
        <v>13836264</v>
      </c>
      <c r="K5308" s="1" t="s">
        <v>106</v>
      </c>
      <c r="L5308" s="1" t="s">
        <v>109</v>
      </c>
      <c r="N5308" s="1">
        <v>1</v>
      </c>
      <c r="O5308" s="58"/>
      <c r="P5308" s="58">
        <v>380497.26</v>
      </c>
      <c r="Q5308" t="s">
        <v>107</v>
      </c>
      <c r="R5308" s="1" t="s">
        <v>158</v>
      </c>
    </row>
    <row r="5309" spans="3:18" x14ac:dyDescent="0.35">
      <c r="C5309" t="s">
        <v>51</v>
      </c>
      <c r="D5309" t="s">
        <v>92</v>
      </c>
      <c r="E5309" t="s">
        <v>55</v>
      </c>
      <c r="F5309" t="s">
        <v>46</v>
      </c>
      <c r="G5309" s="58">
        <v>636113</v>
      </c>
      <c r="H5309" s="1" t="s">
        <v>48</v>
      </c>
      <c r="I5309" s="1" t="s">
        <v>108</v>
      </c>
      <c r="J5309" s="58">
        <v>17811164</v>
      </c>
      <c r="K5309" s="1" t="s">
        <v>106</v>
      </c>
      <c r="L5309" s="1" t="s">
        <v>120</v>
      </c>
      <c r="M5309" s="1" t="s">
        <v>123</v>
      </c>
      <c r="N5309" s="1">
        <v>1</v>
      </c>
      <c r="O5309" s="58"/>
      <c r="P5309" s="58">
        <v>267167.46000000002</v>
      </c>
      <c r="Q5309" t="s">
        <v>113</v>
      </c>
      <c r="R5309" s="1" t="s">
        <v>158</v>
      </c>
    </row>
    <row r="5310" spans="3:18" x14ac:dyDescent="0.35">
      <c r="C5310" t="s">
        <v>53</v>
      </c>
      <c r="D5310" t="s">
        <v>21</v>
      </c>
      <c r="E5310" t="s">
        <v>52</v>
      </c>
      <c r="F5310" t="s">
        <v>46</v>
      </c>
      <c r="G5310" s="58">
        <v>1593565</v>
      </c>
      <c r="H5310" s="1" t="s">
        <v>56</v>
      </c>
      <c r="I5310" s="1" t="s">
        <v>111</v>
      </c>
      <c r="J5310" s="58">
        <v>19122780</v>
      </c>
      <c r="K5310" s="1" t="s">
        <v>112</v>
      </c>
      <c r="N5310" s="1">
        <v>1</v>
      </c>
      <c r="O5310" s="58"/>
      <c r="P5310" s="58">
        <v>525876.44999999995</v>
      </c>
      <c r="Q5310" t="s">
        <v>107</v>
      </c>
      <c r="R5310" s="1" t="s">
        <v>158</v>
      </c>
    </row>
    <row r="5311" spans="3:18" x14ac:dyDescent="0.35">
      <c r="C5311" t="s">
        <v>51</v>
      </c>
      <c r="D5311" t="s">
        <v>24</v>
      </c>
      <c r="E5311" t="s">
        <v>55</v>
      </c>
      <c r="F5311" t="s">
        <v>46</v>
      </c>
      <c r="G5311" s="58">
        <v>446928</v>
      </c>
      <c r="H5311" s="1" t="s">
        <v>47</v>
      </c>
      <c r="I5311" s="1" t="s">
        <v>111</v>
      </c>
      <c r="J5311" s="58">
        <v>6256992</v>
      </c>
      <c r="K5311" s="1" t="s">
        <v>106</v>
      </c>
      <c r="L5311" s="1" t="s">
        <v>116</v>
      </c>
      <c r="N5311" s="1">
        <v>1</v>
      </c>
      <c r="O5311" s="58"/>
      <c r="P5311" s="58">
        <v>107262.72</v>
      </c>
      <c r="Q5311" t="s">
        <v>107</v>
      </c>
      <c r="R5311" s="1" t="s">
        <v>158</v>
      </c>
    </row>
    <row r="5312" spans="3:18" x14ac:dyDescent="0.35">
      <c r="C5312" t="s">
        <v>53</v>
      </c>
      <c r="D5312" t="s">
        <v>24</v>
      </c>
      <c r="E5312" t="s">
        <v>55</v>
      </c>
      <c r="F5312" t="s">
        <v>46</v>
      </c>
      <c r="G5312" s="58">
        <v>684843</v>
      </c>
      <c r="H5312" s="1" t="s">
        <v>47</v>
      </c>
      <c r="I5312" s="1" t="s">
        <v>119</v>
      </c>
      <c r="J5312" s="58">
        <v>5478744</v>
      </c>
      <c r="K5312" s="1" t="s">
        <v>106</v>
      </c>
      <c r="L5312" s="1" t="s">
        <v>114</v>
      </c>
      <c r="N5312" s="1">
        <v>1</v>
      </c>
      <c r="O5312" s="58"/>
      <c r="P5312" s="58">
        <v>404057.37</v>
      </c>
      <c r="Q5312" t="s">
        <v>113</v>
      </c>
      <c r="R5312" s="1" t="s">
        <v>158</v>
      </c>
    </row>
    <row r="5313" spans="3:18" x14ac:dyDescent="0.35">
      <c r="C5313" t="s">
        <v>51</v>
      </c>
      <c r="D5313" t="s">
        <v>22</v>
      </c>
      <c r="E5313" t="s">
        <v>49</v>
      </c>
      <c r="F5313" t="s">
        <v>46</v>
      </c>
      <c r="G5313" s="58">
        <v>139877</v>
      </c>
      <c r="H5313" s="1" t="s">
        <v>48</v>
      </c>
      <c r="I5313" s="1" t="s">
        <v>111</v>
      </c>
      <c r="J5313" s="58">
        <v>2377909</v>
      </c>
      <c r="K5313" s="1" t="s">
        <v>106</v>
      </c>
      <c r="L5313" s="1" t="s">
        <v>114</v>
      </c>
      <c r="M5313" s="1" t="s">
        <v>115</v>
      </c>
      <c r="N5313" s="1">
        <v>1</v>
      </c>
      <c r="O5313" s="58"/>
      <c r="P5313" s="58">
        <v>61545.88</v>
      </c>
      <c r="Q5313" t="s">
        <v>113</v>
      </c>
      <c r="R5313" s="1" t="s">
        <v>158</v>
      </c>
    </row>
    <row r="5314" spans="3:18" x14ac:dyDescent="0.35">
      <c r="C5314" t="s">
        <v>53</v>
      </c>
      <c r="D5314" t="s">
        <v>24</v>
      </c>
      <c r="E5314" t="s">
        <v>55</v>
      </c>
      <c r="F5314" t="s">
        <v>46</v>
      </c>
      <c r="G5314" s="58">
        <v>163718</v>
      </c>
      <c r="H5314" s="1" t="s">
        <v>56</v>
      </c>
      <c r="I5314" s="1" t="s">
        <v>105</v>
      </c>
      <c r="J5314" s="58">
        <v>818590</v>
      </c>
      <c r="K5314" s="1" t="s">
        <v>106</v>
      </c>
      <c r="L5314" s="1" t="s">
        <v>114</v>
      </c>
      <c r="N5314" s="1">
        <v>1</v>
      </c>
      <c r="O5314" s="58"/>
      <c r="P5314" s="58">
        <v>40929.5</v>
      </c>
      <c r="Q5314" t="s">
        <v>107</v>
      </c>
      <c r="R5314" s="1" t="s">
        <v>158</v>
      </c>
    </row>
    <row r="5315" spans="3:18" x14ac:dyDescent="0.35">
      <c r="C5315" t="s">
        <v>51</v>
      </c>
      <c r="D5315" t="s">
        <v>24</v>
      </c>
      <c r="E5315" t="s">
        <v>55</v>
      </c>
      <c r="F5315" t="s">
        <v>46</v>
      </c>
      <c r="G5315" s="58">
        <v>89889777</v>
      </c>
      <c r="H5315" s="1" t="s">
        <v>47</v>
      </c>
      <c r="I5315" s="1" t="s">
        <v>108</v>
      </c>
      <c r="J5315" s="58">
        <v>2247244425</v>
      </c>
      <c r="K5315" s="1" t="s">
        <v>106</v>
      </c>
      <c r="L5315" s="1" t="s">
        <v>114</v>
      </c>
      <c r="N5315" s="1">
        <v>1</v>
      </c>
      <c r="O5315" s="58"/>
      <c r="P5315" s="58">
        <v>26068035.329999998</v>
      </c>
      <c r="Q5315" t="s">
        <v>107</v>
      </c>
      <c r="R5315" s="1" t="s">
        <v>158</v>
      </c>
    </row>
    <row r="5316" spans="3:18" x14ac:dyDescent="0.35">
      <c r="C5316" t="s">
        <v>51</v>
      </c>
      <c r="D5316" t="s">
        <v>22</v>
      </c>
      <c r="E5316" t="s">
        <v>45</v>
      </c>
      <c r="F5316" t="s">
        <v>46</v>
      </c>
      <c r="G5316" s="58">
        <v>176621</v>
      </c>
      <c r="H5316" s="1" t="s">
        <v>59</v>
      </c>
      <c r="I5316" s="1" t="s">
        <v>119</v>
      </c>
      <c r="J5316" s="58">
        <v>1412968</v>
      </c>
      <c r="K5316" s="1" t="s">
        <v>112</v>
      </c>
      <c r="N5316" s="1">
        <v>1</v>
      </c>
      <c r="O5316" s="58"/>
      <c r="P5316" s="58">
        <v>81245.66</v>
      </c>
      <c r="Q5316" t="s">
        <v>113</v>
      </c>
      <c r="R5316" s="1" t="s">
        <v>158</v>
      </c>
    </row>
    <row r="5317" spans="3:18" x14ac:dyDescent="0.35">
      <c r="C5317" t="s">
        <v>53</v>
      </c>
      <c r="D5317" t="s">
        <v>92</v>
      </c>
      <c r="E5317" t="s">
        <v>45</v>
      </c>
      <c r="F5317" t="s">
        <v>46</v>
      </c>
      <c r="G5317" s="58">
        <v>4851860</v>
      </c>
      <c r="H5317" s="1" t="s">
        <v>54</v>
      </c>
      <c r="I5317" s="1" t="s">
        <v>105</v>
      </c>
      <c r="J5317" s="58">
        <v>14555580</v>
      </c>
      <c r="K5317" s="1" t="s">
        <v>106</v>
      </c>
      <c r="L5317" s="1" t="s">
        <v>120</v>
      </c>
      <c r="N5317" s="1">
        <v>1</v>
      </c>
      <c r="O5317" s="58"/>
      <c r="P5317" s="58">
        <v>970372</v>
      </c>
      <c r="Q5317" t="s">
        <v>107</v>
      </c>
      <c r="R5317" s="1" t="s">
        <v>158</v>
      </c>
    </row>
    <row r="5318" spans="3:18" x14ac:dyDescent="0.35">
      <c r="C5318" t="s">
        <v>53</v>
      </c>
      <c r="D5318" t="s">
        <v>21</v>
      </c>
      <c r="E5318" t="s">
        <v>49</v>
      </c>
      <c r="F5318" t="s">
        <v>46</v>
      </c>
      <c r="G5318" s="58">
        <v>3262015</v>
      </c>
      <c r="H5318" s="1" t="s">
        <v>54</v>
      </c>
      <c r="I5318" s="1" t="s">
        <v>111</v>
      </c>
      <c r="J5318" s="58">
        <v>39144180</v>
      </c>
      <c r="K5318" s="1" t="s">
        <v>106</v>
      </c>
      <c r="L5318" s="1" t="s">
        <v>124</v>
      </c>
      <c r="N5318" s="1">
        <v>1</v>
      </c>
      <c r="O5318" s="58"/>
      <c r="P5318" s="58">
        <v>1794108.25</v>
      </c>
      <c r="Q5318" t="s">
        <v>113</v>
      </c>
      <c r="R5318" s="1" t="s">
        <v>158</v>
      </c>
    </row>
    <row r="5319" spans="3:18" x14ac:dyDescent="0.35">
      <c r="C5319" t="s">
        <v>53</v>
      </c>
      <c r="D5319" t="s">
        <v>20</v>
      </c>
      <c r="E5319" t="s">
        <v>45</v>
      </c>
      <c r="F5319" t="s">
        <v>46</v>
      </c>
      <c r="G5319" s="58">
        <v>2612785</v>
      </c>
      <c r="H5319" s="1" t="s">
        <v>47</v>
      </c>
      <c r="I5319" s="1" t="s">
        <v>111</v>
      </c>
      <c r="J5319" s="58">
        <v>33966205</v>
      </c>
      <c r="K5319" s="1" t="s">
        <v>112</v>
      </c>
      <c r="N5319" s="1">
        <v>1</v>
      </c>
      <c r="O5319" s="58"/>
      <c r="P5319" s="58">
        <v>574812.69999999995</v>
      </c>
      <c r="Q5319" t="s">
        <v>107</v>
      </c>
      <c r="R5319" s="1" t="s">
        <v>158</v>
      </c>
    </row>
    <row r="5320" spans="3:18" x14ac:dyDescent="0.35">
      <c r="C5320" t="s">
        <v>51</v>
      </c>
      <c r="D5320" t="s">
        <v>24</v>
      </c>
      <c r="E5320" t="s">
        <v>50</v>
      </c>
      <c r="F5320" t="s">
        <v>64</v>
      </c>
      <c r="G5320" s="58">
        <v>83871</v>
      </c>
      <c r="H5320" s="1" t="s">
        <v>48</v>
      </c>
      <c r="I5320" s="1" t="s">
        <v>108</v>
      </c>
      <c r="J5320" s="58">
        <v>2180646</v>
      </c>
      <c r="K5320" s="1" t="s">
        <v>106</v>
      </c>
      <c r="L5320" s="1" t="s">
        <v>109</v>
      </c>
      <c r="M5320" s="1" t="s">
        <v>121</v>
      </c>
      <c r="N5320" s="1">
        <v>1</v>
      </c>
      <c r="O5320" s="58"/>
      <c r="P5320" s="58">
        <v>44451.63</v>
      </c>
      <c r="Q5320" t="s">
        <v>113</v>
      </c>
      <c r="R5320" s="1" t="s">
        <v>158</v>
      </c>
    </row>
    <row r="5321" spans="3:18" x14ac:dyDescent="0.35">
      <c r="C5321" t="s">
        <v>51</v>
      </c>
      <c r="D5321" t="s">
        <v>21</v>
      </c>
      <c r="E5321" t="s">
        <v>49</v>
      </c>
      <c r="F5321" t="s">
        <v>46</v>
      </c>
      <c r="G5321" s="58">
        <v>146700</v>
      </c>
      <c r="H5321" s="1" t="s">
        <v>48</v>
      </c>
      <c r="I5321" s="1" t="s">
        <v>108</v>
      </c>
      <c r="J5321" s="58">
        <v>5134500</v>
      </c>
      <c r="K5321" s="1" t="s">
        <v>106</v>
      </c>
      <c r="L5321" s="1" t="s">
        <v>124</v>
      </c>
      <c r="M5321" s="1" t="s">
        <v>126</v>
      </c>
      <c r="N5321" s="1">
        <v>1</v>
      </c>
      <c r="O5321" s="58"/>
      <c r="P5321" s="58">
        <v>148167</v>
      </c>
      <c r="Q5321" t="s">
        <v>110</v>
      </c>
      <c r="R5321" s="1" t="s">
        <v>48</v>
      </c>
    </row>
    <row r="5322" spans="3:18" x14ac:dyDescent="0.35">
      <c r="C5322" t="s">
        <v>53</v>
      </c>
      <c r="D5322" t="s">
        <v>19</v>
      </c>
      <c r="E5322" t="s">
        <v>45</v>
      </c>
      <c r="F5322" t="s">
        <v>46</v>
      </c>
      <c r="G5322" s="58">
        <v>32284</v>
      </c>
      <c r="H5322" s="1" t="s">
        <v>48</v>
      </c>
      <c r="I5322" s="1" t="s">
        <v>105</v>
      </c>
      <c r="J5322" s="58">
        <v>96852</v>
      </c>
      <c r="K5322" s="1" t="s">
        <v>106</v>
      </c>
      <c r="L5322" s="1" t="s">
        <v>120</v>
      </c>
      <c r="M5322" s="1" t="s">
        <v>122</v>
      </c>
      <c r="N5322" s="1">
        <v>1</v>
      </c>
      <c r="O5322" s="58"/>
      <c r="P5322" s="58">
        <v>2259.88</v>
      </c>
      <c r="Q5322" t="s">
        <v>107</v>
      </c>
      <c r="R5322" s="1" t="s">
        <v>158</v>
      </c>
    </row>
    <row r="5323" spans="3:18" x14ac:dyDescent="0.35">
      <c r="C5323" t="s">
        <v>51</v>
      </c>
      <c r="D5323" t="s">
        <v>21</v>
      </c>
      <c r="E5323" t="s">
        <v>49</v>
      </c>
      <c r="F5323" t="s">
        <v>46</v>
      </c>
      <c r="G5323" s="58">
        <v>392477</v>
      </c>
      <c r="H5323" s="1" t="s">
        <v>48</v>
      </c>
      <c r="I5323" s="1" t="s">
        <v>108</v>
      </c>
      <c r="J5323" s="58">
        <v>11774310</v>
      </c>
      <c r="K5323" s="1" t="s">
        <v>106</v>
      </c>
      <c r="L5323" s="1" t="s">
        <v>124</v>
      </c>
      <c r="M5323" s="1" t="s">
        <v>122</v>
      </c>
      <c r="N5323" s="1">
        <v>1</v>
      </c>
      <c r="O5323" s="58"/>
      <c r="P5323" s="58">
        <v>333605.45</v>
      </c>
      <c r="Q5323" t="s">
        <v>127</v>
      </c>
      <c r="R5323" s="1" t="s">
        <v>48</v>
      </c>
    </row>
    <row r="5324" spans="3:18" x14ac:dyDescent="0.35">
      <c r="C5324" t="s">
        <v>51</v>
      </c>
      <c r="D5324" t="s">
        <v>19</v>
      </c>
      <c r="E5324" t="s">
        <v>55</v>
      </c>
      <c r="F5324" t="s">
        <v>46</v>
      </c>
      <c r="G5324" s="58">
        <v>2354625</v>
      </c>
      <c r="H5324" s="1" t="s">
        <v>48</v>
      </c>
      <c r="I5324" s="1" t="s">
        <v>108</v>
      </c>
      <c r="J5324" s="58">
        <v>77702625</v>
      </c>
      <c r="K5324" s="1" t="s">
        <v>106</v>
      </c>
      <c r="L5324" s="1" t="s">
        <v>114</v>
      </c>
      <c r="M5324" s="1" t="s">
        <v>122</v>
      </c>
      <c r="N5324" s="1">
        <v>1</v>
      </c>
      <c r="O5324" s="58"/>
      <c r="P5324" s="58">
        <v>2001431.25</v>
      </c>
      <c r="Q5324" t="s">
        <v>127</v>
      </c>
      <c r="R5324" s="1" t="s">
        <v>158</v>
      </c>
    </row>
    <row r="5325" spans="3:18" x14ac:dyDescent="0.35">
      <c r="C5325" t="s">
        <v>51</v>
      </c>
      <c r="D5325" t="s">
        <v>22</v>
      </c>
      <c r="E5325" t="s">
        <v>49</v>
      </c>
      <c r="F5325" t="s">
        <v>46</v>
      </c>
      <c r="G5325" s="58">
        <v>529566</v>
      </c>
      <c r="H5325" s="1" t="s">
        <v>48</v>
      </c>
      <c r="I5325" s="1" t="s">
        <v>108</v>
      </c>
      <c r="J5325" s="58">
        <v>12180018</v>
      </c>
      <c r="K5325" s="1" t="s">
        <v>106</v>
      </c>
      <c r="L5325" s="1" t="s">
        <v>120</v>
      </c>
      <c r="M5325" s="1" t="s">
        <v>115</v>
      </c>
      <c r="N5325" s="1">
        <v>1</v>
      </c>
      <c r="O5325" s="58"/>
      <c r="P5325" s="58">
        <v>169461.12</v>
      </c>
      <c r="Q5325" t="s">
        <v>107</v>
      </c>
      <c r="R5325" s="1" t="s">
        <v>48</v>
      </c>
    </row>
    <row r="5326" spans="3:18" x14ac:dyDescent="0.35">
      <c r="C5326" t="s">
        <v>51</v>
      </c>
      <c r="D5326" t="s">
        <v>23</v>
      </c>
      <c r="E5326" t="s">
        <v>55</v>
      </c>
      <c r="F5326" t="s">
        <v>46</v>
      </c>
      <c r="G5326" s="58">
        <v>7517676</v>
      </c>
      <c r="H5326" s="1" t="s">
        <v>47</v>
      </c>
      <c r="I5326" s="1" t="s">
        <v>108</v>
      </c>
      <c r="J5326" s="58">
        <v>240565632</v>
      </c>
      <c r="K5326" s="1" t="s">
        <v>112</v>
      </c>
      <c r="N5326" s="1">
        <v>1</v>
      </c>
      <c r="O5326" s="58"/>
      <c r="P5326" s="58">
        <v>3758838</v>
      </c>
      <c r="Q5326" t="s">
        <v>113</v>
      </c>
      <c r="R5326" s="1" t="s">
        <v>158</v>
      </c>
    </row>
    <row r="5327" spans="3:18" x14ac:dyDescent="0.35">
      <c r="C5327" t="s">
        <v>51</v>
      </c>
      <c r="D5327" t="s">
        <v>20</v>
      </c>
      <c r="E5327" t="s">
        <v>55</v>
      </c>
      <c r="F5327" t="s">
        <v>46</v>
      </c>
      <c r="G5327" s="58">
        <v>46722</v>
      </c>
      <c r="H5327" s="1" t="s">
        <v>48</v>
      </c>
      <c r="I5327" s="1" t="s">
        <v>111</v>
      </c>
      <c r="J5327" s="58">
        <v>607386</v>
      </c>
      <c r="K5327" s="1" t="s">
        <v>106</v>
      </c>
      <c r="L5327" s="1" t="s">
        <v>114</v>
      </c>
      <c r="M5327" s="1" t="s">
        <v>123</v>
      </c>
      <c r="N5327" s="1">
        <v>1</v>
      </c>
      <c r="O5327" s="58"/>
      <c r="P5327" s="58">
        <v>2803.32</v>
      </c>
      <c r="Q5327" t="s">
        <v>107</v>
      </c>
      <c r="R5327" s="1" t="s">
        <v>158</v>
      </c>
    </row>
    <row r="5328" spans="3:18" x14ac:dyDescent="0.35">
      <c r="C5328" t="s">
        <v>51</v>
      </c>
      <c r="D5328" t="s">
        <v>23</v>
      </c>
      <c r="E5328" t="s">
        <v>49</v>
      </c>
      <c r="F5328" t="s">
        <v>46</v>
      </c>
      <c r="G5328" s="58">
        <v>10305359</v>
      </c>
      <c r="H5328" s="1" t="s">
        <v>47</v>
      </c>
      <c r="I5328" s="1" t="s">
        <v>108</v>
      </c>
      <c r="J5328" s="58">
        <v>267939334</v>
      </c>
      <c r="K5328" s="1" t="s">
        <v>106</v>
      </c>
      <c r="L5328" s="1" t="s">
        <v>124</v>
      </c>
      <c r="N5328" s="1">
        <v>1</v>
      </c>
      <c r="O5328" s="58"/>
      <c r="P5328" s="58">
        <v>2885500.52</v>
      </c>
      <c r="Q5328" t="s">
        <v>107</v>
      </c>
      <c r="R5328" s="1" t="s">
        <v>158</v>
      </c>
    </row>
    <row r="5329" spans="3:18" x14ac:dyDescent="0.35">
      <c r="C5329" t="s">
        <v>51</v>
      </c>
      <c r="D5329" t="s">
        <v>92</v>
      </c>
      <c r="E5329" t="s">
        <v>49</v>
      </c>
      <c r="F5329" t="s">
        <v>46</v>
      </c>
      <c r="G5329" s="58">
        <v>130402</v>
      </c>
      <c r="H5329" s="1" t="s">
        <v>47</v>
      </c>
      <c r="I5329" s="1" t="s">
        <v>119</v>
      </c>
      <c r="J5329" s="58">
        <v>1304020</v>
      </c>
      <c r="K5329" s="1" t="s">
        <v>112</v>
      </c>
      <c r="N5329" s="1">
        <v>1</v>
      </c>
      <c r="O5329" s="58"/>
      <c r="P5329" s="58">
        <v>20864.32</v>
      </c>
      <c r="Q5329" t="s">
        <v>107</v>
      </c>
      <c r="R5329" s="1" t="s">
        <v>158</v>
      </c>
    </row>
    <row r="5330" spans="3:18" x14ac:dyDescent="0.35">
      <c r="C5330" t="s">
        <v>51</v>
      </c>
      <c r="D5330" t="s">
        <v>22</v>
      </c>
      <c r="E5330" t="s">
        <v>45</v>
      </c>
      <c r="F5330" t="s">
        <v>46</v>
      </c>
      <c r="G5330" s="58">
        <v>25057</v>
      </c>
      <c r="H5330" s="1" t="s">
        <v>59</v>
      </c>
      <c r="I5330" s="1" t="s">
        <v>105</v>
      </c>
      <c r="J5330" s="58"/>
      <c r="K5330" s="1" t="s">
        <v>106</v>
      </c>
      <c r="L5330" s="1" t="s">
        <v>120</v>
      </c>
      <c r="N5330" s="1">
        <v>0</v>
      </c>
      <c r="O5330" s="58"/>
      <c r="P5330" s="58">
        <v>1252.8499999999999</v>
      </c>
      <c r="Q5330" t="s">
        <v>107</v>
      </c>
      <c r="R5330" s="1" t="s">
        <v>158</v>
      </c>
    </row>
    <row r="5331" spans="3:18" x14ac:dyDescent="0.35">
      <c r="C5331" t="s">
        <v>51</v>
      </c>
      <c r="D5331" t="s">
        <v>92</v>
      </c>
      <c r="E5331" t="s">
        <v>49</v>
      </c>
      <c r="F5331" t="s">
        <v>46</v>
      </c>
      <c r="G5331" s="58">
        <v>238484</v>
      </c>
      <c r="H5331" s="1" t="s">
        <v>47</v>
      </c>
      <c r="I5331" s="1" t="s">
        <v>108</v>
      </c>
      <c r="J5331" s="58">
        <v>8108456</v>
      </c>
      <c r="K5331" s="1" t="s">
        <v>106</v>
      </c>
      <c r="L5331" s="1" t="s">
        <v>114</v>
      </c>
      <c r="N5331" s="1">
        <v>1</v>
      </c>
      <c r="O5331" s="58"/>
      <c r="P5331" s="58">
        <v>200326.56</v>
      </c>
      <c r="Q5331" t="s">
        <v>127</v>
      </c>
      <c r="R5331" s="1" t="s">
        <v>158</v>
      </c>
    </row>
    <row r="5332" spans="3:18" x14ac:dyDescent="0.35">
      <c r="C5332" t="s">
        <v>51</v>
      </c>
      <c r="D5332" t="s">
        <v>92</v>
      </c>
      <c r="E5332" t="s">
        <v>49</v>
      </c>
      <c r="F5332" t="s">
        <v>46</v>
      </c>
      <c r="G5332" s="58">
        <v>839915</v>
      </c>
      <c r="H5332" s="1" t="s">
        <v>47</v>
      </c>
      <c r="I5332" s="1" t="s">
        <v>111</v>
      </c>
      <c r="J5332" s="58">
        <v>14278555</v>
      </c>
      <c r="K5332" s="1" t="s">
        <v>106</v>
      </c>
      <c r="L5332" s="1" t="s">
        <v>124</v>
      </c>
      <c r="N5332" s="1">
        <v>1</v>
      </c>
      <c r="O5332" s="58"/>
      <c r="P5332" s="58">
        <v>713927.75</v>
      </c>
      <c r="Q5332" t="s">
        <v>127</v>
      </c>
      <c r="R5332" s="1" t="s">
        <v>158</v>
      </c>
    </row>
    <row r="5333" spans="3:18" x14ac:dyDescent="0.35">
      <c r="C5333" t="s">
        <v>51</v>
      </c>
      <c r="D5333" t="s">
        <v>22</v>
      </c>
      <c r="E5333" t="s">
        <v>50</v>
      </c>
      <c r="F5333" t="s">
        <v>46</v>
      </c>
      <c r="G5333" s="58">
        <v>1270333</v>
      </c>
      <c r="H5333" s="1" t="s">
        <v>48</v>
      </c>
      <c r="I5333" s="1" t="s">
        <v>111</v>
      </c>
      <c r="J5333" s="58">
        <v>22865994</v>
      </c>
      <c r="K5333" s="1" t="s">
        <v>112</v>
      </c>
      <c r="N5333" s="1">
        <v>1</v>
      </c>
      <c r="O5333" s="58"/>
      <c r="P5333" s="58">
        <v>647869.82999999996</v>
      </c>
      <c r="Q5333" t="s">
        <v>113</v>
      </c>
      <c r="R5333" s="1" t="s">
        <v>48</v>
      </c>
    </row>
    <row r="5334" spans="3:18" x14ac:dyDescent="0.35">
      <c r="C5334" t="s">
        <v>51</v>
      </c>
      <c r="D5334" t="s">
        <v>21</v>
      </c>
      <c r="E5334" t="s">
        <v>45</v>
      </c>
      <c r="F5334" t="s">
        <v>46</v>
      </c>
      <c r="G5334" s="58">
        <v>193867</v>
      </c>
      <c r="H5334" s="1" t="s">
        <v>56</v>
      </c>
      <c r="I5334" s="1" t="s">
        <v>108</v>
      </c>
      <c r="J5334" s="58">
        <v>6591478</v>
      </c>
      <c r="K5334" s="1" t="s">
        <v>106</v>
      </c>
      <c r="L5334" s="1" t="s">
        <v>114</v>
      </c>
      <c r="N5334" s="1">
        <v>1</v>
      </c>
      <c r="O5334" s="58"/>
      <c r="P5334" s="58">
        <v>114381.53</v>
      </c>
      <c r="Q5334" t="s">
        <v>113</v>
      </c>
      <c r="R5334" s="1" t="s">
        <v>158</v>
      </c>
    </row>
    <row r="5335" spans="3:18" x14ac:dyDescent="0.35">
      <c r="C5335" t="s">
        <v>53</v>
      </c>
      <c r="D5335" t="s">
        <v>20</v>
      </c>
      <c r="E5335" t="s">
        <v>45</v>
      </c>
      <c r="F5335" t="s">
        <v>46</v>
      </c>
      <c r="G5335" s="58">
        <v>570285</v>
      </c>
      <c r="H5335" s="1" t="s">
        <v>54</v>
      </c>
      <c r="I5335" s="1" t="s">
        <v>119</v>
      </c>
      <c r="J5335" s="58">
        <v>5702850</v>
      </c>
      <c r="K5335" s="1" t="s">
        <v>112</v>
      </c>
      <c r="N5335" s="1">
        <v>1</v>
      </c>
      <c r="O5335" s="58"/>
      <c r="P5335" s="58">
        <v>444822.3</v>
      </c>
      <c r="Q5335" t="s">
        <v>118</v>
      </c>
      <c r="R5335" s="1" t="s">
        <v>158</v>
      </c>
    </row>
    <row r="5336" spans="3:18" x14ac:dyDescent="0.35">
      <c r="C5336" t="s">
        <v>51</v>
      </c>
      <c r="D5336" t="s">
        <v>23</v>
      </c>
      <c r="E5336" t="s">
        <v>55</v>
      </c>
      <c r="F5336" t="s">
        <v>46</v>
      </c>
      <c r="G5336" s="58">
        <v>232468</v>
      </c>
      <c r="H5336" s="1" t="s">
        <v>47</v>
      </c>
      <c r="I5336" s="1" t="s">
        <v>108</v>
      </c>
      <c r="J5336" s="58">
        <v>7903912</v>
      </c>
      <c r="K5336" s="1" t="s">
        <v>106</v>
      </c>
      <c r="L5336" s="1" t="s">
        <v>120</v>
      </c>
      <c r="N5336" s="1">
        <v>1</v>
      </c>
      <c r="O5336" s="58"/>
      <c r="P5336" s="58">
        <v>260364.16</v>
      </c>
      <c r="Q5336" t="s">
        <v>110</v>
      </c>
      <c r="R5336" s="1" t="s">
        <v>158</v>
      </c>
    </row>
    <row r="5337" spans="3:18" x14ac:dyDescent="0.35">
      <c r="C5337" t="s">
        <v>53</v>
      </c>
      <c r="D5337" t="s">
        <v>19</v>
      </c>
      <c r="E5337" t="s">
        <v>45</v>
      </c>
      <c r="F5337" t="s">
        <v>46</v>
      </c>
      <c r="G5337" s="58">
        <v>4261616</v>
      </c>
      <c r="H5337" s="1" t="s">
        <v>47</v>
      </c>
      <c r="I5337" s="1" t="s">
        <v>111</v>
      </c>
      <c r="J5337" s="58">
        <v>46877776</v>
      </c>
      <c r="K5337" s="1" t="s">
        <v>106</v>
      </c>
      <c r="L5337" s="1" t="s">
        <v>120</v>
      </c>
      <c r="N5337" s="1">
        <v>1</v>
      </c>
      <c r="O5337" s="58"/>
      <c r="P5337" s="58">
        <v>1662030.24</v>
      </c>
      <c r="Q5337" t="s">
        <v>107</v>
      </c>
      <c r="R5337" s="1" t="s">
        <v>158</v>
      </c>
    </row>
    <row r="5338" spans="3:18" x14ac:dyDescent="0.35">
      <c r="C5338" t="s">
        <v>53</v>
      </c>
      <c r="D5338" t="s">
        <v>21</v>
      </c>
      <c r="E5338" t="s">
        <v>45</v>
      </c>
      <c r="F5338" t="s">
        <v>46</v>
      </c>
      <c r="G5338" s="58">
        <v>964924</v>
      </c>
      <c r="H5338" s="1" t="s">
        <v>56</v>
      </c>
      <c r="I5338" s="1" t="s">
        <v>111</v>
      </c>
      <c r="J5338" s="58">
        <v>12544012</v>
      </c>
      <c r="K5338" s="1" t="s">
        <v>106</v>
      </c>
      <c r="L5338" s="1" t="s">
        <v>120</v>
      </c>
      <c r="N5338" s="1">
        <v>1</v>
      </c>
      <c r="O5338" s="58"/>
      <c r="P5338" s="58">
        <v>202634.04</v>
      </c>
      <c r="Q5338" t="s">
        <v>107</v>
      </c>
      <c r="R5338" s="1" t="s">
        <v>158</v>
      </c>
    </row>
    <row r="5339" spans="3:18" x14ac:dyDescent="0.35">
      <c r="C5339" t="s">
        <v>51</v>
      </c>
      <c r="D5339" t="s">
        <v>21</v>
      </c>
      <c r="E5339" t="s">
        <v>55</v>
      </c>
      <c r="F5339" t="s">
        <v>46</v>
      </c>
      <c r="G5339" s="58">
        <v>944522</v>
      </c>
      <c r="H5339" s="1" t="s">
        <v>47</v>
      </c>
      <c r="I5339" s="1" t="s">
        <v>108</v>
      </c>
      <c r="J5339" s="58">
        <v>28335660</v>
      </c>
      <c r="K5339" s="1" t="s">
        <v>106</v>
      </c>
      <c r="L5339" s="1" t="s">
        <v>114</v>
      </c>
      <c r="N5339" s="1">
        <v>1</v>
      </c>
      <c r="O5339" s="58"/>
      <c r="P5339" s="58">
        <v>245575.72</v>
      </c>
      <c r="Q5339" t="s">
        <v>107</v>
      </c>
      <c r="R5339" s="1" t="s">
        <v>158</v>
      </c>
    </row>
    <row r="5340" spans="3:18" x14ac:dyDescent="0.35">
      <c r="C5340" t="s">
        <v>51</v>
      </c>
      <c r="D5340" t="s">
        <v>24</v>
      </c>
      <c r="E5340" t="s">
        <v>50</v>
      </c>
      <c r="F5340" t="s">
        <v>46</v>
      </c>
      <c r="G5340" s="58">
        <v>1085132</v>
      </c>
      <c r="H5340" s="1" t="s">
        <v>48</v>
      </c>
      <c r="I5340" s="1" t="s">
        <v>111</v>
      </c>
      <c r="J5340" s="58">
        <v>17362112</v>
      </c>
      <c r="K5340" s="1" t="s">
        <v>106</v>
      </c>
      <c r="L5340" s="1" t="s">
        <v>109</v>
      </c>
      <c r="M5340" s="1" t="s">
        <v>121</v>
      </c>
      <c r="N5340" s="1">
        <v>1</v>
      </c>
      <c r="O5340" s="58"/>
      <c r="P5340" s="58">
        <v>727038.44</v>
      </c>
      <c r="Q5340" t="s">
        <v>118</v>
      </c>
      <c r="R5340" s="1" t="s">
        <v>48</v>
      </c>
    </row>
    <row r="5341" spans="3:18" x14ac:dyDescent="0.35">
      <c r="C5341" t="s">
        <v>51</v>
      </c>
      <c r="D5341" t="s">
        <v>23</v>
      </c>
      <c r="E5341" t="s">
        <v>45</v>
      </c>
      <c r="F5341" t="s">
        <v>46</v>
      </c>
      <c r="G5341" s="58">
        <v>118524</v>
      </c>
      <c r="H5341" s="1" t="s">
        <v>48</v>
      </c>
      <c r="I5341" s="1" t="s">
        <v>108</v>
      </c>
      <c r="J5341" s="58">
        <v>3081624</v>
      </c>
      <c r="K5341" s="1" t="s">
        <v>106</v>
      </c>
      <c r="L5341" s="1" t="s">
        <v>120</v>
      </c>
      <c r="M5341" s="1" t="s">
        <v>115</v>
      </c>
      <c r="N5341" s="1">
        <v>1</v>
      </c>
      <c r="O5341" s="58"/>
      <c r="P5341" s="58">
        <v>35557.199999999997</v>
      </c>
      <c r="Q5341" t="s">
        <v>107</v>
      </c>
      <c r="R5341" s="1" t="s">
        <v>158</v>
      </c>
    </row>
    <row r="5342" spans="3:18" x14ac:dyDescent="0.35">
      <c r="C5342" t="s">
        <v>51</v>
      </c>
      <c r="D5342" t="s">
        <v>23</v>
      </c>
      <c r="E5342" t="s">
        <v>49</v>
      </c>
      <c r="F5342" t="s">
        <v>46</v>
      </c>
      <c r="G5342" s="58">
        <v>1296799</v>
      </c>
      <c r="H5342" s="1" t="s">
        <v>47</v>
      </c>
      <c r="I5342" s="1" t="s">
        <v>105</v>
      </c>
      <c r="J5342" s="58">
        <v>3890397</v>
      </c>
      <c r="K5342" s="1" t="s">
        <v>106</v>
      </c>
      <c r="L5342" s="1" t="s">
        <v>124</v>
      </c>
      <c r="N5342" s="1">
        <v>1</v>
      </c>
      <c r="O5342" s="58"/>
      <c r="P5342" s="58">
        <v>116711.91</v>
      </c>
      <c r="Q5342" t="s">
        <v>107</v>
      </c>
      <c r="R5342" s="1" t="s">
        <v>158</v>
      </c>
    </row>
    <row r="5343" spans="3:18" x14ac:dyDescent="0.35">
      <c r="C5343" t="s">
        <v>51</v>
      </c>
      <c r="D5343" t="s">
        <v>19</v>
      </c>
      <c r="E5343" t="s">
        <v>49</v>
      </c>
      <c r="F5343" t="s">
        <v>46</v>
      </c>
      <c r="G5343" s="58">
        <v>941001</v>
      </c>
      <c r="H5343" s="1" t="s">
        <v>48</v>
      </c>
      <c r="I5343" s="1" t="s">
        <v>108</v>
      </c>
      <c r="J5343" s="58">
        <v>33876036</v>
      </c>
      <c r="K5343" s="1" t="s">
        <v>106</v>
      </c>
      <c r="L5343" s="1" t="s">
        <v>114</v>
      </c>
      <c r="M5343" s="1" t="s">
        <v>125</v>
      </c>
      <c r="N5343" s="1">
        <v>1</v>
      </c>
      <c r="O5343" s="58"/>
      <c r="P5343" s="58">
        <v>978641.04</v>
      </c>
      <c r="Q5343" t="s">
        <v>110</v>
      </c>
      <c r="R5343" s="1" t="s">
        <v>158</v>
      </c>
    </row>
    <row r="5344" spans="3:18" x14ac:dyDescent="0.35">
      <c r="C5344" t="s">
        <v>51</v>
      </c>
      <c r="D5344" t="s">
        <v>24</v>
      </c>
      <c r="E5344" t="s">
        <v>50</v>
      </c>
      <c r="F5344" t="s">
        <v>46</v>
      </c>
      <c r="G5344" s="58">
        <v>4371006</v>
      </c>
      <c r="H5344" s="1" t="s">
        <v>48</v>
      </c>
      <c r="I5344" s="1" t="s">
        <v>108</v>
      </c>
      <c r="J5344" s="58">
        <v>131130180</v>
      </c>
      <c r="K5344" s="1" t="s">
        <v>106</v>
      </c>
      <c r="L5344" s="1" t="s">
        <v>109</v>
      </c>
      <c r="M5344" s="1" t="s">
        <v>121</v>
      </c>
      <c r="N5344" s="1">
        <v>1</v>
      </c>
      <c r="O5344" s="58"/>
      <c r="P5344" s="58">
        <v>1223881.68</v>
      </c>
      <c r="Q5344" t="s">
        <v>107</v>
      </c>
      <c r="R5344" s="1" t="s">
        <v>158</v>
      </c>
    </row>
    <row r="5345" spans="3:18" x14ac:dyDescent="0.35">
      <c r="C5345" t="s">
        <v>51</v>
      </c>
      <c r="D5345" t="s">
        <v>91</v>
      </c>
      <c r="E5345" t="s">
        <v>49</v>
      </c>
      <c r="F5345" t="s">
        <v>46</v>
      </c>
      <c r="G5345" s="58">
        <v>24644</v>
      </c>
      <c r="H5345" s="1" t="s">
        <v>47</v>
      </c>
      <c r="I5345" s="1" t="s">
        <v>105</v>
      </c>
      <c r="J5345" s="58">
        <v>98576</v>
      </c>
      <c r="K5345" s="1" t="s">
        <v>106</v>
      </c>
      <c r="L5345" s="1" t="s">
        <v>124</v>
      </c>
      <c r="N5345" s="1">
        <v>1</v>
      </c>
      <c r="O5345" s="58"/>
      <c r="P5345" s="58">
        <v>12568.44</v>
      </c>
      <c r="Q5345" t="s">
        <v>113</v>
      </c>
      <c r="R5345" s="1" t="s">
        <v>158</v>
      </c>
    </row>
    <row r="5346" spans="3:18" x14ac:dyDescent="0.35">
      <c r="C5346" t="s">
        <v>53</v>
      </c>
      <c r="D5346" t="s">
        <v>25</v>
      </c>
      <c r="E5346" t="s">
        <v>50</v>
      </c>
      <c r="F5346" t="s">
        <v>46</v>
      </c>
      <c r="G5346" s="58">
        <v>265649</v>
      </c>
      <c r="H5346" s="1" t="s">
        <v>59</v>
      </c>
      <c r="I5346" s="1" t="s">
        <v>105</v>
      </c>
      <c r="J5346" s="58">
        <v>796947</v>
      </c>
      <c r="K5346" s="1" t="s">
        <v>106</v>
      </c>
      <c r="L5346" s="1" t="s">
        <v>109</v>
      </c>
      <c r="N5346" s="1">
        <v>1</v>
      </c>
      <c r="O5346" s="58"/>
      <c r="P5346" s="58">
        <v>34534.370000000003</v>
      </c>
      <c r="Q5346" t="s">
        <v>107</v>
      </c>
      <c r="R5346" s="1" t="s">
        <v>158</v>
      </c>
    </row>
    <row r="5347" spans="3:18" x14ac:dyDescent="0.35">
      <c r="C5347" t="s">
        <v>51</v>
      </c>
      <c r="D5347" t="s">
        <v>24</v>
      </c>
      <c r="E5347" t="s">
        <v>45</v>
      </c>
      <c r="F5347" t="s">
        <v>46</v>
      </c>
      <c r="G5347" s="58">
        <v>6324496</v>
      </c>
      <c r="H5347" s="1" t="s">
        <v>54</v>
      </c>
      <c r="I5347" s="1" t="s">
        <v>108</v>
      </c>
      <c r="J5347" s="58">
        <v>158112400</v>
      </c>
      <c r="K5347" s="1" t="s">
        <v>106</v>
      </c>
      <c r="L5347" s="1" t="s">
        <v>120</v>
      </c>
      <c r="N5347" s="1">
        <v>1</v>
      </c>
      <c r="O5347" s="58"/>
      <c r="P5347" s="58">
        <v>3288737.92</v>
      </c>
      <c r="Q5347" t="s">
        <v>113</v>
      </c>
      <c r="R5347" s="1" t="s">
        <v>158</v>
      </c>
    </row>
    <row r="5348" spans="3:18" x14ac:dyDescent="0.35">
      <c r="C5348" t="s">
        <v>51</v>
      </c>
      <c r="D5348" t="s">
        <v>23</v>
      </c>
      <c r="E5348" t="s">
        <v>49</v>
      </c>
      <c r="F5348" t="s">
        <v>46</v>
      </c>
      <c r="G5348" s="58">
        <v>1223945</v>
      </c>
      <c r="H5348" s="1" t="s">
        <v>48</v>
      </c>
      <c r="I5348" s="1" t="s">
        <v>108</v>
      </c>
      <c r="J5348" s="58">
        <v>41614130</v>
      </c>
      <c r="K5348" s="1" t="s">
        <v>112</v>
      </c>
      <c r="N5348" s="1">
        <v>1</v>
      </c>
      <c r="O5348" s="58"/>
      <c r="P5348" s="58">
        <v>881240.4</v>
      </c>
      <c r="Q5348" t="s">
        <v>118</v>
      </c>
      <c r="R5348" s="1" t="s">
        <v>158</v>
      </c>
    </row>
    <row r="5349" spans="3:18" x14ac:dyDescent="0.35"/>
    <row r="5350" spans="3:18" hidden="1" x14ac:dyDescent="0.35"/>
    <row r="5351" spans="3:18" hidden="1" x14ac:dyDescent="0.35"/>
    <row r="5352" spans="3:18" hidden="1" x14ac:dyDescent="0.35"/>
    <row r="5353" spans="3:18" hidden="1" x14ac:dyDescent="0.35"/>
    <row r="5354" spans="3:18" hidden="1" x14ac:dyDescent="0.35"/>
    <row r="5355" spans="3:18" hidden="1" x14ac:dyDescent="0.35"/>
    <row r="5356" spans="3:18" hidden="1" x14ac:dyDescent="0.35"/>
    <row r="5357" spans="3:18" hidden="1" x14ac:dyDescent="0.35"/>
    <row r="5358" spans="3:18" hidden="1" x14ac:dyDescent="0.35"/>
    <row r="5359" spans="3:18" hidden="1" x14ac:dyDescent="0.35"/>
    <row r="5360" spans="3:18" hidden="1" x14ac:dyDescent="0.35"/>
    <row r="5361" hidden="1" x14ac:dyDescent="0.35"/>
    <row r="5362" hidden="1" x14ac:dyDescent="0.35"/>
    <row r="5363" hidden="1" x14ac:dyDescent="0.35"/>
    <row r="5364" hidden="1" x14ac:dyDescent="0.35"/>
    <row r="5365" hidden="1" x14ac:dyDescent="0.35"/>
    <row r="5366" hidden="1" x14ac:dyDescent="0.35"/>
    <row r="5367" hidden="1" x14ac:dyDescent="0.35"/>
    <row r="5368" hidden="1" x14ac:dyDescent="0.35"/>
    <row r="5369" hidden="1" x14ac:dyDescent="0.35"/>
    <row r="5370" hidden="1" x14ac:dyDescent="0.35"/>
    <row r="5371" hidden="1" x14ac:dyDescent="0.35"/>
    <row r="5372" hidden="1" x14ac:dyDescent="0.35"/>
    <row r="5373" hidden="1" x14ac:dyDescent="0.35"/>
    <row r="5374" hidden="1" x14ac:dyDescent="0.35"/>
    <row r="5375" hidden="1" x14ac:dyDescent="0.35"/>
    <row r="5376" hidden="1" x14ac:dyDescent="0.35"/>
    <row r="5377" hidden="1" x14ac:dyDescent="0.35"/>
    <row r="5378" hidden="1" x14ac:dyDescent="0.35"/>
    <row r="5379" hidden="1" x14ac:dyDescent="0.35"/>
    <row r="5380" hidden="1" x14ac:dyDescent="0.35"/>
    <row r="5381" hidden="1" x14ac:dyDescent="0.35"/>
    <row r="5382" hidden="1" x14ac:dyDescent="0.35"/>
    <row r="5383" hidden="1" x14ac:dyDescent="0.35"/>
    <row r="5384" hidden="1" x14ac:dyDescent="0.35"/>
    <row r="5385" hidden="1" x14ac:dyDescent="0.35"/>
    <row r="5386" hidden="1" x14ac:dyDescent="0.35"/>
    <row r="5387" hidden="1" x14ac:dyDescent="0.35"/>
    <row r="5388" hidden="1" x14ac:dyDescent="0.35"/>
    <row r="5389" hidden="1" x14ac:dyDescent="0.35"/>
    <row r="5390" hidden="1" x14ac:dyDescent="0.35"/>
    <row r="5391" hidden="1" x14ac:dyDescent="0.35"/>
    <row r="5392" hidden="1" x14ac:dyDescent="0.35"/>
    <row r="5393" hidden="1" x14ac:dyDescent="0.35"/>
    <row r="5394" hidden="1" x14ac:dyDescent="0.35"/>
    <row r="5395" hidden="1" x14ac:dyDescent="0.35"/>
    <row r="5396" hidden="1" x14ac:dyDescent="0.35"/>
    <row r="5397" hidden="1" x14ac:dyDescent="0.35"/>
    <row r="5398" hidden="1" x14ac:dyDescent="0.35"/>
    <row r="5399" hidden="1" x14ac:dyDescent="0.35"/>
    <row r="5400" hidden="1" x14ac:dyDescent="0.35"/>
    <row r="5401" hidden="1" x14ac:dyDescent="0.35"/>
    <row r="5402" hidden="1" x14ac:dyDescent="0.35"/>
    <row r="5403" hidden="1" x14ac:dyDescent="0.35"/>
    <row r="5404" hidden="1" x14ac:dyDescent="0.35"/>
    <row r="5405" hidden="1" x14ac:dyDescent="0.35"/>
    <row r="5406" hidden="1" x14ac:dyDescent="0.35"/>
    <row r="5407" hidden="1" x14ac:dyDescent="0.35"/>
    <row r="5408" hidden="1" x14ac:dyDescent="0.35"/>
    <row r="5409" hidden="1" x14ac:dyDescent="0.35"/>
    <row r="5410" hidden="1" x14ac:dyDescent="0.35"/>
    <row r="5411" hidden="1" x14ac:dyDescent="0.35"/>
    <row r="5412" hidden="1" x14ac:dyDescent="0.35"/>
    <row r="5413" hidden="1" x14ac:dyDescent="0.35"/>
    <row r="5414" hidden="1" x14ac:dyDescent="0.35"/>
    <row r="5415" hidden="1" x14ac:dyDescent="0.35"/>
    <row r="5416" hidden="1" x14ac:dyDescent="0.35"/>
    <row r="5417" hidden="1" x14ac:dyDescent="0.35"/>
    <row r="5418" hidden="1" x14ac:dyDescent="0.35"/>
    <row r="5419" hidden="1" x14ac:dyDescent="0.35"/>
    <row r="5420" hidden="1" x14ac:dyDescent="0.35"/>
    <row r="5421" hidden="1" x14ac:dyDescent="0.35"/>
    <row r="5422" hidden="1" x14ac:dyDescent="0.35"/>
    <row r="5423" hidden="1" x14ac:dyDescent="0.35"/>
    <row r="5424" hidden="1" x14ac:dyDescent="0.35"/>
    <row r="5425" hidden="1" x14ac:dyDescent="0.35"/>
    <row r="5426" hidden="1" x14ac:dyDescent="0.35"/>
    <row r="5427" hidden="1" x14ac:dyDescent="0.35"/>
    <row r="5428" hidden="1" x14ac:dyDescent="0.35"/>
    <row r="5429" hidden="1" x14ac:dyDescent="0.35"/>
    <row r="5430" hidden="1" x14ac:dyDescent="0.35"/>
    <row r="5431" hidden="1" x14ac:dyDescent="0.35"/>
    <row r="5432" hidden="1" x14ac:dyDescent="0.35"/>
    <row r="5433" hidden="1" x14ac:dyDescent="0.35"/>
    <row r="5434" hidden="1" x14ac:dyDescent="0.35"/>
    <row r="5435" hidden="1" x14ac:dyDescent="0.35"/>
    <row r="5436" hidden="1" x14ac:dyDescent="0.35"/>
    <row r="5437" hidden="1" x14ac:dyDescent="0.35"/>
    <row r="5438" hidden="1" x14ac:dyDescent="0.35"/>
    <row r="5439" hidden="1" x14ac:dyDescent="0.35"/>
    <row r="5440" hidden="1" x14ac:dyDescent="0.35"/>
    <row r="5441" hidden="1" x14ac:dyDescent="0.35"/>
    <row r="5442" hidden="1" x14ac:dyDescent="0.35"/>
    <row r="5443" hidden="1" x14ac:dyDescent="0.35"/>
    <row r="5444" hidden="1" x14ac:dyDescent="0.35"/>
    <row r="5445" hidden="1" x14ac:dyDescent="0.35"/>
    <row r="5446" hidden="1" x14ac:dyDescent="0.35"/>
    <row r="5447" hidden="1" x14ac:dyDescent="0.35"/>
    <row r="5448" hidden="1" x14ac:dyDescent="0.35"/>
    <row r="5449" hidden="1" x14ac:dyDescent="0.35"/>
    <row r="5450" hidden="1" x14ac:dyDescent="0.35"/>
    <row r="5451" hidden="1" x14ac:dyDescent="0.35"/>
    <row r="5452" hidden="1" x14ac:dyDescent="0.35"/>
    <row r="5453" hidden="1" x14ac:dyDescent="0.35"/>
    <row r="5454" hidden="1" x14ac:dyDescent="0.35"/>
    <row r="5455" hidden="1" x14ac:dyDescent="0.35"/>
    <row r="5456" hidden="1" x14ac:dyDescent="0.35"/>
    <row r="5457" hidden="1" x14ac:dyDescent="0.35"/>
    <row r="5458" hidden="1" x14ac:dyDescent="0.35"/>
    <row r="5459" hidden="1" x14ac:dyDescent="0.35"/>
    <row r="5460" hidden="1" x14ac:dyDescent="0.35"/>
    <row r="5461" hidden="1" x14ac:dyDescent="0.35"/>
    <row r="5462" hidden="1" x14ac:dyDescent="0.35"/>
    <row r="5463" hidden="1" x14ac:dyDescent="0.35"/>
    <row r="5464" hidden="1" x14ac:dyDescent="0.35"/>
    <row r="5465" hidden="1" x14ac:dyDescent="0.35"/>
    <row r="5466" hidden="1" x14ac:dyDescent="0.35"/>
    <row r="5467" hidden="1" x14ac:dyDescent="0.35"/>
    <row r="5468" hidden="1" x14ac:dyDescent="0.35"/>
    <row r="5469" hidden="1" x14ac:dyDescent="0.35"/>
    <row r="5470" hidden="1" x14ac:dyDescent="0.35"/>
    <row r="5471" hidden="1" x14ac:dyDescent="0.35"/>
    <row r="5472" hidden="1" x14ac:dyDescent="0.35"/>
    <row r="5473" hidden="1" x14ac:dyDescent="0.35"/>
    <row r="5474" hidden="1" x14ac:dyDescent="0.35"/>
    <row r="5475" hidden="1" x14ac:dyDescent="0.35"/>
    <row r="5476" hidden="1" x14ac:dyDescent="0.35"/>
    <row r="5477" hidden="1" x14ac:dyDescent="0.35"/>
    <row r="5478" hidden="1" x14ac:dyDescent="0.35"/>
    <row r="5479" hidden="1" x14ac:dyDescent="0.35"/>
    <row r="5480" hidden="1" x14ac:dyDescent="0.35"/>
    <row r="5481" hidden="1" x14ac:dyDescent="0.35"/>
    <row r="5482" hidden="1" x14ac:dyDescent="0.35"/>
    <row r="5483" hidden="1" x14ac:dyDescent="0.35"/>
    <row r="5484" hidden="1" x14ac:dyDescent="0.35"/>
    <row r="5485" hidden="1" x14ac:dyDescent="0.35"/>
    <row r="5486" hidden="1" x14ac:dyDescent="0.35"/>
    <row r="5487" hidden="1" x14ac:dyDescent="0.35"/>
    <row r="5488" hidden="1" x14ac:dyDescent="0.35"/>
    <row r="5489" hidden="1" x14ac:dyDescent="0.35"/>
    <row r="5490" hidden="1" x14ac:dyDescent="0.35"/>
    <row r="5491" hidden="1" x14ac:dyDescent="0.35"/>
    <row r="5492" hidden="1" x14ac:dyDescent="0.35"/>
    <row r="5493" hidden="1" x14ac:dyDescent="0.35"/>
    <row r="5494" hidden="1" x14ac:dyDescent="0.35"/>
    <row r="5495" hidden="1" x14ac:dyDescent="0.35"/>
    <row r="5496" hidden="1" x14ac:dyDescent="0.35"/>
    <row r="5497" hidden="1" x14ac:dyDescent="0.35"/>
    <row r="5498" hidden="1" x14ac:dyDescent="0.35"/>
    <row r="5499" hidden="1" x14ac:dyDescent="0.35"/>
    <row r="5500" hidden="1" x14ac:dyDescent="0.35"/>
    <row r="5501" hidden="1" x14ac:dyDescent="0.35"/>
    <row r="5502" hidden="1" x14ac:dyDescent="0.35"/>
    <row r="5503" hidden="1" x14ac:dyDescent="0.35"/>
    <row r="5504" hidden="1" x14ac:dyDescent="0.35"/>
    <row r="5505" hidden="1" x14ac:dyDescent="0.35"/>
    <row r="5506" hidden="1" x14ac:dyDescent="0.35"/>
    <row r="5507" hidden="1" x14ac:dyDescent="0.35"/>
    <row r="5508" hidden="1" x14ac:dyDescent="0.35"/>
    <row r="5509" hidden="1" x14ac:dyDescent="0.35"/>
    <row r="5510" hidden="1" x14ac:dyDescent="0.35"/>
    <row r="5511" hidden="1" x14ac:dyDescent="0.35"/>
    <row r="5512" hidden="1" x14ac:dyDescent="0.35"/>
    <row r="5513" hidden="1" x14ac:dyDescent="0.35"/>
    <row r="5514" hidden="1" x14ac:dyDescent="0.35"/>
    <row r="5515" hidden="1" x14ac:dyDescent="0.35"/>
    <row r="5516" hidden="1" x14ac:dyDescent="0.35"/>
    <row r="5517" hidden="1" x14ac:dyDescent="0.35"/>
    <row r="5518" hidden="1" x14ac:dyDescent="0.35"/>
    <row r="5519" hidden="1" x14ac:dyDescent="0.35"/>
    <row r="5520" hidden="1" x14ac:dyDescent="0.35"/>
    <row r="5521" hidden="1" x14ac:dyDescent="0.35"/>
    <row r="5522" hidden="1" x14ac:dyDescent="0.35"/>
    <row r="5523" hidden="1" x14ac:dyDescent="0.35"/>
    <row r="5524" hidden="1" x14ac:dyDescent="0.35"/>
    <row r="5525" hidden="1" x14ac:dyDescent="0.35"/>
    <row r="5526" hidden="1" x14ac:dyDescent="0.35"/>
    <row r="5527" hidden="1" x14ac:dyDescent="0.35"/>
    <row r="5528" hidden="1" x14ac:dyDescent="0.35"/>
    <row r="5529" hidden="1" x14ac:dyDescent="0.35"/>
    <row r="5530" hidden="1" x14ac:dyDescent="0.35"/>
    <row r="5531" hidden="1" x14ac:dyDescent="0.35"/>
    <row r="5532" hidden="1" x14ac:dyDescent="0.35"/>
    <row r="5533" hidden="1" x14ac:dyDescent="0.35"/>
    <row r="5534" hidden="1" x14ac:dyDescent="0.35"/>
    <row r="5535" hidden="1" x14ac:dyDescent="0.35"/>
    <row r="5536" hidden="1" x14ac:dyDescent="0.35"/>
    <row r="5537" hidden="1" x14ac:dyDescent="0.35"/>
    <row r="5538" hidden="1" x14ac:dyDescent="0.35"/>
    <row r="5539" hidden="1" x14ac:dyDescent="0.35"/>
    <row r="5540" hidden="1" x14ac:dyDescent="0.35"/>
    <row r="5541" hidden="1" x14ac:dyDescent="0.35"/>
    <row r="5542" hidden="1" x14ac:dyDescent="0.35"/>
    <row r="5543" hidden="1" x14ac:dyDescent="0.35"/>
    <row r="5544" hidden="1" x14ac:dyDescent="0.35"/>
    <row r="5545" hidden="1" x14ac:dyDescent="0.35"/>
    <row r="5546" hidden="1" x14ac:dyDescent="0.35"/>
    <row r="5547" hidden="1" x14ac:dyDescent="0.35"/>
    <row r="5548" hidden="1" x14ac:dyDescent="0.35"/>
    <row r="5549" hidden="1" x14ac:dyDescent="0.35"/>
    <row r="5550" hidden="1" x14ac:dyDescent="0.35"/>
    <row r="5551" hidden="1" x14ac:dyDescent="0.35"/>
    <row r="5552" hidden="1" x14ac:dyDescent="0.35"/>
    <row r="5553" hidden="1" x14ac:dyDescent="0.35"/>
    <row r="5554" hidden="1" x14ac:dyDescent="0.35"/>
    <row r="5555" hidden="1" x14ac:dyDescent="0.35"/>
    <row r="5556" hidden="1" x14ac:dyDescent="0.35"/>
    <row r="5557" hidden="1" x14ac:dyDescent="0.35"/>
    <row r="5558" hidden="1" x14ac:dyDescent="0.35"/>
    <row r="5559" hidden="1" x14ac:dyDescent="0.35"/>
    <row r="5560" hidden="1" x14ac:dyDescent="0.35"/>
    <row r="5561" hidden="1" x14ac:dyDescent="0.35"/>
    <row r="5562" hidden="1" x14ac:dyDescent="0.35"/>
    <row r="5563" hidden="1" x14ac:dyDescent="0.35"/>
    <row r="5564" hidden="1" x14ac:dyDescent="0.35"/>
    <row r="5565" hidden="1" x14ac:dyDescent="0.35"/>
    <row r="5566" hidden="1" x14ac:dyDescent="0.35"/>
    <row r="5567" hidden="1" x14ac:dyDescent="0.35"/>
    <row r="5568" hidden="1" x14ac:dyDescent="0.35"/>
    <row r="5569" hidden="1" x14ac:dyDescent="0.35"/>
    <row r="5570" hidden="1" x14ac:dyDescent="0.35"/>
    <row r="5571" hidden="1" x14ac:dyDescent="0.35"/>
    <row r="5572" hidden="1" x14ac:dyDescent="0.35"/>
    <row r="5573" hidden="1" x14ac:dyDescent="0.35"/>
    <row r="5574" hidden="1" x14ac:dyDescent="0.35"/>
    <row r="5575" hidden="1" x14ac:dyDescent="0.35"/>
    <row r="5576" hidden="1" x14ac:dyDescent="0.35"/>
    <row r="5577" hidden="1" x14ac:dyDescent="0.35"/>
    <row r="5578" hidden="1" x14ac:dyDescent="0.35"/>
    <row r="5579" hidden="1" x14ac:dyDescent="0.35"/>
    <row r="5580" hidden="1" x14ac:dyDescent="0.35"/>
    <row r="5581" hidden="1" x14ac:dyDescent="0.35"/>
    <row r="5582" hidden="1" x14ac:dyDescent="0.35"/>
    <row r="5583" hidden="1" x14ac:dyDescent="0.35"/>
    <row r="5584" hidden="1" x14ac:dyDescent="0.35"/>
    <row r="5585" hidden="1" x14ac:dyDescent="0.35"/>
    <row r="5586" hidden="1" x14ac:dyDescent="0.35"/>
    <row r="5587" hidden="1" x14ac:dyDescent="0.35"/>
    <row r="5588" hidden="1" x14ac:dyDescent="0.35"/>
    <row r="5589" hidden="1" x14ac:dyDescent="0.35"/>
    <row r="5590" hidden="1" x14ac:dyDescent="0.35"/>
    <row r="5591" hidden="1" x14ac:dyDescent="0.35"/>
    <row r="5592" hidden="1" x14ac:dyDescent="0.35"/>
    <row r="5593" hidden="1" x14ac:dyDescent="0.35"/>
    <row r="5594" hidden="1" x14ac:dyDescent="0.35"/>
    <row r="5595" hidden="1" x14ac:dyDescent="0.35"/>
    <row r="5596" hidden="1" x14ac:dyDescent="0.35"/>
    <row r="5597" hidden="1" x14ac:dyDescent="0.35"/>
    <row r="5598" hidden="1" x14ac:dyDescent="0.35"/>
    <row r="5599" hidden="1" x14ac:dyDescent="0.35"/>
    <row r="5600" hidden="1" x14ac:dyDescent="0.35"/>
    <row r="5601" hidden="1" x14ac:dyDescent="0.35"/>
    <row r="5602" hidden="1" x14ac:dyDescent="0.35"/>
    <row r="5603" hidden="1" x14ac:dyDescent="0.35"/>
    <row r="5604" hidden="1" x14ac:dyDescent="0.35"/>
    <row r="5605" hidden="1" x14ac:dyDescent="0.35"/>
    <row r="5606" hidden="1" x14ac:dyDescent="0.35"/>
    <row r="5607" hidden="1" x14ac:dyDescent="0.35"/>
    <row r="5608" hidden="1" x14ac:dyDescent="0.35"/>
    <row r="5609" hidden="1" x14ac:dyDescent="0.35"/>
    <row r="5610" hidden="1" x14ac:dyDescent="0.35"/>
    <row r="5611" hidden="1" x14ac:dyDescent="0.35"/>
    <row r="5612" hidden="1" x14ac:dyDescent="0.35"/>
    <row r="5613" hidden="1" x14ac:dyDescent="0.35"/>
    <row r="5614" hidden="1" x14ac:dyDescent="0.35"/>
    <row r="5615" hidden="1" x14ac:dyDescent="0.35"/>
    <row r="5616" hidden="1" x14ac:dyDescent="0.35"/>
    <row r="5617" hidden="1" x14ac:dyDescent="0.35"/>
    <row r="5618" hidden="1" x14ac:dyDescent="0.35"/>
    <row r="5619" hidden="1" x14ac:dyDescent="0.35"/>
    <row r="5620" hidden="1" x14ac:dyDescent="0.35"/>
    <row r="5621" hidden="1" x14ac:dyDescent="0.35"/>
    <row r="5622" hidden="1" x14ac:dyDescent="0.35"/>
    <row r="5623" hidden="1" x14ac:dyDescent="0.35"/>
    <row r="5624" hidden="1" x14ac:dyDescent="0.35"/>
    <row r="5625" hidden="1" x14ac:dyDescent="0.35"/>
    <row r="5626" hidden="1" x14ac:dyDescent="0.35"/>
    <row r="5627" hidden="1" x14ac:dyDescent="0.35"/>
    <row r="5628" hidden="1" x14ac:dyDescent="0.35"/>
    <row r="5629" hidden="1" x14ac:dyDescent="0.35"/>
    <row r="5630" hidden="1" x14ac:dyDescent="0.35"/>
    <row r="5631" hidden="1" x14ac:dyDescent="0.35"/>
    <row r="5632" hidden="1" x14ac:dyDescent="0.35"/>
    <row r="5633" hidden="1" x14ac:dyDescent="0.35"/>
    <row r="5634" hidden="1" x14ac:dyDescent="0.35"/>
    <row r="5635" hidden="1" x14ac:dyDescent="0.35"/>
    <row r="5636" hidden="1" x14ac:dyDescent="0.35"/>
    <row r="5637" hidden="1" x14ac:dyDescent="0.35"/>
    <row r="5638" hidden="1" x14ac:dyDescent="0.35"/>
    <row r="5639" hidden="1" x14ac:dyDescent="0.35"/>
    <row r="5640" hidden="1" x14ac:dyDescent="0.35"/>
    <row r="5641" hidden="1" x14ac:dyDescent="0.35"/>
    <row r="5642" hidden="1" x14ac:dyDescent="0.35"/>
    <row r="5643" hidden="1" x14ac:dyDescent="0.35"/>
    <row r="5644" hidden="1" x14ac:dyDescent="0.35"/>
    <row r="5645" hidden="1" x14ac:dyDescent="0.35"/>
    <row r="5646" hidden="1" x14ac:dyDescent="0.35"/>
    <row r="5647" hidden="1" x14ac:dyDescent="0.35"/>
    <row r="5648" hidden="1" x14ac:dyDescent="0.35"/>
    <row r="5649" hidden="1" x14ac:dyDescent="0.35"/>
    <row r="5650" hidden="1" x14ac:dyDescent="0.35"/>
    <row r="5651" hidden="1" x14ac:dyDescent="0.35"/>
    <row r="5652" hidden="1" x14ac:dyDescent="0.35"/>
    <row r="5653" hidden="1" x14ac:dyDescent="0.35"/>
    <row r="5654" hidden="1" x14ac:dyDescent="0.35"/>
    <row r="5655" hidden="1" x14ac:dyDescent="0.35"/>
    <row r="5656" hidden="1" x14ac:dyDescent="0.35"/>
    <row r="5657" hidden="1" x14ac:dyDescent="0.35"/>
    <row r="5658" hidden="1" x14ac:dyDescent="0.35"/>
    <row r="5659" hidden="1" x14ac:dyDescent="0.35"/>
    <row r="5660" hidden="1" x14ac:dyDescent="0.35"/>
    <row r="5661" hidden="1" x14ac:dyDescent="0.35"/>
    <row r="5662" hidden="1" x14ac:dyDescent="0.35"/>
    <row r="5663" hidden="1" x14ac:dyDescent="0.35"/>
    <row r="5664" hidden="1" x14ac:dyDescent="0.35"/>
    <row r="5665" hidden="1" x14ac:dyDescent="0.35"/>
    <row r="5666" hidden="1" x14ac:dyDescent="0.35"/>
    <row r="5667" hidden="1" x14ac:dyDescent="0.35"/>
    <row r="5668" hidden="1" x14ac:dyDescent="0.35"/>
    <row r="5669" hidden="1" x14ac:dyDescent="0.35"/>
    <row r="5670" hidden="1" x14ac:dyDescent="0.35"/>
    <row r="5671" hidden="1" x14ac:dyDescent="0.35"/>
    <row r="5672" hidden="1" x14ac:dyDescent="0.35"/>
    <row r="5673" hidden="1" x14ac:dyDescent="0.35"/>
    <row r="5674" hidden="1" x14ac:dyDescent="0.35"/>
    <row r="5675" hidden="1" x14ac:dyDescent="0.35"/>
    <row r="5676" hidden="1" x14ac:dyDescent="0.35"/>
    <row r="5677" hidden="1" x14ac:dyDescent="0.35"/>
    <row r="5678" hidden="1" x14ac:dyDescent="0.35"/>
    <row r="5679" hidden="1" x14ac:dyDescent="0.35"/>
    <row r="5680" hidden="1" x14ac:dyDescent="0.35"/>
    <row r="5681" hidden="1" x14ac:dyDescent="0.35"/>
    <row r="5682" hidden="1" x14ac:dyDescent="0.35"/>
    <row r="5683" hidden="1" x14ac:dyDescent="0.35"/>
    <row r="5684" hidden="1" x14ac:dyDescent="0.35"/>
    <row r="5685" hidden="1" x14ac:dyDescent="0.35"/>
    <row r="5686" hidden="1" x14ac:dyDescent="0.35"/>
    <row r="5687" hidden="1" x14ac:dyDescent="0.35"/>
    <row r="5688" hidden="1" x14ac:dyDescent="0.35"/>
    <row r="5689" hidden="1" x14ac:dyDescent="0.35"/>
    <row r="5690" hidden="1" x14ac:dyDescent="0.35"/>
    <row r="5691" hidden="1" x14ac:dyDescent="0.35"/>
    <row r="5692" hidden="1" x14ac:dyDescent="0.35"/>
    <row r="5693" hidden="1" x14ac:dyDescent="0.35"/>
    <row r="5694" hidden="1" x14ac:dyDescent="0.35"/>
    <row r="5695" hidden="1" x14ac:dyDescent="0.35"/>
    <row r="5696" hidden="1" x14ac:dyDescent="0.35"/>
    <row r="5697" hidden="1" x14ac:dyDescent="0.35"/>
    <row r="5698" hidden="1" x14ac:dyDescent="0.35"/>
    <row r="5699" hidden="1" x14ac:dyDescent="0.35"/>
    <row r="5700" hidden="1" x14ac:dyDescent="0.35"/>
    <row r="5701" hidden="1" x14ac:dyDescent="0.35"/>
    <row r="5702" hidden="1" x14ac:dyDescent="0.35"/>
    <row r="5703" hidden="1" x14ac:dyDescent="0.35"/>
    <row r="5704" hidden="1" x14ac:dyDescent="0.35"/>
    <row r="5705" hidden="1" x14ac:dyDescent="0.35"/>
    <row r="5706" hidden="1" x14ac:dyDescent="0.35"/>
    <row r="5707" hidden="1" x14ac:dyDescent="0.35"/>
    <row r="5708" hidden="1" x14ac:dyDescent="0.35"/>
    <row r="5709" hidden="1" x14ac:dyDescent="0.35"/>
    <row r="5710" hidden="1" x14ac:dyDescent="0.35"/>
    <row r="5711" hidden="1" x14ac:dyDescent="0.35"/>
    <row r="5712" hidden="1" x14ac:dyDescent="0.35"/>
    <row r="5713" hidden="1" x14ac:dyDescent="0.35"/>
    <row r="5714" hidden="1" x14ac:dyDescent="0.35"/>
    <row r="5715" hidden="1" x14ac:dyDescent="0.35"/>
    <row r="5716" hidden="1" x14ac:dyDescent="0.35"/>
    <row r="5717" hidden="1" x14ac:dyDescent="0.35"/>
    <row r="5718" hidden="1" x14ac:dyDescent="0.35"/>
    <row r="5719" hidden="1" x14ac:dyDescent="0.35"/>
    <row r="5720" hidden="1" x14ac:dyDescent="0.35"/>
    <row r="5721" hidden="1" x14ac:dyDescent="0.35"/>
    <row r="5722" hidden="1" x14ac:dyDescent="0.35"/>
    <row r="5723" hidden="1" x14ac:dyDescent="0.35"/>
    <row r="5724" hidden="1" x14ac:dyDescent="0.35"/>
    <row r="5725" hidden="1" x14ac:dyDescent="0.35"/>
    <row r="5726" hidden="1" x14ac:dyDescent="0.35"/>
    <row r="5727" hidden="1" x14ac:dyDescent="0.35"/>
    <row r="5728" hidden="1" x14ac:dyDescent="0.35"/>
    <row r="5729" hidden="1" x14ac:dyDescent="0.35"/>
    <row r="5730" hidden="1" x14ac:dyDescent="0.35"/>
    <row r="5731" hidden="1" x14ac:dyDescent="0.35"/>
    <row r="5732" hidden="1" x14ac:dyDescent="0.35"/>
    <row r="5733" hidden="1" x14ac:dyDescent="0.35"/>
    <row r="5734" hidden="1" x14ac:dyDescent="0.35"/>
    <row r="5735" hidden="1" x14ac:dyDescent="0.35"/>
    <row r="5736" hidden="1" x14ac:dyDescent="0.35"/>
    <row r="5737" hidden="1" x14ac:dyDescent="0.35"/>
    <row r="5738" hidden="1" x14ac:dyDescent="0.35"/>
    <row r="5739" hidden="1" x14ac:dyDescent="0.35"/>
    <row r="5740" hidden="1" x14ac:dyDescent="0.35"/>
    <row r="5741" hidden="1" x14ac:dyDescent="0.35"/>
    <row r="5742" hidden="1" x14ac:dyDescent="0.35"/>
    <row r="5743" hidden="1" x14ac:dyDescent="0.35"/>
    <row r="5744" hidden="1" x14ac:dyDescent="0.35"/>
    <row r="5745" hidden="1" x14ac:dyDescent="0.35"/>
    <row r="5746" hidden="1" x14ac:dyDescent="0.35"/>
    <row r="5747" hidden="1" x14ac:dyDescent="0.35"/>
    <row r="5748" hidden="1" x14ac:dyDescent="0.35"/>
    <row r="5749" hidden="1" x14ac:dyDescent="0.35"/>
    <row r="5750" hidden="1" x14ac:dyDescent="0.35"/>
    <row r="5751" hidden="1" x14ac:dyDescent="0.35"/>
    <row r="5752" hidden="1" x14ac:dyDescent="0.35"/>
    <row r="5753" hidden="1" x14ac:dyDescent="0.35"/>
    <row r="5754" hidden="1" x14ac:dyDescent="0.35"/>
    <row r="5755" hidden="1" x14ac:dyDescent="0.35"/>
    <row r="5756" hidden="1" x14ac:dyDescent="0.35"/>
    <row r="5757" hidden="1" x14ac:dyDescent="0.35"/>
    <row r="5758" hidden="1" x14ac:dyDescent="0.35"/>
    <row r="5759" hidden="1" x14ac:dyDescent="0.35"/>
    <row r="5760" hidden="1" x14ac:dyDescent="0.35"/>
    <row r="5761" hidden="1" x14ac:dyDescent="0.35"/>
    <row r="5762" hidden="1" x14ac:dyDescent="0.35"/>
    <row r="5763" hidden="1" x14ac:dyDescent="0.35"/>
    <row r="5764" hidden="1" x14ac:dyDescent="0.35"/>
    <row r="5765" hidden="1" x14ac:dyDescent="0.35"/>
    <row r="5766" hidden="1" x14ac:dyDescent="0.35"/>
    <row r="5767" hidden="1" x14ac:dyDescent="0.35"/>
    <row r="5768" hidden="1" x14ac:dyDescent="0.35"/>
    <row r="5769" hidden="1" x14ac:dyDescent="0.35"/>
    <row r="5770" hidden="1" x14ac:dyDescent="0.35"/>
    <row r="5771" hidden="1" x14ac:dyDescent="0.35"/>
    <row r="5772" hidden="1" x14ac:dyDescent="0.35"/>
    <row r="5773" hidden="1" x14ac:dyDescent="0.35"/>
    <row r="5774" hidden="1" x14ac:dyDescent="0.35"/>
    <row r="5775" hidden="1" x14ac:dyDescent="0.35"/>
    <row r="5776" hidden="1" x14ac:dyDescent="0.35"/>
    <row r="5777" hidden="1" x14ac:dyDescent="0.35"/>
    <row r="5778" hidden="1" x14ac:dyDescent="0.35"/>
    <row r="5779" hidden="1" x14ac:dyDescent="0.35"/>
    <row r="5780" hidden="1" x14ac:dyDescent="0.35"/>
    <row r="5781" hidden="1" x14ac:dyDescent="0.35"/>
    <row r="5782" hidden="1" x14ac:dyDescent="0.35"/>
    <row r="5783" hidden="1" x14ac:dyDescent="0.35"/>
    <row r="5784" hidden="1" x14ac:dyDescent="0.35"/>
    <row r="5785" hidden="1" x14ac:dyDescent="0.35"/>
    <row r="5786" hidden="1" x14ac:dyDescent="0.35"/>
    <row r="5787" hidden="1" x14ac:dyDescent="0.35"/>
    <row r="5788" hidden="1" x14ac:dyDescent="0.35"/>
    <row r="5789" hidden="1" x14ac:dyDescent="0.35"/>
    <row r="5790" hidden="1" x14ac:dyDescent="0.35"/>
    <row r="5791" hidden="1" x14ac:dyDescent="0.35"/>
    <row r="5792" hidden="1" x14ac:dyDescent="0.35"/>
    <row r="5793" hidden="1" x14ac:dyDescent="0.35"/>
    <row r="5794" hidden="1" x14ac:dyDescent="0.35"/>
    <row r="5795" hidden="1" x14ac:dyDescent="0.35"/>
    <row r="5796" hidden="1" x14ac:dyDescent="0.35"/>
    <row r="5797" hidden="1" x14ac:dyDescent="0.35"/>
    <row r="5798" hidden="1" x14ac:dyDescent="0.35"/>
    <row r="5799" hidden="1" x14ac:dyDescent="0.35"/>
    <row r="5800" hidden="1" x14ac:dyDescent="0.35"/>
    <row r="5801" hidden="1" x14ac:dyDescent="0.35"/>
    <row r="5802" hidden="1" x14ac:dyDescent="0.35"/>
    <row r="5803" hidden="1" x14ac:dyDescent="0.35"/>
    <row r="5804" hidden="1" x14ac:dyDescent="0.35"/>
    <row r="5805" hidden="1" x14ac:dyDescent="0.35"/>
    <row r="5806" hidden="1" x14ac:dyDescent="0.35"/>
    <row r="5807" hidden="1" x14ac:dyDescent="0.35"/>
    <row r="5808" hidden="1" x14ac:dyDescent="0.35"/>
    <row r="5809" hidden="1" x14ac:dyDescent="0.35"/>
    <row r="5810" hidden="1" x14ac:dyDescent="0.35"/>
    <row r="5811" hidden="1" x14ac:dyDescent="0.35"/>
    <row r="5812" hidden="1" x14ac:dyDescent="0.35"/>
    <row r="5813" hidden="1" x14ac:dyDescent="0.35"/>
    <row r="5814" hidden="1" x14ac:dyDescent="0.35"/>
    <row r="5815" hidden="1" x14ac:dyDescent="0.35"/>
    <row r="5816" hidden="1" x14ac:dyDescent="0.35"/>
    <row r="5817" hidden="1" x14ac:dyDescent="0.35"/>
    <row r="5818" hidden="1" x14ac:dyDescent="0.35"/>
    <row r="5819" hidden="1" x14ac:dyDescent="0.35"/>
    <row r="5820" hidden="1" x14ac:dyDescent="0.35"/>
    <row r="5821" hidden="1" x14ac:dyDescent="0.35"/>
    <row r="5822" hidden="1" x14ac:dyDescent="0.35"/>
    <row r="5823" hidden="1" x14ac:dyDescent="0.35"/>
    <row r="5824" hidden="1" x14ac:dyDescent="0.35"/>
    <row r="5825" hidden="1" x14ac:dyDescent="0.35"/>
    <row r="5826" hidden="1" x14ac:dyDescent="0.35"/>
    <row r="5827" hidden="1" x14ac:dyDescent="0.35"/>
    <row r="5828" hidden="1" x14ac:dyDescent="0.35"/>
    <row r="5829" hidden="1" x14ac:dyDescent="0.35"/>
    <row r="5830" hidden="1" x14ac:dyDescent="0.35"/>
    <row r="5831" hidden="1" x14ac:dyDescent="0.35"/>
    <row r="5832" hidden="1" x14ac:dyDescent="0.35"/>
    <row r="5833" hidden="1" x14ac:dyDescent="0.35"/>
    <row r="5834" hidden="1" x14ac:dyDescent="0.35"/>
    <row r="5835" hidden="1" x14ac:dyDescent="0.35"/>
    <row r="5836" hidden="1" x14ac:dyDescent="0.35"/>
    <row r="5837" hidden="1" x14ac:dyDescent="0.35"/>
    <row r="5838" hidden="1" x14ac:dyDescent="0.35"/>
    <row r="5839" hidden="1" x14ac:dyDescent="0.35"/>
    <row r="5840" hidden="1" x14ac:dyDescent="0.35"/>
    <row r="5841" hidden="1" x14ac:dyDescent="0.35"/>
    <row r="5842" hidden="1" x14ac:dyDescent="0.35"/>
    <row r="5843" hidden="1" x14ac:dyDescent="0.35"/>
    <row r="5844" hidden="1" x14ac:dyDescent="0.35"/>
    <row r="5845" hidden="1" x14ac:dyDescent="0.35"/>
    <row r="5846" hidden="1" x14ac:dyDescent="0.35"/>
    <row r="5847" hidden="1" x14ac:dyDescent="0.35"/>
    <row r="5848" hidden="1" x14ac:dyDescent="0.35"/>
    <row r="5849" hidden="1" x14ac:dyDescent="0.35"/>
    <row r="5850" hidden="1" x14ac:dyDescent="0.35"/>
    <row r="5851" hidden="1" x14ac:dyDescent="0.35"/>
    <row r="5852" hidden="1" x14ac:dyDescent="0.35"/>
    <row r="5853" hidden="1" x14ac:dyDescent="0.35"/>
    <row r="5854" hidden="1" x14ac:dyDescent="0.35"/>
    <row r="5855" hidden="1" x14ac:dyDescent="0.35"/>
    <row r="5856" hidden="1" x14ac:dyDescent="0.35"/>
    <row r="5857" hidden="1" x14ac:dyDescent="0.35"/>
    <row r="5858" hidden="1" x14ac:dyDescent="0.35"/>
    <row r="5859" hidden="1" x14ac:dyDescent="0.35"/>
    <row r="5860" hidden="1" x14ac:dyDescent="0.35"/>
    <row r="5861" hidden="1" x14ac:dyDescent="0.35"/>
    <row r="5862" hidden="1" x14ac:dyDescent="0.35"/>
    <row r="5863" hidden="1" x14ac:dyDescent="0.35"/>
    <row r="5864" hidden="1" x14ac:dyDescent="0.35"/>
    <row r="5865" hidden="1" x14ac:dyDescent="0.35"/>
    <row r="5866" hidden="1" x14ac:dyDescent="0.35"/>
    <row r="5867" hidden="1" x14ac:dyDescent="0.35"/>
    <row r="5868" hidden="1" x14ac:dyDescent="0.35"/>
    <row r="5869" hidden="1" x14ac:dyDescent="0.35"/>
    <row r="5870" hidden="1" x14ac:dyDescent="0.35"/>
    <row r="5871" hidden="1" x14ac:dyDescent="0.35"/>
    <row r="5872" hidden="1" x14ac:dyDescent="0.35"/>
    <row r="5873" hidden="1" x14ac:dyDescent="0.35"/>
    <row r="5874" hidden="1" x14ac:dyDescent="0.35"/>
    <row r="5875" hidden="1" x14ac:dyDescent="0.35"/>
    <row r="5876" hidden="1" x14ac:dyDescent="0.35"/>
    <row r="5877" hidden="1" x14ac:dyDescent="0.35"/>
    <row r="5878" hidden="1" x14ac:dyDescent="0.35"/>
    <row r="5879" hidden="1" x14ac:dyDescent="0.35"/>
    <row r="5880" hidden="1" x14ac:dyDescent="0.35"/>
    <row r="5881" hidden="1" x14ac:dyDescent="0.35"/>
    <row r="5882" hidden="1" x14ac:dyDescent="0.35"/>
    <row r="5883" hidden="1" x14ac:dyDescent="0.35"/>
    <row r="5884" hidden="1" x14ac:dyDescent="0.35"/>
    <row r="5885" hidden="1" x14ac:dyDescent="0.35"/>
    <row r="5886" hidden="1" x14ac:dyDescent="0.35"/>
    <row r="5887" hidden="1" x14ac:dyDescent="0.35"/>
    <row r="5888" hidden="1" x14ac:dyDescent="0.35"/>
    <row r="5889" hidden="1" x14ac:dyDescent="0.35"/>
    <row r="5890" hidden="1" x14ac:dyDescent="0.35"/>
    <row r="5891" hidden="1" x14ac:dyDescent="0.35"/>
    <row r="5892" hidden="1" x14ac:dyDescent="0.35"/>
    <row r="5893" hidden="1" x14ac:dyDescent="0.35"/>
    <row r="5894" hidden="1" x14ac:dyDescent="0.35"/>
    <row r="5895" hidden="1" x14ac:dyDescent="0.35"/>
    <row r="5896" hidden="1" x14ac:dyDescent="0.35"/>
    <row r="5897" hidden="1" x14ac:dyDescent="0.35"/>
    <row r="5898" hidden="1" x14ac:dyDescent="0.35"/>
    <row r="5899" hidden="1" x14ac:dyDescent="0.35"/>
    <row r="5900" hidden="1" x14ac:dyDescent="0.35"/>
    <row r="5901" hidden="1" x14ac:dyDescent="0.35"/>
    <row r="5902" hidden="1" x14ac:dyDescent="0.35"/>
    <row r="5903" hidden="1" x14ac:dyDescent="0.35"/>
    <row r="5904" hidden="1" x14ac:dyDescent="0.35"/>
    <row r="5905" hidden="1" x14ac:dyDescent="0.35"/>
    <row r="5906" hidden="1" x14ac:dyDescent="0.35"/>
    <row r="5907" hidden="1" x14ac:dyDescent="0.35"/>
    <row r="5908" hidden="1" x14ac:dyDescent="0.35"/>
    <row r="5909" hidden="1" x14ac:dyDescent="0.35"/>
    <row r="5910" hidden="1" x14ac:dyDescent="0.35"/>
    <row r="5911" hidden="1" x14ac:dyDescent="0.35"/>
    <row r="5912" hidden="1" x14ac:dyDescent="0.35"/>
    <row r="5913" hidden="1" x14ac:dyDescent="0.35"/>
    <row r="5914" hidden="1" x14ac:dyDescent="0.35"/>
    <row r="5915" hidden="1" x14ac:dyDescent="0.35"/>
    <row r="5916" hidden="1" x14ac:dyDescent="0.35"/>
    <row r="5917" hidden="1" x14ac:dyDescent="0.35"/>
    <row r="5918" hidden="1" x14ac:dyDescent="0.35"/>
    <row r="5919" hidden="1" x14ac:dyDescent="0.35"/>
    <row r="5920" hidden="1" x14ac:dyDescent="0.35"/>
    <row r="5921" hidden="1" x14ac:dyDescent="0.35"/>
    <row r="5922" hidden="1" x14ac:dyDescent="0.35"/>
    <row r="5923" hidden="1" x14ac:dyDescent="0.35"/>
    <row r="5924" hidden="1" x14ac:dyDescent="0.35"/>
    <row r="5925" hidden="1" x14ac:dyDescent="0.35"/>
    <row r="5926" hidden="1" x14ac:dyDescent="0.35"/>
    <row r="5927" hidden="1" x14ac:dyDescent="0.35"/>
    <row r="5928" hidden="1" x14ac:dyDescent="0.35"/>
    <row r="5929" hidden="1" x14ac:dyDescent="0.35"/>
    <row r="5930" hidden="1" x14ac:dyDescent="0.35"/>
    <row r="5931" hidden="1" x14ac:dyDescent="0.35"/>
    <row r="5932" hidden="1" x14ac:dyDescent="0.35"/>
    <row r="5933" hidden="1" x14ac:dyDescent="0.35"/>
    <row r="5934" hidden="1" x14ac:dyDescent="0.35"/>
    <row r="5935" hidden="1" x14ac:dyDescent="0.35"/>
    <row r="5936" hidden="1" x14ac:dyDescent="0.35"/>
    <row r="5937" hidden="1" x14ac:dyDescent="0.35"/>
    <row r="5938" hidden="1" x14ac:dyDescent="0.35"/>
    <row r="5939" hidden="1" x14ac:dyDescent="0.35"/>
    <row r="5940" hidden="1" x14ac:dyDescent="0.35"/>
    <row r="5941" hidden="1" x14ac:dyDescent="0.35"/>
    <row r="5942" hidden="1" x14ac:dyDescent="0.35"/>
    <row r="5943" hidden="1" x14ac:dyDescent="0.35"/>
    <row r="5944" hidden="1" x14ac:dyDescent="0.35"/>
    <row r="5945" hidden="1" x14ac:dyDescent="0.35"/>
    <row r="5946" hidden="1" x14ac:dyDescent="0.35"/>
    <row r="5947" hidden="1" x14ac:dyDescent="0.35"/>
    <row r="5948" hidden="1" x14ac:dyDescent="0.35"/>
    <row r="5949" hidden="1" x14ac:dyDescent="0.35"/>
    <row r="5950" hidden="1" x14ac:dyDescent="0.35"/>
    <row r="5951" hidden="1" x14ac:dyDescent="0.35"/>
    <row r="5952" hidden="1" x14ac:dyDescent="0.35"/>
    <row r="5953" hidden="1" x14ac:dyDescent="0.35"/>
    <row r="5954" hidden="1" x14ac:dyDescent="0.35"/>
    <row r="5955" hidden="1" x14ac:dyDescent="0.35"/>
    <row r="5956" hidden="1" x14ac:dyDescent="0.35"/>
    <row r="5957" hidden="1" x14ac:dyDescent="0.35"/>
    <row r="5958" hidden="1" x14ac:dyDescent="0.35"/>
    <row r="5959" hidden="1" x14ac:dyDescent="0.35"/>
    <row r="5960" hidden="1" x14ac:dyDescent="0.35"/>
    <row r="5961" hidden="1" x14ac:dyDescent="0.35"/>
    <row r="5962" hidden="1" x14ac:dyDescent="0.35"/>
    <row r="5963" hidden="1" x14ac:dyDescent="0.35"/>
    <row r="5964" hidden="1" x14ac:dyDescent="0.35"/>
    <row r="5965" hidden="1" x14ac:dyDescent="0.35"/>
    <row r="5966" hidden="1" x14ac:dyDescent="0.35"/>
    <row r="5967" hidden="1" x14ac:dyDescent="0.35"/>
    <row r="5968" hidden="1" x14ac:dyDescent="0.35"/>
    <row r="5969" hidden="1" x14ac:dyDescent="0.35"/>
    <row r="5970" hidden="1" x14ac:dyDescent="0.35"/>
    <row r="5971" hidden="1" x14ac:dyDescent="0.35"/>
    <row r="5972" hidden="1" x14ac:dyDescent="0.35"/>
    <row r="5973" hidden="1" x14ac:dyDescent="0.35"/>
    <row r="5974" hidden="1" x14ac:dyDescent="0.35"/>
    <row r="5975" hidden="1" x14ac:dyDescent="0.35"/>
    <row r="5976" hidden="1" x14ac:dyDescent="0.35"/>
    <row r="5977" hidden="1" x14ac:dyDescent="0.35"/>
    <row r="5978" hidden="1" x14ac:dyDescent="0.35"/>
    <row r="5979" hidden="1" x14ac:dyDescent="0.35"/>
    <row r="5980" hidden="1" x14ac:dyDescent="0.35"/>
    <row r="5981" hidden="1" x14ac:dyDescent="0.35"/>
    <row r="5982" hidden="1" x14ac:dyDescent="0.35"/>
    <row r="5983" hidden="1" x14ac:dyDescent="0.35"/>
    <row r="5984" hidden="1" x14ac:dyDescent="0.35"/>
    <row r="5985" hidden="1" x14ac:dyDescent="0.35"/>
    <row r="5986" hidden="1" x14ac:dyDescent="0.35"/>
    <row r="5987" hidden="1" x14ac:dyDescent="0.35"/>
    <row r="5988" hidden="1" x14ac:dyDescent="0.35"/>
    <row r="5989" hidden="1" x14ac:dyDescent="0.35"/>
    <row r="5990" hidden="1" x14ac:dyDescent="0.35"/>
    <row r="5991" hidden="1" x14ac:dyDescent="0.35"/>
    <row r="5992" hidden="1" x14ac:dyDescent="0.35"/>
    <row r="5993" hidden="1" x14ac:dyDescent="0.35"/>
    <row r="5994" hidden="1" x14ac:dyDescent="0.35"/>
    <row r="5995" hidden="1" x14ac:dyDescent="0.35"/>
    <row r="5996" hidden="1" x14ac:dyDescent="0.35"/>
    <row r="5997" hidden="1" x14ac:dyDescent="0.35"/>
    <row r="5998" hidden="1" x14ac:dyDescent="0.35"/>
    <row r="5999" hidden="1" x14ac:dyDescent="0.35"/>
    <row r="6000" hidden="1" x14ac:dyDescent="0.35"/>
    <row r="6001" hidden="1" x14ac:dyDescent="0.35"/>
    <row r="6002" hidden="1" x14ac:dyDescent="0.35"/>
    <row r="6003" hidden="1" x14ac:dyDescent="0.35"/>
    <row r="6004" hidden="1" x14ac:dyDescent="0.35"/>
    <row r="6005" hidden="1" x14ac:dyDescent="0.35"/>
    <row r="6006" hidden="1" x14ac:dyDescent="0.35"/>
    <row r="6007" hidden="1" x14ac:dyDescent="0.35"/>
    <row r="6008" hidden="1" x14ac:dyDescent="0.35"/>
    <row r="6009" hidden="1" x14ac:dyDescent="0.35"/>
    <row r="6010" hidden="1" x14ac:dyDescent="0.35"/>
    <row r="6011" hidden="1" x14ac:dyDescent="0.35"/>
    <row r="6012" hidden="1" x14ac:dyDescent="0.35"/>
    <row r="6013" hidden="1" x14ac:dyDescent="0.35"/>
    <row r="6014" hidden="1" x14ac:dyDescent="0.35"/>
    <row r="6015" hidden="1" x14ac:dyDescent="0.35"/>
    <row r="6016" hidden="1" x14ac:dyDescent="0.35"/>
    <row r="6017" hidden="1" x14ac:dyDescent="0.35"/>
    <row r="6018" hidden="1" x14ac:dyDescent="0.35"/>
    <row r="6019" hidden="1" x14ac:dyDescent="0.35"/>
    <row r="6020" hidden="1" x14ac:dyDescent="0.35"/>
    <row r="6021" hidden="1" x14ac:dyDescent="0.35"/>
    <row r="6022" hidden="1" x14ac:dyDescent="0.35"/>
    <row r="6023" hidden="1" x14ac:dyDescent="0.35"/>
    <row r="6024" hidden="1" x14ac:dyDescent="0.35"/>
    <row r="6025" hidden="1" x14ac:dyDescent="0.35"/>
    <row r="6026" hidden="1" x14ac:dyDescent="0.35"/>
    <row r="6027" hidden="1" x14ac:dyDescent="0.35"/>
    <row r="6028" hidden="1" x14ac:dyDescent="0.35"/>
    <row r="6029" hidden="1" x14ac:dyDescent="0.35"/>
    <row r="6030" hidden="1" x14ac:dyDescent="0.35"/>
    <row r="6031" hidden="1" x14ac:dyDescent="0.35"/>
    <row r="6032" hidden="1" x14ac:dyDescent="0.35"/>
    <row r="6033" hidden="1" x14ac:dyDescent="0.35"/>
    <row r="6034" hidden="1" x14ac:dyDescent="0.35"/>
    <row r="6035" hidden="1" x14ac:dyDescent="0.35"/>
    <row r="6036" hidden="1" x14ac:dyDescent="0.35"/>
    <row r="6037" hidden="1" x14ac:dyDescent="0.35"/>
    <row r="6038" hidden="1" x14ac:dyDescent="0.35"/>
    <row r="6039" hidden="1" x14ac:dyDescent="0.35"/>
    <row r="6040" hidden="1" x14ac:dyDescent="0.35"/>
    <row r="6041" hidden="1" x14ac:dyDescent="0.35"/>
    <row r="6042" hidden="1" x14ac:dyDescent="0.35"/>
    <row r="6043" hidden="1" x14ac:dyDescent="0.35"/>
    <row r="6044" hidden="1" x14ac:dyDescent="0.35"/>
    <row r="6045" hidden="1" x14ac:dyDescent="0.35"/>
    <row r="6046" hidden="1" x14ac:dyDescent="0.35"/>
    <row r="6047" hidden="1" x14ac:dyDescent="0.35"/>
    <row r="6048" hidden="1" x14ac:dyDescent="0.35"/>
    <row r="6049" hidden="1" x14ac:dyDescent="0.35"/>
    <row r="6050" hidden="1" x14ac:dyDescent="0.35"/>
    <row r="6051" hidden="1" x14ac:dyDescent="0.35"/>
    <row r="6052" hidden="1" x14ac:dyDescent="0.35"/>
    <row r="6053" hidden="1" x14ac:dyDescent="0.35"/>
    <row r="6054" hidden="1" x14ac:dyDescent="0.35"/>
    <row r="6055" hidden="1" x14ac:dyDescent="0.35"/>
    <row r="6056" hidden="1" x14ac:dyDescent="0.35"/>
    <row r="6057" hidden="1" x14ac:dyDescent="0.35"/>
    <row r="6058" hidden="1" x14ac:dyDescent="0.35"/>
    <row r="6059" hidden="1" x14ac:dyDescent="0.35"/>
    <row r="6060" hidden="1" x14ac:dyDescent="0.35"/>
    <row r="6061" hidden="1" x14ac:dyDescent="0.35"/>
    <row r="6062" hidden="1" x14ac:dyDescent="0.35"/>
    <row r="6063" hidden="1" x14ac:dyDescent="0.35"/>
    <row r="6064" hidden="1" x14ac:dyDescent="0.35"/>
    <row r="6065" hidden="1" x14ac:dyDescent="0.35"/>
    <row r="6066" hidden="1" x14ac:dyDescent="0.35"/>
    <row r="6067" hidden="1" x14ac:dyDescent="0.35"/>
    <row r="6068" hidden="1" x14ac:dyDescent="0.35"/>
    <row r="6069" hidden="1" x14ac:dyDescent="0.35"/>
    <row r="6070" hidden="1" x14ac:dyDescent="0.35"/>
    <row r="6071" hidden="1" x14ac:dyDescent="0.35"/>
    <row r="6072" hidden="1" x14ac:dyDescent="0.35"/>
    <row r="6073" hidden="1" x14ac:dyDescent="0.35"/>
    <row r="6074" hidden="1" x14ac:dyDescent="0.35"/>
    <row r="6075" hidden="1" x14ac:dyDescent="0.35"/>
    <row r="6076" hidden="1" x14ac:dyDescent="0.35"/>
    <row r="6077" hidden="1" x14ac:dyDescent="0.35"/>
    <row r="6078" hidden="1" x14ac:dyDescent="0.35"/>
    <row r="6079" hidden="1" x14ac:dyDescent="0.35"/>
    <row r="6080" hidden="1" x14ac:dyDescent="0.35"/>
    <row r="6081" hidden="1" x14ac:dyDescent="0.35"/>
    <row r="6082" hidden="1" x14ac:dyDescent="0.35"/>
    <row r="6083" hidden="1" x14ac:dyDescent="0.35"/>
    <row r="6084" hidden="1" x14ac:dyDescent="0.35"/>
    <row r="6085" hidden="1" x14ac:dyDescent="0.35"/>
    <row r="6086" hidden="1" x14ac:dyDescent="0.35"/>
    <row r="6087" hidden="1" x14ac:dyDescent="0.35"/>
    <row r="6088" hidden="1" x14ac:dyDescent="0.35"/>
    <row r="6089" hidden="1" x14ac:dyDescent="0.35"/>
    <row r="6090" hidden="1" x14ac:dyDescent="0.35"/>
    <row r="6091" hidden="1" x14ac:dyDescent="0.35"/>
    <row r="6092" hidden="1" x14ac:dyDescent="0.35"/>
    <row r="6093" hidden="1" x14ac:dyDescent="0.35"/>
    <row r="6094" hidden="1" x14ac:dyDescent="0.35"/>
    <row r="6095" hidden="1" x14ac:dyDescent="0.35"/>
    <row r="6096" hidden="1" x14ac:dyDescent="0.35"/>
    <row r="6097" hidden="1" x14ac:dyDescent="0.35"/>
    <row r="6098" hidden="1" x14ac:dyDescent="0.35"/>
    <row r="6099" hidden="1" x14ac:dyDescent="0.35"/>
    <row r="6100" hidden="1" x14ac:dyDescent="0.35"/>
    <row r="6101" hidden="1" x14ac:dyDescent="0.35"/>
    <row r="6102" hidden="1" x14ac:dyDescent="0.35"/>
    <row r="6103" hidden="1" x14ac:dyDescent="0.35"/>
    <row r="6104" hidden="1" x14ac:dyDescent="0.35"/>
    <row r="6105" hidden="1" x14ac:dyDescent="0.35"/>
    <row r="6106" hidden="1" x14ac:dyDescent="0.35"/>
    <row r="6107" hidden="1" x14ac:dyDescent="0.35"/>
    <row r="6108" hidden="1" x14ac:dyDescent="0.35"/>
    <row r="6109" hidden="1" x14ac:dyDescent="0.35"/>
    <row r="6110" hidden="1" x14ac:dyDescent="0.35"/>
    <row r="6111" hidden="1" x14ac:dyDescent="0.35"/>
    <row r="6112" hidden="1" x14ac:dyDescent="0.35"/>
    <row r="6113" hidden="1" x14ac:dyDescent="0.35"/>
    <row r="6114" hidden="1" x14ac:dyDescent="0.35"/>
    <row r="6115" hidden="1" x14ac:dyDescent="0.35"/>
    <row r="6116" hidden="1" x14ac:dyDescent="0.35"/>
    <row r="6117" hidden="1" x14ac:dyDescent="0.35"/>
    <row r="6118" hidden="1" x14ac:dyDescent="0.35"/>
    <row r="6119" hidden="1" x14ac:dyDescent="0.35"/>
    <row r="6120" hidden="1" x14ac:dyDescent="0.35"/>
    <row r="6121" hidden="1" x14ac:dyDescent="0.35"/>
    <row r="6122" hidden="1" x14ac:dyDescent="0.35"/>
    <row r="6123" hidden="1" x14ac:dyDescent="0.35"/>
    <row r="6124" hidden="1" x14ac:dyDescent="0.35"/>
    <row r="6125" hidden="1" x14ac:dyDescent="0.35"/>
    <row r="6126" hidden="1" x14ac:dyDescent="0.35"/>
    <row r="6127" hidden="1" x14ac:dyDescent="0.35"/>
    <row r="6128" hidden="1" x14ac:dyDescent="0.35"/>
    <row r="6129" hidden="1" x14ac:dyDescent="0.35"/>
    <row r="6130" hidden="1" x14ac:dyDescent="0.35"/>
    <row r="6131" hidden="1" x14ac:dyDescent="0.35"/>
    <row r="6132" hidden="1" x14ac:dyDescent="0.35"/>
    <row r="6133" hidden="1" x14ac:dyDescent="0.35"/>
    <row r="6134" hidden="1" x14ac:dyDescent="0.35"/>
    <row r="6135" hidden="1" x14ac:dyDescent="0.35"/>
    <row r="6136" hidden="1" x14ac:dyDescent="0.35"/>
    <row r="6137" hidden="1" x14ac:dyDescent="0.35"/>
    <row r="6138" hidden="1" x14ac:dyDescent="0.35"/>
    <row r="6139" hidden="1" x14ac:dyDescent="0.35"/>
    <row r="6140" hidden="1" x14ac:dyDescent="0.35"/>
    <row r="6141" hidden="1" x14ac:dyDescent="0.35"/>
    <row r="6142" hidden="1" x14ac:dyDescent="0.35"/>
    <row r="6143" hidden="1" x14ac:dyDescent="0.35"/>
    <row r="6144" hidden="1" x14ac:dyDescent="0.35"/>
    <row r="6145" hidden="1" x14ac:dyDescent="0.35"/>
    <row r="6146" hidden="1" x14ac:dyDescent="0.35"/>
    <row r="6147" hidden="1" x14ac:dyDescent="0.35"/>
    <row r="6148" hidden="1" x14ac:dyDescent="0.35"/>
    <row r="6149" hidden="1" x14ac:dyDescent="0.35"/>
    <row r="6150" hidden="1" x14ac:dyDescent="0.35"/>
    <row r="6151" hidden="1" x14ac:dyDescent="0.35"/>
    <row r="6152" hidden="1" x14ac:dyDescent="0.35"/>
    <row r="6153" hidden="1" x14ac:dyDescent="0.35"/>
    <row r="6154" hidden="1" x14ac:dyDescent="0.35"/>
    <row r="6155" hidden="1" x14ac:dyDescent="0.35"/>
    <row r="6156" hidden="1" x14ac:dyDescent="0.35"/>
    <row r="6157" hidden="1" x14ac:dyDescent="0.35"/>
    <row r="6158" hidden="1" x14ac:dyDescent="0.35"/>
    <row r="6159" hidden="1" x14ac:dyDescent="0.35"/>
    <row r="6160" hidden="1" x14ac:dyDescent="0.35"/>
    <row r="6161" hidden="1" x14ac:dyDescent="0.35"/>
    <row r="6162" hidden="1" x14ac:dyDescent="0.35"/>
    <row r="6163" hidden="1" x14ac:dyDescent="0.35"/>
    <row r="6164" hidden="1" x14ac:dyDescent="0.35"/>
    <row r="6165" hidden="1" x14ac:dyDescent="0.35"/>
    <row r="6166" hidden="1" x14ac:dyDescent="0.35"/>
    <row r="6167" hidden="1" x14ac:dyDescent="0.35"/>
    <row r="6168" hidden="1" x14ac:dyDescent="0.35"/>
    <row r="6169" hidden="1" x14ac:dyDescent="0.35"/>
    <row r="6170" hidden="1" x14ac:dyDescent="0.35"/>
    <row r="6171" hidden="1" x14ac:dyDescent="0.35"/>
    <row r="6172" hidden="1" x14ac:dyDescent="0.35"/>
    <row r="6173" hidden="1" x14ac:dyDescent="0.35"/>
    <row r="6174" hidden="1" x14ac:dyDescent="0.35"/>
    <row r="6175" hidden="1" x14ac:dyDescent="0.35"/>
    <row r="6176" hidden="1" x14ac:dyDescent="0.35"/>
    <row r="6177" hidden="1" x14ac:dyDescent="0.35"/>
    <row r="6178" hidden="1" x14ac:dyDescent="0.35"/>
    <row r="6179" hidden="1" x14ac:dyDescent="0.35"/>
    <row r="6180" hidden="1" x14ac:dyDescent="0.35"/>
    <row r="6181" hidden="1" x14ac:dyDescent="0.35"/>
    <row r="6182" hidden="1" x14ac:dyDescent="0.35"/>
    <row r="6183" hidden="1" x14ac:dyDescent="0.35"/>
    <row r="6184" hidden="1" x14ac:dyDescent="0.35"/>
    <row r="6185" hidden="1" x14ac:dyDescent="0.35"/>
    <row r="6186" hidden="1" x14ac:dyDescent="0.35"/>
    <row r="6187" hidden="1" x14ac:dyDescent="0.35"/>
    <row r="6188" hidden="1" x14ac:dyDescent="0.35"/>
    <row r="6189" hidden="1" x14ac:dyDescent="0.35"/>
    <row r="6190" hidden="1" x14ac:dyDescent="0.35"/>
    <row r="6191" hidden="1" x14ac:dyDescent="0.35"/>
    <row r="6192" hidden="1" x14ac:dyDescent="0.35"/>
    <row r="6193" hidden="1" x14ac:dyDescent="0.35"/>
    <row r="6194" hidden="1" x14ac:dyDescent="0.35"/>
    <row r="6195" hidden="1" x14ac:dyDescent="0.35"/>
    <row r="6196" hidden="1" x14ac:dyDescent="0.35"/>
    <row r="6197" hidden="1" x14ac:dyDescent="0.35"/>
    <row r="6198" hidden="1" x14ac:dyDescent="0.35"/>
    <row r="6199" hidden="1" x14ac:dyDescent="0.35"/>
    <row r="6200" hidden="1" x14ac:dyDescent="0.35"/>
    <row r="6201" hidden="1" x14ac:dyDescent="0.35"/>
    <row r="6202" hidden="1" x14ac:dyDescent="0.35"/>
    <row r="6203" hidden="1" x14ac:dyDescent="0.35"/>
    <row r="6204" hidden="1" x14ac:dyDescent="0.35"/>
    <row r="6205" hidden="1" x14ac:dyDescent="0.35"/>
    <row r="6206" hidden="1" x14ac:dyDescent="0.35"/>
    <row r="6207" hidden="1" x14ac:dyDescent="0.35"/>
    <row r="6208" hidden="1" x14ac:dyDescent="0.35"/>
    <row r="6209" hidden="1" x14ac:dyDescent="0.35"/>
    <row r="6210" hidden="1" x14ac:dyDescent="0.35"/>
    <row r="6211" hidden="1" x14ac:dyDescent="0.35"/>
    <row r="6212" hidden="1" x14ac:dyDescent="0.35"/>
    <row r="6213" hidden="1" x14ac:dyDescent="0.35"/>
    <row r="6214" hidden="1" x14ac:dyDescent="0.35"/>
    <row r="6215" hidden="1" x14ac:dyDescent="0.35"/>
    <row r="6216" hidden="1" x14ac:dyDescent="0.35"/>
    <row r="6217" hidden="1" x14ac:dyDescent="0.35"/>
    <row r="6218" hidden="1" x14ac:dyDescent="0.35"/>
    <row r="6219" hidden="1" x14ac:dyDescent="0.35"/>
    <row r="6220" hidden="1" x14ac:dyDescent="0.35"/>
    <row r="6221" hidden="1" x14ac:dyDescent="0.35"/>
    <row r="6222" hidden="1" x14ac:dyDescent="0.35"/>
    <row r="6223" hidden="1" x14ac:dyDescent="0.35"/>
    <row r="6224" hidden="1" x14ac:dyDescent="0.35"/>
    <row r="6225" hidden="1" x14ac:dyDescent="0.35"/>
    <row r="6226" hidden="1" x14ac:dyDescent="0.35"/>
    <row r="6227" hidden="1" x14ac:dyDescent="0.35"/>
    <row r="6228" hidden="1" x14ac:dyDescent="0.35"/>
    <row r="6229" hidden="1" x14ac:dyDescent="0.35"/>
    <row r="6230" hidden="1" x14ac:dyDescent="0.35"/>
    <row r="6231" hidden="1" x14ac:dyDescent="0.35"/>
    <row r="6232" hidden="1" x14ac:dyDescent="0.35"/>
    <row r="6233" hidden="1" x14ac:dyDescent="0.35"/>
    <row r="6234" hidden="1" x14ac:dyDescent="0.35"/>
    <row r="6235" hidden="1" x14ac:dyDescent="0.35"/>
    <row r="6236" hidden="1" x14ac:dyDescent="0.35"/>
    <row r="6237" hidden="1" x14ac:dyDescent="0.35"/>
    <row r="6238" hidden="1" x14ac:dyDescent="0.35"/>
    <row r="6239" hidden="1" x14ac:dyDescent="0.35"/>
    <row r="6240" hidden="1" x14ac:dyDescent="0.35"/>
    <row r="6241" hidden="1" x14ac:dyDescent="0.35"/>
    <row r="6242" hidden="1" x14ac:dyDescent="0.35"/>
    <row r="6243" hidden="1" x14ac:dyDescent="0.35"/>
    <row r="6244" hidden="1" x14ac:dyDescent="0.35"/>
    <row r="6245" hidden="1" x14ac:dyDescent="0.35"/>
    <row r="6246" hidden="1" x14ac:dyDescent="0.35"/>
    <row r="6247" hidden="1" x14ac:dyDescent="0.35"/>
    <row r="6248" hidden="1" x14ac:dyDescent="0.35"/>
    <row r="6249" hidden="1" x14ac:dyDescent="0.35"/>
    <row r="6250" hidden="1" x14ac:dyDescent="0.35"/>
    <row r="6251" hidden="1" x14ac:dyDescent="0.35"/>
    <row r="6252" hidden="1" x14ac:dyDescent="0.35"/>
    <row r="6253" hidden="1" x14ac:dyDescent="0.35"/>
    <row r="6254" hidden="1" x14ac:dyDescent="0.35"/>
    <row r="6255" hidden="1" x14ac:dyDescent="0.35"/>
    <row r="6256" hidden="1" x14ac:dyDescent="0.35"/>
    <row r="6257" hidden="1" x14ac:dyDescent="0.35"/>
    <row r="6258" hidden="1" x14ac:dyDescent="0.35"/>
    <row r="6259" hidden="1" x14ac:dyDescent="0.35"/>
    <row r="6260" hidden="1" x14ac:dyDescent="0.35"/>
    <row r="6261" hidden="1" x14ac:dyDescent="0.35"/>
    <row r="6262" hidden="1" x14ac:dyDescent="0.35"/>
    <row r="6263" hidden="1" x14ac:dyDescent="0.35"/>
    <row r="6264" hidden="1" x14ac:dyDescent="0.35"/>
    <row r="6265" hidden="1" x14ac:dyDescent="0.35"/>
    <row r="6266" hidden="1" x14ac:dyDescent="0.35"/>
    <row r="6267" hidden="1" x14ac:dyDescent="0.35"/>
    <row r="6268" hidden="1" x14ac:dyDescent="0.35"/>
    <row r="6269" hidden="1" x14ac:dyDescent="0.35"/>
    <row r="6270" hidden="1" x14ac:dyDescent="0.35"/>
    <row r="6271" hidden="1" x14ac:dyDescent="0.35"/>
    <row r="6272" hidden="1" x14ac:dyDescent="0.35"/>
    <row r="6273" hidden="1" x14ac:dyDescent="0.35"/>
    <row r="6274" hidden="1" x14ac:dyDescent="0.35"/>
    <row r="6275" hidden="1" x14ac:dyDescent="0.35"/>
    <row r="6276" hidden="1" x14ac:dyDescent="0.35"/>
    <row r="6277" hidden="1" x14ac:dyDescent="0.35"/>
    <row r="6278" hidden="1" x14ac:dyDescent="0.35"/>
    <row r="6279" hidden="1" x14ac:dyDescent="0.35"/>
    <row r="6280" hidden="1" x14ac:dyDescent="0.35"/>
    <row r="6281" hidden="1" x14ac:dyDescent="0.35"/>
    <row r="6282" hidden="1" x14ac:dyDescent="0.35"/>
    <row r="6283" hidden="1" x14ac:dyDescent="0.35"/>
    <row r="6284" hidden="1" x14ac:dyDescent="0.35"/>
    <row r="6285" hidden="1" x14ac:dyDescent="0.35"/>
    <row r="6286" hidden="1" x14ac:dyDescent="0.35"/>
    <row r="6287" hidden="1" x14ac:dyDescent="0.35"/>
    <row r="6288" hidden="1" x14ac:dyDescent="0.35"/>
    <row r="6289" hidden="1" x14ac:dyDescent="0.35"/>
    <row r="6290" hidden="1" x14ac:dyDescent="0.35"/>
    <row r="6291" hidden="1" x14ac:dyDescent="0.35"/>
    <row r="6292" hidden="1" x14ac:dyDescent="0.35"/>
    <row r="6293" hidden="1" x14ac:dyDescent="0.35"/>
    <row r="6294" hidden="1" x14ac:dyDescent="0.35"/>
    <row r="6295" hidden="1" x14ac:dyDescent="0.35"/>
    <row r="6296" hidden="1" x14ac:dyDescent="0.35"/>
    <row r="6297" hidden="1" x14ac:dyDescent="0.35"/>
    <row r="6298" hidden="1" x14ac:dyDescent="0.35"/>
    <row r="6299" hidden="1" x14ac:dyDescent="0.35"/>
    <row r="6300" hidden="1" x14ac:dyDescent="0.35"/>
    <row r="6301" hidden="1" x14ac:dyDescent="0.35"/>
    <row r="6302" hidden="1" x14ac:dyDescent="0.35"/>
    <row r="6303" hidden="1" x14ac:dyDescent="0.35"/>
    <row r="6304" hidden="1" x14ac:dyDescent="0.35"/>
    <row r="6305" hidden="1" x14ac:dyDescent="0.35"/>
    <row r="6306" hidden="1" x14ac:dyDescent="0.35"/>
    <row r="6307" hidden="1" x14ac:dyDescent="0.35"/>
    <row r="6308" hidden="1" x14ac:dyDescent="0.35"/>
    <row r="6309" hidden="1" x14ac:dyDescent="0.35"/>
    <row r="6310" hidden="1" x14ac:dyDescent="0.35"/>
    <row r="6311" hidden="1" x14ac:dyDescent="0.35"/>
    <row r="6312" hidden="1" x14ac:dyDescent="0.35"/>
    <row r="6313" hidden="1" x14ac:dyDescent="0.35"/>
    <row r="6314" hidden="1" x14ac:dyDescent="0.35"/>
    <row r="6315" hidden="1" x14ac:dyDescent="0.35"/>
    <row r="6316" hidden="1" x14ac:dyDescent="0.35"/>
    <row r="6317" hidden="1" x14ac:dyDescent="0.35"/>
    <row r="6318" hidden="1" x14ac:dyDescent="0.35"/>
    <row r="6319" hidden="1" x14ac:dyDescent="0.35"/>
    <row r="6320" hidden="1" x14ac:dyDescent="0.35"/>
    <row r="6321" hidden="1" x14ac:dyDescent="0.35"/>
    <row r="6322" hidden="1" x14ac:dyDescent="0.35"/>
    <row r="6323" hidden="1" x14ac:dyDescent="0.35"/>
    <row r="6324" hidden="1" x14ac:dyDescent="0.35"/>
    <row r="6325" hidden="1" x14ac:dyDescent="0.35"/>
    <row r="6326" hidden="1" x14ac:dyDescent="0.35"/>
    <row r="6327" hidden="1" x14ac:dyDescent="0.35"/>
    <row r="6328" hidden="1" x14ac:dyDescent="0.35"/>
    <row r="6329" hidden="1" x14ac:dyDescent="0.35"/>
    <row r="6330" hidden="1" x14ac:dyDescent="0.35"/>
    <row r="6331" hidden="1" x14ac:dyDescent="0.35"/>
    <row r="6332" hidden="1" x14ac:dyDescent="0.35"/>
    <row r="6333" hidden="1" x14ac:dyDescent="0.35"/>
    <row r="6334" hidden="1" x14ac:dyDescent="0.35"/>
    <row r="6335" hidden="1" x14ac:dyDescent="0.35"/>
    <row r="6336" hidden="1" x14ac:dyDescent="0.35"/>
    <row r="6337" hidden="1" x14ac:dyDescent="0.35"/>
    <row r="6338" hidden="1" x14ac:dyDescent="0.35"/>
    <row r="6339" hidden="1" x14ac:dyDescent="0.35"/>
    <row r="6340" hidden="1" x14ac:dyDescent="0.35"/>
    <row r="6341" hidden="1" x14ac:dyDescent="0.35"/>
    <row r="6342" hidden="1" x14ac:dyDescent="0.35"/>
    <row r="6343" hidden="1" x14ac:dyDescent="0.35"/>
    <row r="6344" hidden="1" x14ac:dyDescent="0.35"/>
    <row r="6345" hidden="1" x14ac:dyDescent="0.35"/>
    <row r="6346" hidden="1" x14ac:dyDescent="0.35"/>
    <row r="6347" hidden="1" x14ac:dyDescent="0.35"/>
    <row r="6348" hidden="1" x14ac:dyDescent="0.35"/>
    <row r="6349" hidden="1" x14ac:dyDescent="0.35"/>
    <row r="6350" hidden="1" x14ac:dyDescent="0.35"/>
    <row r="6351" hidden="1" x14ac:dyDescent="0.35"/>
    <row r="6352" hidden="1" x14ac:dyDescent="0.35"/>
    <row r="6353" hidden="1" x14ac:dyDescent="0.35"/>
    <row r="6354" hidden="1" x14ac:dyDescent="0.35"/>
    <row r="6355" hidden="1" x14ac:dyDescent="0.35"/>
    <row r="6356" hidden="1" x14ac:dyDescent="0.35"/>
    <row r="6357" hidden="1" x14ac:dyDescent="0.35"/>
    <row r="6358" hidden="1" x14ac:dyDescent="0.35"/>
    <row r="6359" hidden="1" x14ac:dyDescent="0.35"/>
    <row r="6360" hidden="1" x14ac:dyDescent="0.35"/>
    <row r="6361" hidden="1" x14ac:dyDescent="0.35"/>
    <row r="6362" hidden="1" x14ac:dyDescent="0.35"/>
    <row r="6363" hidden="1" x14ac:dyDescent="0.35"/>
    <row r="6364" hidden="1" x14ac:dyDescent="0.35"/>
    <row r="6365" hidden="1" x14ac:dyDescent="0.35"/>
    <row r="6366" hidden="1" x14ac:dyDescent="0.35"/>
    <row r="6367" hidden="1" x14ac:dyDescent="0.35"/>
    <row r="6368" hidden="1" x14ac:dyDescent="0.35"/>
    <row r="6369" hidden="1" x14ac:dyDescent="0.35"/>
    <row r="6370" hidden="1" x14ac:dyDescent="0.35"/>
    <row r="6371" hidden="1" x14ac:dyDescent="0.35"/>
    <row r="6372" hidden="1" x14ac:dyDescent="0.35"/>
    <row r="6373" hidden="1" x14ac:dyDescent="0.35"/>
    <row r="6374" hidden="1" x14ac:dyDescent="0.35"/>
    <row r="6375" hidden="1" x14ac:dyDescent="0.35"/>
    <row r="6376" hidden="1" x14ac:dyDescent="0.35"/>
    <row r="6377" hidden="1" x14ac:dyDescent="0.35"/>
    <row r="6378" hidden="1" x14ac:dyDescent="0.35"/>
    <row r="6379" hidden="1" x14ac:dyDescent="0.35"/>
    <row r="6380" hidden="1" x14ac:dyDescent="0.35"/>
    <row r="6381" hidden="1" x14ac:dyDescent="0.35"/>
    <row r="6382" hidden="1" x14ac:dyDescent="0.35"/>
    <row r="6383" hidden="1" x14ac:dyDescent="0.35"/>
    <row r="6384" hidden="1" x14ac:dyDescent="0.35"/>
    <row r="6385" hidden="1" x14ac:dyDescent="0.35"/>
    <row r="6386" hidden="1" x14ac:dyDescent="0.35"/>
    <row r="6387" hidden="1" x14ac:dyDescent="0.35"/>
    <row r="6388" hidden="1" x14ac:dyDescent="0.35"/>
    <row r="6389" hidden="1" x14ac:dyDescent="0.35"/>
    <row r="6390" hidden="1" x14ac:dyDescent="0.35"/>
    <row r="6391" hidden="1" x14ac:dyDescent="0.35"/>
    <row r="6392" hidden="1" x14ac:dyDescent="0.35"/>
    <row r="6393" hidden="1" x14ac:dyDescent="0.35"/>
    <row r="6394" hidden="1" x14ac:dyDescent="0.35"/>
    <row r="6395" hidden="1" x14ac:dyDescent="0.35"/>
    <row r="6396" hidden="1" x14ac:dyDescent="0.35"/>
    <row r="6397" hidden="1" x14ac:dyDescent="0.35"/>
    <row r="6398" hidden="1" x14ac:dyDescent="0.35"/>
    <row r="6399" hidden="1" x14ac:dyDescent="0.35"/>
    <row r="6400" hidden="1" x14ac:dyDescent="0.35"/>
    <row r="6401" hidden="1" x14ac:dyDescent="0.35"/>
    <row r="6402" hidden="1" x14ac:dyDescent="0.35"/>
    <row r="6403" hidden="1" x14ac:dyDescent="0.35"/>
    <row r="6404" hidden="1" x14ac:dyDescent="0.35"/>
    <row r="6405" hidden="1" x14ac:dyDescent="0.35"/>
    <row r="6406" hidden="1" x14ac:dyDescent="0.35"/>
    <row r="6407" hidden="1" x14ac:dyDescent="0.35"/>
    <row r="6408" hidden="1" x14ac:dyDescent="0.35"/>
    <row r="6409" hidden="1" x14ac:dyDescent="0.35"/>
    <row r="6410" hidden="1" x14ac:dyDescent="0.35"/>
    <row r="6411" hidden="1" x14ac:dyDescent="0.35"/>
    <row r="6412" hidden="1" x14ac:dyDescent="0.35"/>
    <row r="6413" hidden="1" x14ac:dyDescent="0.35"/>
    <row r="6414" hidden="1" x14ac:dyDescent="0.35"/>
    <row r="6415" hidden="1" x14ac:dyDescent="0.35"/>
    <row r="6416" hidden="1" x14ac:dyDescent="0.35"/>
    <row r="6417" hidden="1" x14ac:dyDescent="0.35"/>
    <row r="6418" hidden="1" x14ac:dyDescent="0.35"/>
    <row r="6419" hidden="1" x14ac:dyDescent="0.35"/>
    <row r="6420" hidden="1" x14ac:dyDescent="0.35"/>
    <row r="6421" hidden="1" x14ac:dyDescent="0.35"/>
    <row r="6422" hidden="1" x14ac:dyDescent="0.35"/>
    <row r="6423" hidden="1" x14ac:dyDescent="0.35"/>
    <row r="6424" hidden="1" x14ac:dyDescent="0.35"/>
    <row r="6425" hidden="1" x14ac:dyDescent="0.35"/>
    <row r="6426" hidden="1" x14ac:dyDescent="0.35"/>
    <row r="6427" hidden="1" x14ac:dyDescent="0.35"/>
    <row r="6428" hidden="1" x14ac:dyDescent="0.35"/>
    <row r="6429" hidden="1" x14ac:dyDescent="0.35"/>
    <row r="6430" hidden="1" x14ac:dyDescent="0.35"/>
    <row r="6431" hidden="1" x14ac:dyDescent="0.35"/>
    <row r="6432" hidden="1" x14ac:dyDescent="0.35"/>
    <row r="6433" hidden="1" x14ac:dyDescent="0.35"/>
    <row r="6434" hidden="1" x14ac:dyDescent="0.35"/>
    <row r="6435" hidden="1" x14ac:dyDescent="0.35"/>
    <row r="6436" hidden="1" x14ac:dyDescent="0.35"/>
    <row r="6437" hidden="1" x14ac:dyDescent="0.35"/>
    <row r="6438" hidden="1" x14ac:dyDescent="0.35"/>
    <row r="6439" hidden="1" x14ac:dyDescent="0.35"/>
    <row r="6440" hidden="1" x14ac:dyDescent="0.35"/>
    <row r="6441" hidden="1" x14ac:dyDescent="0.35"/>
    <row r="6442" hidden="1" x14ac:dyDescent="0.35"/>
    <row r="6443" hidden="1" x14ac:dyDescent="0.35"/>
    <row r="6444" hidden="1" x14ac:dyDescent="0.35"/>
    <row r="6445" hidden="1" x14ac:dyDescent="0.35"/>
    <row r="6446" hidden="1" x14ac:dyDescent="0.35"/>
    <row r="6447" hidden="1" x14ac:dyDescent="0.35"/>
    <row r="6448" hidden="1" x14ac:dyDescent="0.35"/>
    <row r="6449" hidden="1" x14ac:dyDescent="0.35"/>
    <row r="6450" hidden="1" x14ac:dyDescent="0.35"/>
    <row r="6451" hidden="1" x14ac:dyDescent="0.35"/>
    <row r="6452" hidden="1" x14ac:dyDescent="0.35"/>
    <row r="6453" hidden="1" x14ac:dyDescent="0.35"/>
    <row r="6454" hidden="1" x14ac:dyDescent="0.35"/>
    <row r="6455" hidden="1" x14ac:dyDescent="0.35"/>
    <row r="6456" hidden="1" x14ac:dyDescent="0.35"/>
    <row r="6457" hidden="1" x14ac:dyDescent="0.35"/>
    <row r="6458" hidden="1" x14ac:dyDescent="0.35"/>
    <row r="6459" hidden="1" x14ac:dyDescent="0.35"/>
    <row r="6460" hidden="1" x14ac:dyDescent="0.35"/>
    <row r="6461" hidden="1" x14ac:dyDescent="0.35"/>
    <row r="6462" hidden="1" x14ac:dyDescent="0.35"/>
    <row r="6463" hidden="1" x14ac:dyDescent="0.35"/>
    <row r="6464" hidden="1" x14ac:dyDescent="0.35"/>
    <row r="6465" hidden="1" x14ac:dyDescent="0.35"/>
    <row r="6466" hidden="1" x14ac:dyDescent="0.35"/>
    <row r="6467" hidden="1" x14ac:dyDescent="0.35"/>
    <row r="6468" hidden="1" x14ac:dyDescent="0.35"/>
    <row r="6469" hidden="1" x14ac:dyDescent="0.35"/>
    <row r="6470" hidden="1" x14ac:dyDescent="0.35"/>
    <row r="6471" hidden="1" x14ac:dyDescent="0.35"/>
    <row r="6472" hidden="1" x14ac:dyDescent="0.35"/>
    <row r="6473" hidden="1" x14ac:dyDescent="0.35"/>
    <row r="6474" hidden="1" x14ac:dyDescent="0.35"/>
    <row r="6475" hidden="1" x14ac:dyDescent="0.35"/>
    <row r="6476" hidden="1" x14ac:dyDescent="0.35"/>
    <row r="6477" hidden="1" x14ac:dyDescent="0.35"/>
    <row r="6478" hidden="1" x14ac:dyDescent="0.35"/>
    <row r="6479" hidden="1" x14ac:dyDescent="0.35"/>
    <row r="6480" hidden="1" x14ac:dyDescent="0.35"/>
    <row r="6481" hidden="1" x14ac:dyDescent="0.35"/>
    <row r="6482" hidden="1" x14ac:dyDescent="0.35"/>
    <row r="6483" hidden="1" x14ac:dyDescent="0.35"/>
    <row r="6484" hidden="1" x14ac:dyDescent="0.35"/>
    <row r="6485" hidden="1" x14ac:dyDescent="0.35"/>
    <row r="6486" hidden="1" x14ac:dyDescent="0.35"/>
    <row r="6487" hidden="1" x14ac:dyDescent="0.35"/>
    <row r="6488" hidden="1" x14ac:dyDescent="0.35"/>
    <row r="6489" hidden="1" x14ac:dyDescent="0.35"/>
    <row r="6490" hidden="1" x14ac:dyDescent="0.35"/>
    <row r="6491" hidden="1" x14ac:dyDescent="0.35"/>
    <row r="6492" hidden="1" x14ac:dyDescent="0.35"/>
    <row r="6493" hidden="1" x14ac:dyDescent="0.35"/>
    <row r="6494" hidden="1" x14ac:dyDescent="0.35"/>
    <row r="6495" hidden="1" x14ac:dyDescent="0.35"/>
    <row r="6496" hidden="1" x14ac:dyDescent="0.35"/>
    <row r="6497" hidden="1" x14ac:dyDescent="0.35"/>
    <row r="6498" hidden="1" x14ac:dyDescent="0.35"/>
    <row r="6499" hidden="1" x14ac:dyDescent="0.35"/>
    <row r="6500" hidden="1" x14ac:dyDescent="0.35"/>
    <row r="6501" hidden="1" x14ac:dyDescent="0.35"/>
    <row r="6502" hidden="1" x14ac:dyDescent="0.35"/>
    <row r="6503" hidden="1" x14ac:dyDescent="0.35"/>
    <row r="6504" hidden="1" x14ac:dyDescent="0.35"/>
    <row r="6505" hidden="1" x14ac:dyDescent="0.35"/>
    <row r="6506" hidden="1" x14ac:dyDescent="0.35"/>
    <row r="6507" hidden="1" x14ac:dyDescent="0.35"/>
    <row r="6508" hidden="1" x14ac:dyDescent="0.35"/>
    <row r="6509" hidden="1" x14ac:dyDescent="0.35"/>
    <row r="6510" hidden="1" x14ac:dyDescent="0.35"/>
    <row r="6511" hidden="1" x14ac:dyDescent="0.35"/>
    <row r="6512" hidden="1" x14ac:dyDescent="0.35"/>
    <row r="6513" hidden="1" x14ac:dyDescent="0.35"/>
    <row r="6514" hidden="1" x14ac:dyDescent="0.35"/>
    <row r="6515" hidden="1" x14ac:dyDescent="0.35"/>
    <row r="6516" hidden="1" x14ac:dyDescent="0.35"/>
    <row r="6517" hidden="1" x14ac:dyDescent="0.35"/>
    <row r="6518" hidden="1" x14ac:dyDescent="0.35"/>
    <row r="6519" hidden="1" x14ac:dyDescent="0.35"/>
    <row r="6520" hidden="1" x14ac:dyDescent="0.35"/>
    <row r="6521" hidden="1" x14ac:dyDescent="0.35"/>
    <row r="6522" hidden="1" x14ac:dyDescent="0.35"/>
    <row r="6523" hidden="1" x14ac:dyDescent="0.35"/>
    <row r="6524" hidden="1" x14ac:dyDescent="0.35"/>
    <row r="6525" hidden="1" x14ac:dyDescent="0.35"/>
    <row r="6526" hidden="1" x14ac:dyDescent="0.35"/>
    <row r="6527" hidden="1" x14ac:dyDescent="0.35"/>
    <row r="6528" hidden="1" x14ac:dyDescent="0.35"/>
    <row r="6529" hidden="1" x14ac:dyDescent="0.35"/>
    <row r="6530" hidden="1" x14ac:dyDescent="0.35"/>
    <row r="6531" hidden="1" x14ac:dyDescent="0.35"/>
    <row r="6532" hidden="1" x14ac:dyDescent="0.35"/>
    <row r="6533" hidden="1" x14ac:dyDescent="0.35"/>
    <row r="6534" hidden="1" x14ac:dyDescent="0.35"/>
    <row r="6535" hidden="1" x14ac:dyDescent="0.35"/>
    <row r="6536" hidden="1" x14ac:dyDescent="0.35"/>
    <row r="6537" hidden="1" x14ac:dyDescent="0.35"/>
    <row r="6538" hidden="1" x14ac:dyDescent="0.35"/>
    <row r="6539" hidden="1" x14ac:dyDescent="0.35"/>
    <row r="6540" hidden="1" x14ac:dyDescent="0.35"/>
    <row r="6541" hidden="1" x14ac:dyDescent="0.35"/>
    <row r="6542" hidden="1" x14ac:dyDescent="0.35"/>
    <row r="6543" hidden="1" x14ac:dyDescent="0.35"/>
    <row r="6544" hidden="1" x14ac:dyDescent="0.35"/>
    <row r="6545" hidden="1" x14ac:dyDescent="0.35"/>
    <row r="6546" hidden="1" x14ac:dyDescent="0.35"/>
    <row r="6547" hidden="1" x14ac:dyDescent="0.35"/>
    <row r="6548" hidden="1" x14ac:dyDescent="0.35"/>
    <row r="6549" hidden="1" x14ac:dyDescent="0.35"/>
    <row r="6550" hidden="1" x14ac:dyDescent="0.35"/>
    <row r="6551" hidden="1" x14ac:dyDescent="0.35"/>
    <row r="6552" hidden="1" x14ac:dyDescent="0.35"/>
    <row r="6553" hidden="1" x14ac:dyDescent="0.35"/>
    <row r="6554" hidden="1" x14ac:dyDescent="0.35"/>
    <row r="6555" hidden="1" x14ac:dyDescent="0.35"/>
    <row r="6556" hidden="1" x14ac:dyDescent="0.35"/>
    <row r="6557" hidden="1" x14ac:dyDescent="0.35"/>
    <row r="6558" hidden="1" x14ac:dyDescent="0.35"/>
    <row r="6559" hidden="1" x14ac:dyDescent="0.35"/>
    <row r="6560" hidden="1" x14ac:dyDescent="0.35"/>
    <row r="6561" hidden="1" x14ac:dyDescent="0.35"/>
    <row r="6562" hidden="1" x14ac:dyDescent="0.35"/>
    <row r="6563" hidden="1" x14ac:dyDescent="0.35"/>
    <row r="6564" hidden="1" x14ac:dyDescent="0.35"/>
    <row r="6565" hidden="1" x14ac:dyDescent="0.35"/>
    <row r="6566" hidden="1" x14ac:dyDescent="0.35"/>
    <row r="6567" hidden="1" x14ac:dyDescent="0.35"/>
    <row r="6568" hidden="1" x14ac:dyDescent="0.35"/>
    <row r="6569" hidden="1" x14ac:dyDescent="0.35"/>
    <row r="6570" hidden="1" x14ac:dyDescent="0.35"/>
    <row r="6571" hidden="1" x14ac:dyDescent="0.35"/>
    <row r="6572" hidden="1" x14ac:dyDescent="0.35"/>
    <row r="6573" hidden="1" x14ac:dyDescent="0.35"/>
    <row r="6574" hidden="1" x14ac:dyDescent="0.35"/>
    <row r="6575" hidden="1" x14ac:dyDescent="0.35"/>
    <row r="6576" hidden="1" x14ac:dyDescent="0.35"/>
    <row r="6577" hidden="1" x14ac:dyDescent="0.35"/>
    <row r="6578" hidden="1" x14ac:dyDescent="0.35"/>
    <row r="6579" hidden="1" x14ac:dyDescent="0.35"/>
    <row r="6580" hidden="1" x14ac:dyDescent="0.35"/>
    <row r="6581" hidden="1" x14ac:dyDescent="0.35"/>
    <row r="6582" hidden="1" x14ac:dyDescent="0.35"/>
    <row r="6583" hidden="1" x14ac:dyDescent="0.35"/>
    <row r="6584" hidden="1" x14ac:dyDescent="0.35"/>
    <row r="6585" hidden="1" x14ac:dyDescent="0.35"/>
    <row r="6586" hidden="1" x14ac:dyDescent="0.35"/>
    <row r="6587" hidden="1" x14ac:dyDescent="0.35"/>
    <row r="6588" hidden="1" x14ac:dyDescent="0.35"/>
    <row r="6589" hidden="1" x14ac:dyDescent="0.35"/>
    <row r="6590" hidden="1" x14ac:dyDescent="0.35"/>
    <row r="6591" hidden="1" x14ac:dyDescent="0.35"/>
    <row r="6592" hidden="1" x14ac:dyDescent="0.35"/>
    <row r="6593" hidden="1" x14ac:dyDescent="0.35"/>
    <row r="6594" hidden="1" x14ac:dyDescent="0.35"/>
    <row r="6595" hidden="1" x14ac:dyDescent="0.35"/>
    <row r="6596" hidden="1" x14ac:dyDescent="0.35"/>
    <row r="6597" hidden="1" x14ac:dyDescent="0.35"/>
    <row r="6598" hidden="1" x14ac:dyDescent="0.35"/>
    <row r="6599" hidden="1" x14ac:dyDescent="0.35"/>
    <row r="6600" hidden="1" x14ac:dyDescent="0.35"/>
    <row r="6601" hidden="1" x14ac:dyDescent="0.35"/>
    <row r="6602" hidden="1" x14ac:dyDescent="0.35"/>
    <row r="6603" hidden="1" x14ac:dyDescent="0.35"/>
    <row r="6604" hidden="1" x14ac:dyDescent="0.35"/>
    <row r="6605" hidden="1" x14ac:dyDescent="0.35"/>
    <row r="6606" hidden="1" x14ac:dyDescent="0.35"/>
    <row r="6607" hidden="1" x14ac:dyDescent="0.35"/>
    <row r="6608" hidden="1" x14ac:dyDescent="0.35"/>
    <row r="6609" hidden="1" x14ac:dyDescent="0.35"/>
    <row r="6610" hidden="1" x14ac:dyDescent="0.35"/>
    <row r="6611" hidden="1" x14ac:dyDescent="0.35"/>
    <row r="6612" hidden="1" x14ac:dyDescent="0.35"/>
    <row r="6613" hidden="1" x14ac:dyDescent="0.35"/>
    <row r="6614" hidden="1" x14ac:dyDescent="0.35"/>
    <row r="6615" hidden="1" x14ac:dyDescent="0.35"/>
    <row r="6616" hidden="1" x14ac:dyDescent="0.35"/>
    <row r="6617" hidden="1" x14ac:dyDescent="0.35"/>
    <row r="6618" hidden="1" x14ac:dyDescent="0.35"/>
    <row r="6619" hidden="1" x14ac:dyDescent="0.35"/>
    <row r="6620" hidden="1" x14ac:dyDescent="0.35"/>
    <row r="6621" hidden="1" x14ac:dyDescent="0.35"/>
    <row r="6622" hidden="1" x14ac:dyDescent="0.35"/>
    <row r="6623" hidden="1" x14ac:dyDescent="0.35"/>
    <row r="6624" hidden="1" x14ac:dyDescent="0.35"/>
    <row r="6625" hidden="1" x14ac:dyDescent="0.35"/>
    <row r="6626" hidden="1" x14ac:dyDescent="0.35"/>
    <row r="6627" hidden="1" x14ac:dyDescent="0.35"/>
    <row r="6628" hidden="1" x14ac:dyDescent="0.35"/>
    <row r="6629" hidden="1" x14ac:dyDescent="0.35"/>
    <row r="6630" hidden="1" x14ac:dyDescent="0.35"/>
    <row r="6631" hidden="1" x14ac:dyDescent="0.35"/>
    <row r="6632" hidden="1" x14ac:dyDescent="0.35"/>
    <row r="6633" hidden="1" x14ac:dyDescent="0.35"/>
    <row r="6634" hidden="1" x14ac:dyDescent="0.35"/>
    <row r="6635" hidden="1" x14ac:dyDescent="0.35"/>
    <row r="6636" hidden="1" x14ac:dyDescent="0.35"/>
    <row r="6637" hidden="1" x14ac:dyDescent="0.35"/>
    <row r="6638" hidden="1" x14ac:dyDescent="0.35"/>
    <row r="6639" hidden="1" x14ac:dyDescent="0.35"/>
    <row r="6640" hidden="1" x14ac:dyDescent="0.35"/>
    <row r="6641" hidden="1" x14ac:dyDescent="0.35"/>
    <row r="6642" hidden="1" x14ac:dyDescent="0.35"/>
    <row r="6643" hidden="1" x14ac:dyDescent="0.35"/>
    <row r="6644" hidden="1" x14ac:dyDescent="0.35"/>
    <row r="6645" hidden="1" x14ac:dyDescent="0.35"/>
    <row r="6646" hidden="1" x14ac:dyDescent="0.35"/>
    <row r="6647" hidden="1" x14ac:dyDescent="0.35"/>
    <row r="6648" hidden="1" x14ac:dyDescent="0.35"/>
    <row r="6649" hidden="1" x14ac:dyDescent="0.35"/>
    <row r="6650" hidden="1" x14ac:dyDescent="0.35"/>
    <row r="6651" hidden="1" x14ac:dyDescent="0.35"/>
    <row r="6652" hidden="1" x14ac:dyDescent="0.35"/>
    <row r="6653" hidden="1" x14ac:dyDescent="0.35"/>
    <row r="6654" hidden="1" x14ac:dyDescent="0.35"/>
    <row r="6655" hidden="1" x14ac:dyDescent="0.35"/>
    <row r="6656" hidden="1" x14ac:dyDescent="0.35"/>
    <row r="6657" hidden="1" x14ac:dyDescent="0.35"/>
    <row r="6658" hidden="1" x14ac:dyDescent="0.35"/>
    <row r="6659" hidden="1" x14ac:dyDescent="0.35"/>
    <row r="6660" hidden="1" x14ac:dyDescent="0.35"/>
    <row r="6661" hidden="1" x14ac:dyDescent="0.35"/>
    <row r="6662" hidden="1" x14ac:dyDescent="0.35"/>
    <row r="6663" hidden="1" x14ac:dyDescent="0.35"/>
    <row r="6664" hidden="1" x14ac:dyDescent="0.35"/>
    <row r="6665" hidden="1" x14ac:dyDescent="0.35"/>
    <row r="6666" hidden="1" x14ac:dyDescent="0.35"/>
    <row r="6667" hidden="1" x14ac:dyDescent="0.35"/>
    <row r="6668" hidden="1" x14ac:dyDescent="0.35"/>
    <row r="6669" hidden="1" x14ac:dyDescent="0.35"/>
    <row r="6670" hidden="1" x14ac:dyDescent="0.35"/>
    <row r="6671" hidden="1" x14ac:dyDescent="0.35"/>
    <row r="6672" hidden="1" x14ac:dyDescent="0.35"/>
    <row r="6673" hidden="1" x14ac:dyDescent="0.35"/>
    <row r="6674" hidden="1" x14ac:dyDescent="0.35"/>
    <row r="6675" hidden="1" x14ac:dyDescent="0.35"/>
    <row r="6676" hidden="1" x14ac:dyDescent="0.35"/>
    <row r="6677" hidden="1" x14ac:dyDescent="0.35"/>
    <row r="6678" hidden="1" x14ac:dyDescent="0.35"/>
    <row r="6679" hidden="1" x14ac:dyDescent="0.35"/>
    <row r="6680" hidden="1" x14ac:dyDescent="0.35"/>
    <row r="6681" hidden="1" x14ac:dyDescent="0.35"/>
    <row r="6682" hidden="1" x14ac:dyDescent="0.35"/>
    <row r="6683" hidden="1" x14ac:dyDescent="0.35"/>
    <row r="6684" hidden="1" x14ac:dyDescent="0.35"/>
    <row r="6685" hidden="1" x14ac:dyDescent="0.35"/>
    <row r="6686" hidden="1" x14ac:dyDescent="0.35"/>
    <row r="6687" hidden="1" x14ac:dyDescent="0.35"/>
    <row r="6688" hidden="1" x14ac:dyDescent="0.35"/>
    <row r="6689" hidden="1" x14ac:dyDescent="0.35"/>
    <row r="6690" hidden="1" x14ac:dyDescent="0.35"/>
    <row r="6691" hidden="1" x14ac:dyDescent="0.35"/>
    <row r="6692" hidden="1" x14ac:dyDescent="0.35"/>
    <row r="6693" hidden="1" x14ac:dyDescent="0.35"/>
    <row r="6694" hidden="1" x14ac:dyDescent="0.35"/>
    <row r="6695" hidden="1" x14ac:dyDescent="0.35"/>
    <row r="6696" hidden="1" x14ac:dyDescent="0.35"/>
    <row r="6697" hidden="1" x14ac:dyDescent="0.35"/>
    <row r="6698" hidden="1" x14ac:dyDescent="0.35"/>
    <row r="6699" hidden="1" x14ac:dyDescent="0.35"/>
    <row r="6700" hidden="1" x14ac:dyDescent="0.35"/>
    <row r="6701" hidden="1" x14ac:dyDescent="0.35"/>
    <row r="6702" hidden="1" x14ac:dyDescent="0.35"/>
    <row r="6703" hidden="1" x14ac:dyDescent="0.35"/>
    <row r="6704" hidden="1" x14ac:dyDescent="0.35"/>
    <row r="6705" hidden="1" x14ac:dyDescent="0.35"/>
    <row r="6706" hidden="1" x14ac:dyDescent="0.35"/>
    <row r="6707" hidden="1" x14ac:dyDescent="0.35"/>
    <row r="6708" hidden="1" x14ac:dyDescent="0.35"/>
    <row r="6709" hidden="1" x14ac:dyDescent="0.35"/>
    <row r="6710" hidden="1" x14ac:dyDescent="0.35"/>
    <row r="6711" hidden="1" x14ac:dyDescent="0.35"/>
    <row r="6712" hidden="1" x14ac:dyDescent="0.35"/>
    <row r="6713" hidden="1" x14ac:dyDescent="0.35"/>
    <row r="6714" hidden="1" x14ac:dyDescent="0.35"/>
    <row r="6715" hidden="1" x14ac:dyDescent="0.35"/>
    <row r="6716" hidden="1" x14ac:dyDescent="0.35"/>
    <row r="6717" hidden="1" x14ac:dyDescent="0.35"/>
    <row r="6718" hidden="1" x14ac:dyDescent="0.35"/>
    <row r="6719" hidden="1" x14ac:dyDescent="0.35"/>
    <row r="6720" hidden="1" x14ac:dyDescent="0.35"/>
    <row r="6721" hidden="1" x14ac:dyDescent="0.35"/>
    <row r="6722" hidden="1" x14ac:dyDescent="0.35"/>
    <row r="6723" hidden="1" x14ac:dyDescent="0.35"/>
    <row r="6724" hidden="1" x14ac:dyDescent="0.35"/>
    <row r="6725" hidden="1" x14ac:dyDescent="0.35"/>
    <row r="6726" hidden="1" x14ac:dyDescent="0.35"/>
    <row r="6727" hidden="1" x14ac:dyDescent="0.35"/>
    <row r="6728" hidden="1" x14ac:dyDescent="0.35"/>
    <row r="6729" hidden="1" x14ac:dyDescent="0.35"/>
    <row r="6730" hidden="1" x14ac:dyDescent="0.35"/>
    <row r="6731" hidden="1" x14ac:dyDescent="0.35"/>
    <row r="6732" hidden="1" x14ac:dyDescent="0.35"/>
    <row r="6733" hidden="1" x14ac:dyDescent="0.35"/>
    <row r="6734" hidden="1" x14ac:dyDescent="0.35"/>
    <row r="6735" hidden="1" x14ac:dyDescent="0.35"/>
    <row r="6736" hidden="1" x14ac:dyDescent="0.35"/>
    <row r="6737" hidden="1" x14ac:dyDescent="0.35"/>
    <row r="6738" hidden="1" x14ac:dyDescent="0.35"/>
    <row r="6739" hidden="1" x14ac:dyDescent="0.35"/>
    <row r="6740" hidden="1" x14ac:dyDescent="0.35"/>
    <row r="6741" hidden="1" x14ac:dyDescent="0.35"/>
    <row r="6742" hidden="1" x14ac:dyDescent="0.35"/>
    <row r="6743" hidden="1" x14ac:dyDescent="0.35"/>
    <row r="6744" hidden="1" x14ac:dyDescent="0.35"/>
    <row r="6745" hidden="1" x14ac:dyDescent="0.35"/>
    <row r="6746" hidden="1" x14ac:dyDescent="0.35"/>
    <row r="6747" hidden="1" x14ac:dyDescent="0.35"/>
    <row r="6748" hidden="1" x14ac:dyDescent="0.35"/>
    <row r="6749" hidden="1" x14ac:dyDescent="0.35"/>
    <row r="6750" hidden="1" x14ac:dyDescent="0.35"/>
    <row r="6751" hidden="1" x14ac:dyDescent="0.35"/>
    <row r="6752" hidden="1" x14ac:dyDescent="0.35"/>
    <row r="6753" hidden="1" x14ac:dyDescent="0.35"/>
    <row r="6754" hidden="1" x14ac:dyDescent="0.35"/>
    <row r="6755" hidden="1" x14ac:dyDescent="0.35"/>
    <row r="6756" hidden="1" x14ac:dyDescent="0.35"/>
    <row r="6757" hidden="1" x14ac:dyDescent="0.35"/>
    <row r="6758" hidden="1" x14ac:dyDescent="0.35"/>
    <row r="6759" hidden="1" x14ac:dyDescent="0.35"/>
    <row r="6760" hidden="1" x14ac:dyDescent="0.35"/>
    <row r="6761" hidden="1" x14ac:dyDescent="0.35"/>
    <row r="6762" hidden="1" x14ac:dyDescent="0.35"/>
    <row r="6763" hidden="1" x14ac:dyDescent="0.35"/>
    <row r="6764" hidden="1" x14ac:dyDescent="0.35"/>
    <row r="6765" hidden="1" x14ac:dyDescent="0.35"/>
    <row r="6766" hidden="1" x14ac:dyDescent="0.35"/>
    <row r="6767" hidden="1" x14ac:dyDescent="0.35"/>
    <row r="6768" hidden="1" x14ac:dyDescent="0.35"/>
    <row r="6769" hidden="1" x14ac:dyDescent="0.35"/>
    <row r="6770" hidden="1" x14ac:dyDescent="0.35"/>
    <row r="6771" hidden="1" x14ac:dyDescent="0.35"/>
    <row r="6772" hidden="1" x14ac:dyDescent="0.35"/>
    <row r="6773" hidden="1" x14ac:dyDescent="0.35"/>
    <row r="6774" hidden="1" x14ac:dyDescent="0.35"/>
    <row r="6775" hidden="1" x14ac:dyDescent="0.35"/>
    <row r="6776" hidden="1" x14ac:dyDescent="0.35"/>
    <row r="6777" hidden="1" x14ac:dyDescent="0.35"/>
    <row r="6778" hidden="1" x14ac:dyDescent="0.35"/>
    <row r="6779" hidden="1" x14ac:dyDescent="0.35"/>
    <row r="6780" hidden="1" x14ac:dyDescent="0.35"/>
    <row r="6781" hidden="1" x14ac:dyDescent="0.35"/>
    <row r="6782" hidden="1" x14ac:dyDescent="0.35"/>
    <row r="6783" hidden="1" x14ac:dyDescent="0.35"/>
    <row r="6784" hidden="1" x14ac:dyDescent="0.35"/>
    <row r="6785" hidden="1" x14ac:dyDescent="0.35"/>
    <row r="6786" hidden="1" x14ac:dyDescent="0.35"/>
    <row r="6787" hidden="1" x14ac:dyDescent="0.35"/>
    <row r="6788" hidden="1" x14ac:dyDescent="0.35"/>
    <row r="6789" hidden="1" x14ac:dyDescent="0.35"/>
    <row r="6790" hidden="1" x14ac:dyDescent="0.35"/>
    <row r="6791" hidden="1" x14ac:dyDescent="0.35"/>
    <row r="6792" hidden="1" x14ac:dyDescent="0.35"/>
    <row r="6793" hidden="1" x14ac:dyDescent="0.35"/>
    <row r="6794" hidden="1" x14ac:dyDescent="0.35"/>
    <row r="6795" hidden="1" x14ac:dyDescent="0.35"/>
    <row r="6796" hidden="1" x14ac:dyDescent="0.35"/>
    <row r="6797" hidden="1" x14ac:dyDescent="0.35"/>
    <row r="6798" hidden="1" x14ac:dyDescent="0.35"/>
    <row r="6799" hidden="1" x14ac:dyDescent="0.35"/>
    <row r="6800" hidden="1" x14ac:dyDescent="0.35"/>
    <row r="6801" hidden="1" x14ac:dyDescent="0.35"/>
    <row r="6802" hidden="1" x14ac:dyDescent="0.35"/>
    <row r="6803" hidden="1" x14ac:dyDescent="0.35"/>
    <row r="6804" hidden="1" x14ac:dyDescent="0.35"/>
    <row r="6805" hidden="1" x14ac:dyDescent="0.35"/>
    <row r="6806" hidden="1" x14ac:dyDescent="0.35"/>
    <row r="6807" hidden="1" x14ac:dyDescent="0.35"/>
    <row r="6808" hidden="1" x14ac:dyDescent="0.35"/>
    <row r="6809" hidden="1" x14ac:dyDescent="0.35"/>
    <row r="6810" hidden="1" x14ac:dyDescent="0.35"/>
    <row r="6811" hidden="1" x14ac:dyDescent="0.35"/>
    <row r="6812" hidden="1" x14ac:dyDescent="0.35"/>
    <row r="6813" hidden="1" x14ac:dyDescent="0.35"/>
    <row r="6814" hidden="1" x14ac:dyDescent="0.35"/>
    <row r="6815" hidden="1" x14ac:dyDescent="0.35"/>
    <row r="6816" hidden="1" x14ac:dyDescent="0.35"/>
    <row r="6817" hidden="1" x14ac:dyDescent="0.35"/>
    <row r="6818" hidden="1" x14ac:dyDescent="0.35"/>
    <row r="6819" hidden="1" x14ac:dyDescent="0.35"/>
    <row r="6820" hidden="1" x14ac:dyDescent="0.35"/>
    <row r="6821" hidden="1" x14ac:dyDescent="0.35"/>
    <row r="6822" hidden="1" x14ac:dyDescent="0.35"/>
    <row r="6823" hidden="1" x14ac:dyDescent="0.35"/>
    <row r="6824" hidden="1" x14ac:dyDescent="0.35"/>
    <row r="6825" hidden="1" x14ac:dyDescent="0.35"/>
    <row r="6826" hidden="1" x14ac:dyDescent="0.35"/>
    <row r="6827" hidden="1" x14ac:dyDescent="0.35"/>
    <row r="6828" hidden="1" x14ac:dyDescent="0.35"/>
    <row r="6829" hidden="1" x14ac:dyDescent="0.35"/>
    <row r="6830" hidden="1" x14ac:dyDescent="0.35"/>
    <row r="6831" hidden="1" x14ac:dyDescent="0.35"/>
    <row r="6832" hidden="1" x14ac:dyDescent="0.35"/>
    <row r="6833" hidden="1" x14ac:dyDescent="0.35"/>
    <row r="6834" hidden="1" x14ac:dyDescent="0.35"/>
    <row r="6835" hidden="1" x14ac:dyDescent="0.35"/>
    <row r="6836" hidden="1" x14ac:dyDescent="0.35"/>
    <row r="6837" hidden="1" x14ac:dyDescent="0.35"/>
    <row r="6838" hidden="1" x14ac:dyDescent="0.35"/>
    <row r="6839" hidden="1" x14ac:dyDescent="0.35"/>
    <row r="6840" hidden="1" x14ac:dyDescent="0.35"/>
    <row r="6841" hidden="1" x14ac:dyDescent="0.35"/>
    <row r="6842" hidden="1" x14ac:dyDescent="0.35"/>
    <row r="6843" hidden="1" x14ac:dyDescent="0.35"/>
    <row r="6844" hidden="1" x14ac:dyDescent="0.35"/>
    <row r="6845" hidden="1" x14ac:dyDescent="0.35"/>
    <row r="6846" hidden="1" x14ac:dyDescent="0.35"/>
    <row r="6847" hidden="1" x14ac:dyDescent="0.35"/>
    <row r="6848" hidden="1" x14ac:dyDescent="0.35"/>
    <row r="6849" hidden="1" x14ac:dyDescent="0.35"/>
    <row r="6850" hidden="1" x14ac:dyDescent="0.35"/>
    <row r="6851" hidden="1" x14ac:dyDescent="0.35"/>
    <row r="6852" hidden="1" x14ac:dyDescent="0.35"/>
    <row r="6853" hidden="1" x14ac:dyDescent="0.35"/>
    <row r="6854" hidden="1" x14ac:dyDescent="0.35"/>
    <row r="6855" hidden="1" x14ac:dyDescent="0.35"/>
    <row r="6856" hidden="1" x14ac:dyDescent="0.35"/>
    <row r="6857" hidden="1" x14ac:dyDescent="0.35"/>
    <row r="6858" hidden="1" x14ac:dyDescent="0.35"/>
    <row r="6859" hidden="1" x14ac:dyDescent="0.35"/>
    <row r="6860" hidden="1" x14ac:dyDescent="0.35"/>
    <row r="6861" hidden="1" x14ac:dyDescent="0.35"/>
    <row r="6862" hidden="1" x14ac:dyDescent="0.35"/>
    <row r="6863" hidden="1" x14ac:dyDescent="0.35"/>
    <row r="6864" hidden="1" x14ac:dyDescent="0.35"/>
    <row r="6865" hidden="1" x14ac:dyDescent="0.35"/>
    <row r="6866" hidden="1" x14ac:dyDescent="0.35"/>
    <row r="6867" hidden="1" x14ac:dyDescent="0.35"/>
    <row r="6868" hidden="1" x14ac:dyDescent="0.35"/>
    <row r="6869" hidden="1" x14ac:dyDescent="0.35"/>
    <row r="6870" hidden="1" x14ac:dyDescent="0.35"/>
    <row r="6871" hidden="1" x14ac:dyDescent="0.35"/>
    <row r="6872" hidden="1" x14ac:dyDescent="0.35"/>
    <row r="6873" hidden="1" x14ac:dyDescent="0.35"/>
    <row r="6874" hidden="1" x14ac:dyDescent="0.35"/>
    <row r="6875" hidden="1" x14ac:dyDescent="0.35"/>
    <row r="6876" hidden="1" x14ac:dyDescent="0.35"/>
    <row r="6877" hidden="1" x14ac:dyDescent="0.35"/>
    <row r="6878" hidden="1" x14ac:dyDescent="0.35"/>
    <row r="6879" hidden="1" x14ac:dyDescent="0.35"/>
    <row r="6880" hidden="1" x14ac:dyDescent="0.35"/>
    <row r="6881" hidden="1" x14ac:dyDescent="0.35"/>
    <row r="6882" hidden="1" x14ac:dyDescent="0.35"/>
    <row r="6883" hidden="1" x14ac:dyDescent="0.35"/>
    <row r="6884" hidden="1" x14ac:dyDescent="0.35"/>
    <row r="6885" hidden="1" x14ac:dyDescent="0.35"/>
    <row r="6886" hidden="1" x14ac:dyDescent="0.35"/>
    <row r="6887" hidden="1" x14ac:dyDescent="0.35"/>
    <row r="6888" hidden="1" x14ac:dyDescent="0.35"/>
    <row r="6889" hidden="1" x14ac:dyDescent="0.35"/>
    <row r="6890" hidden="1" x14ac:dyDescent="0.35"/>
    <row r="6891" hidden="1" x14ac:dyDescent="0.35"/>
    <row r="6892" hidden="1" x14ac:dyDescent="0.35"/>
    <row r="6893" hidden="1" x14ac:dyDescent="0.35"/>
    <row r="6894" hidden="1" x14ac:dyDescent="0.35"/>
    <row r="6895" hidden="1" x14ac:dyDescent="0.35"/>
    <row r="6896" hidden="1" x14ac:dyDescent="0.35"/>
    <row r="6897" hidden="1" x14ac:dyDescent="0.35"/>
    <row r="6898" hidden="1" x14ac:dyDescent="0.35"/>
    <row r="6899" hidden="1" x14ac:dyDescent="0.35"/>
    <row r="6900" hidden="1" x14ac:dyDescent="0.35"/>
    <row r="6901" hidden="1" x14ac:dyDescent="0.35"/>
    <row r="6902" hidden="1" x14ac:dyDescent="0.35"/>
    <row r="6903" hidden="1" x14ac:dyDescent="0.35"/>
    <row r="6904" hidden="1" x14ac:dyDescent="0.35"/>
    <row r="6905" hidden="1" x14ac:dyDescent="0.35"/>
    <row r="6906" hidden="1" x14ac:dyDescent="0.35"/>
    <row r="6907" hidden="1" x14ac:dyDescent="0.35"/>
    <row r="6908" hidden="1" x14ac:dyDescent="0.35"/>
    <row r="6909" hidden="1" x14ac:dyDescent="0.35"/>
    <row r="6910" hidden="1" x14ac:dyDescent="0.35"/>
    <row r="6911" hidden="1" x14ac:dyDescent="0.35"/>
    <row r="6912" hidden="1" x14ac:dyDescent="0.35"/>
    <row r="6913" hidden="1" x14ac:dyDescent="0.35"/>
    <row r="6914" hidden="1" x14ac:dyDescent="0.35"/>
    <row r="6915" hidden="1" x14ac:dyDescent="0.35"/>
    <row r="6916" hidden="1" x14ac:dyDescent="0.35"/>
    <row r="6917" hidden="1" x14ac:dyDescent="0.35"/>
    <row r="6918" hidden="1" x14ac:dyDescent="0.35"/>
    <row r="6919" hidden="1" x14ac:dyDescent="0.35"/>
    <row r="6920" hidden="1" x14ac:dyDescent="0.35"/>
    <row r="6921" hidden="1" x14ac:dyDescent="0.35"/>
    <row r="6922" hidden="1" x14ac:dyDescent="0.35"/>
    <row r="6923" hidden="1" x14ac:dyDescent="0.35"/>
    <row r="6924" hidden="1" x14ac:dyDescent="0.35"/>
    <row r="6925" hidden="1" x14ac:dyDescent="0.35"/>
    <row r="6926" hidden="1" x14ac:dyDescent="0.35"/>
    <row r="6927" hidden="1" x14ac:dyDescent="0.35"/>
    <row r="6928" hidden="1" x14ac:dyDescent="0.35"/>
    <row r="6929" hidden="1" x14ac:dyDescent="0.35"/>
    <row r="6930" hidden="1" x14ac:dyDescent="0.35"/>
    <row r="6931" hidden="1" x14ac:dyDescent="0.35"/>
    <row r="6932" hidden="1" x14ac:dyDescent="0.35"/>
    <row r="6933" hidden="1" x14ac:dyDescent="0.35"/>
    <row r="6934" hidden="1" x14ac:dyDescent="0.35"/>
    <row r="6935" hidden="1" x14ac:dyDescent="0.35"/>
    <row r="6936" hidden="1" x14ac:dyDescent="0.35"/>
    <row r="6937" hidden="1" x14ac:dyDescent="0.35"/>
    <row r="6938" hidden="1" x14ac:dyDescent="0.35"/>
    <row r="6939" hidden="1" x14ac:dyDescent="0.35"/>
    <row r="6940" hidden="1" x14ac:dyDescent="0.35"/>
    <row r="6941" hidden="1" x14ac:dyDescent="0.35"/>
    <row r="6942" hidden="1" x14ac:dyDescent="0.35"/>
    <row r="6943" hidden="1" x14ac:dyDescent="0.35"/>
    <row r="6944" hidden="1" x14ac:dyDescent="0.35"/>
    <row r="6945" hidden="1" x14ac:dyDescent="0.35"/>
    <row r="6946" hidden="1" x14ac:dyDescent="0.35"/>
    <row r="6947" hidden="1" x14ac:dyDescent="0.35"/>
    <row r="6948" hidden="1" x14ac:dyDescent="0.35"/>
    <row r="6949" hidden="1" x14ac:dyDescent="0.35"/>
    <row r="6950" hidden="1" x14ac:dyDescent="0.35"/>
    <row r="6951" hidden="1" x14ac:dyDescent="0.35"/>
    <row r="6952" hidden="1" x14ac:dyDescent="0.35"/>
    <row r="6953" hidden="1" x14ac:dyDescent="0.35"/>
    <row r="6954" hidden="1" x14ac:dyDescent="0.35"/>
    <row r="6955" hidden="1" x14ac:dyDescent="0.35"/>
    <row r="6956" hidden="1" x14ac:dyDescent="0.35"/>
    <row r="6957" hidden="1" x14ac:dyDescent="0.35"/>
    <row r="6958" hidden="1" x14ac:dyDescent="0.35"/>
    <row r="6959" hidden="1" x14ac:dyDescent="0.35"/>
    <row r="6960" hidden="1" x14ac:dyDescent="0.35"/>
    <row r="6961" hidden="1" x14ac:dyDescent="0.35"/>
    <row r="6962" hidden="1" x14ac:dyDescent="0.35"/>
    <row r="6963" hidden="1" x14ac:dyDescent="0.35"/>
    <row r="6964" hidden="1" x14ac:dyDescent="0.35"/>
    <row r="6965" hidden="1" x14ac:dyDescent="0.35"/>
    <row r="6966" hidden="1" x14ac:dyDescent="0.35"/>
    <row r="6967" hidden="1" x14ac:dyDescent="0.35"/>
    <row r="6968" hidden="1" x14ac:dyDescent="0.35"/>
    <row r="6969" hidden="1" x14ac:dyDescent="0.35"/>
    <row r="6970" hidden="1" x14ac:dyDescent="0.35"/>
    <row r="6971" hidden="1" x14ac:dyDescent="0.35"/>
    <row r="6972" hidden="1" x14ac:dyDescent="0.35"/>
    <row r="6973" hidden="1" x14ac:dyDescent="0.35"/>
    <row r="6974" hidden="1" x14ac:dyDescent="0.35"/>
    <row r="6975" hidden="1" x14ac:dyDescent="0.35"/>
    <row r="6976" hidden="1" x14ac:dyDescent="0.35"/>
    <row r="6977" hidden="1" x14ac:dyDescent="0.35"/>
    <row r="6978" hidden="1" x14ac:dyDescent="0.35"/>
    <row r="6979" hidden="1" x14ac:dyDescent="0.35"/>
    <row r="6980" hidden="1" x14ac:dyDescent="0.35"/>
    <row r="6981" hidden="1" x14ac:dyDescent="0.35"/>
    <row r="6982" hidden="1" x14ac:dyDescent="0.35"/>
    <row r="6983" hidden="1" x14ac:dyDescent="0.35"/>
    <row r="6984" hidden="1" x14ac:dyDescent="0.35"/>
    <row r="6985" hidden="1" x14ac:dyDescent="0.35"/>
    <row r="6986" hidden="1" x14ac:dyDescent="0.35"/>
    <row r="6987" hidden="1" x14ac:dyDescent="0.35"/>
    <row r="6988" hidden="1" x14ac:dyDescent="0.35"/>
    <row r="6989" hidden="1" x14ac:dyDescent="0.35"/>
    <row r="6990" hidden="1" x14ac:dyDescent="0.35"/>
    <row r="6991" hidden="1" x14ac:dyDescent="0.35"/>
    <row r="6992" hidden="1" x14ac:dyDescent="0.35"/>
    <row r="6993" hidden="1" x14ac:dyDescent="0.35"/>
    <row r="6994" hidden="1" x14ac:dyDescent="0.35"/>
    <row r="6995" hidden="1" x14ac:dyDescent="0.35"/>
    <row r="6996" hidden="1" x14ac:dyDescent="0.35"/>
    <row r="6997" hidden="1" x14ac:dyDescent="0.35"/>
    <row r="6998" hidden="1" x14ac:dyDescent="0.35"/>
    <row r="6999" hidden="1" x14ac:dyDescent="0.35"/>
    <row r="7000" hidden="1" x14ac:dyDescent="0.35"/>
    <row r="7001" hidden="1" x14ac:dyDescent="0.35"/>
    <row r="7002" hidden="1" x14ac:dyDescent="0.35"/>
    <row r="7003" hidden="1" x14ac:dyDescent="0.35"/>
    <row r="7004" hidden="1" x14ac:dyDescent="0.35"/>
    <row r="7005" hidden="1" x14ac:dyDescent="0.35"/>
    <row r="7006" hidden="1" x14ac:dyDescent="0.35"/>
    <row r="7007" hidden="1" x14ac:dyDescent="0.35"/>
    <row r="7008" hidden="1" x14ac:dyDescent="0.35"/>
    <row r="7009" hidden="1" x14ac:dyDescent="0.35"/>
    <row r="7010" hidden="1" x14ac:dyDescent="0.35"/>
    <row r="7011" hidden="1" x14ac:dyDescent="0.35"/>
    <row r="7012" hidden="1" x14ac:dyDescent="0.35"/>
    <row r="7013" hidden="1" x14ac:dyDescent="0.35"/>
    <row r="7014" hidden="1" x14ac:dyDescent="0.35"/>
    <row r="7015" hidden="1" x14ac:dyDescent="0.35"/>
    <row r="7016" hidden="1" x14ac:dyDescent="0.35"/>
    <row r="7017" hidden="1" x14ac:dyDescent="0.35"/>
    <row r="7018" hidden="1" x14ac:dyDescent="0.35"/>
    <row r="7019" hidden="1" x14ac:dyDescent="0.35"/>
    <row r="7020" hidden="1" x14ac:dyDescent="0.35"/>
    <row r="7021" hidden="1" x14ac:dyDescent="0.35"/>
    <row r="7022" hidden="1" x14ac:dyDescent="0.35"/>
    <row r="7023" hidden="1" x14ac:dyDescent="0.35"/>
    <row r="7024" hidden="1" x14ac:dyDescent="0.35"/>
    <row r="7025" hidden="1" x14ac:dyDescent="0.35"/>
    <row r="7026" hidden="1" x14ac:dyDescent="0.35"/>
    <row r="7027" hidden="1" x14ac:dyDescent="0.35"/>
    <row r="7028" hidden="1" x14ac:dyDescent="0.35"/>
    <row r="7029" hidden="1" x14ac:dyDescent="0.35"/>
    <row r="7030" hidden="1" x14ac:dyDescent="0.35"/>
    <row r="7031" hidden="1" x14ac:dyDescent="0.35"/>
    <row r="7032" hidden="1" x14ac:dyDescent="0.35"/>
    <row r="7033" hidden="1" x14ac:dyDescent="0.35"/>
    <row r="7034" hidden="1" x14ac:dyDescent="0.35"/>
    <row r="7035" hidden="1" x14ac:dyDescent="0.35"/>
    <row r="7036" hidden="1" x14ac:dyDescent="0.35"/>
    <row r="7037" hidden="1" x14ac:dyDescent="0.35"/>
    <row r="7038" hidden="1" x14ac:dyDescent="0.35"/>
    <row r="7039" hidden="1" x14ac:dyDescent="0.35"/>
    <row r="7040" hidden="1" x14ac:dyDescent="0.35"/>
    <row r="7041" hidden="1" x14ac:dyDescent="0.35"/>
    <row r="7042" hidden="1" x14ac:dyDescent="0.35"/>
    <row r="7043" hidden="1" x14ac:dyDescent="0.35"/>
    <row r="7044" hidden="1" x14ac:dyDescent="0.35"/>
    <row r="7045" hidden="1" x14ac:dyDescent="0.35"/>
    <row r="7046" hidden="1" x14ac:dyDescent="0.35"/>
    <row r="7047" hidden="1" x14ac:dyDescent="0.35"/>
    <row r="7048" hidden="1" x14ac:dyDescent="0.35"/>
    <row r="7049" hidden="1" x14ac:dyDescent="0.35"/>
    <row r="7050" hidden="1" x14ac:dyDescent="0.35"/>
    <row r="7051" hidden="1" x14ac:dyDescent="0.35"/>
    <row r="7052" hidden="1" x14ac:dyDescent="0.35"/>
    <row r="7053" hidden="1" x14ac:dyDescent="0.35"/>
    <row r="7054" hidden="1" x14ac:dyDescent="0.35"/>
    <row r="7055" hidden="1" x14ac:dyDescent="0.35"/>
    <row r="7056" hidden="1" x14ac:dyDescent="0.35"/>
    <row r="7057" hidden="1" x14ac:dyDescent="0.35"/>
    <row r="7058" hidden="1" x14ac:dyDescent="0.35"/>
    <row r="7059" hidden="1" x14ac:dyDescent="0.35"/>
    <row r="7060" hidden="1" x14ac:dyDescent="0.35"/>
    <row r="7061" hidden="1" x14ac:dyDescent="0.35"/>
    <row r="7062" hidden="1" x14ac:dyDescent="0.35"/>
    <row r="7063" hidden="1" x14ac:dyDescent="0.35"/>
    <row r="7064" hidden="1" x14ac:dyDescent="0.35"/>
    <row r="7065" hidden="1" x14ac:dyDescent="0.35"/>
    <row r="7066" hidden="1" x14ac:dyDescent="0.35"/>
    <row r="7067" hidden="1" x14ac:dyDescent="0.35"/>
    <row r="7068" hidden="1" x14ac:dyDescent="0.35"/>
    <row r="7069" hidden="1" x14ac:dyDescent="0.35"/>
    <row r="7070" hidden="1" x14ac:dyDescent="0.35"/>
    <row r="7071" hidden="1" x14ac:dyDescent="0.35"/>
    <row r="7072" hidden="1" x14ac:dyDescent="0.35"/>
    <row r="7073" hidden="1" x14ac:dyDescent="0.35"/>
    <row r="7074" hidden="1" x14ac:dyDescent="0.35"/>
    <row r="7075" hidden="1" x14ac:dyDescent="0.35"/>
    <row r="7076" hidden="1" x14ac:dyDescent="0.35"/>
    <row r="7077" hidden="1" x14ac:dyDescent="0.35"/>
    <row r="7078" hidden="1" x14ac:dyDescent="0.35"/>
    <row r="7079" hidden="1" x14ac:dyDescent="0.35"/>
    <row r="7080" hidden="1" x14ac:dyDescent="0.35"/>
    <row r="7081" hidden="1" x14ac:dyDescent="0.35"/>
    <row r="7082" hidden="1" x14ac:dyDescent="0.35"/>
    <row r="7083" hidden="1" x14ac:dyDescent="0.35"/>
    <row r="7084" hidden="1" x14ac:dyDescent="0.35"/>
    <row r="7085" hidden="1" x14ac:dyDescent="0.35"/>
    <row r="7086" hidden="1" x14ac:dyDescent="0.35"/>
    <row r="7087" hidden="1" x14ac:dyDescent="0.35"/>
    <row r="7088" hidden="1" x14ac:dyDescent="0.35"/>
    <row r="7089" hidden="1" x14ac:dyDescent="0.35"/>
    <row r="7090" hidden="1" x14ac:dyDescent="0.35"/>
    <row r="7091" hidden="1" x14ac:dyDescent="0.35"/>
    <row r="7092" hidden="1" x14ac:dyDescent="0.35"/>
    <row r="7093" hidden="1" x14ac:dyDescent="0.35"/>
    <row r="7094" hidden="1" x14ac:dyDescent="0.35"/>
    <row r="7095" hidden="1" x14ac:dyDescent="0.35"/>
    <row r="7096" hidden="1" x14ac:dyDescent="0.35"/>
    <row r="7097" hidden="1" x14ac:dyDescent="0.35"/>
    <row r="7098" hidden="1" x14ac:dyDescent="0.35"/>
    <row r="7099" hidden="1" x14ac:dyDescent="0.35"/>
    <row r="7100" hidden="1" x14ac:dyDescent="0.35"/>
    <row r="7101" hidden="1" x14ac:dyDescent="0.35"/>
    <row r="7102" hidden="1" x14ac:dyDescent="0.35"/>
    <row r="7103" hidden="1" x14ac:dyDescent="0.35"/>
    <row r="7104" hidden="1" x14ac:dyDescent="0.35"/>
    <row r="7105" hidden="1" x14ac:dyDescent="0.35"/>
    <row r="7106" hidden="1" x14ac:dyDescent="0.35"/>
    <row r="7107" hidden="1" x14ac:dyDescent="0.35"/>
    <row r="7108" hidden="1" x14ac:dyDescent="0.35"/>
    <row r="7109" hidden="1" x14ac:dyDescent="0.35"/>
    <row r="7110" hidden="1" x14ac:dyDescent="0.35"/>
    <row r="7111" hidden="1" x14ac:dyDescent="0.35"/>
    <row r="7112" hidden="1" x14ac:dyDescent="0.35"/>
    <row r="7113" hidden="1" x14ac:dyDescent="0.35"/>
    <row r="7114" hidden="1" x14ac:dyDescent="0.35"/>
    <row r="7115" hidden="1" x14ac:dyDescent="0.35"/>
    <row r="7116" hidden="1" x14ac:dyDescent="0.35"/>
    <row r="7117" hidden="1" x14ac:dyDescent="0.35"/>
    <row r="7118" hidden="1" x14ac:dyDescent="0.35"/>
    <row r="7119" hidden="1" x14ac:dyDescent="0.35"/>
    <row r="7120" hidden="1" x14ac:dyDescent="0.35"/>
    <row r="7121" hidden="1" x14ac:dyDescent="0.35"/>
    <row r="7122" hidden="1" x14ac:dyDescent="0.35"/>
    <row r="7123" hidden="1" x14ac:dyDescent="0.35"/>
    <row r="7124" hidden="1" x14ac:dyDescent="0.35"/>
    <row r="7125" hidden="1" x14ac:dyDescent="0.35"/>
    <row r="7126" hidden="1" x14ac:dyDescent="0.35"/>
    <row r="7127" hidden="1" x14ac:dyDescent="0.35"/>
    <row r="7128" hidden="1" x14ac:dyDescent="0.35"/>
    <row r="7129" hidden="1" x14ac:dyDescent="0.35"/>
    <row r="7130" hidden="1" x14ac:dyDescent="0.35"/>
    <row r="7131" hidden="1" x14ac:dyDescent="0.35"/>
    <row r="7132" hidden="1" x14ac:dyDescent="0.35"/>
    <row r="7133" hidden="1" x14ac:dyDescent="0.35"/>
    <row r="7134" hidden="1" x14ac:dyDescent="0.35"/>
    <row r="7135" hidden="1" x14ac:dyDescent="0.35"/>
    <row r="7136" hidden="1" x14ac:dyDescent="0.35"/>
    <row r="7137" hidden="1" x14ac:dyDescent="0.35"/>
    <row r="7138" hidden="1" x14ac:dyDescent="0.35"/>
    <row r="7139" hidden="1" x14ac:dyDescent="0.35"/>
    <row r="7140" hidden="1" x14ac:dyDescent="0.35"/>
    <row r="7141" hidden="1" x14ac:dyDescent="0.35"/>
    <row r="7142" hidden="1" x14ac:dyDescent="0.35"/>
    <row r="7143" hidden="1" x14ac:dyDescent="0.35"/>
    <row r="7144" hidden="1" x14ac:dyDescent="0.35"/>
    <row r="7145" hidden="1" x14ac:dyDescent="0.35"/>
    <row r="7146" hidden="1" x14ac:dyDescent="0.35"/>
    <row r="7147" hidden="1" x14ac:dyDescent="0.35"/>
    <row r="7148" hidden="1" x14ac:dyDescent="0.35"/>
    <row r="7149" hidden="1" x14ac:dyDescent="0.35"/>
    <row r="7150" hidden="1" x14ac:dyDescent="0.35"/>
    <row r="7151" hidden="1" x14ac:dyDescent="0.35"/>
    <row r="7152" hidden="1" x14ac:dyDescent="0.35"/>
    <row r="7153" hidden="1" x14ac:dyDescent="0.35"/>
    <row r="7154" hidden="1" x14ac:dyDescent="0.35"/>
    <row r="7155" hidden="1" x14ac:dyDescent="0.35"/>
    <row r="7156" hidden="1" x14ac:dyDescent="0.35"/>
    <row r="7157" hidden="1" x14ac:dyDescent="0.35"/>
    <row r="7158" hidden="1" x14ac:dyDescent="0.35"/>
    <row r="7159" hidden="1" x14ac:dyDescent="0.35"/>
    <row r="7160" hidden="1" x14ac:dyDescent="0.35"/>
    <row r="7161" hidden="1" x14ac:dyDescent="0.35"/>
    <row r="7162" hidden="1" x14ac:dyDescent="0.35"/>
    <row r="7163" hidden="1" x14ac:dyDescent="0.35"/>
    <row r="7164" hidden="1" x14ac:dyDescent="0.35"/>
    <row r="7165" hidden="1" x14ac:dyDescent="0.35"/>
    <row r="7166" hidden="1" x14ac:dyDescent="0.35"/>
    <row r="7167" hidden="1" x14ac:dyDescent="0.35"/>
    <row r="7168" hidden="1" x14ac:dyDescent="0.35"/>
    <row r="7169" hidden="1" x14ac:dyDescent="0.35"/>
    <row r="7170" hidden="1" x14ac:dyDescent="0.35"/>
    <row r="7171" hidden="1" x14ac:dyDescent="0.35"/>
    <row r="7172" hidden="1" x14ac:dyDescent="0.35"/>
    <row r="7173" hidden="1" x14ac:dyDescent="0.35"/>
    <row r="7174" hidden="1" x14ac:dyDescent="0.35"/>
    <row r="7175" hidden="1" x14ac:dyDescent="0.35"/>
    <row r="7176" hidden="1" x14ac:dyDescent="0.35"/>
    <row r="7177" hidden="1" x14ac:dyDescent="0.35"/>
    <row r="7178" hidden="1" x14ac:dyDescent="0.35"/>
    <row r="7179" hidden="1" x14ac:dyDescent="0.35"/>
    <row r="7180" hidden="1" x14ac:dyDescent="0.35"/>
    <row r="7181" hidden="1" x14ac:dyDescent="0.35"/>
    <row r="7182" hidden="1" x14ac:dyDescent="0.35"/>
    <row r="7183" hidden="1" x14ac:dyDescent="0.35"/>
    <row r="7184" hidden="1" x14ac:dyDescent="0.35"/>
    <row r="7185" hidden="1" x14ac:dyDescent="0.35"/>
    <row r="7186" hidden="1" x14ac:dyDescent="0.35"/>
    <row r="7187" hidden="1" x14ac:dyDescent="0.35"/>
    <row r="7188" hidden="1" x14ac:dyDescent="0.35"/>
    <row r="7189" hidden="1" x14ac:dyDescent="0.35"/>
    <row r="7190" hidden="1" x14ac:dyDescent="0.35"/>
    <row r="7191" hidden="1" x14ac:dyDescent="0.35"/>
    <row r="7192" hidden="1" x14ac:dyDescent="0.35"/>
    <row r="7193" hidden="1" x14ac:dyDescent="0.35"/>
    <row r="7194" hidden="1" x14ac:dyDescent="0.35"/>
    <row r="7195" hidden="1" x14ac:dyDescent="0.35"/>
    <row r="7196" hidden="1" x14ac:dyDescent="0.35"/>
    <row r="7197" hidden="1" x14ac:dyDescent="0.35"/>
    <row r="7198" hidden="1" x14ac:dyDescent="0.35"/>
    <row r="7199" hidden="1" x14ac:dyDescent="0.35"/>
    <row r="7200" hidden="1" x14ac:dyDescent="0.35"/>
    <row r="7201" hidden="1" x14ac:dyDescent="0.35"/>
    <row r="7202" hidden="1" x14ac:dyDescent="0.35"/>
    <row r="7203" hidden="1" x14ac:dyDescent="0.35"/>
    <row r="7204" hidden="1" x14ac:dyDescent="0.35"/>
    <row r="7205" hidden="1" x14ac:dyDescent="0.35"/>
    <row r="7206" hidden="1" x14ac:dyDescent="0.35"/>
    <row r="7207" hidden="1" x14ac:dyDescent="0.35"/>
    <row r="7208" hidden="1" x14ac:dyDescent="0.35"/>
    <row r="7209" hidden="1" x14ac:dyDescent="0.35"/>
    <row r="7210" hidden="1" x14ac:dyDescent="0.35"/>
    <row r="7211" hidden="1" x14ac:dyDescent="0.35"/>
    <row r="7212" hidden="1" x14ac:dyDescent="0.35"/>
    <row r="7213" hidden="1" x14ac:dyDescent="0.35"/>
    <row r="7214" hidden="1" x14ac:dyDescent="0.35"/>
    <row r="7215" hidden="1" x14ac:dyDescent="0.35"/>
    <row r="7216" hidden="1" x14ac:dyDescent="0.35"/>
    <row r="7217" hidden="1" x14ac:dyDescent="0.35"/>
    <row r="7218" hidden="1" x14ac:dyDescent="0.35"/>
    <row r="7219" hidden="1" x14ac:dyDescent="0.35"/>
    <row r="7220" hidden="1" x14ac:dyDescent="0.35"/>
    <row r="7221" hidden="1" x14ac:dyDescent="0.35"/>
    <row r="7222" hidden="1" x14ac:dyDescent="0.35"/>
    <row r="7223" hidden="1" x14ac:dyDescent="0.35"/>
    <row r="7224" hidden="1" x14ac:dyDescent="0.35"/>
    <row r="7225" hidden="1" x14ac:dyDescent="0.35"/>
    <row r="7226" hidden="1" x14ac:dyDescent="0.35"/>
    <row r="7227" hidden="1" x14ac:dyDescent="0.35"/>
    <row r="7228" hidden="1" x14ac:dyDescent="0.35"/>
    <row r="7229" hidden="1" x14ac:dyDescent="0.35"/>
    <row r="7230" hidden="1" x14ac:dyDescent="0.35"/>
    <row r="7231" hidden="1" x14ac:dyDescent="0.35"/>
    <row r="7232" hidden="1" x14ac:dyDescent="0.35"/>
    <row r="7233" hidden="1" x14ac:dyDescent="0.35"/>
    <row r="7234" hidden="1" x14ac:dyDescent="0.35"/>
    <row r="7235" hidden="1" x14ac:dyDescent="0.35"/>
    <row r="7236" hidden="1" x14ac:dyDescent="0.35"/>
    <row r="7237" hidden="1" x14ac:dyDescent="0.35"/>
    <row r="7238" hidden="1" x14ac:dyDescent="0.35"/>
    <row r="7239" hidden="1" x14ac:dyDescent="0.35"/>
    <row r="7240" hidden="1" x14ac:dyDescent="0.35"/>
    <row r="7241" hidden="1" x14ac:dyDescent="0.35"/>
    <row r="7242" hidden="1" x14ac:dyDescent="0.35"/>
    <row r="7243" hidden="1" x14ac:dyDescent="0.35"/>
    <row r="7244" hidden="1" x14ac:dyDescent="0.35"/>
    <row r="7245" hidden="1" x14ac:dyDescent="0.35"/>
    <row r="7246" hidden="1" x14ac:dyDescent="0.35"/>
    <row r="7247" hidden="1" x14ac:dyDescent="0.35"/>
    <row r="7248" hidden="1" x14ac:dyDescent="0.35"/>
    <row r="7249" hidden="1" x14ac:dyDescent="0.35"/>
    <row r="7250" hidden="1" x14ac:dyDescent="0.35"/>
    <row r="7251" hidden="1" x14ac:dyDescent="0.35"/>
    <row r="7252" hidden="1" x14ac:dyDescent="0.35"/>
    <row r="7253" hidden="1" x14ac:dyDescent="0.35"/>
    <row r="7254" hidden="1" x14ac:dyDescent="0.35"/>
    <row r="7255" hidden="1" x14ac:dyDescent="0.35"/>
    <row r="7256" hidden="1" x14ac:dyDescent="0.35"/>
    <row r="7257" hidden="1" x14ac:dyDescent="0.35"/>
    <row r="7258" hidden="1" x14ac:dyDescent="0.35"/>
    <row r="7259" hidden="1" x14ac:dyDescent="0.35"/>
    <row r="7260" hidden="1" x14ac:dyDescent="0.35"/>
    <row r="7261" hidden="1" x14ac:dyDescent="0.35"/>
    <row r="7262" hidden="1" x14ac:dyDescent="0.35"/>
    <row r="7263" hidden="1" x14ac:dyDescent="0.35"/>
    <row r="7264" hidden="1" x14ac:dyDescent="0.35"/>
    <row r="7265" hidden="1" x14ac:dyDescent="0.35"/>
    <row r="7266" hidden="1" x14ac:dyDescent="0.35"/>
    <row r="7267" hidden="1" x14ac:dyDescent="0.35"/>
    <row r="7268" hidden="1" x14ac:dyDescent="0.35"/>
    <row r="7269" hidden="1" x14ac:dyDescent="0.35"/>
    <row r="7270" hidden="1" x14ac:dyDescent="0.35"/>
    <row r="7271" hidden="1" x14ac:dyDescent="0.35"/>
    <row r="7272" hidden="1" x14ac:dyDescent="0.35"/>
    <row r="7273" hidden="1" x14ac:dyDescent="0.35"/>
    <row r="7274" hidden="1" x14ac:dyDescent="0.35"/>
    <row r="7275" hidden="1" x14ac:dyDescent="0.35"/>
    <row r="7276" hidden="1" x14ac:dyDescent="0.35"/>
    <row r="7277" hidden="1" x14ac:dyDescent="0.35"/>
    <row r="7278" hidden="1" x14ac:dyDescent="0.35"/>
    <row r="7279" hidden="1" x14ac:dyDescent="0.35"/>
    <row r="7280" hidden="1" x14ac:dyDescent="0.35"/>
    <row r="7281" hidden="1" x14ac:dyDescent="0.35"/>
    <row r="7282" hidden="1" x14ac:dyDescent="0.35"/>
    <row r="7283" hidden="1" x14ac:dyDescent="0.35"/>
    <row r="7284" hidden="1" x14ac:dyDescent="0.35"/>
    <row r="7285" hidden="1" x14ac:dyDescent="0.35"/>
    <row r="7286" hidden="1" x14ac:dyDescent="0.35"/>
    <row r="7287" hidden="1" x14ac:dyDescent="0.35"/>
    <row r="7288" hidden="1" x14ac:dyDescent="0.35"/>
    <row r="7289" hidden="1" x14ac:dyDescent="0.35"/>
    <row r="7290" hidden="1" x14ac:dyDescent="0.35"/>
    <row r="7291" hidden="1" x14ac:dyDescent="0.35"/>
    <row r="7292" hidden="1" x14ac:dyDescent="0.35"/>
    <row r="7293" hidden="1" x14ac:dyDescent="0.35"/>
    <row r="7294" hidden="1" x14ac:dyDescent="0.35"/>
    <row r="7295" hidden="1" x14ac:dyDescent="0.35"/>
    <row r="7296" hidden="1" x14ac:dyDescent="0.35"/>
    <row r="7297" hidden="1" x14ac:dyDescent="0.35"/>
    <row r="7298" hidden="1" x14ac:dyDescent="0.35"/>
    <row r="7299" hidden="1" x14ac:dyDescent="0.35"/>
    <row r="7300" hidden="1" x14ac:dyDescent="0.35"/>
    <row r="7301" hidden="1" x14ac:dyDescent="0.35"/>
    <row r="7302" hidden="1" x14ac:dyDescent="0.35"/>
    <row r="7303" hidden="1" x14ac:dyDescent="0.35"/>
    <row r="7304" hidden="1" x14ac:dyDescent="0.35"/>
    <row r="7305" hidden="1" x14ac:dyDescent="0.35"/>
    <row r="7306" hidden="1" x14ac:dyDescent="0.35"/>
    <row r="7307" hidden="1" x14ac:dyDescent="0.35"/>
    <row r="7308" hidden="1" x14ac:dyDescent="0.35"/>
    <row r="7309" hidden="1" x14ac:dyDescent="0.35"/>
    <row r="7310" hidden="1" x14ac:dyDescent="0.35"/>
    <row r="7311" hidden="1" x14ac:dyDescent="0.35"/>
    <row r="7312" hidden="1" x14ac:dyDescent="0.35"/>
    <row r="7313" hidden="1" x14ac:dyDescent="0.35"/>
    <row r="7314" hidden="1" x14ac:dyDescent="0.35"/>
    <row r="7315" hidden="1" x14ac:dyDescent="0.35"/>
    <row r="7316" hidden="1" x14ac:dyDescent="0.35"/>
    <row r="7317" hidden="1" x14ac:dyDescent="0.35"/>
    <row r="7318" hidden="1" x14ac:dyDescent="0.35"/>
    <row r="7319" hidden="1" x14ac:dyDescent="0.35"/>
    <row r="7320" hidden="1" x14ac:dyDescent="0.35"/>
    <row r="7321" hidden="1" x14ac:dyDescent="0.35"/>
    <row r="7322" hidden="1" x14ac:dyDescent="0.35"/>
    <row r="7323" hidden="1" x14ac:dyDescent="0.35"/>
    <row r="7324" hidden="1" x14ac:dyDescent="0.35"/>
    <row r="7325" hidden="1" x14ac:dyDescent="0.35"/>
    <row r="7326" hidden="1" x14ac:dyDescent="0.35"/>
    <row r="7327" hidden="1" x14ac:dyDescent="0.35"/>
    <row r="7328" hidden="1" x14ac:dyDescent="0.35"/>
    <row r="7329" hidden="1" x14ac:dyDescent="0.35"/>
    <row r="7330" hidden="1" x14ac:dyDescent="0.35"/>
    <row r="7331" hidden="1" x14ac:dyDescent="0.35"/>
    <row r="7332" hidden="1" x14ac:dyDescent="0.35"/>
  </sheetData>
  <autoFilter ref="C6:R5348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 tint="0.499984740745262"/>
    <pageSetUpPr autoPageBreaks="0"/>
  </sheetPr>
  <dimension ref="A1:Z85"/>
  <sheetViews>
    <sheetView zoomScale="85" zoomScaleNormal="80" workbookViewId="0"/>
  </sheetViews>
  <sheetFormatPr defaultColWidth="0" defaultRowHeight="14.4" customHeight="1" zeroHeight="1" x14ac:dyDescent="0.35"/>
  <cols>
    <col min="1" max="1" width="9.36328125" style="81" customWidth="1"/>
    <col min="2" max="2" width="3" style="81" bestFit="1" customWidth="1"/>
    <col min="3" max="3" width="126.1796875" style="81" bestFit="1" customWidth="1"/>
    <col min="4" max="4" width="18.54296875" style="81" customWidth="1"/>
    <col min="5" max="5" width="15.90625" style="81" bestFit="1" customWidth="1"/>
    <col min="6" max="6" width="14.90625" style="81" bestFit="1" customWidth="1"/>
    <col min="7" max="10" width="14.6328125" style="81" bestFit="1" customWidth="1"/>
    <col min="11" max="11" width="15" style="81" bestFit="1" customWidth="1"/>
    <col min="12" max="12" width="23.453125" style="81" customWidth="1"/>
    <col min="13" max="13" width="16" style="81" bestFit="1" customWidth="1"/>
    <col min="14" max="14" width="14.54296875" style="81" bestFit="1" customWidth="1"/>
    <col min="15" max="20" width="14.453125" style="81" bestFit="1" customWidth="1"/>
    <col min="21" max="21" width="27.453125" style="81" bestFit="1" customWidth="1"/>
    <col min="22" max="22" width="8.54296875" style="81" customWidth="1"/>
    <col min="23" max="16384" width="8.54296875" style="81" hidden="1"/>
  </cols>
  <sheetData>
    <row r="1" spans="1:26" s="59" customFormat="1" ht="14.5" x14ac:dyDescent="0.35">
      <c r="D1" s="9"/>
      <c r="E1" s="97"/>
      <c r="F1" s="96"/>
      <c r="G1" s="96"/>
      <c r="H1" s="96"/>
      <c r="I1" s="96"/>
      <c r="J1" s="96"/>
      <c r="K1" s="96"/>
      <c r="L1" s="96"/>
      <c r="M1" s="96" t="s">
        <v>48</v>
      </c>
      <c r="N1" s="96" t="s">
        <v>48</v>
      </c>
      <c r="O1" s="96" t="s">
        <v>48</v>
      </c>
      <c r="P1" s="96" t="s">
        <v>48</v>
      </c>
      <c r="Q1" s="96" t="s">
        <v>48</v>
      </c>
      <c r="R1" s="96" t="s">
        <v>48</v>
      </c>
      <c r="S1" s="96" t="s">
        <v>48</v>
      </c>
      <c r="T1" s="96" t="s">
        <v>60</v>
      </c>
      <c r="U1" s="96" t="s">
        <v>61</v>
      </c>
    </row>
    <row r="2" spans="1:26" s="59" customFormat="1" ht="14.5" x14ac:dyDescent="0.35">
      <c r="C2" s="61" t="s">
        <v>38</v>
      </c>
      <c r="D2" s="9" t="s">
        <v>46</v>
      </c>
      <c r="E2" s="97"/>
      <c r="F2" s="97"/>
      <c r="G2" s="97"/>
      <c r="H2" s="97"/>
      <c r="I2" s="97"/>
      <c r="J2" s="97"/>
      <c r="K2" s="97"/>
      <c r="L2" s="97"/>
      <c r="M2" s="9" t="s">
        <v>57</v>
      </c>
      <c r="N2" s="9" t="s">
        <v>57</v>
      </c>
      <c r="O2" s="9" t="s">
        <v>57</v>
      </c>
      <c r="P2" s="9" t="s">
        <v>57</v>
      </c>
      <c r="Q2" s="9" t="s">
        <v>57</v>
      </c>
      <c r="R2" s="9" t="s">
        <v>57</v>
      </c>
      <c r="S2" s="9" t="s">
        <v>57</v>
      </c>
      <c r="T2" s="96"/>
      <c r="U2" s="96"/>
      <c r="V2" s="60"/>
      <c r="W2" s="60"/>
      <c r="X2" s="60"/>
      <c r="Y2" s="60"/>
      <c r="Z2" s="60"/>
    </row>
    <row r="3" spans="1:26" s="59" customFormat="1" ht="14.5" x14ac:dyDescent="0.35">
      <c r="C3" s="61"/>
      <c r="D3" s="9" t="s">
        <v>64</v>
      </c>
      <c r="E3" s="9" t="s">
        <v>49</v>
      </c>
      <c r="F3" s="9" t="s">
        <v>45</v>
      </c>
      <c r="G3" s="9" t="s">
        <v>55</v>
      </c>
      <c r="H3" s="9" t="s">
        <v>50</v>
      </c>
      <c r="I3" s="9" t="s">
        <v>52</v>
      </c>
      <c r="J3" s="9" t="s">
        <v>62</v>
      </c>
      <c r="K3" s="97"/>
      <c r="L3" s="97"/>
      <c r="M3" s="9" t="s">
        <v>90</v>
      </c>
      <c r="N3" s="9" t="s">
        <v>90</v>
      </c>
      <c r="O3" s="9" t="s">
        <v>90</v>
      </c>
      <c r="P3" s="9" t="s">
        <v>90</v>
      </c>
      <c r="Q3" s="9" t="s">
        <v>90</v>
      </c>
      <c r="R3" s="9" t="s">
        <v>90</v>
      </c>
      <c r="S3" s="9" t="s">
        <v>90</v>
      </c>
      <c r="T3" s="97"/>
      <c r="U3" s="97"/>
      <c r="V3" s="60"/>
      <c r="W3" s="60"/>
      <c r="X3" s="60"/>
      <c r="Y3" s="60"/>
      <c r="Z3" s="60"/>
    </row>
    <row r="4" spans="1:26" s="59" customFormat="1" ht="13" x14ac:dyDescent="0.3">
      <c r="D4" s="62" t="s">
        <v>0</v>
      </c>
      <c r="E4" s="62" t="s">
        <v>1</v>
      </c>
      <c r="F4" s="62" t="s">
        <v>2</v>
      </c>
      <c r="G4" s="62" t="s">
        <v>3</v>
      </c>
      <c r="H4" s="62" t="s">
        <v>4</v>
      </c>
      <c r="I4" s="62" t="s">
        <v>5</v>
      </c>
      <c r="J4" s="62" t="s">
        <v>6</v>
      </c>
      <c r="K4" s="62" t="s">
        <v>7</v>
      </c>
      <c r="L4" s="62" t="s">
        <v>8</v>
      </c>
      <c r="M4" s="62" t="s">
        <v>9</v>
      </c>
      <c r="N4" s="62" t="s">
        <v>10</v>
      </c>
      <c r="O4" s="62" t="s">
        <v>11</v>
      </c>
      <c r="P4" s="62" t="s">
        <v>27</v>
      </c>
      <c r="Q4" s="62" t="s">
        <v>28</v>
      </c>
      <c r="R4" s="62" t="s">
        <v>29</v>
      </c>
      <c r="S4" s="62" t="s">
        <v>30</v>
      </c>
      <c r="T4" s="62" t="s">
        <v>132</v>
      </c>
      <c r="U4" s="62" t="s">
        <v>133</v>
      </c>
    </row>
    <row r="5" spans="1:26" s="59" customFormat="1" ht="24" customHeight="1" x14ac:dyDescent="0.3">
      <c r="C5" s="63" t="s">
        <v>12</v>
      </c>
      <c r="D5" s="116" t="s">
        <v>134</v>
      </c>
      <c r="E5" s="117"/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17"/>
      <c r="Q5" s="117"/>
      <c r="R5" s="117"/>
      <c r="S5" s="117"/>
      <c r="T5" s="117"/>
      <c r="U5" s="118"/>
      <c r="V5" s="64"/>
    </row>
    <row r="6" spans="1:26" s="59" customFormat="1" ht="28.5" customHeight="1" x14ac:dyDescent="0.3">
      <c r="C6" s="65"/>
      <c r="D6" s="66"/>
      <c r="E6" s="119" t="s">
        <v>37</v>
      </c>
      <c r="F6" s="120"/>
      <c r="G6" s="120"/>
      <c r="H6" s="120"/>
      <c r="I6" s="120"/>
      <c r="J6" s="120"/>
      <c r="K6" s="116" t="s">
        <v>135</v>
      </c>
      <c r="L6" s="121"/>
      <c r="M6" s="119" t="s">
        <v>26</v>
      </c>
      <c r="N6" s="120"/>
      <c r="O6" s="120"/>
      <c r="P6" s="120"/>
      <c r="Q6" s="120"/>
      <c r="R6" s="120"/>
      <c r="S6" s="121"/>
      <c r="T6" s="116" t="s">
        <v>36</v>
      </c>
      <c r="U6" s="118"/>
      <c r="V6" s="64"/>
    </row>
    <row r="7" spans="1:26" s="59" customFormat="1" ht="60" customHeight="1" x14ac:dyDescent="0.3">
      <c r="C7" s="67"/>
      <c r="D7" s="68"/>
      <c r="E7" s="69" t="s">
        <v>13</v>
      </c>
      <c r="F7" s="69" t="s">
        <v>14</v>
      </c>
      <c r="G7" s="69" t="s">
        <v>15</v>
      </c>
      <c r="H7" s="69" t="s">
        <v>16</v>
      </c>
      <c r="I7" s="69" t="s">
        <v>17</v>
      </c>
      <c r="J7" s="69" t="s">
        <v>18</v>
      </c>
      <c r="K7" s="68"/>
      <c r="L7" s="70" t="s">
        <v>136</v>
      </c>
      <c r="M7" s="68" t="s">
        <v>19</v>
      </c>
      <c r="N7" s="68" t="s">
        <v>20</v>
      </c>
      <c r="O7" s="68" t="s">
        <v>21</v>
      </c>
      <c r="P7" s="68" t="s">
        <v>22</v>
      </c>
      <c r="Q7" s="68" t="s">
        <v>23</v>
      </c>
      <c r="R7" s="68" t="s">
        <v>24</v>
      </c>
      <c r="S7" s="68" t="s">
        <v>25</v>
      </c>
      <c r="T7" s="71"/>
      <c r="U7" s="72" t="s">
        <v>137</v>
      </c>
      <c r="V7" s="64"/>
    </row>
    <row r="8" spans="1:26" s="59" customFormat="1" ht="13" x14ac:dyDescent="0.3">
      <c r="A8" s="96"/>
      <c r="B8" s="62">
        <v>1</v>
      </c>
      <c r="C8" s="73" t="s">
        <v>34</v>
      </c>
      <c r="D8" s="107"/>
      <c r="E8" s="107"/>
      <c r="F8" s="107"/>
      <c r="G8" s="107"/>
      <c r="H8" s="107"/>
      <c r="I8" s="107"/>
      <c r="J8" s="107"/>
      <c r="K8" s="98">
        <f>+SUM(K9:K11)</f>
        <v>48853917266</v>
      </c>
      <c r="L8" s="99">
        <f>(SUM(SUMIFS(Input!$G:$G,Input!$C:$C,{"Garantia Comercial";"Garantia Residencial";"Stock"},Input!$R:$R,"&lt;&gt;"&amp;$S$1,Input!$R:$R,"&lt;&gt;"&amp;"",Input!$R:$R,"&lt;&gt;"&amp;$U$1,Input!$R:$R,"&lt;&gt;"&amp;$S$3,Input!$F:$F,'2.CC Trans-BB.RE collateral'!$D$2)))/$K8</f>
        <v>0.9917340485963233</v>
      </c>
      <c r="M8" s="107"/>
      <c r="N8" s="107"/>
      <c r="O8" s="107"/>
      <c r="P8" s="107"/>
      <c r="Q8" s="107"/>
      <c r="R8" s="107"/>
      <c r="S8" s="107"/>
      <c r="T8" s="107"/>
      <c r="U8" s="99">
        <f>SUM(SUMIFS(Input!$G:$G,Input!$C:$C,{"Garantia Comercial";"Garantia Residencial";"Stock"},Input!$H:$H,"&lt;&gt;"&amp;$S$1,Input!$H:$H,"&lt;&gt;"&amp;$S$2,Input!$H:$H,"&lt;&gt;"&amp;"",Input!$H:$H,"&lt;&gt;"&amp;$U$1,Input!$H:$H,"&lt;&gt;"&amp;$S$3,Input!$F:$F,'2.CC Trans-BB.RE collateral'!$D$2))/(SUM(SUMIFS(Input!$G:$G,Input!$C:$C,{"Garantia Comercial";"Garantia Residencial";"Stock"},Input!$H:$H,"&lt;&gt;"&amp;$S$1,Input!$H:$H,"&lt;&gt;"&amp;$S$2,Input!$F:$F,'2.CC Trans-BB.RE collateral'!$D$2)))</f>
        <v>0.98440882149251385</v>
      </c>
      <c r="V8" s="64"/>
    </row>
    <row r="9" spans="1:26" s="59" customFormat="1" ht="13" x14ac:dyDescent="0.3">
      <c r="A9" s="96" t="s">
        <v>53</v>
      </c>
      <c r="B9" s="62">
        <v>2</v>
      </c>
      <c r="C9" s="74" t="s">
        <v>31</v>
      </c>
      <c r="D9" s="107"/>
      <c r="E9" s="107"/>
      <c r="F9" s="107"/>
      <c r="G9" s="107"/>
      <c r="H9" s="107"/>
      <c r="I9" s="107"/>
      <c r="J9" s="107"/>
      <c r="K9" s="98">
        <f>ROUND(SUMIFS(Input!$G:$G,Input!$C:$C,'2.CC Trans-BB.RE collateral'!$A$9,Input!$F:$F,'2.CC Trans-BB.RE collateral'!$D$2,Input!$R:$R,"&lt;&gt;"&amp;$S$1),0)</f>
        <v>5065588347</v>
      </c>
      <c r="L9" s="99">
        <f>(SUMIFS(Input!$G:$G,Input!$C:$C,$A$9,Input!$R:$R,"&lt;&gt;"&amp;$S$1,Input!$R:$R,"&lt;&gt;"&amp;"",Input!$R:$R,"&lt;&gt;"&amp;$U$1,Input!$R:$R,"&lt;&gt;"&amp;$S$3,Input!$F:$F,'2.CC Trans-BB.RE collateral'!$D$2))/$K9</f>
        <v>0.93779030836830057</v>
      </c>
      <c r="M9" s="107"/>
      <c r="N9" s="107"/>
      <c r="O9" s="107"/>
      <c r="P9" s="107"/>
      <c r="Q9" s="107"/>
      <c r="R9" s="107"/>
      <c r="S9" s="107"/>
      <c r="T9" s="107"/>
      <c r="U9" s="99">
        <f>(SUMIFS(Input!$G:$G,Input!$C:$C,$A9,Input!$H:$H,"&lt;&gt;"&amp;$S$1,Input!$H:$H,"&lt;&gt;"&amp;$S$2,Input!$H:$H,"&lt;&gt;"&amp;"",Input!$H:$H,"&lt;&gt;"&amp;$U$1,Input!$H:$H,"&lt;&gt;"&amp;$S$3,Input!$F:$F,'2.CC Trans-BB.RE collateral'!$D$2))/(SUMIFS(Input!$G:$G,Input!$C:$C,'2.CC Trans-BB.RE collateral'!$A$9,Input!$H:$H,"&lt;&gt;"&amp;$S$1,Input!$H:$H,"&lt;&gt;"&amp;$S$2,Input!$F:$F,'2.CC Trans-BB.RE collateral'!$D$2))</f>
        <v>0.93130393427253244</v>
      </c>
      <c r="V9" s="64"/>
    </row>
    <row r="10" spans="1:26" s="59" customFormat="1" ht="13" x14ac:dyDescent="0.3">
      <c r="A10" s="96" t="s">
        <v>51</v>
      </c>
      <c r="B10" s="62">
        <v>3</v>
      </c>
      <c r="C10" s="74" t="s">
        <v>32</v>
      </c>
      <c r="D10" s="107"/>
      <c r="E10" s="107"/>
      <c r="F10" s="107"/>
      <c r="G10" s="107"/>
      <c r="H10" s="107"/>
      <c r="I10" s="107"/>
      <c r="J10" s="107"/>
      <c r="K10" s="98">
        <f>ROUND(SUMIFS(Input!$G:$G,Input!$C:$C,'2.CC Trans-BB.RE collateral'!$A$10,Input!$F:$F,'2.CC Trans-BB.RE collateral'!$D$2,Input!$R:$R,"&lt;&gt;"&amp;$S$1),0)</f>
        <v>43694498142</v>
      </c>
      <c r="L10" s="99">
        <f>(SUMIFS(Input!$G:$G,Input!$C:$C,$A$10,Input!$R:$R,"&lt;&gt;"&amp;$S$1,Input!$R:$R,"&lt;&gt;"&amp;"",Input!$R:$R,"&lt;&gt;"&amp;$U$1,Input!$R:$R,"&lt;&gt;"&amp;$S$3,Input!$F:$F,'2.CC Trans-BB.RE collateral'!$D$2))/$K10</f>
        <v>0.99824318671081813</v>
      </c>
      <c r="M10" s="107"/>
      <c r="N10" s="107"/>
      <c r="O10" s="107"/>
      <c r="P10" s="107"/>
      <c r="Q10" s="107"/>
      <c r="R10" s="107"/>
      <c r="S10" s="107"/>
      <c r="T10" s="107"/>
      <c r="U10" s="99">
        <f>(SUMIFS(Input!$G:$G,Input!$C:$C,$A10,Input!$H:$H,"&lt;&gt;"&amp;$S$1,Input!$H:$H,"&lt;&gt;"&amp;$S$2,Input!$H:$H,"&lt;&gt;"&amp;"",Input!$H:$H,"&lt;&gt;"&amp;$U$1,Input!$H:$H,"&lt;&gt;"&amp;$S$3,Input!$F:$F,'2.CC Trans-BB.RE collateral'!$D$2))/(SUMIFS(Input!$G:$G,Input!$C:$C,'2.CC Trans-BB.RE collateral'!$A10,Input!$H:$H,"&lt;&gt;"&amp;$S$1,Input!$H:$H,"&lt;&gt;"&amp;$S$2,Input!$F:$F,'2.CC Trans-BB.RE collateral'!$D$2))</f>
        <v>0.99558876360273685</v>
      </c>
      <c r="V10" s="64"/>
    </row>
    <row r="11" spans="1:26" s="59" customFormat="1" ht="13" x14ac:dyDescent="0.3">
      <c r="A11" s="96" t="s">
        <v>44</v>
      </c>
      <c r="B11" s="62">
        <v>4</v>
      </c>
      <c r="C11" s="74" t="s">
        <v>33</v>
      </c>
      <c r="D11" s="107"/>
      <c r="E11" s="107"/>
      <c r="F11" s="107"/>
      <c r="G11" s="107"/>
      <c r="H11" s="107"/>
      <c r="I11" s="107"/>
      <c r="J11" s="107"/>
      <c r="K11" s="98">
        <f>ROUND(SUMIFS(Input!$G:$G,Input!$C:$C,'2.CC Trans-BB.RE collateral'!$A$11,Input!$F:$F,'2.CC Trans-BB.RE collateral'!$D$2,Input!$R:$R,"&lt;&gt;"&amp;$S$1),0)</f>
        <v>93830777</v>
      </c>
      <c r="L11" s="99">
        <f>IFERROR((SUMIFS(Input!$G:$G,Input!$C:$C,$A$11,Input!$F:$F,'2.CC Trans-BB.RE collateral'!$D$2,Input!$R:$R,"&lt;&gt;"&amp;$S$1,Input!$R:$R,"&lt;&gt;"&amp;"",Input!$R:$R,"&lt;&gt;"&amp;$U$1,Input!$R:$R,"&lt;&gt;"&amp;$S$3))/$K11,0)</f>
        <v>0.87283125663554939</v>
      </c>
      <c r="M11" s="107"/>
      <c r="N11" s="107"/>
      <c r="O11" s="107"/>
      <c r="P11" s="107"/>
      <c r="Q11" s="107"/>
      <c r="R11" s="107"/>
      <c r="S11" s="107"/>
      <c r="T11" s="107"/>
      <c r="U11" s="99">
        <f>IFERROR((SUMIFS(Input!$G:$G,Input!$C:$C,$A11,Input!$H:$H,"&lt;&gt;"&amp;$S$1,Input!$H:$H,"&lt;&gt;"&amp;$S$2,Input!$H:$H,"&lt;&gt;"&amp;"",Input!$H:$H,"&lt;&gt;"&amp;$U$1,Input!$H:$H,"&lt;&gt;"&amp;$S$3,Input!$F:$F,'2.CC Trans-BB.RE collateral'!$D$2))/(SUMIFS(Input!$G:$G,Input!$C:$C,'2.CC Trans-BB.RE collateral'!$A11,Input!$H:$H,"&lt;&gt;"&amp;$S$1,Input!$H:$H,"&lt;&gt;"&amp;$S$2,Input!$F:$F,'2.CC Trans-BB.RE collateral'!$D$2)),0)</f>
        <v>0.86860053415677574</v>
      </c>
      <c r="V11" s="64"/>
    </row>
    <row r="12" spans="1:26" s="59" customFormat="1" ht="13" x14ac:dyDescent="0.3">
      <c r="A12" s="96" t="s">
        <v>60</v>
      </c>
      <c r="B12" s="62">
        <v>5</v>
      </c>
      <c r="C12" s="75" t="s">
        <v>138</v>
      </c>
      <c r="D12" s="107"/>
      <c r="E12" s="107"/>
      <c r="F12" s="107"/>
      <c r="G12" s="107"/>
      <c r="H12" s="107"/>
      <c r="I12" s="107"/>
      <c r="J12" s="107"/>
      <c r="K12" s="100">
        <f>ROUND(SUM(SUMIFS(Input!$G:$G,Input!$C:$C,{"Garantia Comercial";"Garantia Residencial";"Stock"},Input!$E:$E,"&lt;&gt;"&amp;$A$12,Input!$R:$R,"&lt;&gt;"&amp;$S$1,Input!$F:$F,'2.CC Trans-BB.RE collateral'!$D$2)),0)</f>
        <v>48450093160</v>
      </c>
      <c r="L12" s="101">
        <f>SUM(SUMIFS(Input!$G:$G,Input!$C:$C,{"Garantia Comercial";"Garantia Residencial";"Stock"},Input!$R:$R,"&lt;&gt;"&amp;$S$1,Input!$R:$R,"&lt;&gt;"&amp;"",Input!$R:$R,"&lt;&gt;"&amp;$U$1,Input!$R:$R,"&lt;&gt;"&amp;$S$3,Input!$F:$F,'2.CC Trans-BB.RE collateral'!$D$2))/$K12</f>
        <v>1</v>
      </c>
      <c r="M12" s="102">
        <f>ROUND(SUM(SUMIFS(Input!$G:$G,Input!$C:$C,{"Garantia Comercial";"Garantia Residencial";"Stock"},Input!$H:$H,"&lt;&gt;"&amp;$S$2,Input!$H:$H,"&lt;&gt;"&amp;"",Input!$H:$H,"&lt;&gt;"&amp;$S$1,Input!$D:$D,'2.CC Trans-BB.RE collateral'!M$7&amp;"*",Input!$D:$D,"&lt;&gt;"&amp;'2.CC Trans-BB.RE collateral'!$T$1,Input!$F:$F,'2.CC Trans-BB.RE collateral'!$D$2)),0)</f>
        <v>1824483035</v>
      </c>
      <c r="N12" s="102">
        <f>ROUND(SUM(SUMIFS(Input!$G:$G,Input!$C:$C,{"Garantia Comercial";"Garantia Residencial";"Stock"},Input!$H:$H,"&lt;&gt;"&amp;$S$2,Input!$H:$H,"&lt;&gt;"&amp;"",Input!$H:$H,"&lt;&gt;"&amp;$S$1,Input!$D:$D,'2.CC Trans-BB.RE collateral'!N$7&amp;"*",Input!$D:$D,"&lt;&gt;"&amp;'2.CC Trans-BB.RE collateral'!$T$1,Input!$F:$F,'2.CC Trans-BB.RE collateral'!$D$2)),0)</f>
        <v>2895371696</v>
      </c>
      <c r="O12" s="102">
        <f>ROUND(SUM(SUMIFS(Input!$G:$G,Input!$C:$C,{"Garantia Comercial";"Garantia Residencial";"Stock"},Input!$H:$H,"&lt;&gt;"&amp;$S$2,Input!$H:$H,"&lt;&gt;"&amp;"",Input!$H:$H,"&lt;&gt;"&amp;$S$1,Input!$D:$D,'2.CC Trans-BB.RE collateral'!O$7,Input!$D:$D,"&lt;&gt;"&amp;'2.CC Trans-BB.RE collateral'!$T$1,Input!$F:$F,'2.CC Trans-BB.RE collateral'!$D$2)),0)</f>
        <v>9493837523</v>
      </c>
      <c r="P12" s="102">
        <f>ROUND(SUM(SUMIFS(Input!$G:$G,Input!$C:$C,{"Garantia Comercial";"Garantia Residencial";"Stock"},Input!$H:$H,"&lt;&gt;"&amp;"",Input!$H:$H,"&lt;&gt;"&amp;$S$2,Input!$H:$H,"&lt;&gt;"&amp;$S$1,Input!$D:$D,'2.CC Trans-BB.RE collateral'!P$7,Input!$D:$D,"&lt;&gt;"&amp;'2.CC Trans-BB.RE collateral'!$T$1,Input!$F:$F,'2.CC Trans-BB.RE collateral'!$D$2)),0)</f>
        <v>7372621148</v>
      </c>
      <c r="Q12" s="102">
        <f>ROUND(SUM(SUMIFS(Input!$G:$G,Input!$C:$C,{"Garantia Comercial";"Garantia Residencial";"Stock"},Input!$H:$H,"&lt;&gt;"&amp;"",Input!$H:$H,"&lt;&gt;"&amp;$S$2,Input!$H:$H,"&lt;&gt;"&amp;$S$1,Input!$D:$D,'2.CC Trans-BB.RE collateral'!Q$7,Input!$D:$D,"&lt;&gt;"&amp;'2.CC Trans-BB.RE collateral'!$T$1,Input!$F:$F,'2.CC Trans-BB.RE collateral'!$D$2)),0)</f>
        <v>3215704186</v>
      </c>
      <c r="R12" s="102">
        <f>ROUND(SUM(SUMIFS(Input!$G:$G,Input!$C:$C,{"Garantia Comercial";"Garantia Residencial";"Stock"},Input!$H:$H,"&lt;&gt;"&amp;"",Input!$H:$H,"&lt;&gt;"&amp;$S$2,Input!$H:$H,"&lt;&gt;"&amp;$S$1,Input!$D:$D,'2.CC Trans-BB.RE collateral'!R$7,Input!$D:$D,"&lt;&gt;"&amp;'2.CC Trans-BB.RE collateral'!$T$1,Input!$F:$F,'2.CC Trans-BB.RE collateral'!$D$2)),0)</f>
        <v>2055758316</v>
      </c>
      <c r="S12" s="102">
        <f>ROUND(SUM(SUMIFS(Input!$G:$G,Input!$C:$C,{"Garantia Comercial";"Garantia Residencial";"Stock"},Input!$H:$H,"&lt;&gt;"&amp;"",Input!$H:$H,"&lt;&gt;"&amp;$S$2,Input!$H:$H,"&lt;&gt;"&amp;$S$1,Input!$D:$D,'2.CC Trans-BB.RE collateral'!S$7,Input!$D:$D,"&lt;&gt;"&amp;'2.CC Trans-BB.RE collateral'!$T$1,Input!$F:$F,'2.CC Trans-BB.RE collateral'!$D$2)),0)</f>
        <v>123339541</v>
      </c>
      <c r="T12" s="107"/>
      <c r="U12" s="101">
        <f>(SUM(SUMIFS(Input!$G:$G,Input!$C:$C,{"Garantia Comercial";"Garantia Residencial";"Stock"},Input!$H:$H,"&lt;&gt;"&amp;S$1,Input!$H:$H,"&lt;&gt;"&amp;"",Input!$H:$H,"&lt;&gt;"&amp;U$1,Input!$H:$H,"&lt;&gt;"&amp;$S$2,Input!$H:$H,"&lt;&gt;"&amp;$S$3,Input!$F:$F,'2.CC Trans-BB.RE collateral'!$D$2)))/(SUM(SUMIFS(Input!$G:$G,Input!$C:$C,{"Garantia Comercial";"Garantia Residencial";"Stock"},Input!$H:$H,"&lt;&gt;"&amp;$S$2,Input!$H:$H,"&lt;&gt;"&amp;$S$1,Input!$E:$E,"&lt;&gt;"&amp;$A$12,Input!$F:$F,'2.CC Trans-BB.RE collateral'!$D$2)))</f>
        <v>0.99908193290983605</v>
      </c>
      <c r="V12" s="64"/>
    </row>
    <row r="13" spans="1:26" s="59" customFormat="1" ht="15.75" customHeight="1" x14ac:dyDescent="0.3">
      <c r="A13" s="96"/>
      <c r="B13" s="62"/>
      <c r="C13" s="122" t="s">
        <v>139</v>
      </c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4"/>
      <c r="V13" s="64"/>
    </row>
    <row r="14" spans="1:26" s="59" customFormat="1" ht="13" x14ac:dyDescent="0.3">
      <c r="B14" s="62">
        <v>6</v>
      </c>
      <c r="C14" s="76" t="s">
        <v>140</v>
      </c>
      <c r="D14" s="103">
        <f>SUMIFS(Input!$P:$P,Input!$C:$C,'2.CC Trans-BB.RE collateral'!$A$9,Input!$F:$F,'2.CC Trans-BB.RE collateral'!$D$2) / SUMIFS(Input!$G:$G,Input!$C:$C,'2.CC Trans-BB.RE collateral'!$A$9,Input!$F:$F,'2.CC Trans-BB.RE collateral'!$D$2)</f>
        <v>0.45236258745167512</v>
      </c>
      <c r="E14" s="103">
        <f>SUMIFS(Input!$P:$P,Input!$C:$C,'2.CC Trans-BB.RE collateral'!$A$9,Input!$E:$E,'2.CC Trans-BB.RE collateral'!E$3,Input!$F:$F,'2.CC Trans-BB.RE collateral'!$D$2) / SUMIFS(Input!$G:$G,Input!$C:$C,'2.CC Trans-BB.RE collateral'!$A$9,Input!$E:$E,'2.CC Trans-BB.RE collateral'!E$3,Input!$F:$F,'2.CC Trans-BB.RE collateral'!$D$2)</f>
        <v>0.40665267286984952</v>
      </c>
      <c r="F14" s="103">
        <f>SUMIFS(Input!$P:$P,Input!$C:$C,'2.CC Trans-BB.RE collateral'!$A$9,Input!$E:$E,'2.CC Trans-BB.RE collateral'!F$3,Input!$F:$F,'2.CC Trans-BB.RE collateral'!$D$2) / SUMIFS(Input!$G:$G,Input!$C:$C,'2.CC Trans-BB.RE collateral'!$A$9,Input!$E:$E,'2.CC Trans-BB.RE collateral'!F$3,Input!$F:$F,'2.CC Trans-BB.RE collateral'!$D$2)</f>
        <v>0.42010863514826075</v>
      </c>
      <c r="G14" s="103">
        <f>SUMIFS(Input!$P:$P,Input!$C:$C,'2.CC Trans-BB.RE collateral'!$A$9,Input!$E:$E,'2.CC Trans-BB.RE collateral'!G$3,Input!$F:$F,'2.CC Trans-BB.RE collateral'!$D$2) / SUMIFS(Input!$G:$G,Input!$C:$C,'2.CC Trans-BB.RE collateral'!$A$9,Input!$E:$E,'2.CC Trans-BB.RE collateral'!G$3,Input!$F:$F,'2.CC Trans-BB.RE collateral'!$D$2)</f>
        <v>0.53230963572043399</v>
      </c>
      <c r="H14" s="103">
        <f>SUMIFS(Input!$P:$P,Input!$C:$C,'2.CC Trans-BB.RE collateral'!$A$9,Input!$E:$E,'2.CC Trans-BB.RE collateral'!H$3,Input!$F:$F,'2.CC Trans-BB.RE collateral'!$D$2) / SUMIFS(Input!$G:$G,Input!$C:$C,'2.CC Trans-BB.RE collateral'!$A$9,Input!$E:$E,'2.CC Trans-BB.RE collateral'!H$3,Input!$F:$F,'2.CC Trans-BB.RE collateral'!$D$2)</f>
        <v>0.41041059028868349</v>
      </c>
      <c r="I14" s="103">
        <f>SUMIFS(Input!$P:$P,Input!$C:$C,'2.CC Trans-BB.RE collateral'!$A$9,Input!$E:$E,'2.CC Trans-BB.RE collateral'!I$3,Input!$F:$F,'2.CC Trans-BB.RE collateral'!$D$2) / SUMIFS(Input!$G:$G,Input!$C:$C,'2.CC Trans-BB.RE collateral'!$A$9,Input!$E:$E,'2.CC Trans-BB.RE collateral'!I$3,Input!$F:$F,'2.CC Trans-BB.RE collateral'!$D$2)</f>
        <v>0.48244729347399351</v>
      </c>
      <c r="J14" s="103">
        <f>SUMIFS(Input!$P:$P,Input!$C:$C,'2.CC Trans-BB.RE collateral'!$A$9,Input!$E:$E,'2.CC Trans-BB.RE collateral'!J$3,Input!$F:$F,'2.CC Trans-BB.RE collateral'!$D$2) / SUMIFS(Input!$G:$G,Input!$C:$C,'2.CC Trans-BB.RE collateral'!$A$9,Input!$E:$E,'2.CC Trans-BB.RE collateral'!J$3,Input!$F:$F,'2.CC Trans-BB.RE collateral'!$D$2)</f>
        <v>0.53880742815615679</v>
      </c>
      <c r="K14" s="103">
        <f>SUMIFS(Input!$P:$P,Input!$C:$C,'2.CC Trans-BB.RE collateral'!$A$9,Input!$R:$R,"&lt;&gt;"&amp;$S$1,Input!$F:$F,'2.CC Trans-BB.RE collateral'!$D$2) / SUMIFS(Input!$G:$G,Input!$C:$C,'2.CC Trans-BB.RE collateral'!$A$9,Input!$R:$R,"&lt;&gt;"&amp;$S$1,Input!$F:$F,'2.CC Trans-BB.RE collateral'!$D$2)</f>
        <v>0.4527183010889852</v>
      </c>
      <c r="L14" s="77"/>
      <c r="M14" s="103">
        <f>SUM(SUMIFS(Input!$P:$P,Input!$C:$C,'2.CC Trans-BB.RE collateral'!$A$9,Input!$D:$D,'2.CC Trans-BB.RE collateral'!M$7&amp;"*",Input!$H:$H,{"1-REAL";"SANTANDER"},Input!$F:$F,'2.CC Trans-BB.RE collateral'!$D$2)) / SUM(SUMIFS(Input!$G:$G,Input!$C:$C,'2.CC Trans-BB.RE collateral'!$A$9,Input!$D:$D,'2.CC Trans-BB.RE collateral'!M$7&amp;"*",Input!$H:$H,{"1-REAL";"SANTANDER"},Input!$F:$F,'2.CC Trans-BB.RE collateral'!$D$2))</f>
        <v>0.58876889143739874</v>
      </c>
      <c r="N14" s="103">
        <f>SUM(SUMIFS(Input!$P:$P,Input!$C:$C,'2.CC Trans-BB.RE collateral'!$A$9,Input!$D:$D,'2.CC Trans-BB.RE collateral'!N$7&amp;"*",Input!$H:$H,{"1-REAL";"SANTANDER"},Input!$F:$F,'2.CC Trans-BB.RE collateral'!$D$2)) / SUM(SUMIFS(Input!$G:$G,Input!$C:$C,'2.CC Trans-BB.RE collateral'!$A$9,Input!$D:$D,'2.CC Trans-BB.RE collateral'!N$7&amp;"*",Input!$H:$H,{"1-REAL";"SANTANDER"},Input!$F:$F,'2.CC Trans-BB.RE collateral'!$D$2))</f>
        <v>0.47013525839733139</v>
      </c>
      <c r="O14" s="103">
        <f>SUM(SUMIFS(Input!$P:$P,Input!$C:$C,'2.CC Trans-BB.RE collateral'!$A$9,Input!$D:$D,'2.CC Trans-BB.RE collateral'!O$7&amp;"*",Input!$H:$H,{"1-REAL";"SANTANDER"},Input!$F:$F,'2.CC Trans-BB.RE collateral'!$D$2)) / SUM(SUMIFS(Input!$G:$G,Input!$C:$C,'2.CC Trans-BB.RE collateral'!$A$9,Input!$D:$D,'2.CC Trans-BB.RE collateral'!O$7&amp;"*",Input!$H:$H,{"1-REAL";"SANTANDER"},Input!$F:$F,'2.CC Trans-BB.RE collateral'!$D$2))</f>
        <v>0.50396454591196005</v>
      </c>
      <c r="P14" s="103">
        <f>SUM(SUMIFS(Input!$P:$P,Input!$C:$C,'2.CC Trans-BB.RE collateral'!$A$9,Input!$D:$D,'2.CC Trans-BB.RE collateral'!P$7&amp;"*",Input!$H:$H,{"1-REAL";"SANTANDER"},Input!$F:$F,'2.CC Trans-BB.RE collateral'!$D$2)) / SUM(SUMIFS(Input!$G:$G,Input!$C:$C,'2.CC Trans-BB.RE collateral'!$A$9,Input!$D:$D,'2.CC Trans-BB.RE collateral'!P$7&amp;"*",Input!$H:$H,{"1-REAL";"SANTANDER"},Input!$F:$F,'2.CC Trans-BB.RE collateral'!$D$2))</f>
        <v>0.43696580855940553</v>
      </c>
      <c r="Q14" s="103">
        <f>SUM(SUMIFS(Input!$P:$P,Input!$C:$C,'2.CC Trans-BB.RE collateral'!$A$9,Input!$D:$D,'2.CC Trans-BB.RE collateral'!Q$7&amp;"*",Input!$H:$H,{"1-REAL";"SANTANDER"},Input!$F:$F,'2.CC Trans-BB.RE collateral'!$D$2)) / SUM(SUMIFS(Input!$G:$G,Input!$C:$C,'2.CC Trans-BB.RE collateral'!$A$9,Input!$D:$D,'2.CC Trans-BB.RE collateral'!Q$7&amp;"*",Input!$H:$H,{"1-REAL";"SANTANDER"},Input!$F:$F,'2.CC Trans-BB.RE collateral'!$D$2))</f>
        <v>0.39205503530111269</v>
      </c>
      <c r="R14" s="103">
        <f>SUM(SUMIFS(Input!$P:$P,Input!$C:$C,'2.CC Trans-BB.RE collateral'!$A$9,Input!$D:$D,'2.CC Trans-BB.RE collateral'!R$7&amp;"*",Input!$H:$H,{"1-REAL";"SANTANDER"},Input!$F:$F,'2.CC Trans-BB.RE collateral'!$D$2)) / SUM(SUMIFS(Input!$G:$G,Input!$C:$C,'2.CC Trans-BB.RE collateral'!$A$9,Input!$D:$D,'2.CC Trans-BB.RE collateral'!R$7&amp;"*",Input!$H:$H,{"1-REAL";"SANTANDER"},Input!$F:$F,'2.CC Trans-BB.RE collateral'!$D$2))</f>
        <v>0.48317252262839344</v>
      </c>
      <c r="S14" s="103">
        <f>SUM(SUMIFS(Input!$P:$P,Input!$C:$C,'2.CC Trans-BB.RE collateral'!$A$9,Input!$D:$D,'2.CC Trans-BB.RE collateral'!S$7&amp;"*",Input!$H:$H,{"1-REAL";"SANTANDER"},Input!$F:$F,'2.CC Trans-BB.RE collateral'!$D$2)) / SUM(SUMIFS(Input!$G:$G,Input!$C:$C,'2.CC Trans-BB.RE collateral'!$A$9,Input!$D:$D,'2.CC Trans-BB.RE collateral'!S$7&amp;"*",Input!$H:$H,{"1-REAL";"SANTANDER"},Input!$F:$F,'2.CC Trans-BB.RE collateral'!$D$2))</f>
        <v>0.26121934955322273</v>
      </c>
      <c r="T14" s="103">
        <f>SUMIFS(Input!$P:$P,Input!$C:$C,'2.CC Trans-BB.RE collateral'!$A$9,Input!$H:$H,"&lt;&gt;"&amp;S$1,Input!$H:$H,"&lt;&gt;"&amp;S$2,Input!$F:$F,'2.CC Trans-BB.RE collateral'!$D$2) / SUMIFS(Input!$G:$G,Input!$C:$C,'2.CC Trans-BB.RE collateral'!$A$9,Input!$H:$H,"&lt;&gt;"&amp;S$1,Input!$H:$H,"&lt;&gt;"&amp;S$2,Input!$F:$F,'2.CC Trans-BB.RE collateral'!$D$2)</f>
        <v>0.44939292659433133</v>
      </c>
      <c r="U14" s="77"/>
      <c r="V14" s="64"/>
    </row>
    <row r="15" spans="1:26" s="59" customFormat="1" ht="13" x14ac:dyDescent="0.3">
      <c r="B15" s="62">
        <v>7</v>
      </c>
      <c r="C15" s="76" t="s">
        <v>141</v>
      </c>
      <c r="D15" s="104">
        <f>ROUND(SUMIFS(Input!$G:$G,Input!$C:$C,'2.CC Trans-BB.RE collateral'!$A$9,Input!$Q:$Q,"LTV4",Input!$F:$F,'2.CC Trans-BB.RE collateral'!$D$2),0)</f>
        <v>358002847</v>
      </c>
      <c r="E15" s="104">
        <f>ROUND(SUMIFS(Input!$G:$G,Input!$C:$C,'2.CC Trans-BB.RE collateral'!$A$9,Input!$Q:$Q,"LTV4",Input!$E:$E,'2.CC Trans-BB.RE collateral'!E$3,Input!$F:$F,'2.CC Trans-BB.RE collateral'!$D$2),0)</f>
        <v>14216577</v>
      </c>
      <c r="F15" s="104">
        <f>ROUND(SUMIFS(Input!$G:$G,Input!$C:$C,'2.CC Trans-BB.RE collateral'!$A$9,Input!$Q:$Q,"LTV4",Input!$E:$E,'2.CC Trans-BB.RE collateral'!F$3,Input!$F:$F,'2.CC Trans-BB.RE collateral'!$D$2),0)</f>
        <v>53256795</v>
      </c>
      <c r="G15" s="104">
        <f>ROUND(SUMIFS(Input!$G:$G,Input!$C:$C,'2.CC Trans-BB.RE collateral'!$A$9,Input!$Q:$Q,"LTV4",Input!$E:$E,'2.CC Trans-BB.RE collateral'!G$3,Input!$F:$F,'2.CC Trans-BB.RE collateral'!$D$2),0)</f>
        <v>69455650</v>
      </c>
      <c r="H15" s="104">
        <f>ROUND(SUMIFS(Input!$G:$G,Input!$C:$C,'2.CC Trans-BB.RE collateral'!$A$9,Input!$Q:$Q,"LTV4",Input!$E:$E,'2.CC Trans-BB.RE collateral'!H$3,Input!$F:$F,'2.CC Trans-BB.RE collateral'!$D$2),0)</f>
        <v>0</v>
      </c>
      <c r="I15" s="104">
        <f>ROUND(SUMIFS(Input!$G:$G,Input!$C:$C,'2.CC Trans-BB.RE collateral'!$A$9,Input!$Q:$Q,"LTV4",Input!$E:$E,'2.CC Trans-BB.RE collateral'!I$3,Input!$F:$F,'2.CC Trans-BB.RE collateral'!$D$2),0)</f>
        <v>0</v>
      </c>
      <c r="J15" s="104">
        <f>ROUND(SUMIFS(Input!$G:$G,Input!$C:$C,'2.CC Trans-BB.RE collateral'!$A$9,Input!$Q:$Q,"LTV4",Input!$E:$E,'2.CC Trans-BB.RE collateral'!J$3,Input!$F:$F,'2.CC Trans-BB.RE collateral'!$D$2),0)</f>
        <v>0</v>
      </c>
      <c r="K15" s="104">
        <f>ROUND(SUMIFS(Input!$G:$G,Input!$C:$C,'2.CC Trans-BB.RE collateral'!$A$9,Input!$Q:$Q,"LTV4",Input!$R:$R,"&lt;&gt;"&amp;$S$1,Input!$F:$F,'2.CC Trans-BB.RE collateral'!$D$2),0)</f>
        <v>357718647</v>
      </c>
      <c r="L15" s="77"/>
      <c r="M15" s="104">
        <f>ROUND(SUM(SUMIFS(Input!$G:$G,Input!$C:$C,'2.CC Trans-BB.RE collateral'!$A$9,Input!$Q:$Q,"LTV4",Input!$H:$H,{"1-REAL";"SANTANDER"},Input!$D:$D,'2.CC Trans-BB.RE collateral'!M$7&amp;"*",Input!$F:$F,'2.CC Trans-BB.RE collateral'!$D$2)),0)</f>
        <v>9869271</v>
      </c>
      <c r="N15" s="104">
        <f>ROUND(SUM(SUMIFS(Input!$G:$G,Input!$C:$C,'2.CC Trans-BB.RE collateral'!$A$9,Input!$Q:$Q,"LTV4",Input!$H:$H,{"1-REAL";"SANTANDER"},Input!$D:$D,'2.CC Trans-BB.RE collateral'!N$7&amp;"*",Input!$F:$F,'2.CC Trans-BB.RE collateral'!$D$2)),0)</f>
        <v>19665314</v>
      </c>
      <c r="O15" s="104">
        <f>ROUND(SUM(SUMIFS(Input!$G:$G,Input!$C:$C,'2.CC Trans-BB.RE collateral'!$A$9,Input!$Q:$Q,"LTV4",Input!$H:$H,{"1-REAL";"SANTANDER"},Input!$D:$D,'2.CC Trans-BB.RE collateral'!O$7&amp;"*",Input!$F:$F,'2.CC Trans-BB.RE collateral'!$D$2)),0)</f>
        <v>1077645</v>
      </c>
      <c r="P15" s="104">
        <f>ROUND(SUM(SUMIFS(Input!$G:$G,Input!$C:$C,'2.CC Trans-BB.RE collateral'!$A$9,Input!$Q:$Q,"LTV4",Input!$H:$H,{"1-REAL";"SANTANDER"},Input!$D:$D,'2.CC Trans-BB.RE collateral'!P$7&amp;"*",Input!$F:$F,'2.CC Trans-BB.RE collateral'!$D$2)),0)</f>
        <v>0</v>
      </c>
      <c r="Q15" s="104">
        <f>ROUND(SUM(SUMIFS(Input!$G:$G,Input!$C:$C,'2.CC Trans-BB.RE collateral'!$A$9,Input!$Q:$Q,"LTV4",Input!$H:$H,{"1-REAL";"SANTANDER"},Input!$D:$D,'2.CC Trans-BB.RE collateral'!Q$7&amp;"*",Input!$F:$F,'2.CC Trans-BB.RE collateral'!$D$2)),0)</f>
        <v>106429</v>
      </c>
      <c r="R15" s="104">
        <f>ROUND(SUM(SUMIFS(Input!$G:$G,Input!$C:$C,'2.CC Trans-BB.RE collateral'!$A$9,Input!$Q:$Q,"LTV4",Input!$H:$H,{"1-REAL";"SANTANDER"},Input!$D:$D,'2.CC Trans-BB.RE collateral'!R$7&amp;"*",Input!$F:$F,'2.CC Trans-BB.RE collateral'!$D$2)),0)</f>
        <v>224660</v>
      </c>
      <c r="S15" s="104">
        <f>ROUND(SUM(SUMIFS(Input!$G:$G,Input!$C:$C,'2.CC Trans-BB.RE collateral'!$A$9,Input!$Q:$Q,"LTV4",Input!$H:$H,{"1-REAL";"SANTANDER"},Input!$D:$D,'2.CC Trans-BB.RE collateral'!S$7&amp;"*",Input!$F:$F,'2.CC Trans-BB.RE collateral'!$D$2)),0)</f>
        <v>0</v>
      </c>
      <c r="T15" s="104">
        <f>ROUND(SUMIFS(Input!$G:$G,Input!$C:$C,'2.CC Trans-BB.RE collateral'!$A$9,Input!$Q:$Q,"LTV4",Input!$H:$H,"&lt;&gt;"&amp;S$1,Input!$H:$H,"&lt;&gt;"&amp;S$2,Input!$F:$F,'2.CC Trans-BB.RE collateral'!$D$2),0)</f>
        <v>327059528</v>
      </c>
      <c r="U15" s="77"/>
      <c r="V15" s="64"/>
    </row>
    <row r="16" spans="1:26" s="59" customFormat="1" ht="13" x14ac:dyDescent="0.3">
      <c r="B16" s="62">
        <v>8</v>
      </c>
      <c r="C16" s="76" t="s">
        <v>142</v>
      </c>
      <c r="D16" s="104">
        <f>ROUND(SUMIFS(Input!$G:$G,Input!$C:$C,'2.CC Trans-BB.RE collateral'!$A$9,Input!$Q:$Q,"LTV5",Input!$F:$F,'2.CC Trans-BB.RE collateral'!$D$2),0)</f>
        <v>107290601</v>
      </c>
      <c r="E16" s="104">
        <f>ROUND(SUMIFS(Input!$G:$G,Input!$C:$C,'2.CC Trans-BB.RE collateral'!$A$9,Input!$Q:$Q,"LTV5",Input!$E:$E,'2.CC Trans-BB.RE collateral'!E$3,Input!$F:$F,'2.CC Trans-BB.RE collateral'!$D$2),0)</f>
        <v>6902532</v>
      </c>
      <c r="F16" s="104">
        <f>ROUND(SUMIFS(Input!$G:$G,Input!$C:$C,'2.CC Trans-BB.RE collateral'!$A$9,Input!$Q:$Q,"LTV5",Input!$E:$E,'2.CC Trans-BB.RE collateral'!F$3,Input!$F:$F,'2.CC Trans-BB.RE collateral'!$D$2),0)</f>
        <v>27967359</v>
      </c>
      <c r="G16" s="104">
        <f>ROUND(SUMIFS(Input!$G:$G,Input!$C:$C,'2.CC Trans-BB.RE collateral'!$A$9,Input!$Q:$Q,"LTV5",Input!$E:$E,'2.CC Trans-BB.RE collateral'!G$3,Input!$F:$F,'2.CC Trans-BB.RE collateral'!$D$2),0)</f>
        <v>10429352</v>
      </c>
      <c r="H16" s="104">
        <f>ROUND(SUMIFS(Input!$G:$G,Input!$C:$C,'2.CC Trans-BB.RE collateral'!$A$9,Input!$Q:$Q,"LTV5",Input!$E:$E,'2.CC Trans-BB.RE collateral'!H$3,Input!$F:$F,'2.CC Trans-BB.RE collateral'!$D$2),0)</f>
        <v>0</v>
      </c>
      <c r="I16" s="104">
        <f>ROUND(SUMIFS(Input!$G:$G,Input!$C:$C,'2.CC Trans-BB.RE collateral'!$A$9,Input!$Q:$Q,"LTV5",Input!$E:$E,'2.CC Trans-BB.RE collateral'!I$3,Input!$F:$F,'2.CC Trans-BB.RE collateral'!$D$2),0)</f>
        <v>0</v>
      </c>
      <c r="J16" s="104">
        <f>ROUND(SUMIFS(Input!$G:$G,Input!$C:$C,'2.CC Trans-BB.RE collateral'!$A$9,Input!$Q:$Q,"LTV5",Input!$E:$E,'2.CC Trans-BB.RE collateral'!J$3,Input!$F:$F,'2.CC Trans-BB.RE collateral'!$D$2),0)</f>
        <v>0</v>
      </c>
      <c r="K16" s="104">
        <f>ROUND(SUMIFS(Input!$G:$G,Input!$C:$C,'2.CC Trans-BB.RE collateral'!$A$9,Input!$Q:$Q,"LTV5",Input!$R:$R,"&lt;&gt;"&amp;$S$1,Input!$F:$F,'2.CC Trans-BB.RE collateral'!$D$2),0)</f>
        <v>107290601</v>
      </c>
      <c r="L16" s="77"/>
      <c r="M16" s="104">
        <f>ROUND(SUM(SUMIFS(Input!$G:$G,Input!$C:$C,'2.CC Trans-BB.RE collateral'!$A$9,Input!$Q:$Q,"LTV5",Input!$H:$H,{"1-REAL";"SANTANDER"},Input!$D:$D,'2.CC Trans-BB.RE collateral'!M$7&amp;"*",Input!$F:$F,'2.CC Trans-BB.RE collateral'!$D$2)),0)</f>
        <v>6</v>
      </c>
      <c r="N16" s="104">
        <f>ROUND(SUM(SUMIFS(Input!$G:$G,Input!$C:$C,'2.CC Trans-BB.RE collateral'!$A$9,Input!$Q:$Q,"LTV5",Input!$H:$H,{"1-REAL";"SANTANDER"},Input!$D:$D,'2.CC Trans-BB.RE collateral'!N$7&amp;"*",Input!$F:$F,'2.CC Trans-BB.RE collateral'!$D$2)),0)</f>
        <v>0</v>
      </c>
      <c r="O16" s="104">
        <f>ROUND(SUM(SUMIFS(Input!$G:$G,Input!$C:$C,'2.CC Trans-BB.RE collateral'!$A$9,Input!$Q:$Q,"LTV5",Input!$H:$H,{"1-REAL";"SANTANDER"},Input!$D:$D,'2.CC Trans-BB.RE collateral'!O$7&amp;"*",Input!$F:$F,'2.CC Trans-BB.RE collateral'!$D$2)),0)</f>
        <v>0</v>
      </c>
      <c r="P16" s="104">
        <f>ROUND(SUM(SUMIFS(Input!$G:$G,Input!$C:$C,'2.CC Trans-BB.RE collateral'!$A$9,Input!$Q:$Q,"LTV5",Input!$H:$H,{"1-REAL";"SANTANDER"},Input!$D:$D,'2.CC Trans-BB.RE collateral'!P$7&amp;"*",Input!$F:$F,'2.CC Trans-BB.RE collateral'!$D$2)),0)</f>
        <v>322400</v>
      </c>
      <c r="Q16" s="104">
        <f>ROUND(SUM(SUMIFS(Input!$G:$G,Input!$C:$C,'2.CC Trans-BB.RE collateral'!$A$9,Input!$Q:$Q,"LTV5",Input!$H:$H,{"1-REAL";"SANTANDER"},Input!$D:$D,'2.CC Trans-BB.RE collateral'!Q$7&amp;"*",Input!$F:$F,'2.CC Trans-BB.RE collateral'!$D$2)),0)</f>
        <v>0</v>
      </c>
      <c r="R16" s="104">
        <f>ROUND(SUM(SUMIFS(Input!$G:$G,Input!$C:$C,'2.CC Trans-BB.RE collateral'!$A$9,Input!$Q:$Q,"LTV5",Input!$H:$H,{"1-REAL";"SANTANDER"},Input!$D:$D,'2.CC Trans-BB.RE collateral'!R$7&amp;"*",Input!$F:$F,'2.CC Trans-BB.RE collateral'!$D$2)),0)</f>
        <v>0</v>
      </c>
      <c r="S16" s="104">
        <f>ROUND(SUM(SUMIFS(Input!$G:$G,Input!$C:$C,'2.CC Trans-BB.RE collateral'!$A$9,Input!$Q:$Q,"LTV5",Input!$H:$H,{"1-REAL";"SANTANDER"},Input!$D:$D,'2.CC Trans-BB.RE collateral'!S$7&amp;"*",Input!$F:$F,'2.CC Trans-BB.RE collateral'!$D$2)),0)</f>
        <v>0</v>
      </c>
      <c r="T16" s="104">
        <f>ROUND(SUMIFS(Input!$G:$G,Input!$C:$C,'2.CC Trans-BB.RE collateral'!$A$9,Input!$Q:$Q,"LTV5",Input!$H:$H,"&lt;&gt;"&amp;S$1,Input!$H:$H,"&lt;&gt;"&amp;S$2,Input!$F:$F,'2.CC Trans-BB.RE collateral'!$D$2),0)</f>
        <v>106968195</v>
      </c>
      <c r="U16" s="77"/>
      <c r="V16" s="64"/>
    </row>
    <row r="17" spans="2:22" s="59" customFormat="1" ht="13" x14ac:dyDescent="0.3">
      <c r="B17" s="62">
        <v>9</v>
      </c>
      <c r="C17" s="76" t="s">
        <v>143</v>
      </c>
      <c r="D17" s="105">
        <f>SUMIFS(Input!$J:$J,Input!$C:$C,'2.CC Trans-BB.RE collateral'!$A$9,Input!$F:$F,'2.CC Trans-BB.RE collateral'!$D$2) / SUMIFS(Input!$G:$G,Input!$C:$C,'2.CC Trans-BB.RE collateral'!$A$9,Input!$F:$F,'2.CC Trans-BB.RE collateral'!$D$2)</f>
        <v>7.9365118562000632</v>
      </c>
      <c r="E17" s="105">
        <f>SUMIFS(Input!$J:$J,Input!$C:$C,'2.CC Trans-BB.RE collateral'!$A$9,Input!$E:$E,'2.CC Trans-BB.RE collateral'!E$3,Input!$F:$F,'2.CC Trans-BB.RE collateral'!$D$2)  / SUMIFS(Input!$G:$G,Input!$C:$C,'2.CC Trans-BB.RE collateral'!$A$9,Input!$E:$E,'2.CC Trans-BB.RE collateral'!E$3,Input!$F:$F,'2.CC Trans-BB.RE collateral'!$D$2)</f>
        <v>9.9787694386413754</v>
      </c>
      <c r="F17" s="105">
        <f>SUMIFS(Input!$J:$J,Input!$C:$C,'2.CC Trans-BB.RE collateral'!$A$9,Input!$E:$E,'2.CC Trans-BB.RE collateral'!F$3,Input!$F:$F,'2.CC Trans-BB.RE collateral'!$D$2)  / SUMIFS(Input!$G:$G,Input!$C:$C,'2.CC Trans-BB.RE collateral'!$A$9,Input!$E:$E,'2.CC Trans-BB.RE collateral'!F$3,Input!$F:$F,'2.CC Trans-BB.RE collateral'!$D$2)</f>
        <v>7.1835817962922937</v>
      </c>
      <c r="G17" s="105">
        <f>SUMIFS(Input!$J:$J,Input!$C:$C,'2.CC Trans-BB.RE collateral'!$A$9,Input!$E:$E,'2.CC Trans-BB.RE collateral'!G$3,Input!$F:$F,'2.CC Trans-BB.RE collateral'!$D$2)  / SUMIFS(Input!$G:$G,Input!$C:$C,'2.CC Trans-BB.RE collateral'!$A$9,Input!$E:$E,'2.CC Trans-BB.RE collateral'!G$3,Input!$F:$F,'2.CC Trans-BB.RE collateral'!$D$2)</f>
        <v>8.8636018867074995</v>
      </c>
      <c r="H17" s="105">
        <f>SUMIFS(Input!$J:$J,Input!$C:$C,'2.CC Trans-BB.RE collateral'!$A$9,Input!$E:$E,'2.CC Trans-BB.RE collateral'!H$3,Input!$F:$F,'2.CC Trans-BB.RE collateral'!$D$2)  / SUMIFS(Input!$G:$G,Input!$C:$C,'2.CC Trans-BB.RE collateral'!$A$9,Input!$E:$E,'2.CC Trans-BB.RE collateral'!H$3,Input!$F:$F,'2.CC Trans-BB.RE collateral'!$D$2)</f>
        <v>8.3313907270329057</v>
      </c>
      <c r="I17" s="105">
        <f>SUMIFS(Input!$J:$J,Input!$C:$C,'2.CC Trans-BB.RE collateral'!$A$9,Input!$E:$E,'2.CC Trans-BB.RE collateral'!I$3,Input!$F:$F,'2.CC Trans-BB.RE collateral'!$D$2)  / SUMIFS(Input!$G:$G,Input!$C:$C,'2.CC Trans-BB.RE collateral'!$A$9,Input!$E:$E,'2.CC Trans-BB.RE collateral'!I$3,Input!$F:$F,'2.CC Trans-BB.RE collateral'!$D$2)</f>
        <v>15.266014888447067</v>
      </c>
      <c r="J17" s="105">
        <f>SUMIFS(Input!$J:$J,Input!$C:$C,'2.CC Trans-BB.RE collateral'!$A$9,Input!$E:$E,'2.CC Trans-BB.RE collateral'!J$3,Input!$F:$F,'2.CC Trans-BB.RE collateral'!$D$2)  / SUMIFS(Input!$G:$G,Input!$C:$C,'2.CC Trans-BB.RE collateral'!$A$9,Input!$E:$E,'2.CC Trans-BB.RE collateral'!J$3,Input!$F:$F,'2.CC Trans-BB.RE collateral'!$D$2)</f>
        <v>11.409657835681752</v>
      </c>
      <c r="K17" s="105">
        <f>SUMIFS(Input!$J:$J,Input!$C:$C,'2.CC Trans-BB.RE collateral'!$A$9,Input!$R:$R,"&lt;&gt;"&amp;$S$1,Input!$F:$F,'2.CC Trans-BB.RE collateral'!$D$2)  / SUMIFS(Input!$G:$G,Input!$C:$C,'2.CC Trans-BB.RE collateral'!$A$9,Input!$R:$R,"&lt;&gt;"&amp;$S$1,Input!$F:$F,'2.CC Trans-BB.RE collateral'!$D$2)</f>
        <v>7.9149989299357495</v>
      </c>
      <c r="L17" s="77"/>
      <c r="M17" s="105">
        <f>SUM(SUMIFS(Input!$J:$J,Input!$C:$C,'2.CC Trans-BB.RE collateral'!$A$9,Input!$D:$D,'2.CC Trans-BB.RE collateral'!M$7&amp;"*",Input!$H:$H,{"1-REAL";"SANTANDER"},Input!$F:$F,'2.CC Trans-BB.RE collateral'!$D$2))  / SUM(SUMIFS(Input!$G:$G,Input!$C:$C,'2.CC Trans-BB.RE collateral'!$A$9,Input!$D:$D,'2.CC Trans-BB.RE collateral'!M$7&amp;"*",Input!$H:$H,{"1-REAL";"SANTANDER"},Input!$F:$F,'2.CC Trans-BB.RE collateral'!$D$2))</f>
        <v>5.9958870883159188</v>
      </c>
      <c r="N17" s="105">
        <f>SUM(SUMIFS(Input!$J:$J,Input!$C:$C,'2.CC Trans-BB.RE collateral'!$A$9,Input!$D:$D,'2.CC Trans-BB.RE collateral'!N$7&amp;"*",Input!$H:$H,{"1-REAL";"SANTANDER"},Input!$F:$F,'2.CC Trans-BB.RE collateral'!$D$2))  / SUM(SUMIFS(Input!$G:$G,Input!$C:$C,'2.CC Trans-BB.RE collateral'!$A$9,Input!$D:$D,'2.CC Trans-BB.RE collateral'!N$7&amp;"*",Input!$H:$H,{"1-REAL";"SANTANDER"},Input!$F:$F,'2.CC Trans-BB.RE collateral'!$D$2))</f>
        <v>8.101288869208382</v>
      </c>
      <c r="O17" s="105">
        <f>SUM(SUMIFS(Input!$J:$J,Input!$C:$C,'2.CC Trans-BB.RE collateral'!$A$9,Input!$D:$D,'2.CC Trans-BB.RE collateral'!O$7&amp;"*",Input!$H:$H,{"1-REAL";"SANTANDER"},Input!$F:$F,'2.CC Trans-BB.RE collateral'!$D$2))  / SUM(SUMIFS(Input!$G:$G,Input!$C:$C,'2.CC Trans-BB.RE collateral'!$A$9,Input!$D:$D,'2.CC Trans-BB.RE collateral'!O$7&amp;"*",Input!$H:$H,{"1-REAL";"SANTANDER"},Input!$F:$F,'2.CC Trans-BB.RE collateral'!$D$2))</f>
        <v>9.2382811145358605</v>
      </c>
      <c r="P17" s="105">
        <f>SUM(SUMIFS(Input!$J:$J,Input!$C:$C,'2.CC Trans-BB.RE collateral'!$A$9,Input!$D:$D,'2.CC Trans-BB.RE collateral'!P$7&amp;"*",Input!$H:$H,{"1-REAL";"SANTANDER"},Input!$F:$F,'2.CC Trans-BB.RE collateral'!$D$2))  / SUM(SUMIFS(Input!$G:$G,Input!$C:$C,'2.CC Trans-BB.RE collateral'!$A$9,Input!$D:$D,'2.CC Trans-BB.RE collateral'!P$7&amp;"*",Input!$H:$H,{"1-REAL";"SANTANDER"},Input!$F:$F,'2.CC Trans-BB.RE collateral'!$D$2))</f>
        <v>8.1569882905627846</v>
      </c>
      <c r="Q17" s="105">
        <f>SUM(SUMIFS(Input!$J:$J,Input!$C:$C,'2.CC Trans-BB.RE collateral'!$A$9,Input!$D:$D,'2.CC Trans-BB.RE collateral'!Q$7&amp;"*",Input!$H:$H,{"1-REAL";"SANTANDER"},Input!$F:$F,'2.CC Trans-BB.RE collateral'!$D$2))  / SUM(SUMIFS(Input!$G:$G,Input!$C:$C,'2.CC Trans-BB.RE collateral'!$A$9,Input!$D:$D,'2.CC Trans-BB.RE collateral'!Q$7&amp;"*",Input!$H:$H,{"1-REAL";"SANTANDER"},Input!$F:$F,'2.CC Trans-BB.RE collateral'!$D$2))</f>
        <v>6.2133764102215769</v>
      </c>
      <c r="R17" s="105">
        <f>SUM(SUMIFS(Input!$J:$J,Input!$C:$C,'2.CC Trans-BB.RE collateral'!$A$9,Input!$D:$D,'2.CC Trans-BB.RE collateral'!R$7&amp;"*",Input!$H:$H,{"1-REAL";"SANTANDER"},Input!$F:$F,'2.CC Trans-BB.RE collateral'!$D$2))  / SUM(SUMIFS(Input!$G:$G,Input!$C:$C,'2.CC Trans-BB.RE collateral'!$A$9,Input!$D:$D,'2.CC Trans-BB.RE collateral'!R$7&amp;"*",Input!$H:$H,{"1-REAL";"SANTANDER"},Input!$F:$F,'2.CC Trans-BB.RE collateral'!$D$2))</f>
        <v>11.000510158841545</v>
      </c>
      <c r="S17" s="105">
        <f>SUM(SUMIFS(Input!$J:$J,Input!$C:$C,'2.CC Trans-BB.RE collateral'!$A$9,Input!$D:$D,'2.CC Trans-BB.RE collateral'!S$7&amp;"*",Input!$H:$H,{"1-REAL";"SANTANDER"},Input!$F:$F,'2.CC Trans-BB.RE collateral'!$D$2))  / SUM(SUMIFS(Input!$G:$G,Input!$C:$C,'2.CC Trans-BB.RE collateral'!$A$9,Input!$D:$D,'2.CC Trans-BB.RE collateral'!S$7&amp;"*",Input!$H:$H,{"1-REAL";"SANTANDER"},Input!$F:$F,'2.CC Trans-BB.RE collateral'!$D$2))</f>
        <v>5.3777030502791163</v>
      </c>
      <c r="T17" s="105">
        <f>SUMIFS(Input!$J:$J,Input!$C:$C,'2.CC Trans-BB.RE collateral'!$A$9,Input!$H:$H,"&lt;&gt;"&amp;S$1,Input!$H:$H,"&lt;&gt;"&amp;S$2,Input!$F:$F,'2.CC Trans-BB.RE collateral'!$D$2)  / SUMIFS(Input!$G:$G,Input!$C:$C,'2.CC Trans-BB.RE collateral'!$A$9,Input!$H:$H,"&lt;&gt;"&amp;S$1,Input!$H:$H,"&lt;&gt;"&amp;S$2,Input!$F:$F,'2.CC Trans-BB.RE collateral'!$D$2)</f>
        <v>7.8844403475126965</v>
      </c>
      <c r="U17" s="77"/>
      <c r="V17" s="64"/>
    </row>
    <row r="18" spans="2:22" s="59" customFormat="1" ht="13" x14ac:dyDescent="0.3">
      <c r="B18" s="62">
        <v>10</v>
      </c>
      <c r="C18" s="76" t="s">
        <v>144</v>
      </c>
      <c r="D18" s="104">
        <f>ROUND(SUMIFS(Input!$G:$G,Input!$C:$C,'2.CC Trans-BB.RE collateral'!$A$9,Input!$I:$I,"MESG1",Input!$F:$F,'2.CC Trans-BB.RE collateral'!$D$2),0)</f>
        <v>1784001750</v>
      </c>
      <c r="E18" s="104">
        <f>ROUND(SUMIFS(Input!$G:$G,Input!$C:$C,'2.CC Trans-BB.RE collateral'!$A$9,Input!$I:$I,"MESG1",Input!$E:$E,'2.CC Trans-BB.RE collateral'!E$3,Input!$F:$F,'2.CC Trans-BB.RE collateral'!$D$2),0)</f>
        <v>467767667</v>
      </c>
      <c r="F18" s="104">
        <f>ROUND(SUMIFS(Input!$G:$G,Input!$C:$C,'2.CC Trans-BB.RE collateral'!$A$9,Input!$I:$I,"MESG1",Input!$E:$E,'2.CC Trans-BB.RE collateral'!F$3,Input!$F:$F,'2.CC Trans-BB.RE collateral'!$D$2),0)</f>
        <v>975651873</v>
      </c>
      <c r="G18" s="104">
        <f>ROUND(SUMIFS(Input!$G:$G,Input!$C:$C,'2.CC Trans-BB.RE collateral'!$A$9,Input!$I:$I,"MESG1",Input!$E:$E,'2.CC Trans-BB.RE collateral'!G$3,Input!$F:$F,'2.CC Trans-BB.RE collateral'!$D$2),0)</f>
        <v>71153073</v>
      </c>
      <c r="H18" s="104">
        <f>ROUND(SUMIFS(Input!$G:$G,Input!$C:$C,'2.CC Trans-BB.RE collateral'!$A$9,Input!$I:$I,"MESG1",Input!$E:$E,'2.CC Trans-BB.RE collateral'!H$3,Input!$F:$F,'2.CC Trans-BB.RE collateral'!$D$2),0)</f>
        <v>1453622</v>
      </c>
      <c r="I18" s="104">
        <f>ROUND(SUMIFS(Input!$G:$G,Input!$C:$C,'2.CC Trans-BB.RE collateral'!$A$9,Input!$I:$I,"MESG1",Input!$E:$E,'2.CC Trans-BB.RE collateral'!I$3,Input!$F:$F,'2.CC Trans-BB.RE collateral'!$D$2),0)</f>
        <v>20</v>
      </c>
      <c r="J18" s="104">
        <f>ROUND(SUMIFS(Input!$G:$G,Input!$C:$C,'2.CC Trans-BB.RE collateral'!$A$9,Input!$I:$I,"MESG1",Input!$E:$E,'2.CC Trans-BB.RE collateral'!J$3,Input!$F:$F,'2.CC Trans-BB.RE collateral'!$D$2),0)</f>
        <v>1586341</v>
      </c>
      <c r="K18" s="104">
        <f>ROUND(SUMIFS(Input!$G:$G,Input!$C:$C,'2.CC Trans-BB.RE collateral'!$A$9,Input!$I:$I,"MESG1",Input!$R:$R,"&lt;&gt;"&amp;$S$1,Input!$F:$F,'2.CC Trans-BB.RE collateral'!$D$2),0)</f>
        <v>1778926549</v>
      </c>
      <c r="L18" s="77"/>
      <c r="M18" s="104">
        <f>ROUND(SUM(SUMIFS(Input!$G:$G,Input!$C:$C,'2.CC Trans-BB.RE collateral'!$A$9,Input!$I:$I,"MESG1",Input!$D:$D,'2.CC Trans-BB.RE collateral'!M$7&amp;"*",Input!$H:$H,{"1-REAL";"SANTANDER"},Input!$F:$F,'2.CC Trans-BB.RE collateral'!$D$2)),0)</f>
        <v>11024175</v>
      </c>
      <c r="N18" s="104">
        <f>ROUND(SUM(SUMIFS(Input!$G:$G,Input!$C:$C,'2.CC Trans-BB.RE collateral'!$A$9,Input!$I:$I,"MESG1",Input!$D:$D,'2.CC Trans-BB.RE collateral'!N$7&amp;"*",Input!$H:$H,{"1-REAL";"SANTANDER"},Input!$F:$F,'2.CC Trans-BB.RE collateral'!$D$2)),0)</f>
        <v>43053132</v>
      </c>
      <c r="O18" s="104">
        <f>ROUND(SUM(SUMIFS(Input!$G:$G,Input!$C:$C,'2.CC Trans-BB.RE collateral'!$A$9,Input!$I:$I,"MESG1",Input!$D:$D,'2.CC Trans-BB.RE collateral'!O$7&amp;"*",Input!$H:$H,{"1-REAL";"SANTANDER"},Input!$F:$F,'2.CC Trans-BB.RE collateral'!$D$2)),0)</f>
        <v>32578294</v>
      </c>
      <c r="P18" s="104">
        <f>ROUND(SUM(SUMIFS(Input!$G:$G,Input!$C:$C,'2.CC Trans-BB.RE collateral'!$A$9,Input!$I:$I,"MESG1",Input!$D:$D,'2.CC Trans-BB.RE collateral'!P$7&amp;"*",Input!$H:$H,{"1-REAL";"SANTANDER"},Input!$F:$F,'2.CC Trans-BB.RE collateral'!$D$2)),0)</f>
        <v>13528903</v>
      </c>
      <c r="Q18" s="104">
        <f>ROUND(SUM(SUMIFS(Input!$G:$G,Input!$C:$C,'2.CC Trans-BB.RE collateral'!$A$9,Input!$I:$I,"MESG1",Input!$D:$D,'2.CC Trans-BB.RE collateral'!Q$7&amp;"*",Input!$H:$H,{"1-REAL";"SANTANDER"},Input!$F:$F,'2.CC Trans-BB.RE collateral'!$D$2)),0)</f>
        <v>30697631</v>
      </c>
      <c r="R18" s="104">
        <f>ROUND(SUM(SUMIFS(Input!$G:$G,Input!$C:$C,'2.CC Trans-BB.RE collateral'!$A$9,Input!$I:$I,"MESG1",Input!$D:$D,'2.CC Trans-BB.RE collateral'!R$7&amp;"*",Input!$H:$H,{"1-REAL";"SANTANDER"},Input!$F:$F,'2.CC Trans-BB.RE collateral'!$D$2)),0)</f>
        <v>4748623</v>
      </c>
      <c r="S18" s="104">
        <f>ROUND(SUM(SUMIFS(Input!$G:$G,Input!$C:$C,'2.CC Trans-BB.RE collateral'!$A$9,Input!$I:$I,"MESG1",Input!$D:$D,'2.CC Trans-BB.RE collateral'!S$7&amp;"*",Input!$H:$H,{"1-REAL";"SANTANDER"},Input!$F:$F,'2.CC Trans-BB.RE collateral'!$D$2)),0)</f>
        <v>60782</v>
      </c>
      <c r="T18" s="104">
        <f>ROUND(SUMIFS(Input!$G:$G,Input!$C:$C,'2.CC Trans-BB.RE collateral'!$A$9,Input!$I:$I,"MESG1",Input!$H:$H,"&lt;&gt;"&amp;S$1,Input!$H:$H,"&lt;&gt;"&amp;S$2,Input!$F:$F,'2.CC Trans-BB.RE collateral'!$D$2),0)</f>
        <v>1648310210</v>
      </c>
      <c r="U18" s="77"/>
      <c r="V18" s="64"/>
    </row>
    <row r="19" spans="2:22" s="59" customFormat="1" ht="13" x14ac:dyDescent="0.3">
      <c r="B19" s="62">
        <v>11</v>
      </c>
      <c r="C19" s="78" t="s">
        <v>145</v>
      </c>
      <c r="D19" s="103">
        <f>SUM(SUMIFS(Input!$O:$O,Input!$C:$C,'2.CC Trans-BB.RE collateral'!$A$9,Input!$K:$K,{"NBF1";"NBF2"},Input!$F:$F,'2.CC Trans-BB.RE collateral'!$D$2)) / SUM(SUMIFS(Input!$G:$G,Input!$C:$C,'2.CC Trans-BB.RE collateral'!$A$9,Input!$K:$K,{"NBF1";"NBF2"},Input!$F:$F,'2.CC Trans-BB.RE collateral'!$D$2))</f>
        <v>0</v>
      </c>
      <c r="E19" s="103">
        <f>SUM(SUMIFS(Input!$O:$O,Input!$C:$C,'2.CC Trans-BB.RE collateral'!$A$9,Input!$K:$K,{"NBF1";"NBF2"},Input!$E:$E,'2.CC Trans-BB.RE collateral'!E$3,Input!$F:$F,'2.CC Trans-BB.RE collateral'!$D$2)) / SUM(SUMIFS(Input!$G:$G,Input!$C:$C,'2.CC Trans-BB.RE collateral'!$A$9,Input!$K:$K,{"NBF1";"NBF2"},Input!$E:$E,'2.CC Trans-BB.RE collateral'!E$3,Input!$F:$F,'2.CC Trans-BB.RE collateral'!$D$2))</f>
        <v>0</v>
      </c>
      <c r="F19" s="103">
        <f>SUM(SUMIFS(Input!$O:$O,Input!$C:$C,'2.CC Trans-BB.RE collateral'!$A$9,Input!$K:$K,{"NBF1";"NBF2"},Input!$E:$E,'2.CC Trans-BB.RE collateral'!F$3,Input!$F:$F,'2.CC Trans-BB.RE collateral'!$D$2)) / SUM(SUMIFS(Input!$G:$G,Input!$C:$C,'2.CC Trans-BB.RE collateral'!$A$9,Input!$K:$K,{"NBF1";"NBF2"},Input!$E:$E,'2.CC Trans-BB.RE collateral'!F$3,Input!$F:$F,'2.CC Trans-BB.RE collateral'!$D$2))</f>
        <v>0</v>
      </c>
      <c r="G19" s="103">
        <f>SUM(SUMIFS(Input!$O:$O,Input!$C:$C,'2.CC Trans-BB.RE collateral'!$A$9,Input!$K:$K,{"NBF1";"NBF2"},Input!$E:$E,'2.CC Trans-BB.RE collateral'!G$3,Input!$F:$F,'2.CC Trans-BB.RE collateral'!$D$2)) / SUM(SUMIFS(Input!$G:$G,Input!$C:$C,'2.CC Trans-BB.RE collateral'!$A$9,Input!$K:$K,{"NBF1";"NBF2"},Input!$E:$E,'2.CC Trans-BB.RE collateral'!G$3,Input!$F:$F,'2.CC Trans-BB.RE collateral'!$D$2))</f>
        <v>0</v>
      </c>
      <c r="H19" s="103">
        <f>SUM(SUMIFS(Input!$O:$O,Input!$C:$C,'2.CC Trans-BB.RE collateral'!$A$9,Input!$K:$K,{"NBF1";"NBF2"},Input!$E:$E,'2.CC Trans-BB.RE collateral'!H$3,Input!$F:$F,'2.CC Trans-BB.RE collateral'!$D$2)) / SUM(SUMIFS(Input!$G:$G,Input!$C:$C,'2.CC Trans-BB.RE collateral'!$A$9,Input!$K:$K,{"NBF1";"NBF2"},Input!$E:$E,'2.CC Trans-BB.RE collateral'!H$3,Input!$F:$F,'2.CC Trans-BB.RE collateral'!$D$2))</f>
        <v>0</v>
      </c>
      <c r="I19" s="103">
        <f>SUM(SUMIFS(Input!$O:$O,Input!$C:$C,'2.CC Trans-BB.RE collateral'!$A$9,Input!$K:$K,{"NBF1";"NBF2"},Input!$E:$E,'2.CC Trans-BB.RE collateral'!I$3,Input!$F:$F,'2.CC Trans-BB.RE collateral'!$D$2)) / SUM(SUMIFS(Input!$G:$G,Input!$C:$C,'2.CC Trans-BB.RE collateral'!$A$9,Input!$K:$K,{"NBF1";"NBF2"},Input!$E:$E,'2.CC Trans-BB.RE collateral'!I$3,Input!$F:$F,'2.CC Trans-BB.RE collateral'!$D$2))</f>
        <v>0</v>
      </c>
      <c r="J19" s="103">
        <f>SUM(SUMIFS(Input!$O:$O,Input!$C:$C,'2.CC Trans-BB.RE collateral'!$A$9,Input!$K:$K,{"NBF1";"NBF2"},Input!$E:$E,'2.CC Trans-BB.RE collateral'!J$3,Input!$F:$F,'2.CC Trans-BB.RE collateral'!$D$2)) / SUM(SUMIFS(Input!$G:$G,Input!$C:$C,'2.CC Trans-BB.RE collateral'!$A$9,Input!$K:$K,{"NBF1";"NBF2"},Input!$E:$E,'2.CC Trans-BB.RE collateral'!J$3,Input!$F:$F,'2.CC Trans-BB.RE collateral'!$D$2))</f>
        <v>0</v>
      </c>
      <c r="K19" s="103">
        <f>SUM(SUMIFS(Input!$O:$O,Input!$C:$C,'2.CC Trans-BB.RE collateral'!$A$9,Input!$K:$K,{"NBF1";"NBF2"},Input!$R:$R,"&lt;&gt;"&amp;$S$1,Input!$F:$F,'2.CC Trans-BB.RE collateral'!$D$2)) / SUM(SUMIFS(Input!$G:$G,Input!$C:$C,'2.CC Trans-BB.RE collateral'!$A$9,Input!$K:$K,{"NBF1";"NBF2"},Input!$R:$R,"&lt;&gt;"&amp;$S$1,Input!$F:$F,'2.CC Trans-BB.RE collateral'!$D$2))</f>
        <v>0</v>
      </c>
      <c r="L19" s="77"/>
      <c r="M19" s="103">
        <f>SUM(SUMIFS(Input!$O:$O,Input!$C:$C,'2.CC Trans-BB.RE collateral'!$A$9,Input!$K:$K,{"NBF1";"NBF2"},Input!$H:$H,"1-REAL",Input!$D:$D,'2.CC Trans-BB.RE collateral'!M$7&amp;"*",Input!$F:$F,'2.CC Trans-BB.RE collateral'!$D$2)) / SUM(SUMIFS(Input!$G:$G,Input!$C:$C,'2.CC Trans-BB.RE collateral'!$A$9,Input!$K:$K,{"NBF1";"NBF2"},Input!$H:$H,"1-REAL",Input!$D:$D,'2.CC Trans-BB.RE collateral'!M$7&amp;"*",Input!$F:$F,'2.CC Trans-BB.RE collateral'!$D$2))</f>
        <v>0</v>
      </c>
      <c r="N19" s="103">
        <f>SUM(SUMIFS(Input!$O:$O,Input!$C:$C,'2.CC Trans-BB.RE collateral'!$A$9,Input!$K:$K,{"NBF1";"NBF2"},Input!$H:$H,"1-REAL",Input!$D:$D,'2.CC Trans-BB.RE collateral'!N$7&amp;"*",Input!$F:$F,'2.CC Trans-BB.RE collateral'!$D$2)) / SUM(SUMIFS(Input!$G:$G,Input!$C:$C,'2.CC Trans-BB.RE collateral'!$A$9,Input!$K:$K,{"NBF1";"NBF2"},Input!$H:$H,"1-REAL",Input!$D:$D,'2.CC Trans-BB.RE collateral'!N$7&amp;"*",Input!$F:$F,'2.CC Trans-BB.RE collateral'!$D$2))</f>
        <v>0</v>
      </c>
      <c r="O19" s="103">
        <f>SUM(SUMIFS(Input!$O:$O,Input!$C:$C,'2.CC Trans-BB.RE collateral'!$A$9,Input!$K:$K,{"NBF1";"NBF2"},Input!$H:$H,"1-REAL",Input!$D:$D,'2.CC Trans-BB.RE collateral'!O$7&amp;"*",Input!$F:$F,'2.CC Trans-BB.RE collateral'!$D$2)) / SUM(SUMIFS(Input!$G:$G,Input!$C:$C,'2.CC Trans-BB.RE collateral'!$A$9,Input!$K:$K,{"NBF1";"NBF2"},Input!$H:$H,"1-REAL",Input!$D:$D,'2.CC Trans-BB.RE collateral'!O$7&amp;"*",Input!$F:$F,'2.CC Trans-BB.RE collateral'!$D$2))</f>
        <v>0</v>
      </c>
      <c r="P19" s="103">
        <f>SUM(SUMIFS(Input!$O:$O,Input!$C:$C,'2.CC Trans-BB.RE collateral'!$A$9,Input!$K:$K,{"NBF1";"NBF2"},Input!$H:$H,"1-REAL",Input!$D:$D,'2.CC Trans-BB.RE collateral'!P$7&amp;"*",Input!$F:$F,'2.CC Trans-BB.RE collateral'!$D$2)) / SUM(SUMIFS(Input!$G:$G,Input!$C:$C,'2.CC Trans-BB.RE collateral'!$A$9,Input!$K:$K,{"NBF1";"NBF2"},Input!$H:$H,"1-REAL",Input!$D:$D,'2.CC Trans-BB.RE collateral'!P$7&amp;"*",Input!$F:$F,'2.CC Trans-BB.RE collateral'!$D$2))</f>
        <v>0</v>
      </c>
      <c r="Q19" s="103">
        <f>SUM(SUMIFS(Input!$O:$O,Input!$C:$C,'2.CC Trans-BB.RE collateral'!$A$9,Input!$K:$K,{"NBF1";"NBF2"},Input!$H:$H,"1-REAL",Input!$D:$D,'2.CC Trans-BB.RE collateral'!Q$7&amp;"*",Input!$F:$F,'2.CC Trans-BB.RE collateral'!$D$2)) / SUM(SUMIFS(Input!$G:$G,Input!$C:$C,'2.CC Trans-BB.RE collateral'!$A$9,Input!$K:$K,{"NBF1";"NBF2"},Input!$H:$H,"1-REAL",Input!$D:$D,'2.CC Trans-BB.RE collateral'!Q$7&amp;"*",Input!$F:$F,'2.CC Trans-BB.RE collateral'!$D$2))</f>
        <v>0</v>
      </c>
      <c r="R19" s="103">
        <f>SUM(SUMIFS(Input!$O:$O,Input!$C:$C,'2.CC Trans-BB.RE collateral'!$A$9,Input!$K:$K,{"NBF1";"NBF2"},Input!$H:$H,"1-REAL",Input!$D:$D,'2.CC Trans-BB.RE collateral'!R$7&amp;"*",Input!$F:$F,'2.CC Trans-BB.RE collateral'!$D$2)) / SUM(SUMIFS(Input!$G:$G,Input!$C:$C,'2.CC Trans-BB.RE collateral'!$A$9,Input!$K:$K,{"NBF1";"NBF2"},Input!$H:$H,"1-REAL",Input!$D:$D,'2.CC Trans-BB.RE collateral'!R$7&amp;"*",Input!$F:$F,'2.CC Trans-BB.RE collateral'!$D$2))</f>
        <v>0</v>
      </c>
      <c r="S19" s="103">
        <f>IFERROR(SUM(SUMIFS(Input!$O:$O,Input!$C:$C,'2.CC Trans-BB.RE collateral'!$A$9,Input!$K:$K,{"NBF1";"NBF2"},Input!$H:$H,"1-REAL",Input!$D:$D,'2.CC Trans-BB.RE collateral'!S$7&amp;"*",Input!$F:$F,'2.CC Trans-BB.RE collateral'!$D$2)) / SUM(SUMIFS(Input!$G:$G,Input!$C:$C,'2.CC Trans-BB.RE collateral'!$A$9,Input!$K:$K,{"NBF1";"NBF2"},Input!$H:$H,"1-REAL",Input!$D:$D,'2.CC Trans-BB.RE collateral'!S$7&amp;"*",Input!$F:$F,'2.CC Trans-BB.RE collateral'!$D$2)),0)</f>
        <v>0</v>
      </c>
      <c r="T19" s="103">
        <f>SUM(SUMIFS(Input!$O:$O,Input!$C:$C,'2.CC Trans-BB.RE collateral'!$A$9,Input!$K:$K,{"NBF1";"NBF2"},Input!$H:$H,"&lt;&gt;"&amp;S$1,Input!$H:$H,"&lt;&gt;"&amp;S$2,Input!$F:$F,'2.CC Trans-BB.RE collateral'!$D$2)) / SUM(SUMIFS(Input!$G:$G,Input!$C:$C,'2.CC Trans-BB.RE collateral'!$A$9,Input!$K:$K,{"NBF1";"NBF2"},Input!$H:$H,"&lt;&gt;"&amp;S$1,Input!$H:$H,"&lt;&gt;"&amp;S$2,Input!$F:$F,'2.CC Trans-BB.RE collateral'!$D$2))</f>
        <v>0</v>
      </c>
      <c r="U19" s="77"/>
      <c r="V19" s="64"/>
    </row>
    <row r="20" spans="2:22" s="59" customFormat="1" ht="15.75" customHeight="1" x14ac:dyDescent="0.3">
      <c r="B20" s="62"/>
      <c r="C20" s="125" t="s">
        <v>146</v>
      </c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6"/>
      <c r="U20" s="127"/>
      <c r="V20" s="64"/>
    </row>
    <row r="21" spans="2:22" s="59" customFormat="1" ht="13" x14ac:dyDescent="0.3">
      <c r="B21" s="62">
        <v>12</v>
      </c>
      <c r="C21" s="76" t="s">
        <v>147</v>
      </c>
      <c r="D21" s="103">
        <f>SUMIFS(Input!$P:$P,Input!$C:$C,'2.CC Trans-BB.RE collateral'!$A$10,Input!$F:$F,'2.CC Trans-BB.RE collateral'!$D$2) / SUMIFS(Input!$G:$G,Input!$C:$C,'2.CC Trans-BB.RE collateral'!$A$10,Input!$F:$F,'2.CC Trans-BB.RE collateral'!$D$2)</f>
        <v>0.58617121957616414</v>
      </c>
      <c r="E21" s="103">
        <f>SUMIFS(Input!$P:$P,Input!$C:$C,'2.CC Trans-BB.RE collateral'!$A$10,Input!$E:$E,'2.CC Trans-BB.RE collateral'!E$3,Input!$F:$F,'2.CC Trans-BB.RE collateral'!$D$2) / SUMIFS(Input!$G:$G,Input!$C:$C,'2.CC Trans-BB.RE collateral'!$A$10,Input!$E:$E,'2.CC Trans-BB.RE collateral'!E$3,Input!$F:$F,'2.CC Trans-BB.RE collateral'!$D$2)</f>
        <v>0.57144806292400963</v>
      </c>
      <c r="F21" s="103">
        <f>SUMIFS(Input!$P:$P,Input!$C:$C,'2.CC Trans-BB.RE collateral'!$A$10,Input!$E:$E,'2.CC Trans-BB.RE collateral'!F$3,Input!$F:$F,'2.CC Trans-BB.RE collateral'!$D$2) / SUMIFS(Input!$G:$G,Input!$C:$C,'2.CC Trans-BB.RE collateral'!$A$10,Input!$E:$E,'2.CC Trans-BB.RE collateral'!F$3,Input!$F:$F,'2.CC Trans-BB.RE collateral'!$D$2)</f>
        <v>0.59195588796097331</v>
      </c>
      <c r="G21" s="103">
        <f>SUMIFS(Input!$P:$P,Input!$C:$C,'2.CC Trans-BB.RE collateral'!$A$10,Input!$E:$E,'2.CC Trans-BB.RE collateral'!G$3,Input!$F:$F,'2.CC Trans-BB.RE collateral'!$D$2) / SUMIFS(Input!$G:$G,Input!$C:$C,'2.CC Trans-BB.RE collateral'!$A$10,Input!$E:$E,'2.CC Trans-BB.RE collateral'!G$3,Input!$F:$F,'2.CC Trans-BB.RE collateral'!$D$2)</f>
        <v>0.60332137245283735</v>
      </c>
      <c r="H21" s="103">
        <f>SUMIFS(Input!$P:$P,Input!$C:$C,'2.CC Trans-BB.RE collateral'!$A$10,Input!$E:$E,'2.CC Trans-BB.RE collateral'!H$3,Input!$F:$F,'2.CC Trans-BB.RE collateral'!$D$2) / SUMIFS(Input!$G:$G,Input!$C:$C,'2.CC Trans-BB.RE collateral'!$A$10,Input!$E:$E,'2.CC Trans-BB.RE collateral'!H$3,Input!$F:$F,'2.CC Trans-BB.RE collateral'!$D$2)</f>
        <v>0.67286675846752075</v>
      </c>
      <c r="I21" s="103">
        <f>SUMIFS(Input!$P:$P,Input!$C:$C,'2.CC Trans-BB.RE collateral'!$A$10,Input!$E:$E,'2.CC Trans-BB.RE collateral'!I$3,Input!$F:$F,'2.CC Trans-BB.RE collateral'!$D$2) / SUMIFS(Input!$G:$G,Input!$C:$C,'2.CC Trans-BB.RE collateral'!$A$10,Input!$E:$E,'2.CC Trans-BB.RE collateral'!I$3,Input!$F:$F,'2.CC Trans-BB.RE collateral'!$D$2)</f>
        <v>0.72004499287653656</v>
      </c>
      <c r="J21" s="103">
        <f>SUMIFS(Input!$P:$P,Input!$C:$C,'2.CC Trans-BB.RE collateral'!$A$10,Input!$E:$E,'2.CC Trans-BB.RE collateral'!J$3,Input!$F:$F,'2.CC Trans-BB.RE collateral'!$D$2) / SUMIFS(Input!$G:$G,Input!$C:$C,'2.CC Trans-BB.RE collateral'!$A$10,Input!$E:$E,'2.CC Trans-BB.RE collateral'!J$3,Input!$F:$F,'2.CC Trans-BB.RE collateral'!$D$2)</f>
        <v>0.68299902092842357</v>
      </c>
      <c r="K21" s="103">
        <f>SUMIFS(Input!$P:$P,Input!$C:$C,'2.CC Trans-BB.RE collateral'!$A$10,Input!$R:$R,"&lt;&gt;"&amp;$S$1,Input!$F:$F,'2.CC Trans-BB.RE collateral'!$D$2) / SUMIFS(Input!$G:$G,Input!$C:$C,'2.CC Trans-BB.RE collateral'!$A$10,Input!$R:$R,"&lt;&gt;"&amp;$S$1,Input!$F:$F,'2.CC Trans-BB.RE collateral'!$D$2)</f>
        <v>0.5692900347991382</v>
      </c>
      <c r="L21" s="77"/>
      <c r="M21" s="103">
        <f>SUM(SUMIFS(Input!$P:$P,Input!$C:$C,'2.CC Trans-BB.RE collateral'!$A$10,Input!$D:$D,'2.CC Trans-BB.RE collateral'!M$7&amp;"*",Input!$H:$H,{"1-REAL";"SANTANDER"},Input!$F:$F,'2.CC Trans-BB.RE collateral'!$D$2)) / SUM(SUMIFS(Input!$G:$G,Input!$C:$C,'2.CC Trans-BB.RE collateral'!$A$10,Input!$D:$D,'2.CC Trans-BB.RE collateral'!M$7&amp;"*",Input!$H:$H,{"1-REAL";"SANTANDER"},Input!$F:$F,'2.CC Trans-BB.RE collateral'!$D$2))</f>
        <v>0.60847601805378959</v>
      </c>
      <c r="N21" s="103">
        <f>SUM(SUMIFS(Input!$P:$P,Input!$C:$C,'2.CC Trans-BB.RE collateral'!$A$10,Input!$D:$D,'2.CC Trans-BB.RE collateral'!N$7&amp;"*",Input!$H:$H,{"1-REAL";"SANTANDER"},Input!$F:$F,'2.CC Trans-BB.RE collateral'!$D$2)) / SUM(SUMIFS(Input!$G:$G,Input!$C:$C,'2.CC Trans-BB.RE collateral'!$A$10,Input!$D:$D,'2.CC Trans-BB.RE collateral'!N$7&amp;"*",Input!$H:$H,{"1-REAL";"SANTANDER"},Input!$F:$F,'2.CC Trans-BB.RE collateral'!$D$2))</f>
        <v>0.62063481913668639</v>
      </c>
      <c r="O21" s="103">
        <f>SUM(SUMIFS(Input!$P:$P,Input!$C:$C,'2.CC Trans-BB.RE collateral'!$A$10,Input!$D:$D,'2.CC Trans-BB.RE collateral'!O$7&amp;"*",Input!$H:$H,{"1-REAL";"SANTANDER"},Input!$F:$F,'2.CC Trans-BB.RE collateral'!$D$2)) / SUM(SUMIFS(Input!$G:$G,Input!$C:$C,'2.CC Trans-BB.RE collateral'!$A$10,Input!$D:$D,'2.CC Trans-BB.RE collateral'!O$7&amp;"*",Input!$H:$H,{"1-REAL";"SANTANDER"},Input!$F:$F,'2.CC Trans-BB.RE collateral'!$D$2))</f>
        <v>0.6640320113879199</v>
      </c>
      <c r="P21" s="103">
        <f>SUM(SUMIFS(Input!$P:$P,Input!$C:$C,'2.CC Trans-BB.RE collateral'!$A$10,Input!$D:$D,'2.CC Trans-BB.RE collateral'!P$7&amp;"*",Input!$H:$H,{"1-REAL";"SANTANDER"},Input!$F:$F,'2.CC Trans-BB.RE collateral'!$D$2)) / SUM(SUMIFS(Input!$G:$G,Input!$C:$C,'2.CC Trans-BB.RE collateral'!$A$10,Input!$D:$D,'2.CC Trans-BB.RE collateral'!P$7&amp;"*",Input!$H:$H,{"1-REAL";"SANTANDER"},Input!$F:$F,'2.CC Trans-BB.RE collateral'!$D$2))</f>
        <v>0.67104817004320749</v>
      </c>
      <c r="Q21" s="103">
        <f>SUM(SUMIFS(Input!$P:$P,Input!$C:$C,'2.CC Trans-BB.RE collateral'!$A$10,Input!$D:$D,'2.CC Trans-BB.RE collateral'!Q$7&amp;"*",Input!$H:$H,{"1-REAL";"SANTANDER"},Input!$F:$F,'2.CC Trans-BB.RE collateral'!$D$2)) / SUM(SUMIFS(Input!$G:$G,Input!$C:$C,'2.CC Trans-BB.RE collateral'!$A$10,Input!$D:$D,'2.CC Trans-BB.RE collateral'!Q$7&amp;"*",Input!$H:$H,{"1-REAL";"SANTANDER"},Input!$F:$F,'2.CC Trans-BB.RE collateral'!$D$2))</f>
        <v>0.67073749822378304</v>
      </c>
      <c r="R21" s="103">
        <f>SUM(SUMIFS(Input!$P:$P,Input!$C:$C,'2.CC Trans-BB.RE collateral'!$A$10,Input!$D:$D,'2.CC Trans-BB.RE collateral'!R$7&amp;"*",Input!$H:$H,{"1-REAL";"SANTANDER"},Input!$F:$F,'2.CC Trans-BB.RE collateral'!$D$2)) / SUM(SUMIFS(Input!$G:$G,Input!$C:$C,'2.CC Trans-BB.RE collateral'!$A$10,Input!$D:$D,'2.CC Trans-BB.RE collateral'!R$7&amp;"*",Input!$H:$H,{"1-REAL";"SANTANDER"},Input!$F:$F,'2.CC Trans-BB.RE collateral'!$D$2))</f>
        <v>0.65493409965496585</v>
      </c>
      <c r="S21" s="103">
        <f>SUM(SUMIFS(Input!$P:$P,Input!$C:$C,'2.CC Trans-BB.RE collateral'!$A$10,Input!$D:$D,'2.CC Trans-BB.RE collateral'!S$7&amp;"*",Input!$H:$H,{"1-REAL";"SANTANDER"},Input!$F:$F,'2.CC Trans-BB.RE collateral'!$D$2)) / SUM(SUMIFS(Input!$G:$G,Input!$C:$C,'2.CC Trans-BB.RE collateral'!$A$10,Input!$D:$D,'2.CC Trans-BB.RE collateral'!S$7&amp;"*",Input!$H:$H,{"1-REAL";"SANTANDER"},Input!$F:$F,'2.CC Trans-BB.RE collateral'!$D$2))</f>
        <v>0.54974176653619422</v>
      </c>
      <c r="T21" s="103">
        <f>SUMIFS(Input!$P:$P,Input!$C:$C,'2.CC Trans-BB.RE collateral'!$A$10,Input!$H:$H,"&lt;&gt;"&amp;S$1,Input!$H:$H,"&lt;&gt;"&amp;S$2,Input!$F:$F,'2.CC Trans-BB.RE collateral'!$D$2) / SUMIFS(Input!$G:$G,Input!$C:$C,'2.CC Trans-BB.RE collateral'!$A$10,Input!$H:$H,"&lt;&gt;"&amp;S$1,Input!$H:$H,"&lt;&gt;"&amp;S$2,Input!$F:$F,'2.CC Trans-BB.RE collateral'!$D$2)</f>
        <v>0.5064763510012823</v>
      </c>
      <c r="U21" s="77"/>
      <c r="V21" s="64"/>
    </row>
    <row r="22" spans="2:22" s="59" customFormat="1" ht="13" x14ac:dyDescent="0.3">
      <c r="B22" s="62">
        <v>13</v>
      </c>
      <c r="C22" s="76" t="s">
        <v>148</v>
      </c>
      <c r="D22" s="104">
        <f>ROUND(SUMIFS(Input!$G:$G,Input!$C:$C,'2.CC Trans-BB.RE collateral'!$A$10,Input!$Q:$Q,"LTV4",Input!$F:$F,'2.CC Trans-BB.RE collateral'!$D$2),0)</f>
        <v>6586527462</v>
      </c>
      <c r="E22" s="104">
        <f>ROUND(SUMIFS(Input!$G:$G,Input!$C:$C,'2.CC Trans-BB.RE collateral'!$A$10,Input!$Q:$Q,"LTV4",Input!$E:$E,'2.CC Trans-BB.RE collateral'!E$3,Input!$F:$F,'2.CC Trans-BB.RE collateral'!$D$2),0)</f>
        <v>2768431537</v>
      </c>
      <c r="F22" s="104">
        <f>ROUND(SUMIFS(Input!$G:$G,Input!$C:$C,'2.CC Trans-BB.RE collateral'!$A$10,Input!$Q:$Q,"LTV4",Input!$E:$E,'2.CC Trans-BB.RE collateral'!F$3,Input!$F:$F,'2.CC Trans-BB.RE collateral'!$D$2),0)</f>
        <v>2471752692</v>
      </c>
      <c r="G22" s="104">
        <f>ROUND(SUMIFS(Input!$G:$G,Input!$C:$C,'2.CC Trans-BB.RE collateral'!$A$10,Input!$Q:$Q,"LTV4",Input!$E:$E,'2.CC Trans-BB.RE collateral'!G$3,Input!$F:$F,'2.CC Trans-BB.RE collateral'!$D$2),0)</f>
        <v>891024249</v>
      </c>
      <c r="H22" s="104">
        <f>ROUND(SUMIFS(Input!$G:$G,Input!$C:$C,'2.CC Trans-BB.RE collateral'!$A$10,Input!$Q:$Q,"LTV4",Input!$E:$E,'2.CC Trans-BB.RE collateral'!H$3,Input!$F:$F,'2.CC Trans-BB.RE collateral'!$D$2),0)</f>
        <v>268042243</v>
      </c>
      <c r="I22" s="104">
        <f>ROUND(SUMIFS(Input!$G:$G,Input!$C:$C,'2.CC Trans-BB.RE collateral'!$A$10,Input!$Q:$Q,"LTV4",Input!$E:$E,'2.CC Trans-BB.RE collateral'!I$3,Input!$F:$F,'2.CC Trans-BB.RE collateral'!$D$2),0)</f>
        <v>107793573</v>
      </c>
      <c r="J22" s="104">
        <f>ROUND(SUMIFS(Input!$G:$G,Input!$C:$C,'2.CC Trans-BB.RE collateral'!$A$10,Input!$Q:$Q,"LTV4",Input!$E:$E,'2.CC Trans-BB.RE collateral'!J$3,Input!$F:$F,'2.CC Trans-BB.RE collateral'!$D$2),0)</f>
        <v>78796870</v>
      </c>
      <c r="K22" s="104">
        <f>ROUND(SUMIFS(Input!$G:$G,Input!$C:$C,'2.CC Trans-BB.RE collateral'!$A$10,Input!$Q:$Q,"LTV4",Input!$R:$R,"&lt;&gt;"&amp;$S$1,Input!$F:$F,'2.CC Trans-BB.RE collateral'!$D$2),0)</f>
        <v>4430661195</v>
      </c>
      <c r="L22" s="77"/>
      <c r="M22" s="104">
        <f>ROUND(SUM(SUMIFS(Input!$G:$G,Input!$C:$C,'2.CC Trans-BB.RE collateral'!$A$10,Input!$Q:$Q,"LTV4",Input!$D:$D,'2.CC Trans-BB.RE collateral'!M$7&amp;"*",Input!$H:$H,{"1-REAL";"SANTANDER"},Input!$F:$F,'2.CC Trans-BB.RE collateral'!$D$2)),0)</f>
        <v>572193566</v>
      </c>
      <c r="N22" s="104">
        <f>ROUND(SUM(SUMIFS(Input!$G:$G,Input!$C:$C,'2.CC Trans-BB.RE collateral'!$A$10,Input!$Q:$Q,"LTV4",Input!$D:$D,'2.CC Trans-BB.RE collateral'!N$7&amp;"*",Input!$H:$H,{"1-REAL";"SANTANDER"},Input!$F:$F,'2.CC Trans-BB.RE collateral'!$D$2)),0)</f>
        <v>523428012</v>
      </c>
      <c r="O22" s="104">
        <f>ROUND(SUM(SUMIFS(Input!$G:$G,Input!$C:$C,'2.CC Trans-BB.RE collateral'!$A$10,Input!$Q:$Q,"LTV4",Input!$D:$D,'2.CC Trans-BB.RE collateral'!O$7&amp;"*",Input!$H:$H,{"1-REAL";"SANTANDER"},Input!$F:$F,'2.CC Trans-BB.RE collateral'!$D$2)),0)</f>
        <v>1568331348</v>
      </c>
      <c r="P22" s="104">
        <f>ROUND(SUM(SUMIFS(Input!$G:$G,Input!$C:$C,'2.CC Trans-BB.RE collateral'!$A$10,Input!$Q:$Q,"LTV4",Input!$D:$D,'2.CC Trans-BB.RE collateral'!P$7&amp;"*",Input!$H:$H,{"1-REAL";"SANTANDER"},Input!$F:$F,'2.CC Trans-BB.RE collateral'!$D$2)),0)</f>
        <v>1645831552</v>
      </c>
      <c r="Q22" s="104">
        <f>ROUND(SUM(SUMIFS(Input!$G:$G,Input!$C:$C,'2.CC Trans-BB.RE collateral'!$A$10,Input!$Q:$Q,"LTV4",Input!$D:$D,'2.CC Trans-BB.RE collateral'!Q$7&amp;"*",Input!$H:$H,{"1-REAL";"SANTANDER"},Input!$F:$F,'2.CC Trans-BB.RE collateral'!$D$2)),0)</f>
        <v>878067333</v>
      </c>
      <c r="R22" s="104">
        <f>ROUND(SUM(SUMIFS(Input!$G:$G,Input!$C:$C,'2.CC Trans-BB.RE collateral'!$A$10,Input!$Q:$Q,"LTV4",Input!$D:$D,'2.CC Trans-BB.RE collateral'!R$7&amp;"*",Input!$H:$H,{"1-REAL";"SANTANDER"},Input!$F:$F,'2.CC Trans-BB.RE collateral'!$D$2)),0)</f>
        <v>337652816</v>
      </c>
      <c r="S22" s="104">
        <f>ROUND(SUM(SUMIFS(Input!$G:$G,Input!$C:$C,'2.CC Trans-BB.RE collateral'!$A$10,Input!$Q:$Q,"LTV4",Input!$D:$D,'2.CC Trans-BB.RE collateral'!S$7&amp;"*",Input!$H:$H,{"1-REAL";"SANTANDER"},Input!$F:$F,'2.CC Trans-BB.RE collateral'!$D$2)),0)</f>
        <v>331878</v>
      </c>
      <c r="T22" s="104">
        <f>ROUND(SUMIFS(Input!$G:$G,Input!$C:$C,'2.CC Trans-BB.RE collateral'!$A$10,Input!$Q:$Q,"LTV4",Input!$H:$H,"&lt;&gt;"&amp;S$1,Input!$H:$H,"&lt;&gt;"&amp;S$2,Input!$F:$F,'2.CC Trans-BB.RE collateral'!$D$2),0)</f>
        <v>1060690957</v>
      </c>
      <c r="U22" s="77"/>
      <c r="V22" s="64"/>
    </row>
    <row r="23" spans="2:22" s="59" customFormat="1" ht="13" x14ac:dyDescent="0.3">
      <c r="B23" s="62">
        <v>14</v>
      </c>
      <c r="C23" s="76" t="s">
        <v>149</v>
      </c>
      <c r="D23" s="104">
        <f>ROUND(SUMIFS(Input!$G:$G,Input!$C:$C,'2.CC Trans-BB.RE collateral'!$A$10,Input!$Q:$Q,"LTV5",Input!$F:$F,'2.CC Trans-BB.RE collateral'!$D$2),0)</f>
        <v>435305152</v>
      </c>
      <c r="E23" s="104">
        <f>ROUND(SUMIFS(Input!$G:$G,Input!$C:$C,'2.CC Trans-BB.RE collateral'!$A$10,Input!$Q:$Q,"LTV5",Input!$E:$E,'2.CC Trans-BB.RE collateral'!E$3,Input!$F:$F,'2.CC Trans-BB.RE collateral'!$D$2),0)</f>
        <v>153669810</v>
      </c>
      <c r="F23" s="104">
        <f>ROUND(SUMIFS(Input!$G:$G,Input!$C:$C,'2.CC Trans-BB.RE collateral'!$A$10,Input!$Q:$Q,"LTV5",Input!$E:$E,'2.CC Trans-BB.RE collateral'!F$3,Input!$F:$F,'2.CC Trans-BB.RE collateral'!$D$2),0)</f>
        <v>122164920</v>
      </c>
      <c r="G23" s="104">
        <f>ROUND(SUMIFS(Input!$G:$G,Input!$C:$C,'2.CC Trans-BB.RE collateral'!$A$10,Input!$Q:$Q,"LTV5",Input!$E:$E,'2.CC Trans-BB.RE collateral'!G$3,Input!$F:$F,'2.CC Trans-BB.RE collateral'!$D$2),0)</f>
        <v>67119901</v>
      </c>
      <c r="H23" s="104">
        <f>ROUND(SUMIFS(Input!$G:$G,Input!$C:$C,'2.CC Trans-BB.RE collateral'!$A$10,Input!$Q:$Q,"LTV5",Input!$E:$E,'2.CC Trans-BB.RE collateral'!H$3,Input!$F:$F,'2.CC Trans-BB.RE collateral'!$D$2),0)</f>
        <v>14344471</v>
      </c>
      <c r="I23" s="104">
        <f>ROUND(SUMIFS(Input!$G:$G,Input!$C:$C,'2.CC Trans-BB.RE collateral'!$A$10,Input!$Q:$Q,"LTV5",Input!$E:$E,'2.CC Trans-BB.RE collateral'!I$3,Input!$F:$F,'2.CC Trans-BB.RE collateral'!$D$2),0)</f>
        <v>4652723</v>
      </c>
      <c r="J23" s="104">
        <f>ROUND(SUMIFS(Input!$G:$G,Input!$C:$C,'2.CC Trans-BB.RE collateral'!$A$10,Input!$Q:$Q,"LTV5",Input!$E:$E,'2.CC Trans-BB.RE collateral'!J$3,Input!$F:$F,'2.CC Trans-BB.RE collateral'!$D$2),0)</f>
        <v>3206386</v>
      </c>
      <c r="K23" s="104">
        <f>ROUND(SUMIFS(Input!$G:$G,Input!$C:$C,'2.CC Trans-BB.RE collateral'!$A$10,Input!$Q:$Q,"LTV5",Input!$R:$R,"&lt;&gt;"&amp;$S$1,Input!$F:$F,'2.CC Trans-BB.RE collateral'!$D$2),0)</f>
        <v>357971117</v>
      </c>
      <c r="L23" s="77"/>
      <c r="M23" s="104">
        <f>ROUND(SUM(SUMIFS(Input!$G:$G,Input!$C:$C,'2.CC Trans-BB.RE collateral'!$A$10,Input!$Q:$Q,"LTV5",Input!$D:$D,'2.CC Trans-BB.RE collateral'!M$7&amp;"*",Input!$H:$H,{"1-REAL";"SANTANDER"},Input!$F:$F,'2.CC Trans-BB.RE collateral'!$D$2)),0)</f>
        <v>17562563</v>
      </c>
      <c r="N23" s="104">
        <f>ROUND(SUM(SUMIFS(Input!$G:$G,Input!$C:$C,'2.CC Trans-BB.RE collateral'!$A$10,Input!$Q:$Q,"LTV5",Input!$D:$D,'2.CC Trans-BB.RE collateral'!N$7&amp;"*",Input!$H:$H,{"1-REAL";"SANTANDER"},Input!$F:$F,'2.CC Trans-BB.RE collateral'!$D$2)),0)</f>
        <v>14308595</v>
      </c>
      <c r="O23" s="104">
        <f>ROUND(SUM(SUMIFS(Input!$G:$G,Input!$C:$C,'2.CC Trans-BB.RE collateral'!$A$10,Input!$Q:$Q,"LTV5",Input!$D:$D,'2.CC Trans-BB.RE collateral'!O$7&amp;"*",Input!$H:$H,{"1-REAL";"SANTANDER"},Input!$F:$F,'2.CC Trans-BB.RE collateral'!$D$2)),0)</f>
        <v>25503560</v>
      </c>
      <c r="P23" s="104">
        <f>ROUND(SUM(SUMIFS(Input!$G:$G,Input!$C:$C,'2.CC Trans-BB.RE collateral'!$A$10,Input!$Q:$Q,"LTV5",Input!$D:$D,'2.CC Trans-BB.RE collateral'!P$7&amp;"*",Input!$H:$H,{"1-REAL";"SANTANDER"},Input!$F:$F,'2.CC Trans-BB.RE collateral'!$D$2)),0)</f>
        <v>30788727</v>
      </c>
      <c r="Q23" s="104">
        <f>ROUND(SUM(SUMIFS(Input!$G:$G,Input!$C:$C,'2.CC Trans-BB.RE collateral'!$A$10,Input!$Q:$Q,"LTV5",Input!$D:$D,'2.CC Trans-BB.RE collateral'!Q$7&amp;"*",Input!$H:$H,{"1-REAL";"SANTANDER"},Input!$F:$F,'2.CC Trans-BB.RE collateral'!$D$2)),0)</f>
        <v>21724936</v>
      </c>
      <c r="R23" s="104">
        <f>ROUND(SUM(SUMIFS(Input!$G:$G,Input!$C:$C,'2.CC Trans-BB.RE collateral'!$A$10,Input!$Q:$Q,"LTV5",Input!$D:$D,'2.CC Trans-BB.RE collateral'!R$7&amp;"*",Input!$H:$H,{"1-REAL";"SANTANDER"},Input!$F:$F,'2.CC Trans-BB.RE collateral'!$D$2)),0)</f>
        <v>18549462</v>
      </c>
      <c r="S23" s="104">
        <f>ROUND(SUM(SUMIFS(Input!$G:$G,Input!$C:$C,'2.CC Trans-BB.RE collateral'!$A$10,Input!$Q:$Q,"LTV5",Input!$D:$D,'2.CC Trans-BB.RE collateral'!S$7&amp;"*",Input!$H:$H,{"1-REAL";"SANTANDER"},Input!$F:$F,'2.CC Trans-BB.RE collateral'!$D$2)),0)</f>
        <v>0</v>
      </c>
      <c r="T23" s="104">
        <f>ROUND(SUMIFS(Input!$G:$G,Input!$C:$C,'2.CC Trans-BB.RE collateral'!$A$10,Input!$Q:$Q,"LTV5",Input!$H:$H,"&lt;&gt;"&amp;S$1,Input!$H:$H,"&lt;&gt;"&amp;S$2,Input!$F:$F,'2.CC Trans-BB.RE collateral'!$D$2),0)</f>
        <v>306867309</v>
      </c>
      <c r="U23" s="77"/>
      <c r="V23" s="64"/>
    </row>
    <row r="24" spans="2:22" s="59" customFormat="1" ht="13" x14ac:dyDescent="0.3">
      <c r="B24" s="62">
        <v>15</v>
      </c>
      <c r="C24" s="76" t="s">
        <v>150</v>
      </c>
      <c r="D24" s="105">
        <f>SUMIFS(Input!$J:$J,Input!$C:$C,'2.CC Trans-BB.RE collateral'!$A$10,Input!$F:$F,'2.CC Trans-BB.RE collateral'!$D$2) / SUMIFS(Input!$G:$G,Input!$C:$C,'2.CC Trans-BB.RE collateral'!$A$10,Input!$F:$F,'2.CC Trans-BB.RE collateral'!$D$2)</f>
        <v>26.357498483198881</v>
      </c>
      <c r="E24" s="105">
        <f>SUMIFS(Input!$J:$J,Input!$C:$C,'2.CC Trans-BB.RE collateral'!$A$10,Input!$E:$E,'2.CC Trans-BB.RE collateral'!E$3,Input!$F:$F,'2.CC Trans-BB.RE collateral'!$D$2)  / SUMIFS(Input!$G:$G,Input!$C:$C,'2.CC Trans-BB.RE collateral'!$A$10,Input!$E:$E,'2.CC Trans-BB.RE collateral'!E$3,Input!$F:$F,'2.CC Trans-BB.RE collateral'!$D$2)</f>
        <v>26.033156053229195</v>
      </c>
      <c r="F24" s="105">
        <f>SUMIFS(Input!$J:$J,Input!$C:$C,'2.CC Trans-BB.RE collateral'!$A$10,Input!$E:$E,'2.CC Trans-BB.RE collateral'!F$3,Input!$F:$F,'2.CC Trans-BB.RE collateral'!$D$2)  / SUMIFS(Input!$G:$G,Input!$C:$C,'2.CC Trans-BB.RE collateral'!$A$10,Input!$E:$E,'2.CC Trans-BB.RE collateral'!F$3,Input!$F:$F,'2.CC Trans-BB.RE collateral'!$D$2)</f>
        <v>26.309224979568491</v>
      </c>
      <c r="G24" s="105">
        <f>SUMIFS(Input!$J:$J,Input!$C:$C,'2.CC Trans-BB.RE collateral'!$A$10,Input!$E:$E,'2.CC Trans-BB.RE collateral'!G$3,Input!$F:$F,'2.CC Trans-BB.RE collateral'!$D$2)  / SUMIFS(Input!$G:$G,Input!$C:$C,'2.CC Trans-BB.RE collateral'!$A$10,Input!$E:$E,'2.CC Trans-BB.RE collateral'!G$3,Input!$F:$F,'2.CC Trans-BB.RE collateral'!$D$2)</f>
        <v>26.866934893003336</v>
      </c>
      <c r="H24" s="105">
        <f>SUMIFS(Input!$J:$J,Input!$C:$C,'2.CC Trans-BB.RE collateral'!$A$10,Input!$E:$E,'2.CC Trans-BB.RE collateral'!H$3,Input!$F:$F,'2.CC Trans-BB.RE collateral'!$D$2)  / SUMIFS(Input!$G:$G,Input!$C:$C,'2.CC Trans-BB.RE collateral'!$A$10,Input!$E:$E,'2.CC Trans-BB.RE collateral'!H$3,Input!$F:$F,'2.CC Trans-BB.RE collateral'!$D$2)</f>
        <v>30.161727929717081</v>
      </c>
      <c r="I24" s="105">
        <f>SUMIFS(Input!$J:$J,Input!$C:$C,'2.CC Trans-BB.RE collateral'!$A$10,Input!$E:$E,'2.CC Trans-BB.RE collateral'!I$3,Input!$F:$F,'2.CC Trans-BB.RE collateral'!$D$2)  / SUMIFS(Input!$G:$G,Input!$C:$C,'2.CC Trans-BB.RE collateral'!$A$10,Input!$E:$E,'2.CC Trans-BB.RE collateral'!I$3,Input!$F:$F,'2.CC Trans-BB.RE collateral'!$D$2)</f>
        <v>32.467339315344958</v>
      </c>
      <c r="J24" s="105">
        <f>SUMIFS(Input!$J:$J,Input!$C:$C,'2.CC Trans-BB.RE collateral'!$A$10,Input!$E:$E,'2.CC Trans-BB.RE collateral'!J$3,Input!$F:$F,'2.CC Trans-BB.RE collateral'!$D$2)  / SUMIFS(Input!$G:$G,Input!$C:$C,'2.CC Trans-BB.RE collateral'!$A$10,Input!$E:$E,'2.CC Trans-BB.RE collateral'!J$3,Input!$F:$F,'2.CC Trans-BB.RE collateral'!$D$2)</f>
        <v>30.777511639626621</v>
      </c>
      <c r="K24" s="105">
        <f>SUMIFS(Input!$J:$J,Input!$C:$C,'2.CC Trans-BB.RE collateral'!$A$10,Input!$R:$R,"&lt;&gt;"&amp;$S$1,Input!$F:$F,'2.CC Trans-BB.RE collateral'!$D$2)  / SUMIFS(Input!$G:$G,Input!$C:$C,'2.CC Trans-BB.RE collateral'!$A$10,Input!$R:$R,"&lt;&gt;"&amp;$S$1,Input!$F:$F,'2.CC Trans-BB.RE collateral'!$D$2)</f>
        <v>25.529639616589513</v>
      </c>
      <c r="L24" s="77"/>
      <c r="M24" s="105">
        <f>SUM(SUMIFS(Input!$J:$J,Input!$C:$C,'2.CC Trans-BB.RE collateral'!$A$10,Input!$D:$D,'2.CC Trans-BB.RE collateral'!M$7&amp;"*",Input!$H:$H,{"1-REAL";"SANTANDER"},Input!$F:$F,'2.CC Trans-BB.RE collateral'!$D$2))  / SUM(SUMIFS(Input!$G:$G,Input!$C:$C,'2.CC Trans-BB.RE collateral'!$A$10,Input!$D:$D,'2.CC Trans-BB.RE collateral'!M$7&amp;"*",Input!$H:$H,{"1-REAL";"SANTANDER"},Input!$F:$F,'2.CC Trans-BB.RE collateral'!$D$2))</f>
        <v>29.116328183315996</v>
      </c>
      <c r="N24" s="105">
        <f>SUM(SUMIFS(Input!$J:$J,Input!$C:$C,'2.CC Trans-BB.RE collateral'!$A$10,Input!$D:$D,'2.CC Trans-BB.RE collateral'!N$7&amp;"*",Input!$H:$H,{"1-REAL";"SANTANDER"},Input!$F:$F,'2.CC Trans-BB.RE collateral'!$D$2))  / SUM(SUMIFS(Input!$G:$G,Input!$C:$C,'2.CC Trans-BB.RE collateral'!$A$10,Input!$D:$D,'2.CC Trans-BB.RE collateral'!N$7&amp;"*",Input!$H:$H,{"1-REAL";"SANTANDER"},Input!$F:$F,'2.CC Trans-BB.RE collateral'!$D$2))</f>
        <v>29.317754372151892</v>
      </c>
      <c r="O24" s="105">
        <f>SUM(SUMIFS(Input!$J:$J,Input!$C:$C,'2.CC Trans-BB.RE collateral'!$A$10,Input!$D:$D,'2.CC Trans-BB.RE collateral'!O$7&amp;"*",Input!$H:$H,{"1-REAL";"SANTANDER"},Input!$F:$F,'2.CC Trans-BB.RE collateral'!$D$2))  / SUM(SUMIFS(Input!$G:$G,Input!$C:$C,'2.CC Trans-BB.RE collateral'!$A$10,Input!$D:$D,'2.CC Trans-BB.RE collateral'!O$7&amp;"*",Input!$H:$H,{"1-REAL";"SANTANDER"},Input!$F:$F,'2.CC Trans-BB.RE collateral'!$D$2))</f>
        <v>30.370179197887719</v>
      </c>
      <c r="P24" s="105">
        <f>SUM(SUMIFS(Input!$J:$J,Input!$C:$C,'2.CC Trans-BB.RE collateral'!$A$10,Input!$D:$D,'2.CC Trans-BB.RE collateral'!P$7&amp;"*",Input!$H:$H,{"1-REAL";"SANTANDER"},Input!$F:$F,'2.CC Trans-BB.RE collateral'!$D$2))  / SUM(SUMIFS(Input!$G:$G,Input!$C:$C,'2.CC Trans-BB.RE collateral'!$A$10,Input!$D:$D,'2.CC Trans-BB.RE collateral'!P$7&amp;"*",Input!$H:$H,{"1-REAL";"SANTANDER"},Input!$F:$F,'2.CC Trans-BB.RE collateral'!$D$2))</f>
        <v>30.525498045865689</v>
      </c>
      <c r="Q24" s="105">
        <f>SUM(SUMIFS(Input!$J:$J,Input!$C:$C,'2.CC Trans-BB.RE collateral'!$A$10,Input!$D:$D,'2.CC Trans-BB.RE collateral'!Q$7&amp;"*",Input!$H:$H,{"1-REAL";"SANTANDER"},Input!$F:$F,'2.CC Trans-BB.RE collateral'!$D$2))  / SUM(SUMIFS(Input!$G:$G,Input!$C:$C,'2.CC Trans-BB.RE collateral'!$A$10,Input!$D:$D,'2.CC Trans-BB.RE collateral'!Q$7&amp;"*",Input!$H:$H,{"1-REAL";"SANTANDER"},Input!$F:$F,'2.CC Trans-BB.RE collateral'!$D$2))</f>
        <v>30.779507595832484</v>
      </c>
      <c r="R24" s="105">
        <f>SUM(SUMIFS(Input!$J:$J,Input!$C:$C,'2.CC Trans-BB.RE collateral'!$A$10,Input!$D:$D,'2.CC Trans-BB.RE collateral'!R$7&amp;"*",Input!$H:$H,{"1-REAL";"SANTANDER"},Input!$F:$F,'2.CC Trans-BB.RE collateral'!$D$2))  / SUM(SUMIFS(Input!$G:$G,Input!$C:$C,'2.CC Trans-BB.RE collateral'!$A$10,Input!$D:$D,'2.CC Trans-BB.RE collateral'!R$7&amp;"*",Input!$H:$H,{"1-REAL";"SANTANDER"},Input!$F:$F,'2.CC Trans-BB.RE collateral'!$D$2))</f>
        <v>30.168032788021389</v>
      </c>
      <c r="S24" s="105">
        <f>SUM(SUMIFS(Input!$J:$J,Input!$C:$C,'2.CC Trans-BB.RE collateral'!$A$10,Input!$D:$D,'2.CC Trans-BB.RE collateral'!S$7&amp;"*",Input!$H:$H,{"1-REAL";"SANTANDER"},Input!$F:$F,'2.CC Trans-BB.RE collateral'!$D$2))  / SUM(SUMIFS(Input!$G:$G,Input!$C:$C,'2.CC Trans-BB.RE collateral'!$A$10,Input!$D:$D,'2.CC Trans-BB.RE collateral'!S$7&amp;"*",Input!$H:$H,{"1-REAL";"SANTANDER"},Input!$F:$F,'2.CC Trans-BB.RE collateral'!$D$2))</f>
        <v>24.419981587736576</v>
      </c>
      <c r="T24" s="105">
        <f>SUMIFS(Input!$J:$J,Input!$C:$C,'2.CC Trans-BB.RE collateral'!$A$10,Input!$H:$H,"&lt;&gt;"&amp;S$1,Input!$H:$H,"&lt;&gt;"&amp;S$2,Input!$F:$F,'2.CC Trans-BB.RE collateral'!$D$2)  / SUMIFS(Input!$G:$G,Input!$C:$C,'2.CC Trans-BB.RE collateral'!$A$10,Input!$H:$H,"&lt;&gt;"&amp;S$1,Input!$H:$H,"&lt;&gt;"&amp;S$2,Input!$F:$F,'2.CC Trans-BB.RE collateral'!$D$2)</f>
        <v>21.816160005152245</v>
      </c>
      <c r="U24" s="77"/>
      <c r="V24" s="64"/>
    </row>
    <row r="25" spans="2:22" s="59" customFormat="1" ht="13" x14ac:dyDescent="0.3">
      <c r="B25" s="62">
        <v>16</v>
      </c>
      <c r="C25" s="76" t="s">
        <v>151</v>
      </c>
      <c r="D25" s="104">
        <f>ROUND(SUMIFS(Input!$G:$G,Input!$C:$C,'2.CC Trans-BB.RE collateral'!$A$10,Input!$I:$I,"MESG1",Input!$F:$F,'2.CC Trans-BB.RE collateral'!$D$2),0)</f>
        <v>1476604159</v>
      </c>
      <c r="E25" s="104">
        <f>ROUND(SUMIFS(Input!$G:$G,Input!$C:$C,'2.CC Trans-BB.RE collateral'!$A$10,Input!$I:$I,"MESG1",Input!$E:$E,'2.CC Trans-BB.RE collateral'!E$3,Input!$F:$F,'2.CC Trans-BB.RE collateral'!$D$2),0)</f>
        <v>812308281</v>
      </c>
      <c r="F25" s="104">
        <f>ROUND(SUMIFS(Input!$G:$G,Input!$C:$C,'2.CC Trans-BB.RE collateral'!$A$10,Input!$I:$I,"MESG1",Input!$E:$E,'2.CC Trans-BB.RE collateral'!F$3,Input!$F:$F,'2.CC Trans-BB.RE collateral'!$D$2),0)</f>
        <v>517596593</v>
      </c>
      <c r="G25" s="104">
        <f>ROUND(SUMIFS(Input!$G:$G,Input!$C:$C,'2.CC Trans-BB.RE collateral'!$A$10,Input!$I:$I,"MESG1",Input!$E:$E,'2.CC Trans-BB.RE collateral'!G$3,Input!$F:$F,'2.CC Trans-BB.RE collateral'!$D$2),0)</f>
        <v>131136940</v>
      </c>
      <c r="H25" s="104">
        <f>ROUND(SUMIFS(Input!$G:$G,Input!$C:$C,'2.CC Trans-BB.RE collateral'!$A$10,Input!$I:$I,"MESG1",Input!$E:$E,'2.CC Trans-BB.RE collateral'!H$3,Input!$F:$F,'2.CC Trans-BB.RE collateral'!$D$2),0)</f>
        <v>7392632</v>
      </c>
      <c r="I25" s="104">
        <f>ROUND(SUMIFS(Input!$G:$G,Input!$C:$C,'2.CC Trans-BB.RE collateral'!$A$10,Input!$I:$I,"MESG1",Input!$E:$E,'2.CC Trans-BB.RE collateral'!I$3,Input!$F:$F,'2.CC Trans-BB.RE collateral'!$D$2),0)</f>
        <v>210111</v>
      </c>
      <c r="J25" s="104">
        <f>ROUND(SUMIFS(Input!$G:$G,Input!$C:$C,'2.CC Trans-BB.RE collateral'!$A$10,Input!$I:$I,"MESG1",Input!$E:$E,'2.CC Trans-BB.RE collateral'!J$3,Input!$F:$F,'2.CC Trans-BB.RE collateral'!$D$2),0)</f>
        <v>703533</v>
      </c>
      <c r="K25" s="104">
        <f>ROUND(SUMIFS(Input!$G:$G,Input!$C:$C,'2.CC Trans-BB.RE collateral'!$A$10,Input!$I:$I,"MESG1",Input!$R:$R,"&lt;&gt;"&amp;$S$1,Input!$F:$F,'2.CC Trans-BB.RE collateral'!$D$2),0)</f>
        <v>1453583276</v>
      </c>
      <c r="L25" s="77"/>
      <c r="M25" s="104">
        <f>ROUND(SUM(SUMIFS(Input!$G:$G,Input!$C:$C,'2.CC Trans-BB.RE collateral'!$A$10,Input!$I:$I,"MESG1",Input!$D:$D,'2.CC Trans-BB.RE collateral'!M$7&amp;"*",Input!$H:$H,{"1-REAL";"SANTANDER"},Input!$F:$F,'2.CC Trans-BB.RE collateral'!$D$2)),0)</f>
        <v>168905216</v>
      </c>
      <c r="N25" s="104">
        <f>ROUND(SUM(SUMIFS(Input!$G:$G,Input!$C:$C,'2.CC Trans-BB.RE collateral'!$A$10,Input!$I:$I,"MESG1",Input!$D:$D,'2.CC Trans-BB.RE collateral'!N$7&amp;"*",Input!$H:$H,{"1-REAL";"SANTANDER"},Input!$F:$F,'2.CC Trans-BB.RE collateral'!$D$2)),0)</f>
        <v>45519292</v>
      </c>
      <c r="O25" s="104">
        <f>ROUND(SUM(SUMIFS(Input!$G:$G,Input!$C:$C,'2.CC Trans-BB.RE collateral'!$A$10,Input!$I:$I,"MESG1",Input!$D:$D,'2.CC Trans-BB.RE collateral'!O$7&amp;"*",Input!$H:$H,{"1-REAL";"SANTANDER"},Input!$F:$F,'2.CC Trans-BB.RE collateral'!$D$2)),0)</f>
        <v>30499225</v>
      </c>
      <c r="P25" s="104">
        <f>ROUND(SUM(SUMIFS(Input!$G:$G,Input!$C:$C,'2.CC Trans-BB.RE collateral'!$A$10,Input!$I:$I,"MESG1",Input!$D:$D,'2.CC Trans-BB.RE collateral'!P$7&amp;"*",Input!$H:$H,{"1-REAL";"SANTANDER"},Input!$F:$F,'2.CC Trans-BB.RE collateral'!$D$2)),0)</f>
        <v>15339996</v>
      </c>
      <c r="Q25" s="104">
        <f>ROUND(SUM(SUMIFS(Input!$G:$G,Input!$C:$C,'2.CC Trans-BB.RE collateral'!$A$10,Input!$I:$I,"MESG1",Input!$D:$D,'2.CC Trans-BB.RE collateral'!Q$7&amp;"*",Input!$H:$H,{"1-REAL";"SANTANDER"},Input!$F:$F,'2.CC Trans-BB.RE collateral'!$D$2)),0)</f>
        <v>10441842</v>
      </c>
      <c r="R25" s="104">
        <f>ROUND(SUM(SUMIFS(Input!$G:$G,Input!$C:$C,'2.CC Trans-BB.RE collateral'!$A$10,Input!$I:$I,"MESG1",Input!$D:$D,'2.CC Trans-BB.RE collateral'!R$7&amp;"*",Input!$H:$H,{"1-REAL";"SANTANDER"},Input!$F:$F,'2.CC Trans-BB.RE collateral'!$D$2)),0)</f>
        <v>6302599</v>
      </c>
      <c r="S25" s="104">
        <f>ROUND(SUM(SUMIFS(Input!$G:$G,Input!$C:$C,'2.CC Trans-BB.RE collateral'!$A$10,Input!$I:$I,"MESG1",Input!$D:$D,'2.CC Trans-BB.RE collateral'!S$7&amp;"*",Input!$H:$H,{"1-REAL";"SANTANDER"},Input!$F:$F,'2.CC Trans-BB.RE collateral'!$D$2)),0)</f>
        <v>98288</v>
      </c>
      <c r="T25" s="104">
        <f>ROUND(SUMIFS(Input!$G:$G,Input!$C:$C,'2.CC Trans-BB.RE collateral'!$A$10,Input!$I:$I,"MESG1",Input!$H:$H,"&lt;&gt;"&amp;S$1,Input!$H:$H,"&lt;&gt;"&amp;S$2,Input!$F:$F,'2.CC Trans-BB.RE collateral'!$D$2),0)</f>
        <v>1199497701</v>
      </c>
      <c r="U25" s="77"/>
      <c r="V25" s="64"/>
    </row>
    <row r="26" spans="2:22" s="59" customFormat="1" ht="13" x14ac:dyDescent="0.3">
      <c r="B26" s="62">
        <v>17</v>
      </c>
      <c r="C26" s="76" t="s">
        <v>152</v>
      </c>
      <c r="D26" s="103">
        <f>SUM(SUMIFS(Input!$O:$O,Input!$C:$C,'2.CC Trans-BB.RE collateral'!$A$10,Input!$K:$K,{"NBF1";"NBF2"},Input!$F:$F,'2.CC Trans-BB.RE collateral'!$D$2)) / SUM(SUMIFS(Input!$G:$G,Input!$C:$C,'2.CC Trans-BB.RE collateral'!$A$10,Input!$K:$K,{"NBF1";"NBF2"},Input!$F:$F,'2.CC Trans-BB.RE collateral'!$D$2))</f>
        <v>0</v>
      </c>
      <c r="E26" s="103">
        <f>SUM(SUMIFS(Input!$O:$O,Input!$C:$C,'2.CC Trans-BB.RE collateral'!$A$10,Input!$K:$K,{"NBF1";"NBF2"},Input!$E:$E,'2.CC Trans-BB.RE collateral'!E$3,Input!$F:$F,'2.CC Trans-BB.RE collateral'!$D$2)) / SUM(SUMIFS(Input!$G:$G,Input!$C:$C,'2.CC Trans-BB.RE collateral'!$A$10,Input!$K:$K,{"NBF1";"NBF2"},Input!$E:$E,'2.CC Trans-BB.RE collateral'!E$3,Input!$F:$F,'2.CC Trans-BB.RE collateral'!$D$2))</f>
        <v>0</v>
      </c>
      <c r="F26" s="103">
        <f>SUM(SUMIFS(Input!$O:$O,Input!$C:$C,'2.CC Trans-BB.RE collateral'!$A$10,Input!$K:$K,{"NBF1";"NBF2"},Input!$E:$E,'2.CC Trans-BB.RE collateral'!F$3,Input!$F:$F,'2.CC Trans-BB.RE collateral'!$D$2)) / SUM(SUMIFS(Input!$G:$G,Input!$C:$C,'2.CC Trans-BB.RE collateral'!$A$10,Input!$K:$K,{"NBF1";"NBF2"},Input!$E:$E,'2.CC Trans-BB.RE collateral'!F$3,Input!$F:$F,'2.CC Trans-BB.RE collateral'!$D$2))</f>
        <v>0</v>
      </c>
      <c r="G26" s="103">
        <f>SUM(SUMIFS(Input!$O:$O,Input!$C:$C,'2.CC Trans-BB.RE collateral'!$A$10,Input!$K:$K,{"NBF1";"NBF2"},Input!$E:$E,'2.CC Trans-BB.RE collateral'!G$3,Input!$F:$F,'2.CC Trans-BB.RE collateral'!$D$2)) / SUM(SUMIFS(Input!$G:$G,Input!$C:$C,'2.CC Trans-BB.RE collateral'!$A$10,Input!$K:$K,{"NBF1";"NBF2"},Input!$E:$E,'2.CC Trans-BB.RE collateral'!G$3,Input!$F:$F,'2.CC Trans-BB.RE collateral'!$D$2))</f>
        <v>0</v>
      </c>
      <c r="H26" s="103">
        <f>SUM(SUMIFS(Input!$O:$O,Input!$C:$C,'2.CC Trans-BB.RE collateral'!$A$10,Input!$K:$K,{"NBF1";"NBF2"},Input!$E:$E,'2.CC Trans-BB.RE collateral'!H$3,Input!$F:$F,'2.CC Trans-BB.RE collateral'!$D$2)) / SUM(SUMIFS(Input!$G:$G,Input!$C:$C,'2.CC Trans-BB.RE collateral'!$A$10,Input!$K:$K,{"NBF1";"NBF2"},Input!$E:$E,'2.CC Trans-BB.RE collateral'!H$3,Input!$F:$F,'2.CC Trans-BB.RE collateral'!$D$2))</f>
        <v>0</v>
      </c>
      <c r="I26" s="103">
        <f>SUM(SUMIFS(Input!$O:$O,Input!$C:$C,'2.CC Trans-BB.RE collateral'!$A$10,Input!$K:$K,{"NBF1";"NBF2"},Input!$E:$E,'2.CC Trans-BB.RE collateral'!I$3,Input!$F:$F,'2.CC Trans-BB.RE collateral'!$D$2)) / SUM(SUMIFS(Input!$G:$G,Input!$C:$C,'2.CC Trans-BB.RE collateral'!$A$10,Input!$K:$K,{"NBF1";"NBF2"},Input!$E:$E,'2.CC Trans-BB.RE collateral'!I$3,Input!$F:$F,'2.CC Trans-BB.RE collateral'!$D$2))</f>
        <v>0</v>
      </c>
      <c r="J26" s="103">
        <f>SUM(SUMIFS(Input!$O:$O,Input!$C:$C,'2.CC Trans-BB.RE collateral'!$A$10,Input!$K:$K,{"NBF1";"NBF2"},Input!$E:$E,'2.CC Trans-BB.RE collateral'!J$3,Input!$F:$F,'2.CC Trans-BB.RE collateral'!$D$2)) / SUM(SUMIFS(Input!$G:$G,Input!$C:$C,'2.CC Trans-BB.RE collateral'!$A$10,Input!$K:$K,{"NBF1";"NBF2"},Input!$E:$E,'2.CC Trans-BB.RE collateral'!J$3,Input!$F:$F,'2.CC Trans-BB.RE collateral'!$D$2))</f>
        <v>0</v>
      </c>
      <c r="K26" s="103">
        <f>SUM(SUMIFS(Input!$O:$O,Input!$C:$C,'2.CC Trans-BB.RE collateral'!$A$10,Input!$K:$K,{"NBF1";"NBF2"},Input!$R:$R,"&lt;&gt;"&amp;$S$1,Input!$F:$F,'2.CC Trans-BB.RE collateral'!$D$2)) / SUM(SUMIFS(Input!$G:$G,Input!$C:$C,'2.CC Trans-BB.RE collateral'!$A$10,Input!$K:$K,{"NBF1";"NBF2"},Input!$R:$R,"&lt;&gt;"&amp;$S$1,Input!$F:$F,'2.CC Trans-BB.RE collateral'!$D$2))</f>
        <v>0</v>
      </c>
      <c r="L26" s="77"/>
      <c r="M26" s="103">
        <f>SUM(SUMIFS(Input!$O:$O,Input!$C:$C,'2.CC Trans-BB.RE collateral'!$A$10,Input!$K:$K,{"NBF1";"NBF2"},Input!$H:$H,"1-REAL",Input!$D:$D,'2.CC Trans-BB.RE collateral'!M$7&amp;"*",Input!$F:$F,'2.CC Trans-BB.RE collateral'!$D$2)) / SUM(SUMIFS(Input!$G:$G,Input!$C:$C,'2.CC Trans-BB.RE collateral'!$A$10,Input!$K:$K,{"NBF1";"NBF2"},Input!$H:$H,"1-REAL",Input!$D:$D,'2.CC Trans-BB.RE collateral'!M$7&amp;"*",Input!$F:$F,'2.CC Trans-BB.RE collateral'!$D$2))</f>
        <v>0</v>
      </c>
      <c r="N26" s="103">
        <f>SUM(SUMIFS(Input!$O:$O,Input!$C:$C,'2.CC Trans-BB.RE collateral'!$A$10,Input!$K:$K,{"NBF1";"NBF2"},Input!$H:$H,"1-REAL",Input!$D:$D,'2.CC Trans-BB.RE collateral'!N$7&amp;"*",Input!$F:$F,'2.CC Trans-BB.RE collateral'!$D$2)) / SUM(SUMIFS(Input!$G:$G,Input!$C:$C,'2.CC Trans-BB.RE collateral'!$A$10,Input!$K:$K,{"NBF1";"NBF2"},Input!$H:$H,"1-REAL",Input!$D:$D,'2.CC Trans-BB.RE collateral'!N$7&amp;"*",Input!$F:$F,'2.CC Trans-BB.RE collateral'!$D$2))</f>
        <v>0</v>
      </c>
      <c r="O26" s="103">
        <f>SUM(SUMIFS(Input!$O:$O,Input!$C:$C,'2.CC Trans-BB.RE collateral'!$A$10,Input!$K:$K,{"NBF1";"NBF2"},Input!$H:$H,"1-REAL",Input!$D:$D,'2.CC Trans-BB.RE collateral'!O$7&amp;"*",Input!$F:$F,'2.CC Trans-BB.RE collateral'!$D$2)) / SUM(SUMIFS(Input!$G:$G,Input!$C:$C,'2.CC Trans-BB.RE collateral'!$A$10,Input!$K:$K,{"NBF1";"NBF2"},Input!$H:$H,"1-REAL",Input!$D:$D,'2.CC Trans-BB.RE collateral'!O$7&amp;"*",Input!$F:$F,'2.CC Trans-BB.RE collateral'!$D$2))</f>
        <v>0</v>
      </c>
      <c r="P26" s="103">
        <f>SUM(SUMIFS(Input!$O:$O,Input!$C:$C,'2.CC Trans-BB.RE collateral'!$A$10,Input!$K:$K,{"NBF1";"NBF2"},Input!$H:$H,"1-REAL",Input!$D:$D,'2.CC Trans-BB.RE collateral'!P$7&amp;"*",Input!$F:$F,'2.CC Trans-BB.RE collateral'!$D$2)) / SUM(SUMIFS(Input!$G:$G,Input!$C:$C,'2.CC Trans-BB.RE collateral'!$A$10,Input!$K:$K,{"NBF1";"NBF2"},Input!$H:$H,"1-REAL",Input!$D:$D,'2.CC Trans-BB.RE collateral'!P$7&amp;"*",Input!$F:$F,'2.CC Trans-BB.RE collateral'!$D$2))</f>
        <v>0</v>
      </c>
      <c r="Q26" s="103">
        <f>SUM(SUMIFS(Input!$O:$O,Input!$C:$C,'2.CC Trans-BB.RE collateral'!$A$10,Input!$K:$K,{"NBF1";"NBF2"},Input!$H:$H,"1-REAL",Input!$D:$D,'2.CC Trans-BB.RE collateral'!Q$7&amp;"*",Input!$F:$F,'2.CC Trans-BB.RE collateral'!$D$2)) / SUM(SUMIFS(Input!$G:$G,Input!$C:$C,'2.CC Trans-BB.RE collateral'!$A$10,Input!$K:$K,{"NBF1";"NBF2"},Input!$H:$H,"1-REAL",Input!$D:$D,'2.CC Trans-BB.RE collateral'!Q$7&amp;"*",Input!$F:$F,'2.CC Trans-BB.RE collateral'!$D$2))</f>
        <v>0</v>
      </c>
      <c r="R26" s="103">
        <f>SUM(SUMIFS(Input!$O:$O,Input!$C:$C,'2.CC Trans-BB.RE collateral'!$A$10,Input!$K:$K,{"NBF1";"NBF2"},Input!$H:$H,"1-REAL",Input!$D:$D,'2.CC Trans-BB.RE collateral'!R$7&amp;"*",Input!$F:$F,'2.CC Trans-BB.RE collateral'!$D$2)) / SUM(SUMIFS(Input!$G:$G,Input!$C:$C,'2.CC Trans-BB.RE collateral'!$A$10,Input!$K:$K,{"NBF1";"NBF2"},Input!$H:$H,"1-REAL",Input!$D:$D,'2.CC Trans-BB.RE collateral'!R$7&amp;"*",Input!$F:$F,'2.CC Trans-BB.RE collateral'!$D$2))</f>
        <v>0</v>
      </c>
      <c r="S26" s="103">
        <f>IFERROR(SUM(SUMIFS(Input!$O:$O,Input!$C:$C,'2.CC Trans-BB.RE collateral'!$A$10,Input!$K:$K,{"NBF1";"NBF2"},Input!$H:$H,"1-REAL",Input!$D:$D,'2.CC Trans-BB.RE collateral'!S$7&amp;"*",Input!$F:$F,'2.CC Trans-BB.RE collateral'!$D$2)) / SUM(SUMIFS(Input!$G:$G,Input!$C:$C,'2.CC Trans-BB.RE collateral'!$A$10,Input!$K:$K,{"NBF1";"NBF2"},Input!$H:$H,"1-REAL",Input!$D:$D,'2.CC Trans-BB.RE collateral'!S$7&amp;"*",Input!$F:$F,'2.CC Trans-BB.RE collateral'!$D$2)),0)</f>
        <v>0</v>
      </c>
      <c r="T26" s="103">
        <f>SUM(SUMIFS(Input!$O:$O,Input!$C:$C,'2.CC Trans-BB.RE collateral'!$A$10,Input!$K:$K,{"NBF1";"NBF2"},Input!$H:$H,"&lt;&gt;"&amp;S$1,Input!$H:$H,"&lt;&gt;"&amp;S$2,Input!$F:$F,'2.CC Trans-BB.RE collateral'!$D$2)) / SUM(SUMIFS(Input!$G:$G,Input!$C:$C,'2.CC Trans-BB.RE collateral'!$A$10,Input!$K:$K,{"NBF1";"NBF2"},Input!$H:$H,"&lt;&gt;"&amp;S$1,Input!$H:$H,"&lt;&gt;"&amp;S$2,Input!$F:$F,'2.CC Trans-BB.RE collateral'!$D$2))</f>
        <v>0</v>
      </c>
      <c r="U26" s="77"/>
      <c r="V26" s="64"/>
    </row>
    <row r="27" spans="2:22" s="59" customFormat="1" ht="13" x14ac:dyDescent="0.3">
      <c r="B27" s="62">
        <v>18</v>
      </c>
      <c r="C27" s="79" t="s">
        <v>35</v>
      </c>
      <c r="D27" s="107"/>
      <c r="E27" s="107"/>
      <c r="F27" s="107"/>
      <c r="G27" s="107"/>
      <c r="H27" s="107"/>
      <c r="I27" s="107"/>
      <c r="J27" s="107"/>
      <c r="K27" s="98">
        <f>+SUM(K28:K30)</f>
        <v>39616431</v>
      </c>
      <c r="L27" s="99">
        <f>(SUM(SUMIFS(Input!$G:$G,Input!$C:$C,{"Garantia Comercial";"Garantia Residencial";"Stock"},Input!$R:$R,"&lt;&gt;"&amp;$S$1,Input!$R:$R,"&lt;&gt;"&amp;"",Input!$R:$R,"&lt;&gt;"&amp;$U$1,Input!$R:$R,"&lt;&gt;"&amp;$S$3,Input!$F:$F,'2.CC Trans-BB.RE collateral'!$D$3)))/$K27</f>
        <v>0.91427897682151127</v>
      </c>
      <c r="M27" s="107"/>
      <c r="N27" s="107"/>
      <c r="O27" s="107"/>
      <c r="P27" s="107"/>
      <c r="Q27" s="107"/>
      <c r="R27" s="107"/>
      <c r="S27" s="107"/>
      <c r="T27" s="107"/>
      <c r="U27" s="99">
        <f>(SUM(SUMIFS(Input!$G:$G,Input!$C:$C,{"Garantia Comercial";"Garantia Residencial";"Stock"},Input!$H:$H,"&lt;&gt;"&amp;"",Input!$H:$H,"&lt;&gt;"&amp;$S$1,Input!$H:$H,"&lt;&gt;"&amp;$S$2,Input!$H:$H,"&lt;&gt;"&amp;$U$1,Input!$H:$H,"&lt;&gt;"&amp;$S$3,Input!$F:$F,'2.CC Trans-BB.RE collateral'!$D$3)))/(SUM(SUMIFS(Input!$G:$G,Input!$C:$C,{"Garantia Comercial";"Garantia Residencial";"Stock"},Input!$H:$H,"&lt;&gt;"&amp;$S$1,Input!$H:$H,"&lt;&gt;"&amp;$S$2,Input!$F:$F,'2.CC Trans-BB.RE collateral'!$D$3)))</f>
        <v>0.87007310881892341</v>
      </c>
    </row>
    <row r="28" spans="2:22" ht="14.5" x14ac:dyDescent="0.35">
      <c r="B28" s="62">
        <v>19</v>
      </c>
      <c r="C28" s="80" t="s">
        <v>31</v>
      </c>
      <c r="D28" s="107"/>
      <c r="E28" s="107"/>
      <c r="F28" s="107"/>
      <c r="G28" s="107"/>
      <c r="H28" s="107"/>
      <c r="I28" s="107"/>
      <c r="J28" s="107"/>
      <c r="K28" s="98">
        <f>ROUND(SUMIFS(Input!$G:$G,Input!$C:$C,'2.CC Trans-BB.RE collateral'!$A$9,Input!$F:$F,'2.CC Trans-BB.RE collateral'!$D$3,Input!$R:$R,"&lt;&gt;"&amp;$S$1),0)</f>
        <v>0</v>
      </c>
      <c r="L28" s="99">
        <f>IFERROR((SUMIFS(Input!$G:$G,Input!$C:$C,$A$9,Input!$F:$F,'2.CC Trans-BB.RE collateral'!$D$3,Input!$R:$R,"&lt;&gt;"&amp;$S$1,Input!$R:$R,"&lt;&gt;"&amp;"",Input!$R:$R,"&lt;&gt;"&amp;$U$1,Input!$R:$R,"&lt;&gt;"&amp;$S$3))/$K28,0)</f>
        <v>0</v>
      </c>
      <c r="M28" s="107"/>
      <c r="N28" s="107"/>
      <c r="O28" s="107"/>
      <c r="P28" s="107"/>
      <c r="Q28" s="107"/>
      <c r="R28" s="107"/>
      <c r="S28" s="107"/>
      <c r="T28" s="107"/>
      <c r="U28" s="99">
        <f>IFERROR((SUMIFS(Input!$G:$G,Input!$C:$C,$A9,Input!$H:$H,"&lt;&gt;"&amp;$S$1,Input!$H:$H,"&lt;&gt;"&amp;$S$2,Input!$H:$H,"&lt;&gt;"&amp;"",Input!$H:$H,"&lt;&gt;"&amp;$U$1,Input!$H:$H,"&lt;&gt;"&amp;$S$3,Input!$F:$F,'2.CC Trans-BB.RE collateral'!$D$3))/(SUMIFS(Input!$G:$G,Input!$C:$C,'2.CC Trans-BB.RE collateral'!$A9,Input!$H:$H,"&lt;&gt;"&amp;$S$1,Input!$H:$H,"&lt;&gt;"&amp;$S$2,Input!$F:$F,'2.CC Trans-BB.RE collateral'!$D$3)),0)</f>
        <v>0</v>
      </c>
    </row>
    <row r="29" spans="2:22" ht="14.5" x14ac:dyDescent="0.35">
      <c r="B29" s="62">
        <v>20</v>
      </c>
      <c r="C29" s="80" t="s">
        <v>32</v>
      </c>
      <c r="D29" s="107"/>
      <c r="E29" s="107"/>
      <c r="F29" s="107"/>
      <c r="G29" s="107"/>
      <c r="H29" s="107"/>
      <c r="I29" s="107"/>
      <c r="J29" s="107"/>
      <c r="K29" s="98">
        <f>ROUND(SUMIFS(Input!$G:$G,Input!$C:$C,'2.CC Trans-BB.RE collateral'!$A$10,Input!$F:$F,'2.CC Trans-BB.RE collateral'!$D$3,Input!$R:$R,"&lt;&gt;"&amp;$S$1),0)</f>
        <v>39616431</v>
      </c>
      <c r="L29" s="99">
        <f>(SUMIFS(Input!$G:$G,Input!$C:$C,$A$10,Input!$F:$F,'2.CC Trans-BB.RE collateral'!$D$3,Input!$R:$R,"&lt;&gt;"&amp;$S$1,Input!$R:$R,"&lt;&gt;"&amp;"",Input!$R:$R,"&lt;&gt;"&amp;$U$1,Input!$R:$R,"&lt;&gt;"&amp;$S$3))/$K29</f>
        <v>0.91427897682151127</v>
      </c>
      <c r="M29" s="107"/>
      <c r="N29" s="107"/>
      <c r="O29" s="107"/>
      <c r="P29" s="107"/>
      <c r="Q29" s="107"/>
      <c r="R29" s="107"/>
      <c r="S29" s="107"/>
      <c r="T29" s="107"/>
      <c r="U29" s="99">
        <f>IFERROR((SUMIFS(Input!$G:$G,Input!$C:$C,$A10,Input!$H:$H,"&lt;&gt;"&amp;$S$1,Input!$H:$H,"&lt;&gt;"&amp;$S$2,Input!$H:$H,"&lt;&gt;"&amp;"",Input!$H:$H,"&lt;&gt;"&amp;$U$1,Input!$H:$H,"&lt;&gt;"&amp;$S$3,Input!$F:$F,'2.CC Trans-BB.RE collateral'!$D$3))/(SUMIFS(Input!$G:$G,Input!$C:$C,'2.CC Trans-BB.RE collateral'!$A10,Input!$H:$H,"&lt;&gt;"&amp;$S$1,Input!$H:$H,"&lt;&gt;"&amp;$S$2,Input!$F:$F,'2.CC Trans-BB.RE collateral'!$D$3)),0)</f>
        <v>0.87007310881892341</v>
      </c>
    </row>
    <row r="30" spans="2:22" s="59" customFormat="1" ht="13" x14ac:dyDescent="0.3">
      <c r="B30" s="62">
        <v>21</v>
      </c>
      <c r="C30" s="80" t="s">
        <v>33</v>
      </c>
      <c r="D30" s="107"/>
      <c r="E30" s="107"/>
      <c r="F30" s="107"/>
      <c r="G30" s="107"/>
      <c r="H30" s="107"/>
      <c r="I30" s="107"/>
      <c r="J30" s="107"/>
      <c r="K30" s="98">
        <f>ROUND(SUMIFS(Input!$G:$G,Input!$C:$C,'2.CC Trans-BB.RE collateral'!$A$11,Input!$F:$F,'2.CC Trans-BB.RE collateral'!$D$3),0)</f>
        <v>0</v>
      </c>
      <c r="L30" s="99">
        <f>IFERROR((SUMIFS(Input!$G:$G,Input!$C:$C,$A$11,Input!$F:$F,'2.CC Trans-BB.RE collateral'!$D$3,Input!$R:$R,"&lt;&gt;"&amp;$S$1,Input!$R:$R,"&lt;&gt;"&amp;"",Input!$R:$R,"&lt;&gt;"&amp;$U$1,Input!$R:$R,"&lt;&gt;"&amp;$S$3))/$K30,0)</f>
        <v>0</v>
      </c>
      <c r="M30" s="107"/>
      <c r="N30" s="107"/>
      <c r="O30" s="107"/>
      <c r="P30" s="107"/>
      <c r="Q30" s="107"/>
      <c r="R30" s="107"/>
      <c r="S30" s="107"/>
      <c r="T30" s="107"/>
      <c r="U30" s="99">
        <f>IFERROR((SUMIFS(Input!$G:$G,Input!$C:$C,$A$11,Input!$H:$H,"&lt;&gt;"&amp;$S$1,Input!$H:$H,"&lt;&gt;"&amp;$S$2,Input!$H:$H,"&lt;&gt;"&amp;"",Input!$H:$H,"&lt;&gt;"&amp;$U$1,Input!$H:$H,"&lt;&gt;"&amp;$S$3,Input!$F:$F,'2.CC Trans-BB.RE collateral'!$D$3))/(SUMIFS(Input!$G:$G,Input!$C:$C,'2.CC Trans-BB.RE collateral'!$A11,Input!$H:$H,"&lt;&gt;"&amp;$S$1,Input!$H:$H,"&lt;&gt;"&amp;$S$2,Input!$F:$F,'2.CC Trans-BB.RE collateral'!$D$3)),0)</f>
        <v>0</v>
      </c>
      <c r="V30" s="64"/>
    </row>
    <row r="31" spans="2:22" s="59" customFormat="1" ht="13" x14ac:dyDescent="0.3">
      <c r="B31" s="62">
        <v>22</v>
      </c>
      <c r="C31" s="82" t="s">
        <v>138</v>
      </c>
      <c r="D31" s="107"/>
      <c r="E31" s="107"/>
      <c r="F31" s="107"/>
      <c r="G31" s="107"/>
      <c r="H31" s="107"/>
      <c r="I31" s="107"/>
      <c r="J31" s="107"/>
      <c r="K31" s="100">
        <f>ROUND(SUM(SUMIFS(Input!$G:$G,Input!$C:$C,{"Garantia Comercial";"Garantia Residencial";"Stock"},Input!$E:$E,"&lt;&gt;"&amp;$A$12,Input!$R:$R,"&lt;&gt;"&amp;$S$1,Input!$F:$F,'2.CC Trans-BB.RE collateral'!$D$3)),0)</f>
        <v>36220470</v>
      </c>
      <c r="L31" s="101">
        <f>SUM(SUMIFS(Input!$G:$G,Input!$C:$C,{"Garantia Comercial";"Garantia Residencial";"Stock"},Input!$R:$R,"&lt;&gt;"&amp;$S$1,Input!$R:$R,"&lt;&gt;"&amp;"",Input!$R:$R,"&lt;&gt;"&amp;$U$1,Input!$R:$R,"&lt;&gt;"&amp;$S$3,Input!$F:$F,'2.CC Trans-BB.RE collateral'!$D$3))/$K31</f>
        <v>1</v>
      </c>
      <c r="M31" s="102">
        <f>ROUND(SUM(SUMIFS(Input!$G:$G,Input!$C:$C,{"Garantia Comercial";"Garantia Residencial";"Stock"},Input!$H:$H,"&lt;&gt;"&amp;$S$2,Input!$H:$H,"&lt;&gt;"&amp;"",Input!$H:$H,"&lt;&gt;"&amp;$S$1,Input!$D:$D,'2.CC Trans-BB.RE collateral'!M$7&amp;"*",Input!$D:$D,"&lt;&gt;"&amp;'2.CC Trans-BB.RE collateral'!$T$1,Input!$F:$F,'2.CC Trans-BB.RE collateral'!$D$3)),0)</f>
        <v>3105800</v>
      </c>
      <c r="N31" s="102">
        <f>ROUND(SUM(SUMIFS(Input!$G:$G,Input!$C:$C,{"Garantia Comercial";"Garantia Residencial";"Stock"},Input!$H:$H,"&lt;&gt;"&amp;$S$2,Input!$H:$H,"&lt;&gt;"&amp;"",Input!$H:$H,"&lt;&gt;"&amp;$S$1,Input!$D:$D,'2.CC Trans-BB.RE collateral'!N$7&amp;"*",Input!$D:$D,"&lt;&gt;"&amp;'2.CC Trans-BB.RE collateral'!$T$1,Input!$F:$F,'2.CC Trans-BB.RE collateral'!$D$3)),0)</f>
        <v>1644331</v>
      </c>
      <c r="O31" s="102">
        <f>ROUND(SUM(SUMIFS(Input!$G:$G,Input!$C:$C,{"Garantia Comercial";"Garantia Residencial";"Stock"},Input!$H:$H,"&lt;&gt;"&amp;$S$2,Input!$H:$H,"&lt;&gt;"&amp;"",Input!$H:$H,"&lt;&gt;"&amp;$S$1,Input!$D:$D,'2.CC Trans-BB.RE collateral'!O$7&amp;"*",Input!$D:$D,"&lt;&gt;"&amp;'2.CC Trans-BB.RE collateral'!$T$1,Input!$F:$F,'2.CC Trans-BB.RE collateral'!$D$3)),0)</f>
        <v>6308716</v>
      </c>
      <c r="P31" s="102">
        <f>ROUND(SUM(SUMIFS(Input!$G:$G,Input!$C:$C,{"Garantia Comercial";"Garantia Residencial";"Stock"},Input!$H:$H,"&lt;&gt;"&amp;$S$2,Input!$H:$H,"&lt;&gt;"&amp;"",Input!$H:$H,"&lt;&gt;"&amp;$S$1,Input!$D:$D,'2.CC Trans-BB.RE collateral'!P$7&amp;"*",Input!$D:$D,"&lt;&gt;"&amp;'2.CC Trans-BB.RE collateral'!$T$1,Input!$F:$F,'2.CC Trans-BB.RE collateral'!$D$3)),0)</f>
        <v>5603819</v>
      </c>
      <c r="Q31" s="102">
        <f>ROUND(SUM(SUMIFS(Input!$G:$G,Input!$C:$C,{"Garantia Comercial";"Garantia Residencial";"Stock"},Input!$H:$H,"&lt;&gt;"&amp;$S$2,Input!$H:$H,"&lt;&gt;"&amp;"",Input!$H:$H,"&lt;&gt;"&amp;$S$1,Input!$D:$D,'2.CC Trans-BB.RE collateral'!Q$7&amp;"*",Input!$D:$D,"&lt;&gt;"&amp;'2.CC Trans-BB.RE collateral'!$T$1,Input!$F:$F,'2.CC Trans-BB.RE collateral'!$D$3)),0)</f>
        <v>4721231</v>
      </c>
      <c r="R31" s="102">
        <f>ROUND(SUM(SUMIFS(Input!$G:$G,Input!$C:$C,{"Garantia Comercial";"Garantia Residencial";"Stock"},Input!$H:$H,"&lt;&gt;"&amp;$S$2,Input!$H:$H,"&lt;&gt;"&amp;"",Input!$H:$H,"&lt;&gt;"&amp;$S$1,Input!$D:$D,'2.CC Trans-BB.RE collateral'!R$7&amp;"*",Input!$D:$D,"&lt;&gt;"&amp;'2.CC Trans-BB.RE collateral'!$T$1,Input!$F:$F,'2.CC Trans-BB.RE collateral'!$D$3)),0)</f>
        <v>1357618</v>
      </c>
      <c r="S31" s="102">
        <f>ROUND(SUM(SUMIFS(Input!$G:$G,Input!$C:$C,{"Garantia Comercial";"Garantia Residencial";"Stock"},Input!$H:$H,"&lt;&gt;"&amp;$S$2,Input!$H:$H,"&lt;&gt;"&amp;"",Input!$H:$H,"&lt;&gt;"&amp;$S$1,Input!$D:$D,'2.CC Trans-BB.RE collateral'!S$7&amp;"*",Input!$D:$D,"&lt;&gt;"&amp;'2.CC Trans-BB.RE collateral'!$T$1,Input!$F:$F,'2.CC Trans-BB.RE collateral'!$D$3)),0)</f>
        <v>0</v>
      </c>
      <c r="T31" s="107"/>
      <c r="U31" s="101">
        <f>(SUM(SUMIFS(Input!$G:$G,Input!$C:$C,{"Garantia Comercial";"Garantia Residencial";"Stock"},Input!$H:$H,"&lt;&gt;"&amp;S$1,Input!$H:$H,"&lt;&gt;"&amp;"",Input!$H:$H,"&lt;&gt;"&amp;U$1,Input!$H:$H,"&lt;&gt;"&amp;$S$2,Input!$H:$H,"&lt;&gt;"&amp;$S$3,Input!$F:$F,'2.CC Trans-BB.RE collateral'!$D$3)))/(SUM(SUMIFS(Input!$G:$G,Input!$C:$C,{"Garantia Comercial";"Garantia Residencial";"Stock"},Input!$H:$H,"&lt;&gt;"&amp;$S$2,Input!$H:$H,"&lt;&gt;"&amp;$S$1,Input!$E:$E,"&lt;&gt;"&amp;$A$12,Input!$F:$F,'2.CC Trans-BB.RE collateral'!$D$3)))</f>
        <v>1</v>
      </c>
      <c r="V31" s="64"/>
    </row>
    <row r="32" spans="2:22" s="59" customFormat="1" ht="13" x14ac:dyDescent="0.3">
      <c r="B32" s="62"/>
      <c r="C32" s="128" t="s">
        <v>139</v>
      </c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30"/>
      <c r="V32" s="64"/>
    </row>
    <row r="33" spans="2:22" s="59" customFormat="1" ht="13" x14ac:dyDescent="0.3">
      <c r="B33" s="62">
        <v>23</v>
      </c>
      <c r="C33" s="76" t="s">
        <v>140</v>
      </c>
      <c r="D33" s="103">
        <f>IFERROR(SUMIFS(Input!$P:$P,Input!$C:$C,'2.CC Trans-BB.RE collateral'!$A$9,Input!$F:$F,'2.CC Trans-BB.RE collateral'!$D$3) / SUMIFS(Input!$G:$G,Input!$C:$C,'2.CC Trans-BB.RE collateral'!$A$9,Input!$F:$F,'2.CC Trans-BB.RE collateral'!$D$3),0)</f>
        <v>0</v>
      </c>
      <c r="E33" s="103">
        <f>IFERROR(SUMIFS(Input!$P:$P,Input!$C:$C,'2.CC Trans-BB.RE collateral'!$A$9,Input!$E:$E,'2.CC Trans-BB.RE collateral'!E$3,Input!$F:$F,'2.CC Trans-BB.RE collateral'!$D$3) / SUMIFS(Input!$G:$G,Input!$C:$C,'2.CC Trans-BB.RE collateral'!$A$9,Input!$E:$E,'2.CC Trans-BB.RE collateral'!E$3,Input!$F:$F,'2.CC Trans-BB.RE collateral'!$D$3),0)</f>
        <v>0</v>
      </c>
      <c r="F33" s="103">
        <f>IFERROR(SUMIFS(Input!$P:$P,Input!$C:$C,'2.CC Trans-BB.RE collateral'!$A$9,Input!$E:$E,'2.CC Trans-BB.RE collateral'!F$3,Input!$F:$F,'2.CC Trans-BB.RE collateral'!$D$3) / SUMIFS(Input!$G:$G,Input!$C:$C,'2.CC Trans-BB.RE collateral'!$A$9,Input!$E:$E,'2.CC Trans-BB.RE collateral'!F$3,Input!$F:$F,'2.CC Trans-BB.RE collateral'!$D$3),0)</f>
        <v>0</v>
      </c>
      <c r="G33" s="103">
        <f>IFERROR(SUMIFS(Input!$P:$P,Input!$C:$C,'2.CC Trans-BB.RE collateral'!$A$9,Input!$E:$E,'2.CC Trans-BB.RE collateral'!G$3,Input!$F:$F,'2.CC Trans-BB.RE collateral'!$D$3) / SUMIFS(Input!$G:$G,Input!$C:$C,'2.CC Trans-BB.RE collateral'!$A$9,Input!$E:$E,'2.CC Trans-BB.RE collateral'!G$3,Input!$F:$F,'2.CC Trans-BB.RE collateral'!$D$3),0)</f>
        <v>0</v>
      </c>
      <c r="H33" s="103">
        <f>IFERROR(SUMIFS(Input!$P:$P,Input!$C:$C,'2.CC Trans-BB.RE collateral'!$A$9,Input!$E:$E,'2.CC Trans-BB.RE collateral'!H$3,Input!$F:$F,'2.CC Trans-BB.RE collateral'!$D$3) / SUMIFS(Input!$G:$G,Input!$C:$C,'2.CC Trans-BB.RE collateral'!$A$9,Input!$E:$E,'2.CC Trans-BB.RE collateral'!H$3,Input!$F:$F,'2.CC Trans-BB.RE collateral'!$D$3),0)</f>
        <v>0</v>
      </c>
      <c r="I33" s="103">
        <f>IFERROR(SUMIFS(Input!$P:$P,Input!$C:$C,'2.CC Trans-BB.RE collateral'!$A$9,Input!$E:$E,'2.CC Trans-BB.RE collateral'!I$3,Input!$F:$F,'2.CC Trans-BB.RE collateral'!$D$3) / SUMIFS(Input!$G:$G,Input!$C:$C,'2.CC Trans-BB.RE collateral'!$A$9,Input!$E:$E,'2.CC Trans-BB.RE collateral'!I$3,Input!$F:$F,'2.CC Trans-BB.RE collateral'!$D$3),0)</f>
        <v>0</v>
      </c>
      <c r="J33" s="103">
        <f>IFERROR(SUMIFS(Input!$P:$P,Input!$C:$C,'2.CC Trans-BB.RE collateral'!$A$9,Input!$E:$E,'2.CC Trans-BB.RE collateral'!J$3,Input!$F:$F,'2.CC Trans-BB.RE collateral'!$D$3) / SUMIFS(Input!$G:$G,Input!$C:$C,'2.CC Trans-BB.RE collateral'!$A$9,Input!$E:$E,'2.CC Trans-BB.RE collateral'!J$3,Input!$F:$F,'2.CC Trans-BB.RE collateral'!$D$3),0)</f>
        <v>0</v>
      </c>
      <c r="K33" s="103">
        <f>IFERROR(SUMIFS(Input!$P:$P,Input!$C:$C,'2.CC Trans-BB.RE collateral'!$A$9,Input!$R:$R,"&lt;&gt;"&amp;$S$1,Input!$F:$F,'2.CC Trans-BB.RE collateral'!$D$3) / SUMIFS(Input!$G:$G,Input!$C:$C,'2.CC Trans-BB.RE collateral'!$A$9,Input!$R:$R,"&lt;&gt;"&amp;$S$1,Input!$F:$F,'2.CC Trans-BB.RE collateral'!$D$3),0)</f>
        <v>0</v>
      </c>
      <c r="L33" s="77"/>
      <c r="M33" s="103">
        <f>IFERROR(SUM(SUMIFS(Input!$P:$P,Input!$C:$C,'2.CC Trans-BB.RE collateral'!$A$9,Input!$D:$D,'2.CC Trans-BB.RE collateral'!M$7&amp;"*",Input!$H:$H,{"1-REAL";"SANTANDER"},Input!$F:$F,'2.CC Trans-BB.RE collateral'!$D$3)) / SUM(SUMIFS(Input!$G:$G,Input!$C:$C,'2.CC Trans-BB.RE collateral'!$A$9,Input!$D:$D,'2.CC Trans-BB.RE collateral'!M$7&amp;"*",Input!$H:$H,{"1-REAL";"SANTANDER"},Input!$F:$F,'2.CC Trans-BB.RE collateral'!$D$3)),0)</f>
        <v>0</v>
      </c>
      <c r="N33" s="103">
        <f>IFERROR(SUM(SUMIFS(Input!$P:$P,Input!$C:$C,'2.CC Trans-BB.RE collateral'!$A$9,Input!$D:$D,'2.CC Trans-BB.RE collateral'!N$7&amp;"*",Input!$H:$H,{"1-REAL";"SANTANDER"},Input!$F:$F,'2.CC Trans-BB.RE collateral'!$D$3)) / SUM(SUMIFS(Input!$G:$G,Input!$C:$C,'2.CC Trans-BB.RE collateral'!$A$9,Input!$D:$D,'2.CC Trans-BB.RE collateral'!N$7&amp;"*",Input!$H:$H,{"1-REAL";"SANTANDER"},Input!$F:$F,'2.CC Trans-BB.RE collateral'!$D$3)),0)</f>
        <v>0</v>
      </c>
      <c r="O33" s="103">
        <f>IFERROR(SUM(SUMIFS(Input!$P:$P,Input!$C:$C,'2.CC Trans-BB.RE collateral'!$A$9,Input!$D:$D,'2.CC Trans-BB.RE collateral'!O$7&amp;"*",Input!$H:$H,{"1-REAL";"SANTANDER"},Input!$F:$F,'2.CC Trans-BB.RE collateral'!$D$3)) / SUM(SUMIFS(Input!$G:$G,Input!$C:$C,'2.CC Trans-BB.RE collateral'!$A$9,Input!$D:$D,'2.CC Trans-BB.RE collateral'!O$7&amp;"*",Input!$H:$H,{"1-REAL";"SANTANDER"},Input!$F:$F,'2.CC Trans-BB.RE collateral'!$D$3)),0)</f>
        <v>0</v>
      </c>
      <c r="P33" s="103">
        <f>IFERROR(SUM(SUMIFS(Input!$P:$P,Input!$C:$C,'2.CC Trans-BB.RE collateral'!$A$9,Input!$D:$D,'2.CC Trans-BB.RE collateral'!P$7&amp;"*",Input!$H:$H,{"1-REAL";"SANTANDER"},Input!$F:$F,'2.CC Trans-BB.RE collateral'!$D$3)) / SUM(SUMIFS(Input!$G:$G,Input!$C:$C,'2.CC Trans-BB.RE collateral'!$A$9,Input!$D:$D,'2.CC Trans-BB.RE collateral'!P$7&amp;"*",Input!$H:$H,{"1-REAL";"SANTANDER"},Input!$F:$F,'2.CC Trans-BB.RE collateral'!$D$3)),0)</f>
        <v>0</v>
      </c>
      <c r="Q33" s="103">
        <f>IFERROR(SUM(SUMIFS(Input!$P:$P,Input!$C:$C,'2.CC Trans-BB.RE collateral'!$A$9,Input!$D:$D,'2.CC Trans-BB.RE collateral'!Q$7&amp;"*",Input!$H:$H,{"1-REAL";"SANTANDER"},Input!$F:$F,'2.CC Trans-BB.RE collateral'!$D$3)) / SUM(SUMIFS(Input!$G:$G,Input!$C:$C,'2.CC Trans-BB.RE collateral'!$A$9,Input!$D:$D,'2.CC Trans-BB.RE collateral'!Q$7&amp;"*",Input!$H:$H,{"1-REAL";"SANTANDER"},Input!$F:$F,'2.CC Trans-BB.RE collateral'!$D$3)),0)</f>
        <v>0</v>
      </c>
      <c r="R33" s="103">
        <f>IFERROR(SUM(SUMIFS(Input!$P:$P,Input!$C:$C,'2.CC Trans-BB.RE collateral'!$A$9,Input!$D:$D,'2.CC Trans-BB.RE collateral'!R$7&amp;"*",Input!$H:$H,{"1-REAL";"SANTANDER"},Input!$F:$F,'2.CC Trans-BB.RE collateral'!$D$3)) / SUM(SUMIFS(Input!$G:$G,Input!$C:$C,'2.CC Trans-BB.RE collateral'!$A$9,Input!$D:$D,'2.CC Trans-BB.RE collateral'!R$7&amp;"*",Input!$H:$H,{"1-REAL";"SANTANDER"},Input!$F:$F,'2.CC Trans-BB.RE collateral'!$D$3)),0)</f>
        <v>0</v>
      </c>
      <c r="S33" s="103">
        <f>IFERROR(SUM(SUMIFS(Input!$P:$P,Input!$C:$C,'2.CC Trans-BB.RE collateral'!$A$9,Input!$D:$D,'2.CC Trans-BB.RE collateral'!S$7&amp;"*",Input!$H:$H,{"1-REAL";"SANTANDER"},Input!$F:$F,'2.CC Trans-BB.RE collateral'!$D$3)) / SUM(SUMIFS(Input!$G:$G,Input!$C:$C,'2.CC Trans-BB.RE collateral'!$A$9,Input!$D:$D,'2.CC Trans-BB.RE collateral'!S$7&amp;"*",Input!$H:$H,{"1-REAL";"SANTANDER"},Input!$F:$F,'2.CC Trans-BB.RE collateral'!$D$3)),0)</f>
        <v>0</v>
      </c>
      <c r="T33" s="103">
        <f>IFERROR(SUMIFS(Input!$P:$P,Input!$C:$C,'2.CC Trans-BB.RE collateral'!$A$9,Input!$H:$H,"&lt;&gt;"&amp;S$1,Input!$H:$H,"&lt;&gt;"&amp;S$2,Input!$F:$F,'2.CC Trans-BB.RE collateral'!$D$3) / SUMIFS(Input!$G:$G,Input!$C:$C,'2.CC Trans-BB.RE collateral'!$A$9,Input!$H:$H,"&lt;&gt;"&amp;S$1,Input!$H:$H,"&lt;&gt;"&amp;S$2,Input!$F:$F,'2.CC Trans-BB.RE collateral'!$D$3),0)</f>
        <v>0</v>
      </c>
      <c r="U33" s="77"/>
      <c r="V33" s="64"/>
    </row>
    <row r="34" spans="2:22" s="59" customFormat="1" ht="13" x14ac:dyDescent="0.3">
      <c r="B34" s="62">
        <v>24</v>
      </c>
      <c r="C34" s="76" t="s">
        <v>141</v>
      </c>
      <c r="D34" s="104">
        <f>ROUND(SUMIFS(Input!$G:$G,Input!$C:$C,'2.CC Trans-BB.RE collateral'!$A$9,Input!$Q:$Q,"LTV4",Input!$F:$F,'2.CC Trans-BB.RE collateral'!$D$3),0)</f>
        <v>0</v>
      </c>
      <c r="E34" s="104">
        <f>ROUND(SUMIFS(Input!$G:$G,Input!$C:$C,'2.CC Trans-BB.RE collateral'!$A$9,Input!$Q:$Q,"LTV4",Input!$E:$E,'2.CC Trans-BB.RE collateral'!E$3,Input!$F:$F,'2.CC Trans-BB.RE collateral'!$D$3),0)</f>
        <v>0</v>
      </c>
      <c r="F34" s="104">
        <f>ROUND(SUMIFS(Input!$G:$G,Input!$C:$C,'2.CC Trans-BB.RE collateral'!$A$9,Input!$Q:$Q,"LTV4",Input!$E:$E,'2.CC Trans-BB.RE collateral'!F$3,Input!$F:$F,'2.CC Trans-BB.RE collateral'!$D$3),0)</f>
        <v>0</v>
      </c>
      <c r="G34" s="104">
        <f>ROUND(SUMIFS(Input!$G:$G,Input!$C:$C,'2.CC Trans-BB.RE collateral'!$A$9,Input!$Q:$Q,"LTV4",Input!$E:$E,'2.CC Trans-BB.RE collateral'!G$3,Input!$F:$F,'2.CC Trans-BB.RE collateral'!$D$3),0)</f>
        <v>0</v>
      </c>
      <c r="H34" s="104">
        <f>ROUND(SUMIFS(Input!$G:$G,Input!$C:$C,'2.CC Trans-BB.RE collateral'!$A$9,Input!$Q:$Q,"LTV4",Input!$E:$E,'2.CC Trans-BB.RE collateral'!H$3,Input!$F:$F,'2.CC Trans-BB.RE collateral'!$D$3),0)</f>
        <v>0</v>
      </c>
      <c r="I34" s="104">
        <f>ROUND(SUMIFS(Input!$G:$G,Input!$C:$C,'2.CC Trans-BB.RE collateral'!$A$9,Input!$Q:$Q,"LTV4",Input!$E:$E,'2.CC Trans-BB.RE collateral'!I$3,Input!$F:$F,'2.CC Trans-BB.RE collateral'!$D$3),0)</f>
        <v>0</v>
      </c>
      <c r="J34" s="104">
        <f>ROUND(SUMIFS(Input!$G:$G,Input!$C:$C,'2.CC Trans-BB.RE collateral'!$A$9,Input!$Q:$Q,"LTV4",Input!$E:$E,'2.CC Trans-BB.RE collateral'!J$3,Input!$F:$F,'2.CC Trans-BB.RE collateral'!$D$3),0)</f>
        <v>0</v>
      </c>
      <c r="K34" s="104">
        <f>ROUND(SUMIFS(Input!$G:$G,Input!$C:$C,'2.CC Trans-BB.RE collateral'!$A$9,Input!$Q:$Q,"LTV4",Input!$R:$R,"&lt;&gt;"&amp;$S$1,Input!$F:$F,'2.CC Trans-BB.RE collateral'!$D$3),0)</f>
        <v>0</v>
      </c>
      <c r="L34" s="77"/>
      <c r="M34" s="104">
        <f>ROUND(SUM(SUMIFS(Input!$G:$G,Input!$C:$C,'2.CC Trans-BB.RE collateral'!$A$9,Input!$Q:$Q,"LTV4",Input!$D:$D,'2.CC Trans-BB.RE collateral'!M$7&amp;"*",Input!$H:$H,{"1-REAL";"SANTANDER"},Input!$F:$F,'2.CC Trans-BB.RE collateral'!$D$3)),0)</f>
        <v>0</v>
      </c>
      <c r="N34" s="104">
        <f>ROUND(SUM(SUMIFS(Input!$G:$G,Input!$C:$C,'2.CC Trans-BB.RE collateral'!$A$9,Input!$Q:$Q,"LTV4",Input!$D:$D,'2.CC Trans-BB.RE collateral'!N$7&amp;"*",Input!$H:$H,{"1-REAL";"SANTANDER"},Input!$F:$F,'2.CC Trans-BB.RE collateral'!$D$3)),0)</f>
        <v>0</v>
      </c>
      <c r="O34" s="104">
        <f>ROUND(SUM(SUMIFS(Input!$G:$G,Input!$C:$C,'2.CC Trans-BB.RE collateral'!$A$9,Input!$Q:$Q,"LTV4",Input!$D:$D,'2.CC Trans-BB.RE collateral'!O$7&amp;"*",Input!$H:$H,{"1-REAL";"SANTANDER"},Input!$F:$F,'2.CC Trans-BB.RE collateral'!$D$3)),0)</f>
        <v>0</v>
      </c>
      <c r="P34" s="104">
        <f>ROUND(SUM(SUMIFS(Input!$G:$G,Input!$C:$C,'2.CC Trans-BB.RE collateral'!$A$9,Input!$Q:$Q,"LTV4",Input!$D:$D,'2.CC Trans-BB.RE collateral'!P$7&amp;"*",Input!$H:$H,{"1-REAL";"SANTANDER"},Input!$F:$F,'2.CC Trans-BB.RE collateral'!$D$3)),0)</f>
        <v>0</v>
      </c>
      <c r="Q34" s="104">
        <f>ROUND(SUM(SUMIFS(Input!$G:$G,Input!$C:$C,'2.CC Trans-BB.RE collateral'!$A$9,Input!$Q:$Q,"LTV4",Input!$D:$D,'2.CC Trans-BB.RE collateral'!Q$7&amp;"*",Input!$H:$H,{"1-REAL";"SANTANDER"},Input!$F:$F,'2.CC Trans-BB.RE collateral'!$D$3)),0)</f>
        <v>0</v>
      </c>
      <c r="R34" s="104">
        <f>ROUND(SUM(SUMIFS(Input!$G:$G,Input!$C:$C,'2.CC Trans-BB.RE collateral'!$A$9,Input!$Q:$Q,"LTV4",Input!$D:$D,'2.CC Trans-BB.RE collateral'!R$7&amp;"*",Input!$H:$H,{"1-REAL";"SANTANDER"},Input!$F:$F,'2.CC Trans-BB.RE collateral'!$D$3)),0)</f>
        <v>0</v>
      </c>
      <c r="S34" s="104">
        <f>ROUND(SUM(SUMIFS(Input!$G:$G,Input!$C:$C,'2.CC Trans-BB.RE collateral'!$A$9,Input!$Q:$Q,"LTV4",Input!$D:$D,'2.CC Trans-BB.RE collateral'!S$7&amp;"*",Input!$H:$H,{"1-REAL";"SANTANDER"},Input!$F:$F,'2.CC Trans-BB.RE collateral'!$D$3)),0)</f>
        <v>0</v>
      </c>
      <c r="T34" s="104">
        <f>ROUND(SUMIFS(Input!$G:$G,Input!$C:$C,'2.CC Trans-BB.RE collateral'!$A$9,Input!$Q:$Q,"LTV4",Input!$H:$H,"&lt;&gt;"&amp;S$1,Input!$H:$H,"&lt;&gt;"&amp;S$2,Input!$F:$F,'2.CC Trans-BB.RE collateral'!$D$3),0)</f>
        <v>0</v>
      </c>
      <c r="U34" s="77"/>
      <c r="V34" s="64"/>
    </row>
    <row r="35" spans="2:22" s="59" customFormat="1" ht="13" x14ac:dyDescent="0.3">
      <c r="B35" s="62">
        <v>25</v>
      </c>
      <c r="C35" s="76" t="s">
        <v>142</v>
      </c>
      <c r="D35" s="104">
        <f>ROUND(SUMIFS(Input!$G:$G,Input!$C:$C,'2.CC Trans-BB.RE collateral'!$A$9,Input!$Q:$Q,"LTV5",Input!$F:$F,'2.CC Trans-BB.RE collateral'!$D$3),0)</f>
        <v>0</v>
      </c>
      <c r="E35" s="104">
        <f>ROUND(SUMIFS(Input!$G:$G,Input!$C:$C,'2.CC Trans-BB.RE collateral'!$A$9,Input!$Q:$Q,"LTV5",Input!$E:$E,'2.CC Trans-BB.RE collateral'!E$3,Input!$F:$F,'2.CC Trans-BB.RE collateral'!$D$3),0)</f>
        <v>0</v>
      </c>
      <c r="F35" s="104">
        <f>ROUND(SUMIFS(Input!$G:$G,Input!$C:$C,'2.CC Trans-BB.RE collateral'!$A$9,Input!$Q:$Q,"LTV5",Input!$E:$E,'2.CC Trans-BB.RE collateral'!F$3,Input!$F:$F,'2.CC Trans-BB.RE collateral'!$D$3),0)</f>
        <v>0</v>
      </c>
      <c r="G35" s="104">
        <f>ROUND(SUMIFS(Input!$G:$G,Input!$C:$C,'2.CC Trans-BB.RE collateral'!$A$9,Input!$Q:$Q,"LTV5",Input!$E:$E,'2.CC Trans-BB.RE collateral'!G$3,Input!$F:$F,'2.CC Trans-BB.RE collateral'!$D$3),0)</f>
        <v>0</v>
      </c>
      <c r="H35" s="104">
        <f>ROUND(SUMIFS(Input!$G:$G,Input!$C:$C,'2.CC Trans-BB.RE collateral'!$A$9,Input!$Q:$Q,"LTV5",Input!$E:$E,'2.CC Trans-BB.RE collateral'!H$3,Input!$F:$F,'2.CC Trans-BB.RE collateral'!$D$3),0)</f>
        <v>0</v>
      </c>
      <c r="I35" s="104">
        <f>ROUND(SUMIFS(Input!$G:$G,Input!$C:$C,'2.CC Trans-BB.RE collateral'!$A$9,Input!$Q:$Q,"LTV5",Input!$E:$E,'2.CC Trans-BB.RE collateral'!I$3,Input!$F:$F,'2.CC Trans-BB.RE collateral'!$D$3),0)</f>
        <v>0</v>
      </c>
      <c r="J35" s="104">
        <f>ROUND(SUMIFS(Input!$G:$G,Input!$C:$C,'2.CC Trans-BB.RE collateral'!$A$9,Input!$Q:$Q,"LTV5",Input!$E:$E,'2.CC Trans-BB.RE collateral'!J$3,Input!$F:$F,'2.CC Trans-BB.RE collateral'!$D$3),0)</f>
        <v>0</v>
      </c>
      <c r="K35" s="104">
        <f>ROUND(SUMIFS(Input!$G:$G,Input!$C:$C,'2.CC Trans-BB.RE collateral'!$A$9,Input!$Q:$Q,"LTV5",Input!$R:$R,"&lt;&gt;"&amp;$S$1,Input!$F:$F,'2.CC Trans-BB.RE collateral'!$D$3),0)</f>
        <v>0</v>
      </c>
      <c r="L35" s="77"/>
      <c r="M35" s="104">
        <f>ROUND(SUM(SUMIFS(Input!$G:$G,Input!$C:$C,'2.CC Trans-BB.RE collateral'!$A$9,Input!$Q:$Q,"LTV5",Input!$D:$D,'2.CC Trans-BB.RE collateral'!M$7&amp;"*",Input!$H:$H,{"1-REAL";"SANTANDER"},Input!$F:$F,'2.CC Trans-BB.RE collateral'!$D$3)),0)</f>
        <v>0</v>
      </c>
      <c r="N35" s="104">
        <f>ROUND(SUM(SUMIFS(Input!$G:$G,Input!$C:$C,'2.CC Trans-BB.RE collateral'!$A$9,Input!$Q:$Q,"LTV5",Input!$D:$D,'2.CC Trans-BB.RE collateral'!N$7&amp;"*",Input!$H:$H,{"1-REAL";"SANTANDER"},Input!$F:$F,'2.CC Trans-BB.RE collateral'!$D$3)),0)</f>
        <v>0</v>
      </c>
      <c r="O35" s="104">
        <f>ROUND(SUM(SUMIFS(Input!$G:$G,Input!$C:$C,'2.CC Trans-BB.RE collateral'!$A$9,Input!$Q:$Q,"LTV5",Input!$D:$D,'2.CC Trans-BB.RE collateral'!O$7&amp;"*",Input!$H:$H,{"1-REAL";"SANTANDER"},Input!$F:$F,'2.CC Trans-BB.RE collateral'!$D$3)),0)</f>
        <v>0</v>
      </c>
      <c r="P35" s="104">
        <f>ROUND(SUM(SUMIFS(Input!$G:$G,Input!$C:$C,'2.CC Trans-BB.RE collateral'!$A$9,Input!$Q:$Q,"LTV5",Input!$D:$D,'2.CC Trans-BB.RE collateral'!P$7&amp;"*",Input!$H:$H,{"1-REAL";"SANTANDER"},Input!$F:$F,'2.CC Trans-BB.RE collateral'!$D$3)),0)</f>
        <v>0</v>
      </c>
      <c r="Q35" s="104">
        <f>ROUND(SUM(SUMIFS(Input!$G:$G,Input!$C:$C,'2.CC Trans-BB.RE collateral'!$A$9,Input!$Q:$Q,"LTV5",Input!$D:$D,'2.CC Trans-BB.RE collateral'!Q$7&amp;"*",Input!$H:$H,{"1-REAL";"SANTANDER"},Input!$F:$F,'2.CC Trans-BB.RE collateral'!$D$3)),0)</f>
        <v>0</v>
      </c>
      <c r="R35" s="104">
        <f>ROUND(SUM(SUMIFS(Input!$G:$G,Input!$C:$C,'2.CC Trans-BB.RE collateral'!$A$9,Input!$Q:$Q,"LTV5",Input!$D:$D,'2.CC Trans-BB.RE collateral'!R$7&amp;"*",Input!$H:$H,{"1-REAL";"SANTANDER"},Input!$F:$F,'2.CC Trans-BB.RE collateral'!$D$3)),0)</f>
        <v>0</v>
      </c>
      <c r="S35" s="104">
        <f>ROUND(SUM(SUMIFS(Input!$G:$G,Input!$C:$C,'2.CC Trans-BB.RE collateral'!$A$9,Input!$Q:$Q,"LTV5",Input!$D:$D,'2.CC Trans-BB.RE collateral'!S$7&amp;"*",Input!$H:$H,{"1-REAL";"SANTANDER"},Input!$F:$F,'2.CC Trans-BB.RE collateral'!$D$3)),0)</f>
        <v>0</v>
      </c>
      <c r="T35" s="104">
        <f>ROUND(SUMIFS(Input!$G:$G,Input!$C:$C,'2.CC Trans-BB.RE collateral'!$A$9,Input!$Q:$Q,"LTV5",Input!$H:$H,"&lt;&gt;"&amp;S$1,Input!$H:$H,"&lt;&gt;"&amp;S$2,Input!$F:$F,'2.CC Trans-BB.RE collateral'!$D$3),0)</f>
        <v>0</v>
      </c>
      <c r="U35" s="77"/>
      <c r="V35" s="64"/>
    </row>
    <row r="36" spans="2:22" s="59" customFormat="1" ht="13" x14ac:dyDescent="0.3">
      <c r="B36" s="62">
        <v>26</v>
      </c>
      <c r="C36" s="76" t="s">
        <v>143</v>
      </c>
      <c r="D36" s="105">
        <f>IFERROR(SUMIFS(Input!$J:$J,Input!$C:$C,'2.CC Trans-BB.RE collateral'!$A$9,Input!$F:$F,'2.CC Trans-BB.RE collateral'!$D$3) / SUMIFS(Input!$G:$G,Input!$C:$C,'2.CC Trans-BB.RE collateral'!$A$9,Input!$F:$F,'2.CC Trans-BB.RE collateral'!$D$3),0)</f>
        <v>0</v>
      </c>
      <c r="E36" s="105">
        <f>IFERROR(SUMIFS(Input!$J:$J,Input!$C:$C,'2.CC Trans-BB.RE collateral'!$A$9,Input!$E:$E,'2.CC Trans-BB.RE collateral'!E$3,Input!$F:$F,'2.CC Trans-BB.RE collateral'!$D$3)  / SUMIFS(Input!$G:$G,Input!$C:$C,'2.CC Trans-BB.RE collateral'!$A$9,Input!$E:$E,'2.CC Trans-BB.RE collateral'!E$3,Input!$F:$F,'2.CC Trans-BB.RE collateral'!$D$3),0)</f>
        <v>0</v>
      </c>
      <c r="F36" s="105">
        <f>IFERROR(SUMIFS(Input!$J:$J,Input!$C:$C,'2.CC Trans-BB.RE collateral'!$A$9,Input!$E:$E,'2.CC Trans-BB.RE collateral'!F$3,Input!$F:$F,'2.CC Trans-BB.RE collateral'!$D$3)  / SUMIFS(Input!$G:$G,Input!$C:$C,'2.CC Trans-BB.RE collateral'!$A$9,Input!$E:$E,'2.CC Trans-BB.RE collateral'!F$3,Input!$F:$F,'2.CC Trans-BB.RE collateral'!$D$3),0)</f>
        <v>0</v>
      </c>
      <c r="G36" s="105">
        <f>IFERROR(SUMIFS(Input!$J:$J,Input!$C:$C,'2.CC Trans-BB.RE collateral'!$A$9,Input!$E:$E,'2.CC Trans-BB.RE collateral'!G$3,Input!$F:$F,'2.CC Trans-BB.RE collateral'!$D$3)  / SUMIFS(Input!$G:$G,Input!$C:$C,'2.CC Trans-BB.RE collateral'!$A$9,Input!$E:$E,'2.CC Trans-BB.RE collateral'!G$3,Input!$F:$F,'2.CC Trans-BB.RE collateral'!$D$3),0)</f>
        <v>0</v>
      </c>
      <c r="H36" s="105">
        <f>IFERROR(SUMIFS(Input!$J:$J,Input!$C:$C,'2.CC Trans-BB.RE collateral'!$A$9,Input!$E:$E,'2.CC Trans-BB.RE collateral'!H$3,Input!$F:$F,'2.CC Trans-BB.RE collateral'!$D$3)  / SUMIFS(Input!$G:$G,Input!$C:$C,'2.CC Trans-BB.RE collateral'!$A$9,Input!$E:$E,'2.CC Trans-BB.RE collateral'!H$3,Input!$F:$F,'2.CC Trans-BB.RE collateral'!$D$3),0)</f>
        <v>0</v>
      </c>
      <c r="I36" s="105">
        <f>IFERROR(SUMIFS(Input!$J:$J,Input!$C:$C,'2.CC Trans-BB.RE collateral'!$A$9,Input!$E:$E,'2.CC Trans-BB.RE collateral'!I$3,Input!$F:$F,'2.CC Trans-BB.RE collateral'!$D$3)  / SUMIFS(Input!$G:$G,Input!$C:$C,'2.CC Trans-BB.RE collateral'!$A$9,Input!$E:$E,'2.CC Trans-BB.RE collateral'!I$3,Input!$F:$F,'2.CC Trans-BB.RE collateral'!$D$3),0)</f>
        <v>0</v>
      </c>
      <c r="J36" s="105">
        <f>IFERROR(SUMIFS(Input!$J:$J,Input!$C:$C,'2.CC Trans-BB.RE collateral'!$A$9,Input!$E:$E,'2.CC Trans-BB.RE collateral'!J$3,Input!$F:$F,'2.CC Trans-BB.RE collateral'!$D$3)  / SUMIFS(Input!$G:$G,Input!$C:$C,'2.CC Trans-BB.RE collateral'!$A$9,Input!$E:$E,'2.CC Trans-BB.RE collateral'!J$3,Input!$F:$F,'2.CC Trans-BB.RE collateral'!$D$3),0)</f>
        <v>0</v>
      </c>
      <c r="K36" s="105">
        <f>IFERROR(SUMIFS(Input!$J:$J,Input!$C:$C,'2.CC Trans-BB.RE collateral'!$A$9,Input!$R:$R,"&lt;&gt;"&amp;$S$1,Input!$F:$F,'2.CC Trans-BB.RE collateral'!$D$3)  / SUMIFS(Input!$G:$G,Input!$C:$C,'2.CC Trans-BB.RE collateral'!$A$9,Input!$R:$R,"&lt;&gt;"&amp;$S$1,Input!$F:$F,'2.CC Trans-BB.RE collateral'!$D$3),0)</f>
        <v>0</v>
      </c>
      <c r="L36" s="77"/>
      <c r="M36" s="105">
        <f>IFERROR(SUM(SUMIFS(Input!$J:$J,Input!$C:$C,'2.CC Trans-BB.RE collateral'!$A$9,Input!$D:$D,'2.CC Trans-BB.RE collateral'!M$7&amp;"*",Input!$H:$H,{"1-REAL";"SANTANDER"},Input!$F:$F,'2.CC Trans-BB.RE collateral'!$D$3))  / SUM(SUMIFS(Input!$G:$G,Input!$C:$C,'2.CC Trans-BB.RE collateral'!$A$9,Input!$D:$D,'2.CC Trans-BB.RE collateral'!M$7&amp;"*",Input!$H:$H,{"1-REAL";"SANTANDER"},Input!$F:$F,'2.CC Trans-BB.RE collateral'!$D$3)),0)</f>
        <v>0</v>
      </c>
      <c r="N36" s="105">
        <f>IFERROR(SUM(SUMIFS(Input!$J:$J,Input!$C:$C,'2.CC Trans-BB.RE collateral'!$A$9,Input!$D:$D,'2.CC Trans-BB.RE collateral'!N$7&amp;"*",Input!$H:$H,{"1-REAL";"SANTANDER"},Input!$F:$F,'2.CC Trans-BB.RE collateral'!$D$3))  / SUM(SUMIFS(Input!$G:$G,Input!$C:$C,'2.CC Trans-BB.RE collateral'!$A$9,Input!$D:$D,'2.CC Trans-BB.RE collateral'!N$7&amp;"*",Input!$H:$H,{"1-REAL";"SANTANDER"},Input!$F:$F,'2.CC Trans-BB.RE collateral'!$D$3)),0)</f>
        <v>0</v>
      </c>
      <c r="O36" s="105">
        <f>IFERROR(SUM(SUMIFS(Input!$J:$J,Input!$C:$C,'2.CC Trans-BB.RE collateral'!$A$9,Input!$D:$D,'2.CC Trans-BB.RE collateral'!O$7&amp;"*",Input!$H:$H,{"1-REAL";"SANTANDER"},Input!$F:$F,'2.CC Trans-BB.RE collateral'!$D$3))  / SUM(SUMIFS(Input!$G:$G,Input!$C:$C,'2.CC Trans-BB.RE collateral'!$A$9,Input!$D:$D,'2.CC Trans-BB.RE collateral'!O$7&amp;"*",Input!$H:$H,{"1-REAL";"SANTANDER"},Input!$F:$F,'2.CC Trans-BB.RE collateral'!$D$3)),0)</f>
        <v>0</v>
      </c>
      <c r="P36" s="105">
        <f>IFERROR(SUM(SUMIFS(Input!$J:$J,Input!$C:$C,'2.CC Trans-BB.RE collateral'!$A$9,Input!$D:$D,'2.CC Trans-BB.RE collateral'!P$7&amp;"*",Input!$H:$H,{"1-REAL";"SANTANDER"},Input!$F:$F,'2.CC Trans-BB.RE collateral'!$D$3))  / SUM(SUMIFS(Input!$G:$G,Input!$C:$C,'2.CC Trans-BB.RE collateral'!$A$9,Input!$D:$D,'2.CC Trans-BB.RE collateral'!P$7&amp;"*",Input!$H:$H,{"1-REAL";"SANTANDER"},Input!$F:$F,'2.CC Trans-BB.RE collateral'!$D$3)),0)</f>
        <v>0</v>
      </c>
      <c r="Q36" s="105">
        <f>IFERROR(SUM(SUMIFS(Input!$J:$J,Input!$C:$C,'2.CC Trans-BB.RE collateral'!$A$9,Input!$D:$D,'2.CC Trans-BB.RE collateral'!Q$7&amp;"*",Input!$H:$H,{"1-REAL";"SANTANDER"},Input!$F:$F,'2.CC Trans-BB.RE collateral'!$D$3))  / SUM(SUMIFS(Input!$G:$G,Input!$C:$C,'2.CC Trans-BB.RE collateral'!$A$9,Input!$D:$D,'2.CC Trans-BB.RE collateral'!Q$7&amp;"*",Input!$H:$H,{"1-REAL";"SANTANDER"},Input!$F:$F,'2.CC Trans-BB.RE collateral'!$D$3)),0)</f>
        <v>0</v>
      </c>
      <c r="R36" s="105">
        <f>IFERROR(SUM(SUMIFS(Input!$J:$J,Input!$C:$C,'2.CC Trans-BB.RE collateral'!$A$9,Input!$D:$D,'2.CC Trans-BB.RE collateral'!R$7&amp;"*",Input!$H:$H,{"1-REAL";"SANTANDER"},Input!$F:$F,'2.CC Trans-BB.RE collateral'!$D$3))  / SUM(SUMIFS(Input!$G:$G,Input!$C:$C,'2.CC Trans-BB.RE collateral'!$A$9,Input!$D:$D,'2.CC Trans-BB.RE collateral'!R$7&amp;"*",Input!$H:$H,{"1-REAL";"SANTANDER"},Input!$F:$F,'2.CC Trans-BB.RE collateral'!$D$3)),0)</f>
        <v>0</v>
      </c>
      <c r="S36" s="105">
        <f>IFERROR(SUM(SUMIFS(Input!$J:$J,Input!$C:$C,'2.CC Trans-BB.RE collateral'!$A$9,Input!$D:$D,'2.CC Trans-BB.RE collateral'!S$7&amp;"*",Input!$H:$H,{"1-REAL";"SANTANDER"},Input!$F:$F,'2.CC Trans-BB.RE collateral'!$D$3))  / SUM(SUMIFS(Input!$G:$G,Input!$C:$C,'2.CC Trans-BB.RE collateral'!$A$9,Input!$D:$D,'2.CC Trans-BB.RE collateral'!S$7&amp;"*",Input!$H:$H,{"1-REAL";"SANTANDER"},Input!$F:$F,'2.CC Trans-BB.RE collateral'!$D$3)),0)</f>
        <v>0</v>
      </c>
      <c r="T36" s="105">
        <f>IFERROR(SUMIFS(Input!$J:$J,Input!$C:$C,'2.CC Trans-BB.RE collateral'!$A$9,Input!$H:$H,"&lt;&gt;"&amp;S$1,Input!$H:$H,"&lt;&gt;"&amp;S$2,Input!$F:$F,'2.CC Trans-BB.RE collateral'!$D$3)  / SUMIFS(Input!$G:$G,Input!$C:$C,'2.CC Trans-BB.RE collateral'!$A$9,Input!$H:$H,"&lt;&gt;"&amp;S$1,Input!$H:$H,"&lt;&gt;"&amp;S$2,Input!$F:$F,'2.CC Trans-BB.RE collateral'!$D$3),0)</f>
        <v>0</v>
      </c>
      <c r="U36" s="77"/>
      <c r="V36" s="64"/>
    </row>
    <row r="37" spans="2:22" s="59" customFormat="1" ht="13" x14ac:dyDescent="0.3">
      <c r="B37" s="62">
        <v>27</v>
      </c>
      <c r="C37" s="76" t="s">
        <v>144</v>
      </c>
      <c r="D37" s="104">
        <f>ROUND(SUMIFS(Input!$G:$G,Input!$C:$C,'2.CC Trans-BB.RE collateral'!$A$9,Input!$I:$I,"MESG1",Input!$F:$F,'2.CC Trans-BB.RE collateral'!$D$3),0)</f>
        <v>0</v>
      </c>
      <c r="E37" s="104">
        <f>ROUND(SUMIFS(Input!$G:$G,Input!$C:$C,'2.CC Trans-BB.RE collateral'!$A$9,Input!$I:$I,"MESG1",Input!$E:$E,'2.CC Trans-BB.RE collateral'!E$3,Input!$F:$F,'2.CC Trans-BB.RE collateral'!$D$3),0)</f>
        <v>0</v>
      </c>
      <c r="F37" s="104">
        <f>ROUND(SUMIFS(Input!$G:$G,Input!$C:$C,'2.CC Trans-BB.RE collateral'!$A$9,Input!$I:$I,"MESG1",Input!$E:$E,'2.CC Trans-BB.RE collateral'!F$3,Input!$F:$F,'2.CC Trans-BB.RE collateral'!$D$3),0)</f>
        <v>0</v>
      </c>
      <c r="G37" s="104">
        <f>ROUND(SUMIFS(Input!$G:$G,Input!$C:$C,'2.CC Trans-BB.RE collateral'!$A$9,Input!$I:$I,"MESG1",Input!$E:$E,'2.CC Trans-BB.RE collateral'!G$3,Input!$F:$F,'2.CC Trans-BB.RE collateral'!$D$3),0)</f>
        <v>0</v>
      </c>
      <c r="H37" s="104">
        <f>ROUND(SUMIFS(Input!$G:$G,Input!$C:$C,'2.CC Trans-BB.RE collateral'!$A$9,Input!$I:$I,"MESG1",Input!$E:$E,'2.CC Trans-BB.RE collateral'!H$3,Input!$F:$F,'2.CC Trans-BB.RE collateral'!$D$3),0)</f>
        <v>0</v>
      </c>
      <c r="I37" s="104">
        <f>ROUND(SUMIFS(Input!$G:$G,Input!$C:$C,'2.CC Trans-BB.RE collateral'!$A$9,Input!$I:$I,"MESG1",Input!$E:$E,'2.CC Trans-BB.RE collateral'!I$3,Input!$F:$F,'2.CC Trans-BB.RE collateral'!$D$3),0)</f>
        <v>0</v>
      </c>
      <c r="J37" s="104">
        <f>ROUND(SUMIFS(Input!$G:$G,Input!$C:$C,'2.CC Trans-BB.RE collateral'!$A$9,Input!$I:$I,"MESG1",Input!$E:$E,'2.CC Trans-BB.RE collateral'!J$3,Input!$F:$F,'2.CC Trans-BB.RE collateral'!$D$3),0)</f>
        <v>0</v>
      </c>
      <c r="K37" s="104">
        <f>ROUND(SUMIFS(Input!$G:$G,Input!$C:$C,'2.CC Trans-BB.RE collateral'!$A$9,Input!$I:$I,"MESG1",Input!$R:$R,"&lt;&gt;"&amp;$S$1,Input!$F:$F,'2.CC Trans-BB.RE collateral'!$D$3),0)</f>
        <v>0</v>
      </c>
      <c r="L37" s="77"/>
      <c r="M37" s="104">
        <f>ROUND(SUM(SUMIFS(Input!$G:$G,Input!$C:$C,'2.CC Trans-BB.RE collateral'!$A$9,Input!$I:$I,"MESG1",Input!$D:$D,'2.CC Trans-BB.RE collateral'!M$7&amp;"*",Input!$H:$H,{"1-REAL";"SANTANDER"},Input!$F:$F,'2.CC Trans-BB.RE collateral'!$D$3)),0)</f>
        <v>0</v>
      </c>
      <c r="N37" s="104">
        <f>ROUND(SUM(SUMIFS(Input!$G:$G,Input!$C:$C,'2.CC Trans-BB.RE collateral'!$A$9,Input!$I:$I,"MESG1",Input!$D:$D,'2.CC Trans-BB.RE collateral'!N$7&amp;"*",Input!$H:$H,{"1-REAL";"SANTANDER"},Input!$F:$F,'2.CC Trans-BB.RE collateral'!$D$3)),0)</f>
        <v>0</v>
      </c>
      <c r="O37" s="104">
        <f>ROUND(SUM(SUMIFS(Input!$G:$G,Input!$C:$C,'2.CC Trans-BB.RE collateral'!$A$9,Input!$I:$I,"MESG1",Input!$D:$D,'2.CC Trans-BB.RE collateral'!O$7&amp;"*",Input!$H:$H,{"1-REAL";"SANTANDER"},Input!$F:$F,'2.CC Trans-BB.RE collateral'!$D$3)),0)</f>
        <v>0</v>
      </c>
      <c r="P37" s="104">
        <f>ROUND(SUM(SUMIFS(Input!$G:$G,Input!$C:$C,'2.CC Trans-BB.RE collateral'!$A$9,Input!$I:$I,"MESG1",Input!$D:$D,'2.CC Trans-BB.RE collateral'!P$7&amp;"*",Input!$H:$H,{"1-REAL";"SANTANDER"},Input!$F:$F,'2.CC Trans-BB.RE collateral'!$D$3)),0)</f>
        <v>0</v>
      </c>
      <c r="Q37" s="104">
        <f>ROUND(SUM(SUMIFS(Input!$G:$G,Input!$C:$C,'2.CC Trans-BB.RE collateral'!$A$9,Input!$I:$I,"MESG1",Input!$D:$D,'2.CC Trans-BB.RE collateral'!Q$7&amp;"*",Input!$H:$H,{"1-REAL";"SANTANDER"},Input!$F:$F,'2.CC Trans-BB.RE collateral'!$D$3)),0)</f>
        <v>0</v>
      </c>
      <c r="R37" s="104">
        <f>ROUND(SUM(SUMIFS(Input!$G:$G,Input!$C:$C,'2.CC Trans-BB.RE collateral'!$A$9,Input!$I:$I,"MESG1",Input!$D:$D,'2.CC Trans-BB.RE collateral'!R$7&amp;"*",Input!$H:$H,{"1-REAL";"SANTANDER"},Input!$F:$F,'2.CC Trans-BB.RE collateral'!$D$3)),0)</f>
        <v>0</v>
      </c>
      <c r="S37" s="104">
        <f>ROUND(SUM(SUMIFS(Input!$G:$G,Input!$C:$C,'2.CC Trans-BB.RE collateral'!$A$9,Input!$I:$I,"MESG1",Input!$D:$D,'2.CC Trans-BB.RE collateral'!S$7&amp;"*",Input!$H:$H,{"1-REAL";"SANTANDER"},Input!$F:$F,'2.CC Trans-BB.RE collateral'!$D$3)),0)</f>
        <v>0</v>
      </c>
      <c r="T37" s="104">
        <f>ROUND(SUMIFS(Input!$G:$G,Input!$C:$C,'2.CC Trans-BB.RE collateral'!$A$9,Input!$I:$I,"MESG1",Input!$H:$H,"&lt;&gt;"&amp;S$1,Input!$H:$H,"&lt;&gt;"&amp;S$2,Input!$F:$F,'2.CC Trans-BB.RE collateral'!$D$3),0)</f>
        <v>0</v>
      </c>
      <c r="U37" s="77"/>
      <c r="V37" s="64"/>
    </row>
    <row r="38" spans="2:22" s="59" customFormat="1" ht="13" x14ac:dyDescent="0.3">
      <c r="B38" s="62">
        <v>28</v>
      </c>
      <c r="C38" s="78" t="s">
        <v>145</v>
      </c>
      <c r="D38" s="103">
        <f>IFERROR(SUM(SUMIFS(Input!$O:$O,Input!$C:$C,'2.CC Trans-BB.RE collateral'!$A$9,Input!$K:$K,{"NBF1";"NBF2"},Input!$F:$F,'2.CC Trans-BB.RE collateral'!$D$3)) / SUM(SUMIFS(Input!$G:$G,Input!$C:$C,'2.CC Trans-BB.RE collateral'!$A$9,Input!$K:$K,{"NBF1";"NBF2"},Input!$F:$F,'2.CC Trans-BB.RE collateral'!$D$3)),0)</f>
        <v>0</v>
      </c>
      <c r="E38" s="103">
        <f>IFERROR(SUM(SUMIFS(Input!$O:$O,Input!$C:$C,'2.CC Trans-BB.RE collateral'!$A$9,Input!$K:$K,{"NBF1";"NBF2"},Input!$E:$E,'2.CC Trans-BB.RE collateral'!E$3,Input!$F:$F,'2.CC Trans-BB.RE collateral'!$D$3)) / SUM(SUMIFS(Input!$G:$G,Input!$C:$C,'2.CC Trans-BB.RE collateral'!$A$9,Input!$K:$K,{"NBF1";"NBF2"},Input!$E:$E,'2.CC Trans-BB.RE collateral'!E$3,Input!$F:$F,'2.CC Trans-BB.RE collateral'!$D$3)),0)</f>
        <v>0</v>
      </c>
      <c r="F38" s="103">
        <f>IFERROR(SUM(SUMIFS(Input!$O:$O,Input!$C:$C,'2.CC Trans-BB.RE collateral'!$A$9,Input!$K:$K,{"NBF1";"NBF2"},Input!$E:$E,'2.CC Trans-BB.RE collateral'!F$3,Input!$F:$F,'2.CC Trans-BB.RE collateral'!$D$3)) / SUM(SUMIFS(Input!$G:$G,Input!$C:$C,'2.CC Trans-BB.RE collateral'!$A$9,Input!$K:$K,{"NBF1";"NBF2"},Input!$E:$E,'2.CC Trans-BB.RE collateral'!F$3,Input!$F:$F,'2.CC Trans-BB.RE collateral'!$D$3)),0)</f>
        <v>0</v>
      </c>
      <c r="G38" s="103">
        <f>IFERROR(SUM(SUMIFS(Input!$O:$O,Input!$C:$C,'2.CC Trans-BB.RE collateral'!$A$9,Input!$K:$K,{"NBF1";"NBF2"},Input!$E:$E,'2.CC Trans-BB.RE collateral'!G$3,Input!$F:$F,'2.CC Trans-BB.RE collateral'!$D$3)) / SUM(SUMIFS(Input!$G:$G,Input!$C:$C,'2.CC Trans-BB.RE collateral'!$A$9,Input!$K:$K,{"NBF1";"NBF2"},Input!$E:$E,'2.CC Trans-BB.RE collateral'!G$3,Input!$F:$F,'2.CC Trans-BB.RE collateral'!$D$3)),0)</f>
        <v>0</v>
      </c>
      <c r="H38" s="103">
        <f>IFERROR(SUM(SUMIFS(Input!$O:$O,Input!$C:$C,'2.CC Trans-BB.RE collateral'!$A$9,Input!$K:$K,{"NBF1";"NBF2"},Input!$E:$E,'2.CC Trans-BB.RE collateral'!H$3,Input!$F:$F,'2.CC Trans-BB.RE collateral'!$D$3)) / SUM(SUMIFS(Input!$G:$G,Input!$C:$C,'2.CC Trans-BB.RE collateral'!$A$9,Input!$K:$K,{"NBF1";"NBF2"},Input!$E:$E,'2.CC Trans-BB.RE collateral'!H$3,Input!$F:$F,'2.CC Trans-BB.RE collateral'!$D$3)),0)</f>
        <v>0</v>
      </c>
      <c r="I38" s="103">
        <f>IFERROR(SUM(SUMIFS(Input!$O:$O,Input!$C:$C,'2.CC Trans-BB.RE collateral'!$A$9,Input!$K:$K,{"NBF1";"NBF2"},Input!$E:$E,'2.CC Trans-BB.RE collateral'!I$3,Input!$F:$F,'2.CC Trans-BB.RE collateral'!$D$3)) / SUM(SUMIFS(Input!$G:$G,Input!$C:$C,'2.CC Trans-BB.RE collateral'!$A$9,Input!$K:$K,{"NBF1";"NBF2"},Input!$E:$E,'2.CC Trans-BB.RE collateral'!I$3,Input!$F:$F,'2.CC Trans-BB.RE collateral'!$D$3)),0)</f>
        <v>0</v>
      </c>
      <c r="J38" s="103">
        <f>IFERROR(SUM(SUMIFS(Input!$O:$O,Input!$C:$C,'2.CC Trans-BB.RE collateral'!$A$9,Input!$K:$K,{"NBF1";"NBF2"},Input!$E:$E,'2.CC Trans-BB.RE collateral'!J$3,Input!$F:$F,'2.CC Trans-BB.RE collateral'!$D$3)) / SUM(SUMIFS(Input!$G:$G,Input!$C:$C,'2.CC Trans-BB.RE collateral'!$A$9,Input!$K:$K,{"NBF1";"NBF2"},Input!$E:$E,'2.CC Trans-BB.RE collateral'!J$3,Input!$F:$F,'2.CC Trans-BB.RE collateral'!$D$3)),0)</f>
        <v>0</v>
      </c>
      <c r="K38" s="103">
        <f>IFERROR(SUM(SUMIFS(Input!$O:$O,Input!$C:$C,'2.CC Trans-BB.RE collateral'!$A$9,Input!$K:$K,{"NBF1";"NBF2"},Input!$R:$R,"&lt;&gt;"&amp;$S$1,Input!$F:$F,'2.CC Trans-BB.RE collateral'!$D$3)) / SUM(SUMIFS(Input!$G:$G,Input!$C:$C,'2.CC Trans-BB.RE collateral'!$A$9,Input!$K:$K,{"NBF1";"NBF2"},Input!$R:$R,"&lt;&gt;"&amp;$S$1,Input!$F:$F,'2.CC Trans-BB.RE collateral'!$D$3)),0)</f>
        <v>0</v>
      </c>
      <c r="L38" s="77"/>
      <c r="M38" s="103">
        <f>IFERROR(SUM(SUMIFS(Input!$O:$O,Input!$C:$C,'2.CC Trans-BB.RE collateral'!$A$9,Input!$K:$K,{"NBF1";"NBF2"},Input!$H:$H,"1-REAL",Input!$D:$D,'2.CC Trans-BB.RE collateral'!M$7&amp;"*",Input!$F:$F,'2.CC Trans-BB.RE collateral'!$D$3)) / SUM(SUMIFS(Input!$G:$G,Input!$C:$C,'2.CC Trans-BB.RE collateral'!$A$9,Input!$K:$K,{"NBF1";"NBF2"},Input!$H:$H,"1-REAL",Input!$D:$D,'2.CC Trans-BB.RE collateral'!M$7&amp;"*",Input!$F:$F,'2.CC Trans-BB.RE collateral'!$D$3)),0)</f>
        <v>0</v>
      </c>
      <c r="N38" s="103">
        <f>IFERROR(SUM(SUMIFS(Input!$O:$O,Input!$C:$C,'2.CC Trans-BB.RE collateral'!$A$9,Input!$K:$K,{"NBF1";"NBF2"},Input!$H:$H,"1-REAL",Input!$D:$D,'2.CC Trans-BB.RE collateral'!N$7&amp;"*",Input!$F:$F,'2.CC Trans-BB.RE collateral'!$D$3)) / SUM(SUMIFS(Input!$G:$G,Input!$C:$C,'2.CC Trans-BB.RE collateral'!$A$9,Input!$K:$K,{"NBF1";"NBF2"},Input!$H:$H,"1-REAL",Input!$D:$D,'2.CC Trans-BB.RE collateral'!N$7&amp;"*",Input!$F:$F,'2.CC Trans-BB.RE collateral'!$D$3)),0)</f>
        <v>0</v>
      </c>
      <c r="O38" s="103">
        <f>IFERROR(SUM(SUMIFS(Input!$O:$O,Input!$C:$C,'2.CC Trans-BB.RE collateral'!$A$9,Input!$K:$K,{"NBF1";"NBF2"},Input!$H:$H,"1-REAL",Input!$D:$D,'2.CC Trans-BB.RE collateral'!O$7&amp;"*",Input!$F:$F,'2.CC Trans-BB.RE collateral'!$D$3)) / SUM(SUMIFS(Input!$G:$G,Input!$C:$C,'2.CC Trans-BB.RE collateral'!$A$9,Input!$K:$K,{"NBF1";"NBF2"},Input!$H:$H,"1-REAL",Input!$D:$D,'2.CC Trans-BB.RE collateral'!O$7&amp;"*",Input!$F:$F,'2.CC Trans-BB.RE collateral'!$D$3)),0)</f>
        <v>0</v>
      </c>
      <c r="P38" s="103">
        <f>IFERROR(SUM(SUMIFS(Input!$O:$O,Input!$C:$C,'2.CC Trans-BB.RE collateral'!$A$9,Input!$K:$K,{"NBF1";"NBF2"},Input!$H:$H,"1-REAL",Input!$D:$D,'2.CC Trans-BB.RE collateral'!P$7&amp;"*",Input!$F:$F,'2.CC Trans-BB.RE collateral'!$D$3)) / SUM(SUMIFS(Input!$G:$G,Input!$C:$C,'2.CC Trans-BB.RE collateral'!$A$9,Input!$K:$K,{"NBF1";"NBF2"},Input!$H:$H,"1-REAL",Input!$D:$D,'2.CC Trans-BB.RE collateral'!P$7&amp;"*",Input!$F:$F,'2.CC Trans-BB.RE collateral'!$D$3)),0)</f>
        <v>0</v>
      </c>
      <c r="Q38" s="103">
        <f>IFERROR(SUM(SUMIFS(Input!$O:$O,Input!$C:$C,'2.CC Trans-BB.RE collateral'!$A$9,Input!$K:$K,{"NBF1";"NBF2"},Input!$H:$H,"1-REAL",Input!$D:$D,'2.CC Trans-BB.RE collateral'!Q$7&amp;"*",Input!$F:$F,'2.CC Trans-BB.RE collateral'!$D$3)) / SUM(SUMIFS(Input!$G:$G,Input!$C:$C,'2.CC Trans-BB.RE collateral'!$A$9,Input!$K:$K,{"NBF1";"NBF2"},Input!$H:$H,"1-REAL",Input!$D:$D,'2.CC Trans-BB.RE collateral'!Q$7&amp;"*",Input!$F:$F,'2.CC Trans-BB.RE collateral'!$D$3)),0)</f>
        <v>0</v>
      </c>
      <c r="R38" s="103">
        <f>IFERROR(SUM(SUMIFS(Input!$O:$O,Input!$C:$C,'2.CC Trans-BB.RE collateral'!$A$9,Input!$K:$K,{"NBF1";"NBF2"},Input!$H:$H,"1-REAL",Input!$D:$D,'2.CC Trans-BB.RE collateral'!R$7&amp;"*",Input!$F:$F,'2.CC Trans-BB.RE collateral'!$D$3)) / SUM(SUMIFS(Input!$G:$G,Input!$C:$C,'2.CC Trans-BB.RE collateral'!$A$9,Input!$K:$K,{"NBF1";"NBF2"},Input!$H:$H,"1-REAL",Input!$D:$D,'2.CC Trans-BB.RE collateral'!R$7&amp;"*",Input!$F:$F,'2.CC Trans-BB.RE collateral'!$D$3)),0)</f>
        <v>0</v>
      </c>
      <c r="S38" s="103">
        <f>IFERROR(SUM(SUMIFS(Input!$O:$O,Input!$C:$C,'2.CC Trans-BB.RE collateral'!$A$9,Input!$K:$K,{"NBF1";"NBF2"},Input!$H:$H,"1-REAL",Input!$D:$D,'2.CC Trans-BB.RE collateral'!S$7&amp;"*",Input!$F:$F,'2.CC Trans-BB.RE collateral'!$D$3)) / SUM(SUMIFS(Input!$G:$G,Input!$C:$C,'2.CC Trans-BB.RE collateral'!$A$9,Input!$K:$K,{"NBF1";"NBF2"},Input!$H:$H,"1-REAL",Input!$D:$D,'2.CC Trans-BB.RE collateral'!S$7&amp;"*",Input!$F:$F,'2.CC Trans-BB.RE collateral'!$D$3)),0)</f>
        <v>0</v>
      </c>
      <c r="T38" s="103">
        <f>IFERROR(SUM(SUMIFS(Input!$O:$O,Input!$C:$C,'2.CC Trans-BB.RE collateral'!$A$9,Input!$K:$K,{"NBF1";"NBF2"},Input!$H:$H,"&lt;&gt;"&amp;S$1,Input!$H:$H,"&lt;&gt;"&amp;S$2,Input!$F:$F,'2.CC Trans-BB.RE collateral'!$D$3)) / SUM(SUMIFS(Input!$G:$G,Input!$C:$C,'2.CC Trans-BB.RE collateral'!$A$9,Input!$K:$K,{"NBF1";"NBF2"},Input!$H:$H,"&lt;&gt;"&amp;S$1,Input!$H:$H,"&lt;&gt;"&amp;S$2,Input!$F:$F,'2.CC Trans-BB.RE collateral'!$D$3)),0)</f>
        <v>0</v>
      </c>
      <c r="U38" s="77"/>
      <c r="V38" s="64"/>
    </row>
    <row r="39" spans="2:22" s="59" customFormat="1" ht="15.75" customHeight="1" x14ac:dyDescent="0.3">
      <c r="B39" s="62"/>
      <c r="C39" s="125" t="s">
        <v>146</v>
      </c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27"/>
      <c r="V39" s="64"/>
    </row>
    <row r="40" spans="2:22" s="59" customFormat="1" ht="13" x14ac:dyDescent="0.3">
      <c r="B40" s="62">
        <v>29</v>
      </c>
      <c r="C40" s="76" t="s">
        <v>147</v>
      </c>
      <c r="D40" s="103">
        <f>IFERROR(SUMIFS(Input!$P:$P,Input!$C:$C,'2.CC Trans-BB.RE collateral'!$A$10,Input!$F:$F,'2.CC Trans-BB.RE collateral'!$D$3) / SUMIFS(Input!$G:$G,Input!$C:$C,'2.CC Trans-BB.RE collateral'!$A$10,Input!$F:$F,'2.CC Trans-BB.RE collateral'!$D$3),0)</f>
        <v>0.67071544511510817</v>
      </c>
      <c r="E40" s="103">
        <f>IFERROR(SUMIFS(Input!$P:$P,Input!$C:$C,'2.CC Trans-BB.RE collateral'!$A$10,Input!$E:$E,'2.CC Trans-BB.RE collateral'!E$3,Input!$F:$F,'2.CC Trans-BB.RE collateral'!$D$3) / SUMIFS(Input!$G:$G,Input!$C:$C,'2.CC Trans-BB.RE collateral'!$A$10,Input!$E:$E,'2.CC Trans-BB.RE collateral'!E$3,Input!$F:$F,'2.CC Trans-BB.RE collateral'!$D$3),0)</f>
        <v>0.63077440807035579</v>
      </c>
      <c r="F40" s="103">
        <f>IFERROR(SUMIFS(Input!$P:$P,Input!$C:$C,'2.CC Trans-BB.RE collateral'!$A$10,Input!$E:$E,'2.CC Trans-BB.RE collateral'!F$3,Input!$F:$F,'2.CC Trans-BB.RE collateral'!$D$3) / SUMIFS(Input!$G:$G,Input!$C:$C,'2.CC Trans-BB.RE collateral'!$A$10,Input!$E:$E,'2.CC Trans-BB.RE collateral'!F$3,Input!$F:$F,'2.CC Trans-BB.RE collateral'!$D$3),0)</f>
        <v>0.68875980507863277</v>
      </c>
      <c r="G40" s="103">
        <f>IFERROR(SUMIFS(Input!$P:$P,Input!$C:$C,'2.CC Trans-BB.RE collateral'!$A$10,Input!$E:$E,'2.CC Trans-BB.RE collateral'!G$3,Input!$F:$F,'2.CC Trans-BB.RE collateral'!$D$3) / SUMIFS(Input!$G:$G,Input!$C:$C,'2.CC Trans-BB.RE collateral'!$A$10,Input!$E:$E,'2.CC Trans-BB.RE collateral'!G$3,Input!$F:$F,'2.CC Trans-BB.RE collateral'!$D$3),0)</f>
        <v>0.69160328188112341</v>
      </c>
      <c r="H40" s="103">
        <f>IFERROR(SUMIFS(Input!$P:$P,Input!$C:$C,'2.CC Trans-BB.RE collateral'!$A$10,Input!$E:$E,'2.CC Trans-BB.RE collateral'!H$3,Input!$F:$F,'2.CC Trans-BB.RE collateral'!$D$3) / SUMIFS(Input!$G:$G,Input!$C:$C,'2.CC Trans-BB.RE collateral'!$A$10,Input!$E:$E,'2.CC Trans-BB.RE collateral'!H$3,Input!$F:$F,'2.CC Trans-BB.RE collateral'!$D$3),0)</f>
        <v>0.69431362481073899</v>
      </c>
      <c r="I40" s="103">
        <f>IFERROR(SUMIFS(Input!$P:$P,Input!$C:$C,'2.CC Trans-BB.RE collateral'!$A$10,Input!$E:$E,'2.CC Trans-BB.RE collateral'!I$3,Input!$F:$F,'2.CC Trans-BB.RE collateral'!$D$3) / SUMIFS(Input!$G:$G,Input!$C:$C,'2.CC Trans-BB.RE collateral'!$A$10,Input!$E:$E,'2.CC Trans-BB.RE collateral'!I$3,Input!$F:$F,'2.CC Trans-BB.RE collateral'!$D$3),0)</f>
        <v>0.67880594642886871</v>
      </c>
      <c r="J40" s="103">
        <f>IFERROR(SUMIFS(Input!$P:$P,Input!$C:$C,'2.CC Trans-BB.RE collateral'!$A$10,Input!$E:$E,'2.CC Trans-BB.RE collateral'!J$3,Input!$F:$F,'2.CC Trans-BB.RE collateral'!$D$3) / SUMIFS(Input!$G:$G,Input!$C:$C,'2.CC Trans-BB.RE collateral'!$A$10,Input!$E:$E,'2.CC Trans-BB.RE collateral'!J$3,Input!$F:$F,'2.CC Trans-BB.RE collateral'!$D$3),0)</f>
        <v>0.68344843618537376</v>
      </c>
      <c r="K40" s="103">
        <f>IFERROR(SUMIFS(Input!$P:$P,Input!$C:$C,'2.CC Trans-BB.RE collateral'!$A$10,Input!$R:$R,"&lt;&gt;"&amp;$S$1,Input!$F:$F,'2.CC Trans-BB.RE collateral'!$D$3) / SUMIFS(Input!$G:$G,Input!$C:$C,'2.CC Trans-BB.RE collateral'!$A$10,Input!$R:$R,"&lt;&gt;"&amp;$S$1,Input!$F:$F,'2.CC Trans-BB.RE collateral'!$D$3),0)</f>
        <v>0.57592886396051146</v>
      </c>
      <c r="L40" s="77"/>
      <c r="M40" s="103">
        <f>IFERROR(SUM(SUMIFS(Input!$P:$P,Input!$C:$C,'2.CC Trans-BB.RE collateral'!$A$10,Input!$D:$D,'2.CC Trans-BB.RE collateral'!M$7&amp;"*",Input!$H:$H,{"1-REAL";"SANTANDER"},Input!$F:$F,'2.CC Trans-BB.RE collateral'!$D$3)) / SUM(SUMIFS(Input!$G:$G,Input!$C:$C,'2.CC Trans-BB.RE collateral'!$A$10,Input!$D:$D,'2.CC Trans-BB.RE collateral'!M$7&amp;"*",Input!$H:$H,{"1-REAL";"SANTANDER"},Input!$F:$F,'2.CC Trans-BB.RE collateral'!$D$3)),0)</f>
        <v>0.64782470198947306</v>
      </c>
      <c r="N40" s="103">
        <f>IFERROR(SUM(SUMIFS(Input!$P:$P,Input!$C:$C,'2.CC Trans-BB.RE collateral'!$A$10,Input!$D:$D,'2.CC Trans-BB.RE collateral'!N$7&amp;"*",Input!$H:$H,{"1-REAL";"SANTANDER"},Input!$F:$F,'2.CC Trans-BB.RE collateral'!$D$3)) / SUM(SUMIFS(Input!$G:$G,Input!$C:$C,'2.CC Trans-BB.RE collateral'!$A$10,Input!$D:$D,'2.CC Trans-BB.RE collateral'!N$7&amp;"*",Input!$H:$H,{"1-REAL";"SANTANDER"},Input!$F:$F,'2.CC Trans-BB.RE collateral'!$D$3)),0)</f>
        <v>0.64467442070928971</v>
      </c>
      <c r="O40" s="103">
        <f>IFERROR(SUM(SUMIFS(Input!$P:$P,Input!$C:$C,'2.CC Trans-BB.RE collateral'!$A$10,Input!$D:$D,'2.CC Trans-BB.RE collateral'!O$7&amp;"*",Input!$H:$H,{"1-REAL";"SANTANDER"},Input!$F:$F,'2.CC Trans-BB.RE collateral'!$D$3)) / SUM(SUMIFS(Input!$G:$G,Input!$C:$C,'2.CC Trans-BB.RE collateral'!$A$10,Input!$D:$D,'2.CC Trans-BB.RE collateral'!O$7&amp;"*",Input!$H:$H,{"1-REAL";"SANTANDER"},Input!$F:$F,'2.CC Trans-BB.RE collateral'!$D$3)),0)</f>
        <v>0.75573547561380605</v>
      </c>
      <c r="P40" s="103">
        <f>IFERROR(SUM(SUMIFS(Input!$P:$P,Input!$C:$C,'2.CC Trans-BB.RE collateral'!$A$10,Input!$D:$D,'2.CC Trans-BB.RE collateral'!P$7&amp;"*",Input!$H:$H,{"1-REAL";"SANTANDER"},Input!$F:$F,'2.CC Trans-BB.RE collateral'!$D$3)) / SUM(SUMIFS(Input!$G:$G,Input!$C:$C,'2.CC Trans-BB.RE collateral'!$A$10,Input!$D:$D,'2.CC Trans-BB.RE collateral'!P$7&amp;"*",Input!$H:$H,{"1-REAL";"SANTANDER"},Input!$F:$F,'2.CC Trans-BB.RE collateral'!$D$3)),0)</f>
        <v>0.7435602048116311</v>
      </c>
      <c r="Q40" s="103">
        <f>IFERROR(SUM(SUMIFS(Input!$P:$P,Input!$C:$C,'2.CC Trans-BB.RE collateral'!$A$10,Input!$D:$D,'2.CC Trans-BB.RE collateral'!Q$7&amp;"*",Input!$H:$H,{"1-REAL";"SANTANDER"},Input!$F:$F,'2.CC Trans-BB.RE collateral'!$D$3)) / SUM(SUMIFS(Input!$G:$G,Input!$C:$C,'2.CC Trans-BB.RE collateral'!$A$10,Input!$D:$D,'2.CC Trans-BB.RE collateral'!Q$7&amp;"*",Input!$H:$H,{"1-REAL";"SANTANDER"},Input!$F:$F,'2.CC Trans-BB.RE collateral'!$D$3)),0)</f>
        <v>0.6905730171366381</v>
      </c>
      <c r="R40" s="103">
        <f>IFERROR(SUM(SUMIFS(Input!$P:$P,Input!$C:$C,'2.CC Trans-BB.RE collateral'!$A$10,Input!$D:$D,'2.CC Trans-BB.RE collateral'!R$7&amp;"*",Input!$H:$H,{"1-REAL";"SANTANDER"},Input!$F:$F,'2.CC Trans-BB.RE collateral'!$D$3)) / SUM(SUMIFS(Input!$G:$G,Input!$C:$C,'2.CC Trans-BB.RE collateral'!$A$10,Input!$D:$D,'2.CC Trans-BB.RE collateral'!R$7&amp;"*",Input!$H:$H,{"1-REAL";"SANTANDER"},Input!$F:$F,'2.CC Trans-BB.RE collateral'!$D$3)),0)</f>
        <v>0.64691221298627699</v>
      </c>
      <c r="S40" s="103">
        <f>IFERROR(SUM(SUMIFS(Input!$P:$P,Input!$C:$C,'2.CC Trans-BB.RE collateral'!$A$10,Input!$D:$D,'2.CC Trans-BB.RE collateral'!S$7&amp;"*",Input!$H:$H,{"1-REAL";"SANTANDER"},Input!$F:$F,'2.CC Trans-BB.RE collateral'!$D$3)) / SUM(SUMIFS(Input!$G:$G,Input!$C:$C,'2.CC Trans-BB.RE collateral'!$A$10,Input!$D:$D,'2.CC Trans-BB.RE collateral'!S$7&amp;"*",Input!$H:$H,{"1-REAL";"SANTANDER"},Input!$F:$F,'2.CC Trans-BB.RE collateral'!$D$3)),0)</f>
        <v>0</v>
      </c>
      <c r="T40" s="103">
        <f>IFERROR(SUMIFS(Input!$P:$P,Input!$C:$C,'2.CC Trans-BB.RE collateral'!$A$10,Input!$H:$H,"&lt;&gt;"&amp;S$1,Input!$H:$H,"&lt;&gt;"&amp;S$2,Input!$F:$F,'2.CC Trans-BB.RE collateral'!$D$3) / SUMIFS(Input!$G:$G,Input!$C:$C,'2.CC Trans-BB.RE collateral'!$A$10,Input!$H:$H,"&lt;&gt;"&amp;S$1,Input!$H:$H,"&lt;&gt;"&amp;S$2,Input!$F:$F,'2.CC Trans-BB.RE collateral'!$D$3),0)</f>
        <v>0.5469175941089337</v>
      </c>
      <c r="U40" s="77"/>
      <c r="V40" s="64"/>
    </row>
    <row r="41" spans="2:22" s="59" customFormat="1" ht="13" x14ac:dyDescent="0.3">
      <c r="B41" s="62">
        <v>30</v>
      </c>
      <c r="C41" s="76" t="s">
        <v>148</v>
      </c>
      <c r="D41" s="104">
        <f>ROUND(SUMIFS(Input!$G:$G,Input!$C:$C,'2.CC Trans-BB.RE collateral'!$A$10,Input!$Q:$Q,"LTV4",Input!$F:$F,'2.CC Trans-BB.RE collateral'!$D$3),0)</f>
        <v>34962540</v>
      </c>
      <c r="E41" s="104">
        <f>ROUND(SUMIFS(Input!$G:$G,Input!$C:$C,'2.CC Trans-BB.RE collateral'!$A$10,Input!$Q:$Q,"LTV4",Input!$E:$E,'2.CC Trans-BB.RE collateral'!E$3,Input!$F:$F,'2.CC Trans-BB.RE collateral'!$D$3),0)</f>
        <v>9853989</v>
      </c>
      <c r="F41" s="104">
        <f>ROUND(SUMIFS(Input!$G:$G,Input!$C:$C,'2.CC Trans-BB.RE collateral'!$A$10,Input!$Q:$Q,"LTV4",Input!$E:$E,'2.CC Trans-BB.RE collateral'!F$3,Input!$F:$F,'2.CC Trans-BB.RE collateral'!$D$3),0)</f>
        <v>14617336</v>
      </c>
      <c r="G41" s="104">
        <f>ROUND(SUMIFS(Input!$G:$G,Input!$C:$C,'2.CC Trans-BB.RE collateral'!$A$10,Input!$Q:$Q,"LTV4",Input!$E:$E,'2.CC Trans-BB.RE collateral'!G$3,Input!$F:$F,'2.CC Trans-BB.RE collateral'!$D$3),0)</f>
        <v>5521010</v>
      </c>
      <c r="H41" s="104">
        <f>ROUND(SUMIFS(Input!$G:$G,Input!$C:$C,'2.CC Trans-BB.RE collateral'!$A$10,Input!$Q:$Q,"LTV4",Input!$E:$E,'2.CC Trans-BB.RE collateral'!H$3,Input!$F:$F,'2.CC Trans-BB.RE collateral'!$D$3),0)</f>
        <v>2947184</v>
      </c>
      <c r="I41" s="104">
        <f>ROUND(SUMIFS(Input!$G:$G,Input!$C:$C,'2.CC Trans-BB.RE collateral'!$A$10,Input!$Q:$Q,"LTV4",Input!$E:$E,'2.CC Trans-BB.RE collateral'!I$3,Input!$F:$F,'2.CC Trans-BB.RE collateral'!$D$3),0)</f>
        <v>951327</v>
      </c>
      <c r="J41" s="104">
        <f>ROUND(SUMIFS(Input!$G:$G,Input!$C:$C,'2.CC Trans-BB.RE collateral'!$A$10,Input!$Q:$Q,"LTV4",Input!$E:$E,'2.CC Trans-BB.RE collateral'!J$3,Input!$F:$F,'2.CC Trans-BB.RE collateral'!$D$3),0)</f>
        <v>1068738</v>
      </c>
      <c r="K41" s="104">
        <f>ROUND(SUMIFS(Input!$G:$G,Input!$C:$C,'2.CC Trans-BB.RE collateral'!$A$10,Input!$Q:$Q,"LTV4",Input!$R:$R,"&lt;&gt;"&amp;$S$1,Input!$F:$F,'2.CC Trans-BB.RE collateral'!$D$3),0)</f>
        <v>4431105</v>
      </c>
      <c r="L41" s="77"/>
      <c r="M41" s="104">
        <f>ROUND(SUM(SUMIFS(Input!$G:$G,Input!$C:$C,'2.CC Trans-BB.RE collateral'!$A$10,Input!$Q:$Q,"LTV4",Input!$D:$D,'2.CC Trans-BB.RE collateral'!M$7&amp;"*",Input!$H:$H,{"1-REAL";"SANTANDER"},Input!$F:$F,'2.CC Trans-BB.RE collateral'!$D$3)),0)</f>
        <v>3206023</v>
      </c>
      <c r="N41" s="104">
        <f>ROUND(SUM(SUMIFS(Input!$G:$G,Input!$C:$C,'2.CC Trans-BB.RE collateral'!$A$10,Input!$Q:$Q,"LTV4",Input!$D:$D,'2.CC Trans-BB.RE collateral'!N$7&amp;"*",Input!$H:$H,{"1-REAL";"SANTANDER"},Input!$F:$F,'2.CC Trans-BB.RE collateral'!$D$3)),0)</f>
        <v>1065847</v>
      </c>
      <c r="O41" s="104">
        <f>ROUND(SUM(SUMIFS(Input!$G:$G,Input!$C:$C,'2.CC Trans-BB.RE collateral'!$A$10,Input!$Q:$Q,"LTV4",Input!$D:$D,'2.CC Trans-BB.RE collateral'!O$7&amp;"*",Input!$H:$H,{"1-REAL";"SANTANDER"},Input!$F:$F,'2.CC Trans-BB.RE collateral'!$D$3)),0)</f>
        <v>12686698</v>
      </c>
      <c r="P41" s="104">
        <f>ROUND(SUM(SUMIFS(Input!$G:$G,Input!$C:$C,'2.CC Trans-BB.RE collateral'!$A$10,Input!$Q:$Q,"LTV4",Input!$D:$D,'2.CC Trans-BB.RE collateral'!P$7&amp;"*",Input!$H:$H,{"1-REAL";"SANTANDER"},Input!$F:$F,'2.CC Trans-BB.RE collateral'!$D$3)),0)</f>
        <v>9995425</v>
      </c>
      <c r="Q41" s="104">
        <f>ROUND(SUM(SUMIFS(Input!$G:$G,Input!$C:$C,'2.CC Trans-BB.RE collateral'!$A$10,Input!$Q:$Q,"LTV4",Input!$D:$D,'2.CC Trans-BB.RE collateral'!Q$7&amp;"*",Input!$H:$H,{"1-REAL";"SANTANDER"},Input!$F:$F,'2.CC Trans-BB.RE collateral'!$D$3)),0)</f>
        <v>5961686</v>
      </c>
      <c r="R41" s="104">
        <f>ROUND(SUM(SUMIFS(Input!$G:$G,Input!$C:$C,'2.CC Trans-BB.RE collateral'!$A$10,Input!$Q:$Q,"LTV4",Input!$D:$D,'2.CC Trans-BB.RE collateral'!R$7&amp;"*",Input!$H:$H,{"1-REAL";"SANTANDER"},Input!$F:$F,'2.CC Trans-BB.RE collateral'!$D$3)),0)</f>
        <v>555617</v>
      </c>
      <c r="S41" s="104">
        <f>ROUND(SUM(SUMIFS(Input!$G:$G,Input!$C:$C,'2.CC Trans-BB.RE collateral'!$A$10,Input!$Q:$Q,"LTV4",Input!$D:$D,'2.CC Trans-BB.RE collateral'!S$7&amp;"*",Input!$H:$H,{"1-REAL";"SANTANDER"},Input!$F:$F,'2.CC Trans-BB.RE collateral'!$D$3)),0)</f>
        <v>0</v>
      </c>
      <c r="T41" s="104">
        <f>ROUND(SUMIFS(Input!$G:$G,Input!$C:$C,'2.CC Trans-BB.RE collateral'!$A$10,Input!$Q:$Q,"LTV4",Input!$H:$H,"&lt;&gt;"&amp;S$1,Input!$H:$H,"&lt;&gt;"&amp;S$2,Input!$F:$F,'2.CC Trans-BB.RE collateral'!$D$3),0)</f>
        <v>1491244</v>
      </c>
      <c r="U41" s="77"/>
      <c r="V41" s="64"/>
    </row>
    <row r="42" spans="2:22" s="59" customFormat="1" ht="13" x14ac:dyDescent="0.3">
      <c r="B42" s="62">
        <v>31</v>
      </c>
      <c r="C42" s="76" t="s">
        <v>149</v>
      </c>
      <c r="D42" s="104">
        <f>ROUND(SUMIFS(Input!$G:$G,Input!$C:$C,'2.CC Trans-BB.RE collateral'!$A$10,Input!$Q:$Q,"LTV5",Input!$F:$F,'2.CC Trans-BB.RE collateral'!$D$3),0)</f>
        <v>3393005</v>
      </c>
      <c r="E42" s="104">
        <f>ROUND(SUMIFS(Input!$G:$G,Input!$C:$C,'2.CC Trans-BB.RE collateral'!$A$10,Input!$Q:$Q,"LTV5",Input!$E:$E,'2.CC Trans-BB.RE collateral'!E$3,Input!$F:$F,'2.CC Trans-BB.RE collateral'!$D$3),0)</f>
        <v>0</v>
      </c>
      <c r="F42" s="104">
        <f>ROUND(SUMIFS(Input!$G:$G,Input!$C:$C,'2.CC Trans-BB.RE collateral'!$A$10,Input!$Q:$Q,"LTV5",Input!$E:$E,'2.CC Trans-BB.RE collateral'!F$3,Input!$F:$F,'2.CC Trans-BB.RE collateral'!$D$3),0)</f>
        <v>0</v>
      </c>
      <c r="G42" s="104">
        <f>ROUND(SUMIFS(Input!$G:$G,Input!$C:$C,'2.CC Trans-BB.RE collateral'!$A$10,Input!$Q:$Q,"LTV5",Input!$E:$E,'2.CC Trans-BB.RE collateral'!G$3,Input!$F:$F,'2.CC Trans-BB.RE collateral'!$D$3),0)</f>
        <v>0</v>
      </c>
      <c r="H42" s="104">
        <f>ROUND(SUMIFS(Input!$G:$G,Input!$C:$C,'2.CC Trans-BB.RE collateral'!$A$10,Input!$Q:$Q,"LTV5",Input!$E:$E,'2.CC Trans-BB.RE collateral'!H$3,Input!$F:$F,'2.CC Trans-BB.RE collateral'!$D$3),0)</f>
        <v>0</v>
      </c>
      <c r="I42" s="104">
        <f>ROUND(SUMIFS(Input!$G:$G,Input!$C:$C,'2.CC Trans-BB.RE collateral'!$A$10,Input!$Q:$Q,"LTV5",Input!$E:$E,'2.CC Trans-BB.RE collateral'!I$3,Input!$F:$F,'2.CC Trans-BB.RE collateral'!$D$3),0)</f>
        <v>0</v>
      </c>
      <c r="J42" s="104">
        <f>ROUND(SUMIFS(Input!$G:$G,Input!$C:$C,'2.CC Trans-BB.RE collateral'!$A$10,Input!$Q:$Q,"LTV5",Input!$E:$E,'2.CC Trans-BB.RE collateral'!J$3,Input!$F:$F,'2.CC Trans-BB.RE collateral'!$D$3),0)</f>
        <v>0</v>
      </c>
      <c r="K42" s="104">
        <f>ROUND(SUMIFS(Input!$G:$G,Input!$C:$C,'2.CC Trans-BB.RE collateral'!$A$10,Input!$Q:$Q,"LTV5",Input!$R:$R,"&lt;&gt;"&amp;$S$1,Input!$F:$F,'2.CC Trans-BB.RE collateral'!$D$3),0)</f>
        <v>3393005</v>
      </c>
      <c r="L42" s="77"/>
      <c r="M42" s="104">
        <f>ROUND(SUM(SUMIFS(Input!$G:$G,Input!$C:$C,'2.CC Trans-BB.RE collateral'!$A$10,Input!$Q:$Q,"LTV5",Input!$D:$D,'2.CC Trans-BB.RE collateral'!M$7&amp;"*",Input!$H:$H,{"1-REAL";"SANTANDER"},Input!$F:$F,'2.CC Trans-BB.RE collateral'!$D$3)),0)</f>
        <v>0</v>
      </c>
      <c r="N42" s="104">
        <f>ROUND(SUM(SUMIFS(Input!$G:$G,Input!$C:$C,'2.CC Trans-BB.RE collateral'!$A$10,Input!$Q:$Q,"LTV5",Input!$D:$D,'2.CC Trans-BB.RE collateral'!N$7&amp;"*",Input!$H:$H,{"1-REAL";"SANTANDER"},Input!$F:$F,'2.CC Trans-BB.RE collateral'!$D$3)),0)</f>
        <v>0</v>
      </c>
      <c r="O42" s="104">
        <f>ROUND(SUM(SUMIFS(Input!$G:$G,Input!$C:$C,'2.CC Trans-BB.RE collateral'!$A$10,Input!$Q:$Q,"LTV5",Input!$D:$D,'2.CC Trans-BB.RE collateral'!O$7&amp;"*",Input!$H:$H,{"1-REAL";"SANTANDER"},Input!$F:$F,'2.CC Trans-BB.RE collateral'!$D$3)),0)</f>
        <v>0</v>
      </c>
      <c r="P42" s="104">
        <f>ROUND(SUM(SUMIFS(Input!$G:$G,Input!$C:$C,'2.CC Trans-BB.RE collateral'!$A$10,Input!$Q:$Q,"LTV5",Input!$D:$D,'2.CC Trans-BB.RE collateral'!P$7&amp;"*",Input!$H:$H,{"1-REAL";"SANTANDER"},Input!$F:$F,'2.CC Trans-BB.RE collateral'!$D$3)),0)</f>
        <v>0</v>
      </c>
      <c r="Q42" s="104">
        <f>ROUND(SUM(SUMIFS(Input!$G:$G,Input!$C:$C,'2.CC Trans-BB.RE collateral'!$A$10,Input!$Q:$Q,"LTV5",Input!$D:$D,'2.CC Trans-BB.RE collateral'!Q$7&amp;"*",Input!$H:$H,{"1-REAL";"SANTANDER"},Input!$F:$F,'2.CC Trans-BB.RE collateral'!$D$3)),0)</f>
        <v>0</v>
      </c>
      <c r="R42" s="104">
        <f>ROUND(SUM(SUMIFS(Input!$G:$G,Input!$C:$C,'2.CC Trans-BB.RE collateral'!$A$10,Input!$Q:$Q,"LTV5",Input!$D:$D,'2.CC Trans-BB.RE collateral'!R$7&amp;"*",Input!$H:$H,{"1-REAL";"SANTANDER"},Input!$F:$F,'2.CC Trans-BB.RE collateral'!$D$3)),0)</f>
        <v>0</v>
      </c>
      <c r="S42" s="104">
        <f>ROUND(SUM(SUMIFS(Input!$G:$G,Input!$C:$C,'2.CC Trans-BB.RE collateral'!$A$10,Input!$Q:$Q,"LTV5",Input!$D:$D,'2.CC Trans-BB.RE collateral'!S$7&amp;"*",Input!$H:$H,{"1-REAL";"SANTANDER"},Input!$F:$F,'2.CC Trans-BB.RE collateral'!$D$3)),0)</f>
        <v>0</v>
      </c>
      <c r="T42" s="104">
        <f>ROUND(SUMIFS(Input!$G:$G,Input!$C:$C,'2.CC Trans-BB.RE collateral'!$A$10,Input!$Q:$Q,"LTV5",Input!$H:$H,"&lt;&gt;"&amp;S$1,Input!$H:$H,"&lt;&gt;"&amp;S$2,Input!$F:$F,'2.CC Trans-BB.RE collateral'!$D$3),0)</f>
        <v>3393005</v>
      </c>
      <c r="U42" s="77"/>
      <c r="V42" s="64"/>
    </row>
    <row r="43" spans="2:22" s="59" customFormat="1" ht="13" x14ac:dyDescent="0.3">
      <c r="B43" s="62">
        <v>32</v>
      </c>
      <c r="C43" s="76" t="s">
        <v>150</v>
      </c>
      <c r="D43" s="105">
        <f>IFERROR(SUMIFS(Input!$J:$J,Input!$C:$C,'2.CC Trans-BB.RE collateral'!$A$10,Input!$F:$F,'2.CC Trans-BB.RE collateral'!$D$3) / SUMIFS(Input!$G:$G,Input!$C:$C,'2.CC Trans-BB.RE collateral'!$A$10,Input!$F:$F,'2.CC Trans-BB.RE collateral'!$D$3),0)</f>
        <v>29.38404274964104</v>
      </c>
      <c r="E43" s="105">
        <f>IFERROR(SUMIFS(Input!$J:$J,Input!$C:$C,'2.CC Trans-BB.RE collateral'!$A$10,Input!$E:$E,'2.CC Trans-BB.RE collateral'!E$3,Input!$F:$F,'2.CC Trans-BB.RE collateral'!$D$3)  / SUMIFS(Input!$G:$G,Input!$C:$C,'2.CC Trans-BB.RE collateral'!$A$10,Input!$E:$E,'2.CC Trans-BB.RE collateral'!E$3,Input!$F:$F,'2.CC Trans-BB.RE collateral'!$D$3),0)</f>
        <v>28.014146203687201</v>
      </c>
      <c r="F43" s="105">
        <f>IFERROR(SUMIFS(Input!$J:$J,Input!$C:$C,'2.CC Trans-BB.RE collateral'!$A$10,Input!$E:$E,'2.CC Trans-BB.RE collateral'!F$3,Input!$F:$F,'2.CC Trans-BB.RE collateral'!$D$3)  / SUMIFS(Input!$G:$G,Input!$C:$C,'2.CC Trans-BB.RE collateral'!$A$10,Input!$E:$E,'2.CC Trans-BB.RE collateral'!F$3,Input!$F:$F,'2.CC Trans-BB.RE collateral'!$D$3),0)</f>
        <v>31.078861175691763</v>
      </c>
      <c r="G43" s="105">
        <f>IFERROR(SUMIFS(Input!$J:$J,Input!$C:$C,'2.CC Trans-BB.RE collateral'!$A$10,Input!$E:$E,'2.CC Trans-BB.RE collateral'!G$3,Input!$F:$F,'2.CC Trans-BB.RE collateral'!$D$3)  / SUMIFS(Input!$G:$G,Input!$C:$C,'2.CC Trans-BB.RE collateral'!$A$10,Input!$E:$E,'2.CC Trans-BB.RE collateral'!G$3,Input!$F:$F,'2.CC Trans-BB.RE collateral'!$D$3),0)</f>
        <v>30.235088793852853</v>
      </c>
      <c r="H43" s="105">
        <f>IFERROR(SUMIFS(Input!$J:$J,Input!$C:$C,'2.CC Trans-BB.RE collateral'!$A$10,Input!$E:$E,'2.CC Trans-BB.RE collateral'!H$3,Input!$F:$F,'2.CC Trans-BB.RE collateral'!$D$3)  / SUMIFS(Input!$G:$G,Input!$C:$C,'2.CC Trans-BB.RE collateral'!$A$10,Input!$E:$E,'2.CC Trans-BB.RE collateral'!H$3,Input!$F:$F,'2.CC Trans-BB.RE collateral'!$D$3),0)</f>
        <v>29.547223635618579</v>
      </c>
      <c r="I43" s="105">
        <f>IFERROR(SUMIFS(Input!$J:$J,Input!$C:$C,'2.CC Trans-BB.RE collateral'!$A$10,Input!$E:$E,'2.CC Trans-BB.RE collateral'!I$3,Input!$F:$F,'2.CC Trans-BB.RE collateral'!$D$3)  / SUMIFS(Input!$G:$G,Input!$C:$C,'2.CC Trans-BB.RE collateral'!$A$10,Input!$E:$E,'2.CC Trans-BB.RE collateral'!I$3,Input!$F:$F,'2.CC Trans-BB.RE collateral'!$D$3),0)</f>
        <v>31.405085206621202</v>
      </c>
      <c r="J43" s="105">
        <f>IFERROR(SUMIFS(Input!$J:$J,Input!$C:$C,'2.CC Trans-BB.RE collateral'!$A$10,Input!$E:$E,'2.CC Trans-BB.RE collateral'!J$3,Input!$F:$F,'2.CC Trans-BB.RE collateral'!$D$3)  / SUMIFS(Input!$G:$G,Input!$C:$C,'2.CC Trans-BB.RE collateral'!$A$10,Input!$E:$E,'2.CC Trans-BB.RE collateral'!J$3,Input!$F:$F,'2.CC Trans-BB.RE collateral'!$D$3),0)</f>
        <v>31.929942833336838</v>
      </c>
      <c r="K43" s="105">
        <f>IFERROR(SUMIFS(Input!$J:$J,Input!$C:$C,'2.CC Trans-BB.RE collateral'!$A$10,Input!$R:$R,"&lt;&gt;"&amp;$S$1,Input!$F:$F,'2.CC Trans-BB.RE collateral'!$D$3)  / SUMIFS(Input!$G:$G,Input!$C:$C,'2.CC Trans-BB.RE collateral'!$A$10,Input!$R:$R,"&lt;&gt;"&amp;$S$1,Input!$F:$F,'2.CC Trans-BB.RE collateral'!$D$3),0)</f>
        <v>28.172391122259349</v>
      </c>
      <c r="L43" s="77"/>
      <c r="M43" s="105">
        <f>IFERROR(SUM(SUMIFS(Input!$J:$J,Input!$C:$C,'2.CC Trans-BB.RE collateral'!$A$10,Input!$D:$D,'2.CC Trans-BB.RE collateral'!M$7&amp;"*",Input!$H:$H,{"1-REAL";"SANTANDER"},Input!$F:$F,'2.CC Trans-BB.RE collateral'!$D$3))  / SUM(SUMIFS(Input!$G:$G,Input!$C:$C,'2.CC Trans-BB.RE collateral'!$A$10,Input!$D:$D,'2.CC Trans-BB.RE collateral'!M$7&amp;"*",Input!$H:$H,{"1-REAL";"SANTANDER"},Input!$F:$F,'2.CC Trans-BB.RE collateral'!$D$3)),0)</f>
        <v>26.298522714359148</v>
      </c>
      <c r="N43" s="105">
        <f>IFERROR(SUM(SUMIFS(Input!$J:$J,Input!$C:$C,'2.CC Trans-BB.RE collateral'!$A$10,Input!$D:$D,'2.CC Trans-BB.RE collateral'!N$7&amp;"*",Input!$H:$H,{"1-REAL";"SANTANDER"},Input!$F:$F,'2.CC Trans-BB.RE collateral'!$D$3))  / SUM(SUMIFS(Input!$G:$G,Input!$C:$C,'2.CC Trans-BB.RE collateral'!$A$10,Input!$D:$D,'2.CC Trans-BB.RE collateral'!N$7&amp;"*",Input!$H:$H,{"1-REAL";"SANTANDER"},Input!$F:$F,'2.CC Trans-BB.RE collateral'!$D$3)),0)</f>
        <v>28.909286716368566</v>
      </c>
      <c r="O43" s="105">
        <f>IFERROR(SUM(SUMIFS(Input!$J:$J,Input!$C:$C,'2.CC Trans-BB.RE collateral'!$A$10,Input!$D:$D,'2.CC Trans-BB.RE collateral'!O$7&amp;"*",Input!$H:$H,{"1-REAL";"SANTANDER"},Input!$F:$F,'2.CC Trans-BB.RE collateral'!$D$3))  / SUM(SUMIFS(Input!$G:$G,Input!$C:$C,'2.CC Trans-BB.RE collateral'!$A$10,Input!$D:$D,'2.CC Trans-BB.RE collateral'!O$7&amp;"*",Input!$H:$H,{"1-REAL";"SANTANDER"},Input!$F:$F,'2.CC Trans-BB.RE collateral'!$D$3)),0)</f>
        <v>31.922370902901214</v>
      </c>
      <c r="P43" s="105">
        <f>IFERROR(SUM(SUMIFS(Input!$J:$J,Input!$C:$C,'2.CC Trans-BB.RE collateral'!$A$10,Input!$D:$D,'2.CC Trans-BB.RE collateral'!P$7&amp;"*",Input!$H:$H,{"1-REAL";"SANTANDER"},Input!$F:$F,'2.CC Trans-BB.RE collateral'!$D$3))  / SUM(SUMIFS(Input!$G:$G,Input!$C:$C,'2.CC Trans-BB.RE collateral'!$A$10,Input!$D:$D,'2.CC Trans-BB.RE collateral'!P$7&amp;"*",Input!$H:$H,{"1-REAL";"SANTANDER"},Input!$F:$F,'2.CC Trans-BB.RE collateral'!$D$3)),0)</f>
        <v>32.570754811793265</v>
      </c>
      <c r="Q43" s="105">
        <f>IFERROR(SUM(SUMIFS(Input!$J:$J,Input!$C:$C,'2.CC Trans-BB.RE collateral'!$A$10,Input!$D:$D,'2.CC Trans-BB.RE collateral'!Q$7&amp;"*",Input!$H:$H,{"1-REAL";"SANTANDER"},Input!$F:$F,'2.CC Trans-BB.RE collateral'!$D$3))  / SUM(SUMIFS(Input!$G:$G,Input!$C:$C,'2.CC Trans-BB.RE collateral'!$A$10,Input!$D:$D,'2.CC Trans-BB.RE collateral'!Q$7&amp;"*",Input!$H:$H,{"1-REAL";"SANTANDER"},Input!$F:$F,'2.CC Trans-BB.RE collateral'!$D$3)),0)</f>
        <v>30.644406376964909</v>
      </c>
      <c r="R43" s="105">
        <f>IFERROR(SUM(SUMIFS(Input!$J:$J,Input!$C:$C,'2.CC Trans-BB.RE collateral'!$A$10,Input!$D:$D,'2.CC Trans-BB.RE collateral'!R$7&amp;"*",Input!$H:$H,{"1-REAL";"SANTANDER"},Input!$F:$F,'2.CC Trans-BB.RE collateral'!$D$3))  / SUM(SUMIFS(Input!$G:$G,Input!$C:$C,'2.CC Trans-BB.RE collateral'!$A$10,Input!$D:$D,'2.CC Trans-BB.RE collateral'!R$7&amp;"*",Input!$H:$H,{"1-REAL";"SANTANDER"},Input!$F:$F,'2.CC Trans-BB.RE collateral'!$D$3)),0)</f>
        <v>28.72100029610819</v>
      </c>
      <c r="S43" s="105">
        <f>IFERROR(SUM(SUMIFS(Input!$J:$J,Input!$C:$C,'2.CC Trans-BB.RE collateral'!$A$10,Input!$D:$D,'2.CC Trans-BB.RE collateral'!S$7&amp;"*",Input!$H:$H,{"1-REAL";"SANTANDER"},Input!$F:$F,'2.CC Trans-BB.RE collateral'!$D$3))  / SUM(SUMIFS(Input!$G:$G,Input!$C:$C,'2.CC Trans-BB.RE collateral'!$A$10,Input!$D:$D,'2.CC Trans-BB.RE collateral'!S$7&amp;"*",Input!$H:$H,{"1-REAL";"SANTANDER"},Input!$F:$F,'2.CC Trans-BB.RE collateral'!$D$3)),0)</f>
        <v>0</v>
      </c>
      <c r="T43" s="105">
        <f>IFERROR(SUMIFS(Input!$J:$J,Input!$C:$C,'2.CC Trans-BB.RE collateral'!$A$10,Input!$H:$H,"&lt;&gt;"&amp;S$1,Input!$H:$H,"&lt;&gt;"&amp;S$2,Input!$F:$F,'2.CC Trans-BB.RE collateral'!$D$3)  / SUMIFS(Input!$G:$G,Input!$C:$C,'2.CC Trans-BB.RE collateral'!$A$10,Input!$H:$H,"&lt;&gt;"&amp;S$1,Input!$H:$H,"&lt;&gt;"&amp;S$2,Input!$F:$F,'2.CC Trans-BB.RE collateral'!$D$3),0)</f>
        <v>27.073547422865161</v>
      </c>
      <c r="U43" s="77"/>
      <c r="V43" s="64"/>
    </row>
    <row r="44" spans="2:22" s="59" customFormat="1" ht="13" x14ac:dyDescent="0.3">
      <c r="B44" s="62">
        <v>33</v>
      </c>
      <c r="C44" s="76" t="s">
        <v>151</v>
      </c>
      <c r="D44" s="104">
        <f>ROUND(SUMIFS(Input!$G:$G,Input!$C:$C,'2.CC Trans-BB.RE collateral'!$A$10,Input!$I:$I,"MESG1",Input!$F:$F,'2.CC Trans-BB.RE collateral'!$D$3),0)</f>
        <v>563108</v>
      </c>
      <c r="E44" s="104">
        <f>ROUND(SUMIFS(Input!$G:$G,Input!$C:$C,'2.CC Trans-BB.RE collateral'!$A$10,Input!$I:$I,"MESG1",Input!$E:$E,'2.CC Trans-BB.RE collateral'!E$3,Input!$F:$F,'2.CC Trans-BB.RE collateral'!$D$3),0)</f>
        <v>185744</v>
      </c>
      <c r="F44" s="104">
        <f>ROUND(SUMIFS(Input!$G:$G,Input!$C:$C,'2.CC Trans-BB.RE collateral'!$A$10,Input!$I:$I,"MESG1",Input!$E:$E,'2.CC Trans-BB.RE collateral'!F$3,Input!$F:$F,'2.CC Trans-BB.RE collateral'!$D$3),0)</f>
        <v>242488</v>
      </c>
      <c r="G44" s="104">
        <f>ROUND(SUMIFS(Input!$G:$G,Input!$C:$C,'2.CC Trans-BB.RE collateral'!$A$10,Input!$I:$I,"MESG1",Input!$E:$E,'2.CC Trans-BB.RE collateral'!G$3,Input!$F:$F,'2.CC Trans-BB.RE collateral'!$D$3),0)</f>
        <v>134876</v>
      </c>
      <c r="H44" s="104">
        <f>ROUND(SUMIFS(Input!$G:$G,Input!$C:$C,'2.CC Trans-BB.RE collateral'!$A$10,Input!$I:$I,"MESG1",Input!$E:$E,'2.CC Trans-BB.RE collateral'!H$3,Input!$F:$F,'2.CC Trans-BB.RE collateral'!$D$3),0)</f>
        <v>0</v>
      </c>
      <c r="I44" s="104">
        <f>ROUND(SUMIFS(Input!$G:$G,Input!$C:$C,'2.CC Trans-BB.RE collateral'!$A$10,Input!$I:$I,"MESG1",Input!$E:$E,'2.CC Trans-BB.RE collateral'!I$3,Input!$F:$F,'2.CC Trans-BB.RE collateral'!$D$3),0)</f>
        <v>0</v>
      </c>
      <c r="J44" s="104">
        <f>ROUND(SUMIFS(Input!$G:$G,Input!$C:$C,'2.CC Trans-BB.RE collateral'!$A$10,Input!$I:$I,"MESG1",Input!$E:$E,'2.CC Trans-BB.RE collateral'!J$3,Input!$F:$F,'2.CC Trans-BB.RE collateral'!$D$3),0)</f>
        <v>0</v>
      </c>
      <c r="K44" s="104">
        <f>ROUND(SUMIFS(Input!$G:$G,Input!$C:$C,'2.CC Trans-BB.RE collateral'!$A$10,Input!$I:$I,"MESG1",Input!$R:$R,"&lt;&gt;"&amp;$S$1,Input!$F:$F,'2.CC Trans-BB.RE collateral'!$D$3),0)</f>
        <v>563108</v>
      </c>
      <c r="L44" s="77"/>
      <c r="M44" s="104">
        <f>ROUND(SUM(SUMIFS(Input!$G:$G,Input!$C:$C,'2.CC Trans-BB.RE collateral'!$A$10,Input!$I:$I,"MESG1",Input!$D:$D,'2.CC Trans-BB.RE collateral'!M$7&amp;"*",Input!$H:$H,{"1-REAL";"SANTANDER"},Input!$F:$F,'2.CC Trans-BB.RE collateral'!$D$3)),0)</f>
        <v>0</v>
      </c>
      <c r="N44" s="104">
        <f>ROUND(SUM(SUMIFS(Input!$G:$G,Input!$C:$C,'2.CC Trans-BB.RE collateral'!$A$10,Input!$I:$I,"MESG1",Input!$D:$D,'2.CC Trans-BB.RE collateral'!N$7&amp;"*",Input!$H:$H,{"1-REAL";"SANTANDER"},Input!$F:$F,'2.CC Trans-BB.RE collateral'!$D$3)),0)</f>
        <v>0</v>
      </c>
      <c r="O44" s="104">
        <f>ROUND(SUM(SUMIFS(Input!$G:$G,Input!$C:$C,'2.CC Trans-BB.RE collateral'!$A$10,Input!$I:$I,"MESG1",Input!$D:$D,'2.CC Trans-BB.RE collateral'!O$7&amp;"*",Input!$H:$H,{"1-REAL";"SANTANDER"},Input!$F:$F,'2.CC Trans-BB.RE collateral'!$D$3)),0)</f>
        <v>0</v>
      </c>
      <c r="P44" s="104">
        <f>ROUND(SUM(SUMIFS(Input!$G:$G,Input!$C:$C,'2.CC Trans-BB.RE collateral'!$A$10,Input!$I:$I,"MESG1",Input!$D:$D,'2.CC Trans-BB.RE collateral'!P$7&amp;"*",Input!$H:$H,{"1-REAL";"SANTANDER"},Input!$F:$F,'2.CC Trans-BB.RE collateral'!$D$3)),0)</f>
        <v>0</v>
      </c>
      <c r="Q44" s="104">
        <f>ROUND(SUM(SUMIFS(Input!$G:$G,Input!$C:$C,'2.CC Trans-BB.RE collateral'!$A$10,Input!$I:$I,"MESG1",Input!$D:$D,'2.CC Trans-BB.RE collateral'!Q$7&amp;"*",Input!$H:$H,{"1-REAL";"SANTANDER"},Input!$F:$F,'2.CC Trans-BB.RE collateral'!$D$3)),0)</f>
        <v>0</v>
      </c>
      <c r="R44" s="104">
        <f>ROUND(SUM(SUMIFS(Input!$G:$G,Input!$C:$C,'2.CC Trans-BB.RE collateral'!$A$10,Input!$I:$I,"MESG1",Input!$D:$D,'2.CC Trans-BB.RE collateral'!R$7&amp;"*",Input!$H:$H,{"1-REAL";"SANTANDER"},Input!$F:$F,'2.CC Trans-BB.RE collateral'!$D$3)),0)</f>
        <v>34458</v>
      </c>
      <c r="S44" s="104">
        <f>ROUND(SUM(SUMIFS(Input!$G:$G,Input!$C:$C,'2.CC Trans-BB.RE collateral'!$A$10,Input!$I:$I,"MESG1",Input!$D:$D,'2.CC Trans-BB.RE collateral'!S$7&amp;"*",Input!$H:$H,{"1-REAL";"SANTANDER"},Input!$F:$F,'2.CC Trans-BB.RE collateral'!$D$3)),0)</f>
        <v>0</v>
      </c>
      <c r="T44" s="104">
        <f>ROUND(SUMIFS(Input!$G:$G,Input!$C:$C,'2.CC Trans-BB.RE collateral'!$A$10,Input!$I:$I,"MESG1",Input!$H:$H,"&lt;&gt;"&amp;S$1,Input!$H:$H,"&lt;&gt;"&amp;S$2,Input!$F:$F,'2.CC Trans-BB.RE collateral'!$D$3),0)</f>
        <v>528650</v>
      </c>
      <c r="U44" s="77"/>
      <c r="V44" s="64"/>
    </row>
    <row r="45" spans="2:22" s="59" customFormat="1" ht="13" x14ac:dyDescent="0.3">
      <c r="B45" s="62">
        <v>34</v>
      </c>
      <c r="C45" s="76" t="s">
        <v>152</v>
      </c>
      <c r="D45" s="103">
        <f>IFERROR(SUM(SUMIFS(Input!$O:$O,Input!$C:$C,'2.CC Trans-BB.RE collateral'!$A$10,Input!$K:$K,{"NBF1";"NBF2"},Input!$F:$F,'2.CC Trans-BB.RE collateral'!$D$3)) / SUM(SUMIFS(Input!$G:$G,Input!$C:$C,'2.CC Trans-BB.RE collateral'!$A$10,Input!$K:$K,{"NBF1";"NBF2"},Input!$F:$F,'2.CC Trans-BB.RE collateral'!$D$3)),0)</f>
        <v>0</v>
      </c>
      <c r="E45" s="103">
        <f>IFERROR(SUM(SUMIFS(Input!$O:$O,Input!$C:$C,'2.CC Trans-BB.RE collateral'!$A$10,Input!$K:$K,{"NBF1";"NBF2"},Input!$E:$E,'2.CC Trans-BB.RE collateral'!E$3,Input!$F:$F,'2.CC Trans-BB.RE collateral'!$D$3)) / SUM(SUMIFS(Input!$G:$G,Input!$C:$C,'2.CC Trans-BB.RE collateral'!$A$10,Input!$K:$K,{"NBF1";"NBF2"},Input!$E:$E,'2.CC Trans-BB.RE collateral'!E$3,Input!$F:$F,'2.CC Trans-BB.RE collateral'!$D$3)),0)</f>
        <v>0</v>
      </c>
      <c r="F45" s="103">
        <f>IFERROR(SUM(SUMIFS(Input!$O:$O,Input!$C:$C,'2.CC Trans-BB.RE collateral'!$A$10,Input!$K:$K,{"NBF1";"NBF2"},Input!$E:$E,'2.CC Trans-BB.RE collateral'!F$3,Input!$F:$F,'2.CC Trans-BB.RE collateral'!$D$3)) / SUM(SUMIFS(Input!$G:$G,Input!$C:$C,'2.CC Trans-BB.RE collateral'!$A$10,Input!$K:$K,{"NBF1";"NBF2"},Input!$E:$E,'2.CC Trans-BB.RE collateral'!F$3,Input!$F:$F,'2.CC Trans-BB.RE collateral'!$D$3)),0)</f>
        <v>0</v>
      </c>
      <c r="G45" s="103">
        <f>IFERROR(SUM(SUMIFS(Input!$O:$O,Input!$C:$C,'2.CC Trans-BB.RE collateral'!$A$10,Input!$K:$K,{"NBF1";"NBF2"},Input!$E:$E,'2.CC Trans-BB.RE collateral'!G$3,Input!$F:$F,'2.CC Trans-BB.RE collateral'!$D$3)) / SUM(SUMIFS(Input!$G:$G,Input!$C:$C,'2.CC Trans-BB.RE collateral'!$A$10,Input!$K:$K,{"NBF1";"NBF2"},Input!$E:$E,'2.CC Trans-BB.RE collateral'!G$3,Input!$F:$F,'2.CC Trans-BB.RE collateral'!$D$3)),0)</f>
        <v>0</v>
      </c>
      <c r="H45" s="103">
        <f>IFERROR(SUM(SUMIFS(Input!$O:$O,Input!$C:$C,'2.CC Trans-BB.RE collateral'!$A$10,Input!$K:$K,{"NBF1";"NBF2"},Input!$E:$E,'2.CC Trans-BB.RE collateral'!H$3,Input!$F:$F,'2.CC Trans-BB.RE collateral'!$D$3)) / SUM(SUMIFS(Input!$G:$G,Input!$C:$C,'2.CC Trans-BB.RE collateral'!$A$10,Input!$K:$K,{"NBF1";"NBF2"},Input!$E:$E,'2.CC Trans-BB.RE collateral'!H$3,Input!$F:$F,'2.CC Trans-BB.RE collateral'!$D$3)),0)</f>
        <v>0</v>
      </c>
      <c r="I45" s="103">
        <f>IFERROR(SUM(SUMIFS(Input!$O:$O,Input!$C:$C,'2.CC Trans-BB.RE collateral'!$A$10,Input!$K:$K,{"NBF1";"NBF2"},Input!$E:$E,'2.CC Trans-BB.RE collateral'!I$3,Input!$F:$F,'2.CC Trans-BB.RE collateral'!$D$3)) / SUM(SUMIFS(Input!$G:$G,Input!$C:$C,'2.CC Trans-BB.RE collateral'!$A$10,Input!$K:$K,{"NBF1";"NBF2"},Input!$E:$E,'2.CC Trans-BB.RE collateral'!I$3,Input!$F:$F,'2.CC Trans-BB.RE collateral'!$D$3)),0)</f>
        <v>0</v>
      </c>
      <c r="J45" s="103">
        <f>IFERROR(SUM(SUMIFS(Input!$O:$O,Input!$C:$C,'2.CC Trans-BB.RE collateral'!$A$10,Input!$K:$K,{"NBF1";"NBF2"},Input!$E:$E,'2.CC Trans-BB.RE collateral'!J$3,Input!$F:$F,'2.CC Trans-BB.RE collateral'!$D$3)) / SUM(SUMIFS(Input!$G:$G,Input!$C:$C,'2.CC Trans-BB.RE collateral'!$A$10,Input!$K:$K,{"NBF1";"NBF2"},Input!$E:$E,'2.CC Trans-BB.RE collateral'!J$3,Input!$F:$F,'2.CC Trans-BB.RE collateral'!$D$3)),0)</f>
        <v>0</v>
      </c>
      <c r="K45" s="103">
        <f>IFERROR(SUM(SUMIFS(Input!$O:$O,Input!$C:$C,'2.CC Trans-BB.RE collateral'!$A$10,Input!$K:$K,{"NBF1";"NBF2"},Input!$R:$R,"&lt;&gt;"&amp;$S$1,Input!$F:$F,'2.CC Trans-BB.RE collateral'!$D$3)) / SUM(SUMIFS(Input!$G:$G,Input!$C:$C,'2.CC Trans-BB.RE collateral'!$A$10,Input!$K:$K,{"NBF1";"NBF2"},Input!$R:$R,"&lt;&gt;"&amp;$S$1,Input!$F:$F,'2.CC Trans-BB.RE collateral'!$D$3)),0)</f>
        <v>0</v>
      </c>
      <c r="L45" s="77"/>
      <c r="M45" s="103">
        <f>IFERROR(SUM(SUMIFS(Input!$O:$O,Input!$C:$C,'2.CC Trans-BB.RE collateral'!$A$10,Input!$K:$K,{"NBF1";"NBF2"},Input!$H:$H,"1-REAL",Input!$D:$D,'2.CC Trans-BB.RE collateral'!M$7&amp;"*",Input!$F:$F,'2.CC Trans-BB.RE collateral'!$D$3)) / SUM(SUMIFS(Input!$G:$G,Input!$C:$C,'2.CC Trans-BB.RE collateral'!$A$10,Input!$K:$K,{"NBF1";"NBF2"},Input!$H:$H,"1-REAL",Input!$D:$D,'2.CC Trans-BB.RE collateral'!M$7&amp;"*",Input!$F:$F,'2.CC Trans-BB.RE collateral'!$D$3)),0)</f>
        <v>0</v>
      </c>
      <c r="N45" s="103">
        <f>IFERROR(SUM(SUMIFS(Input!$O:$O,Input!$C:$C,'2.CC Trans-BB.RE collateral'!$A$10,Input!$K:$K,{"NBF1";"NBF2"},Input!$H:$H,"1-REAL",Input!$D:$D,'2.CC Trans-BB.RE collateral'!N$7&amp;"*",Input!$F:$F,'2.CC Trans-BB.RE collateral'!$D$3)) / SUM(SUMIFS(Input!$G:$G,Input!$C:$C,'2.CC Trans-BB.RE collateral'!$A$10,Input!$K:$K,{"NBF1";"NBF2"},Input!$H:$H,"1-REAL",Input!$D:$D,'2.CC Trans-BB.RE collateral'!N$7&amp;"*",Input!$F:$F,'2.CC Trans-BB.RE collateral'!$D$3)),0)</f>
        <v>0</v>
      </c>
      <c r="O45" s="103">
        <f>IFERROR(SUM(SUMIFS(Input!$O:$O,Input!$C:$C,'2.CC Trans-BB.RE collateral'!$A$10,Input!$K:$K,{"NBF1";"NBF2"},Input!$H:$H,"1-REAL",Input!$D:$D,'2.CC Trans-BB.RE collateral'!O$7&amp;"*",Input!$F:$F,'2.CC Trans-BB.RE collateral'!$D$3)) / SUM(SUMIFS(Input!$G:$G,Input!$C:$C,'2.CC Trans-BB.RE collateral'!$A$10,Input!$K:$K,{"NBF1";"NBF2"},Input!$H:$H,"1-REAL",Input!$D:$D,'2.CC Trans-BB.RE collateral'!O$7&amp;"*",Input!$F:$F,'2.CC Trans-BB.RE collateral'!$D$3)),0)</f>
        <v>0</v>
      </c>
      <c r="P45" s="103">
        <f>IFERROR(SUM(SUMIFS(Input!$O:$O,Input!$C:$C,'2.CC Trans-BB.RE collateral'!$A$10,Input!$K:$K,{"NBF1";"NBF2"},Input!$H:$H,"1-REAL",Input!$D:$D,'2.CC Trans-BB.RE collateral'!P$7&amp;"*",Input!$F:$F,'2.CC Trans-BB.RE collateral'!$D$3)) / SUM(SUMIFS(Input!$G:$G,Input!$C:$C,'2.CC Trans-BB.RE collateral'!$A$10,Input!$K:$K,{"NBF1";"NBF2"},Input!$H:$H,"1-REAL",Input!$D:$D,'2.CC Trans-BB.RE collateral'!P$7&amp;"*",Input!$F:$F,'2.CC Trans-BB.RE collateral'!$D$3)),0)</f>
        <v>0</v>
      </c>
      <c r="Q45" s="103">
        <f>IFERROR(SUM(SUMIFS(Input!$O:$O,Input!$C:$C,'2.CC Trans-BB.RE collateral'!$A$10,Input!$K:$K,{"NBF1";"NBF2"},Input!$H:$H,"1-REAL",Input!$D:$D,'2.CC Trans-BB.RE collateral'!Q$7&amp;"*",Input!$F:$F,'2.CC Trans-BB.RE collateral'!$D$3)) / SUM(SUMIFS(Input!$G:$G,Input!$C:$C,'2.CC Trans-BB.RE collateral'!$A$10,Input!$K:$K,{"NBF1";"NBF2"},Input!$H:$H,"1-REAL",Input!$D:$D,'2.CC Trans-BB.RE collateral'!Q$7&amp;"*",Input!$F:$F,'2.CC Trans-BB.RE collateral'!$D$3)),0)</f>
        <v>0</v>
      </c>
      <c r="R45" s="103">
        <f>IFERROR(SUM(SUMIFS(Input!$O:$O,Input!$C:$C,'2.CC Trans-BB.RE collateral'!$A$10,Input!$K:$K,{"NBF1";"NBF2"},Input!$H:$H,"1-REAL",Input!$D:$D,'2.CC Trans-BB.RE collateral'!R$7&amp;"*",Input!$F:$F,'2.CC Trans-BB.RE collateral'!$D$3)) / SUM(SUMIFS(Input!$G:$G,Input!$C:$C,'2.CC Trans-BB.RE collateral'!$A$10,Input!$K:$K,{"NBF1";"NBF2"},Input!$H:$H,"1-REAL",Input!$D:$D,'2.CC Trans-BB.RE collateral'!R$7&amp;"*",Input!$F:$F,'2.CC Trans-BB.RE collateral'!$D$3)),0)</f>
        <v>0</v>
      </c>
      <c r="S45" s="103">
        <f>IFERROR(SUM(SUMIFS(Input!$O:$O,Input!$C:$C,'2.CC Trans-BB.RE collateral'!$A$10,Input!$K:$K,{"NBF1";"NBF2"},Input!$H:$H,"1-REAL",Input!$D:$D,'2.CC Trans-BB.RE collateral'!S$7&amp;"*",Input!$F:$F,'2.CC Trans-BB.RE collateral'!$D$3)) / SUM(SUMIFS(Input!$G:$G,Input!$C:$C,'2.CC Trans-BB.RE collateral'!$A$10,Input!$K:$K,{"NBF1";"NBF2"},Input!$H:$H,"1-REAL",Input!$D:$D,'2.CC Trans-BB.RE collateral'!S$7&amp;"*",Input!$F:$F,'2.CC Trans-BB.RE collateral'!$D$3)),0)</f>
        <v>0</v>
      </c>
      <c r="T45" s="103">
        <f>IFERROR(SUM(SUMIFS(Input!$O:$O,Input!$C:$C,'2.CC Trans-BB.RE collateral'!$A$10,Input!$K:$K,{"NBF1";"NBF2"},Input!$H:$H,"&lt;&gt;"&amp;S$1,Input!$H:$H,"&lt;&gt;"&amp;S$2,Input!$F:$F,'2.CC Trans-BB.RE collateral'!$D$3)) / SUM(SUMIFS(Input!$G:$G,Input!$C:$C,'2.CC Trans-BB.RE collateral'!$A$10,Input!$K:$K,{"NBF1";"NBF2"},Input!$H:$H,"&lt;&gt;"&amp;S$1,Input!$H:$H,"&lt;&gt;"&amp;S$2,Input!$F:$F,'2.CC Trans-BB.RE collateral'!$D$3)),0)</f>
        <v>0</v>
      </c>
      <c r="U45" s="77"/>
      <c r="V45" s="64"/>
    </row>
    <row r="46" spans="2:22" s="59" customFormat="1" ht="13" x14ac:dyDescent="0.3">
      <c r="B46" s="83"/>
      <c r="C46" s="84"/>
      <c r="D46" s="85"/>
      <c r="K46" s="85"/>
      <c r="L46" s="86"/>
      <c r="M46" s="87"/>
      <c r="N46" s="87"/>
      <c r="O46" s="87"/>
      <c r="P46" s="87"/>
      <c r="Q46" s="87"/>
      <c r="R46" s="87"/>
      <c r="S46" s="87"/>
      <c r="T46" s="87"/>
      <c r="U46" s="86"/>
      <c r="V46" s="64"/>
    </row>
    <row r="47" spans="2:22" s="59" customFormat="1" ht="13" x14ac:dyDescent="0.3">
      <c r="B47" s="88" t="s">
        <v>153</v>
      </c>
      <c r="C47" s="84"/>
      <c r="D47" s="85"/>
      <c r="E47" s="85"/>
      <c r="F47" s="85"/>
      <c r="G47" s="85"/>
      <c r="H47" s="85"/>
      <c r="I47" s="85"/>
      <c r="J47" s="85"/>
      <c r="K47" s="85"/>
      <c r="L47" s="86"/>
      <c r="M47" s="89"/>
      <c r="N47" s="89"/>
      <c r="O47" s="89"/>
      <c r="P47" s="89"/>
      <c r="Q47" s="89"/>
      <c r="R47" s="89"/>
      <c r="S47" s="89"/>
      <c r="T47" s="87"/>
      <c r="U47" s="86"/>
      <c r="V47" s="64"/>
    </row>
    <row r="48" spans="2:22" s="59" customFormat="1" ht="13" x14ac:dyDescent="0.3">
      <c r="B48" s="90"/>
      <c r="C48" s="84"/>
      <c r="D48" s="85"/>
      <c r="E48" s="115" t="s">
        <v>154</v>
      </c>
      <c r="F48" s="115"/>
      <c r="G48" s="115"/>
      <c r="H48" s="115"/>
      <c r="I48" s="115"/>
      <c r="J48" s="115"/>
      <c r="K48" s="85"/>
      <c r="L48" s="85"/>
      <c r="M48" s="115" t="s">
        <v>154</v>
      </c>
      <c r="N48" s="115"/>
      <c r="O48" s="115"/>
      <c r="P48" s="115"/>
      <c r="Q48" s="115"/>
      <c r="R48" s="115"/>
      <c r="S48" s="115"/>
      <c r="T48" s="87"/>
      <c r="U48" s="86"/>
      <c r="V48" s="64"/>
    </row>
    <row r="49" spans="2:22" s="59" customFormat="1" ht="14.25" customHeight="1" x14ac:dyDescent="0.3">
      <c r="C49" s="84"/>
      <c r="D49" s="85"/>
      <c r="E49" s="91" t="s">
        <v>13</v>
      </c>
      <c r="F49" s="91" t="s">
        <v>14</v>
      </c>
      <c r="G49" s="91" t="s">
        <v>15</v>
      </c>
      <c r="H49" s="91" t="s">
        <v>16</v>
      </c>
      <c r="I49" s="91" t="s">
        <v>17</v>
      </c>
      <c r="J49" s="91" t="s">
        <v>18</v>
      </c>
      <c r="K49" s="85"/>
      <c r="M49" s="91" t="s">
        <v>19</v>
      </c>
      <c r="N49" s="91" t="s">
        <v>20</v>
      </c>
      <c r="O49" s="91" t="s">
        <v>21</v>
      </c>
      <c r="P49" s="91" t="s">
        <v>22</v>
      </c>
      <c r="Q49" s="91" t="s">
        <v>23</v>
      </c>
      <c r="R49" s="91" t="s">
        <v>24</v>
      </c>
      <c r="S49" s="91" t="s">
        <v>25</v>
      </c>
      <c r="T49" s="87"/>
      <c r="U49" s="86"/>
      <c r="V49" s="64"/>
    </row>
    <row r="50" spans="2:22" s="59" customFormat="1" ht="13" x14ac:dyDescent="0.3">
      <c r="B50" s="62">
        <v>35</v>
      </c>
      <c r="C50" s="84"/>
      <c r="D50" s="85" t="s">
        <v>155</v>
      </c>
      <c r="E50" s="104">
        <f>ROUND(SUM(SUMIFS(Input!$G:$G,Input!$E:$E,'2.CC Trans-BB.RE collateral'!E$3,Input!$C:$C,'2.CC Trans-BB.RE collateral'!$A$9,Input!$K:$K,{"NBF1";"NBF2"})),0)</f>
        <v>156419992</v>
      </c>
      <c r="F50" s="104">
        <f>ROUND(SUM(SUMIFS(Input!$G:$G,Input!$E:$E,'2.CC Trans-BB.RE collateral'!F$3,Input!$C:$C,'2.CC Trans-BB.RE collateral'!$A$9,Input!$K:$K,{"NBF1";"NBF2"})),0)</f>
        <v>150797005</v>
      </c>
      <c r="G50" s="104">
        <f>ROUND(SUM(SUMIFS(Input!$G:$G,Input!$E:$E,'2.CC Trans-BB.RE collateral'!G$3,Input!$C:$C,'2.CC Trans-BB.RE collateral'!$A$9,Input!$K:$K,{"NBF1";"NBF2"})),0)</f>
        <v>50502330</v>
      </c>
      <c r="H50" s="104">
        <f>ROUND(SUM(SUMIFS(Input!$G:$G,Input!$E:$E,'2.CC Trans-BB.RE collateral'!H$3,Input!$C:$C,'2.CC Trans-BB.RE collateral'!$A$9,Input!$K:$K,{"NBF1";"NBF2"})),0)</f>
        <v>792373</v>
      </c>
      <c r="I50" s="104">
        <f>ROUND(SUM(SUMIFS(Input!$G:$G,Input!$E:$E,'2.CC Trans-BB.RE collateral'!I$3,Input!$C:$C,'2.CC Trans-BB.RE collateral'!$A$9,Input!$K:$K,{"NBF1";"NBF2"})),0)</f>
        <v>1593565</v>
      </c>
      <c r="J50" s="104">
        <f>ROUND(SUM(SUMIFS(Input!$G:$G,Input!$E:$E,'2.CC Trans-BB.RE collateral'!J$3,Input!$C:$C,'2.CC Trans-BB.RE collateral'!$A$9,Input!$K:$K,{"NBF1";"NBF2"})),0)</f>
        <v>1411820</v>
      </c>
      <c r="K50" s="85"/>
      <c r="L50" s="85" t="s">
        <v>155</v>
      </c>
      <c r="M50" s="104">
        <f>ROUND((SUM(SUMIFS(Input!$G:$G,Input!$D:$D,'2.CC Trans-BB.RE collateral'!M$7&amp;"*",Input!$C:$C,'2.CC Trans-BB.RE collateral'!$A$9,Input!$H:$H,{"1-REAL";"SANTANDER"},Input!$K:$K,"NBF2"))+
SUM(SUMIFS(Input!$G:$G,Input!$D:$D,'2.CC Trans-BB.RE collateral'!M$7&amp;"*",Input!$C:$C,'2.CC Trans-BB.RE collateral'!$A$9,Input!$H:$H,{"1-REAL";"SANTANDER"},Input!$K:$K,"NBF1"))),0)</f>
        <v>10370457</v>
      </c>
      <c r="N50" s="104">
        <f>ROUND((SUM(SUMIFS(Input!$G:$G,Input!$D:$D,'2.CC Trans-BB.RE collateral'!N$7&amp;"*",Input!$C:$C,'2.CC Trans-BB.RE collateral'!$A$9,Input!$H:$H,{"1-REAL";"SANTANDER"},Input!$K:$K,"NBF2"))+
SUM(SUMIFS(Input!$G:$G,Input!$D:$D,'2.CC Trans-BB.RE collateral'!N$7&amp;"*",Input!$C:$C,'2.CC Trans-BB.RE collateral'!$A$9,Input!$H:$H,{"1-REAL";"SANTANDER"},Input!$K:$K,"NBF1"))),0)</f>
        <v>10105790</v>
      </c>
      <c r="O50" s="104">
        <f>ROUND((SUM(SUMIFS(Input!$G:$G,Input!$D:$D,'2.CC Trans-BB.RE collateral'!O$7&amp;"*",Input!$C:$C,'2.CC Trans-BB.RE collateral'!$A$9,Input!$H:$H,{"1-REAL";"SANTANDER"},Input!$K:$K,"NBF2"))+
SUM(SUMIFS(Input!$G:$G,Input!$D:$D,'2.CC Trans-BB.RE collateral'!O$7&amp;"*",Input!$C:$C,'2.CC Trans-BB.RE collateral'!$A$9,Input!$H:$H,{"1-REAL";"SANTANDER"},Input!$K:$K,"NBF1"))),0)</f>
        <v>28212642</v>
      </c>
      <c r="P50" s="104">
        <f>ROUND((SUM(SUMIFS(Input!$G:$G,Input!$D:$D,'2.CC Trans-BB.RE collateral'!P$7&amp;"*",Input!$C:$C,'2.CC Trans-BB.RE collateral'!$A$9,Input!$H:$H,{"1-REAL";"SANTANDER"},Input!$K:$K,"NBF2"))+
SUM(SUMIFS(Input!$G:$G,Input!$D:$D,'2.CC Trans-BB.RE collateral'!P$7&amp;"*",Input!$C:$C,'2.CC Trans-BB.RE collateral'!$A$9,Input!$H:$H,{"1-REAL";"SANTANDER"},Input!$K:$K,"NBF1"))),0)</f>
        <v>1934710</v>
      </c>
      <c r="Q50" s="104">
        <f>ROUND((SUM(SUMIFS(Input!$G:$G,Input!$D:$D,'2.CC Trans-BB.RE collateral'!Q$7&amp;"*",Input!$C:$C,'2.CC Trans-BB.RE collateral'!$A$9,Input!$H:$H,{"1-REAL";"SANTANDER"},Input!$K:$K,"NBF2"))+
SUM(SUMIFS(Input!$G:$G,Input!$D:$D,'2.CC Trans-BB.RE collateral'!Q$7&amp;"*",Input!$C:$C,'2.CC Trans-BB.RE collateral'!$A$9,Input!$H:$H,{"1-REAL";"SANTANDER"},Input!$K:$K,"NBF1"))),0)</f>
        <v>3292630</v>
      </c>
      <c r="R50" s="104">
        <f>ROUND((SUM(SUMIFS(Input!$G:$G,Input!$D:$D,'2.CC Trans-BB.RE collateral'!R$7&amp;"*",Input!$C:$C,'2.CC Trans-BB.RE collateral'!$A$9,Input!$H:$H,{"1-REAL";"SANTANDER"},Input!$K:$K,"NBF2"))+
SUM(SUMIFS(Input!$G:$G,Input!$D:$D,'2.CC Trans-BB.RE collateral'!R$7&amp;"*",Input!$C:$C,'2.CC Trans-BB.RE collateral'!$A$9,Input!$H:$H,{"1-REAL";"SANTANDER"},Input!$K:$K,"NBF1"))),0)</f>
        <v>224660</v>
      </c>
      <c r="S50" s="104">
        <f>ROUND((SUM(SUMIFS(Input!$G:$G,Input!$D:$D,'2.CC Trans-BB.RE collateral'!S$7&amp;"*",Input!$C:$C,'2.CC Trans-BB.RE collateral'!$A$9,Input!$H:$H,{"1-REAL";"SANTANDER"},Input!$K:$K,"NBF2"))+
SUM(SUMIFS(Input!$G:$G,Input!$D:$D,'2.CC Trans-BB.RE collateral'!S$7&amp;"*",Input!$C:$C,'2.CC Trans-BB.RE collateral'!$A$9,Input!$H:$H,{"1-REAL";"SANTANDER"},Input!$K:$K,"NBF1"))),0)</f>
        <v>0</v>
      </c>
      <c r="T50" s="87"/>
      <c r="U50" s="86"/>
      <c r="V50" s="64"/>
    </row>
    <row r="51" spans="2:22" s="59" customFormat="1" ht="3" customHeight="1" x14ac:dyDescent="0.3">
      <c r="B51" s="92"/>
      <c r="C51" s="84"/>
      <c r="D51" s="85"/>
      <c r="E51" s="106"/>
      <c r="F51" s="106"/>
      <c r="G51" s="106"/>
      <c r="H51" s="106"/>
      <c r="I51" s="106"/>
      <c r="J51" s="106"/>
      <c r="K51" s="85"/>
      <c r="L51" s="85"/>
      <c r="M51" s="106"/>
      <c r="N51" s="106"/>
      <c r="O51" s="106"/>
      <c r="P51" s="106"/>
      <c r="Q51" s="106"/>
      <c r="R51" s="106"/>
      <c r="S51" s="106"/>
      <c r="T51" s="87"/>
      <c r="U51" s="86"/>
      <c r="V51" s="64"/>
    </row>
    <row r="52" spans="2:22" s="59" customFormat="1" ht="13" x14ac:dyDescent="0.3">
      <c r="B52" s="62">
        <v>36</v>
      </c>
      <c r="C52" s="84"/>
      <c r="D52" s="93" t="s">
        <v>13</v>
      </c>
      <c r="E52" s="104">
        <f>ROUND(SUM(SUMIFS(Input!$G:$G,Input!$E:$E,'2.CC Trans-BB.RE collateral'!E$3,Input!$C:$C,'2.CC Trans-BB.RE collateral'!$A$9,Input!$L:$L,"PEPS1",Input!$K:$K,"NBF3")),0)</f>
        <v>1377486149</v>
      </c>
      <c r="F52" s="104">
        <f>ROUND(SUM(SUMIFS(Input!$G:$G,Input!$E:$E,'2.CC Trans-BB.RE collateral'!F$3,Input!$C:$C,'2.CC Trans-BB.RE collateral'!$A$9,Input!$L:$L,"PEPS1",Input!$K:$K,"NBF3")),0)</f>
        <v>37947095</v>
      </c>
      <c r="G52" s="104">
        <f>ROUND(SUM(SUMIFS(Input!$G:$G,Input!$E:$E,'2.CC Trans-BB.RE collateral'!G$3,Input!$C:$C,'2.CC Trans-BB.RE collateral'!$A$9,Input!$L:$L,"PEPS1",Input!$K:$K,"NBF3")),0)</f>
        <v>473206</v>
      </c>
      <c r="H52" s="104">
        <f>ROUND(SUM(SUMIFS(Input!$G:$G,Input!$E:$E,'2.CC Trans-BB.RE collateral'!H$3,Input!$C:$C,'2.CC Trans-BB.RE collateral'!$A$9,Input!$L:$L,"PEPS1",Input!$K:$K,"NBF3")),0)</f>
        <v>0</v>
      </c>
      <c r="I52" s="104">
        <f>ROUND(SUM(SUMIFS(Input!$G:$G,Input!$E:$E,'2.CC Trans-BB.RE collateral'!I$3,Input!$C:$C,'2.CC Trans-BB.RE collateral'!$A$9,Input!$L:$L,"PEPS1",Input!$K:$K,"NBF3")),0)</f>
        <v>0</v>
      </c>
      <c r="J52" s="104">
        <f>ROUND(SUM(SUMIFS(Input!$G:$G,Input!$E:$E,'2.CC Trans-BB.RE collateral'!J$3,Input!$C:$C,'2.CC Trans-BB.RE collateral'!$A$9,Input!$L:$L,"PEPS1",Input!$K:$K,"NBF3")),0)</f>
        <v>0</v>
      </c>
      <c r="K52" s="85"/>
      <c r="L52" s="93" t="s">
        <v>19</v>
      </c>
      <c r="M52" s="104">
        <f>ROUND(SUM(SUMIFS(Input!$G:$G,Input!$D:$D,'2.CC Trans-BB.RE collateral'!M$7&amp;"*",Input!$C:$C,'2.CC Trans-BB.RE collateral'!$A$9,Input!$M:$M,"PEPC1",Input!$H:$H,{"1-REAL";"SANTANDER"},Input!$K:$K,"NBF3")),0)</f>
        <v>8526861</v>
      </c>
      <c r="N52" s="104">
        <f>ROUND(SUM(SUMIFS(Input!$G:$G,Input!$D:$D,'2.CC Trans-BB.RE collateral'!N$7&amp;"*",Input!$C:$C,'2.CC Trans-BB.RE collateral'!$A$9,Input!$M:$M,"PEPC1",Input!$H:$H,{"1-REAL";"SANTANDER"},Input!$K:$K,"NBF3")),0)</f>
        <v>0</v>
      </c>
      <c r="O52" s="104">
        <f>ROUND(SUM(SUMIFS(Input!$G:$G,Input!$D:$D,'2.CC Trans-BB.RE collateral'!O$7&amp;"*",Input!$C:$C,'2.CC Trans-BB.RE collateral'!$A$9,Input!$M:$M,"PEPC1",Input!$H:$H,{"1-REAL";"SANTANDER"},Input!$K:$K,"NBF3")),0)</f>
        <v>0</v>
      </c>
      <c r="P52" s="104">
        <f>ROUND(SUM(SUMIFS(Input!$G:$G,Input!$D:$D,'2.CC Trans-BB.RE collateral'!P$7&amp;"*",Input!$C:$C,'2.CC Trans-BB.RE collateral'!$A$9,Input!$M:$M,"PEPC1",Input!$H:$H,{"1-REAL";"SANTANDER"},Input!$K:$K,"NBF3")),0)</f>
        <v>0</v>
      </c>
      <c r="Q52" s="104">
        <f>ROUND(SUM(SUMIFS(Input!$G:$G,Input!$D:$D,'2.CC Trans-BB.RE collateral'!Q$7&amp;"*",Input!$C:$C,'2.CC Trans-BB.RE collateral'!$A$9,Input!$M:$M,"PEPC1",Input!$H:$H,{"1-REAL";"SANTANDER"},Input!$K:$K,"NBF3")),0)</f>
        <v>0</v>
      </c>
      <c r="R52" s="104">
        <f>ROUND(SUM(SUMIFS(Input!$G:$G,Input!$D:$D,'2.CC Trans-BB.RE collateral'!R$7&amp;"*",Input!$C:$C,'2.CC Trans-BB.RE collateral'!$A$9,Input!$M:$M,"PEPC1",Input!$H:$H,{"1-REAL";"SANTANDER"},Input!$K:$K,"NBF3")),0)</f>
        <v>0</v>
      </c>
      <c r="S52" s="104">
        <f>ROUND(SUM(SUMIFS(Input!$G:$G,Input!$D:$D,'2.CC Trans-BB.RE collateral'!S$7&amp;"*",Input!$C:$C,'2.CC Trans-BB.RE collateral'!$A$9,Input!$M:$M,"PEPC1",Input!$H:$H,{"1-REAL";"SANTANDER"},Input!$K:$K,"NBF3")),0)</f>
        <v>0</v>
      </c>
      <c r="T52" s="87"/>
      <c r="U52" s="86"/>
      <c r="V52" s="64"/>
    </row>
    <row r="53" spans="2:22" s="59" customFormat="1" ht="13" x14ac:dyDescent="0.3">
      <c r="B53" s="62">
        <v>37</v>
      </c>
      <c r="C53" s="84"/>
      <c r="D53" s="93" t="s">
        <v>14</v>
      </c>
      <c r="E53" s="104">
        <f>ROUND(SUM(SUMIFS(Input!$G:$G,Input!$E:$E,'2.CC Trans-BB.RE collateral'!E$3,Input!$C:$C,'2.CC Trans-BB.RE collateral'!$A$9,Input!$L:$L,"PEPS2",Input!$K:$K,"NBF3")),0)</f>
        <v>38595986</v>
      </c>
      <c r="F53" s="104">
        <f>ROUND(SUM(SUMIFS(Input!$G:$G,Input!$E:$E,'2.CC Trans-BB.RE collateral'!F$3,Input!$C:$C,'2.CC Trans-BB.RE collateral'!$A$9,Input!$L:$L,"PEPS2",Input!$K:$K,"NBF3")),0)</f>
        <v>2650437446</v>
      </c>
      <c r="G53" s="104">
        <f>ROUND(SUM(SUMIFS(Input!$G:$G,Input!$E:$E,'2.CC Trans-BB.RE collateral'!G$3,Input!$C:$C,'2.CC Trans-BB.RE collateral'!$A$9,Input!$L:$L,"PEPS2",Input!$K:$K,"NBF3")),0)</f>
        <v>17234022</v>
      </c>
      <c r="H53" s="104">
        <f>ROUND(SUM(SUMIFS(Input!$G:$G,Input!$E:$E,'2.CC Trans-BB.RE collateral'!H$3,Input!$C:$C,'2.CC Trans-BB.RE collateral'!$A$9,Input!$L:$L,"PEPS2",Input!$K:$K,"NBF3")),0)</f>
        <v>732900</v>
      </c>
      <c r="I53" s="104">
        <f>ROUND(SUM(SUMIFS(Input!$G:$G,Input!$E:$E,'2.CC Trans-BB.RE collateral'!I$3,Input!$C:$C,'2.CC Trans-BB.RE collateral'!$A$9,Input!$L:$L,"PEPS2",Input!$K:$K,"NBF3")),0)</f>
        <v>41206</v>
      </c>
      <c r="J53" s="104">
        <f>ROUND(SUM(SUMIFS(Input!$G:$G,Input!$E:$E,'2.CC Trans-BB.RE collateral'!J$3,Input!$C:$C,'2.CC Trans-BB.RE collateral'!$A$9,Input!$L:$L,"PEPS2",Input!$K:$K,"NBF3")),0)</f>
        <v>0</v>
      </c>
      <c r="K53" s="85"/>
      <c r="L53" s="93" t="s">
        <v>20</v>
      </c>
      <c r="M53" s="104">
        <f>ROUND(SUM(SUMIFS(Input!$G:$G,Input!$D:$D,'2.CC Trans-BB.RE collateral'!M$7&amp;"*",Input!$C:$C,'2.CC Trans-BB.RE collateral'!$A$9,Input!$M:$M,"PEPC2",Input!$H:$H,{"1-REAL";"SANTANDER"},Input!$K:$K,"NBF3")),0)</f>
        <v>0</v>
      </c>
      <c r="N53" s="104">
        <f>ROUND(SUM(SUMIFS(Input!$G:$G,Input!$D:$D,'2.CC Trans-BB.RE collateral'!N$7&amp;"*",Input!$C:$C,'2.CC Trans-BB.RE collateral'!$A$9,Input!$M:$M,"PEPC2",Input!$H:$H,{"1-REAL";"SANTANDER"},Input!$K:$K,"NBF3")),0)</f>
        <v>210774305</v>
      </c>
      <c r="O53" s="104">
        <f>ROUND(SUM(SUMIFS(Input!$G:$G,Input!$D:$D,'2.CC Trans-BB.RE collateral'!O$7&amp;"*",Input!$C:$C,'2.CC Trans-BB.RE collateral'!$A$9,Input!$M:$M,"PEPC2",Input!$H:$H,{"1-REAL";"SANTANDER"},Input!$K:$K,"NBF3")),0)</f>
        <v>0</v>
      </c>
      <c r="P53" s="104">
        <f>ROUND(SUM(SUMIFS(Input!$G:$G,Input!$D:$D,'2.CC Trans-BB.RE collateral'!P$7&amp;"*",Input!$C:$C,'2.CC Trans-BB.RE collateral'!$A$9,Input!$M:$M,"PEPC2",Input!$H:$H,{"1-REAL";"SANTANDER"},Input!$K:$K,"NBF3")),0)</f>
        <v>0</v>
      </c>
      <c r="Q53" s="104">
        <f>ROUND(SUM(SUMIFS(Input!$G:$G,Input!$D:$D,'2.CC Trans-BB.RE collateral'!Q$7&amp;"*",Input!$C:$C,'2.CC Trans-BB.RE collateral'!$A$9,Input!$M:$M,"PEPC2",Input!$H:$H,{"1-REAL";"SANTANDER"},Input!$K:$K,"NBF3")),0)</f>
        <v>0</v>
      </c>
      <c r="R53" s="104">
        <f>ROUND(SUM(SUMIFS(Input!$G:$G,Input!$D:$D,'2.CC Trans-BB.RE collateral'!R$7&amp;"*",Input!$C:$C,'2.CC Trans-BB.RE collateral'!$A$9,Input!$M:$M,"PEPC2",Input!$H:$H,{"1-REAL";"SANTANDER"},Input!$K:$K,"NBF3")),0)</f>
        <v>0</v>
      </c>
      <c r="S53" s="104">
        <f>ROUND(SUM(SUMIFS(Input!$G:$G,Input!$D:$D,'2.CC Trans-BB.RE collateral'!S$7&amp;"*",Input!$C:$C,'2.CC Trans-BB.RE collateral'!$A$9,Input!$M:$M,"PEPC2",Input!$H:$H,{"1-REAL";"SANTANDER"},Input!$K:$K,"NBF3")),0)</f>
        <v>64290</v>
      </c>
      <c r="T53" s="87"/>
      <c r="U53" s="86"/>
      <c r="V53" s="64"/>
    </row>
    <row r="54" spans="2:22" s="59" customFormat="1" ht="13" x14ac:dyDescent="0.3">
      <c r="B54" s="62">
        <v>38</v>
      </c>
      <c r="C54" s="84"/>
      <c r="D54" s="93" t="s">
        <v>15</v>
      </c>
      <c r="E54" s="104">
        <f>ROUND(SUM(SUMIFS(Input!$G:$G,Input!$E:$E,'2.CC Trans-BB.RE collateral'!E$3,Input!$C:$C,'2.CC Trans-BB.RE collateral'!$A$9,Input!$L:$L,"PEPS3",Input!$K:$K,"NBF3")),0)</f>
        <v>13909111</v>
      </c>
      <c r="F54" s="104">
        <f>ROUND(SUM(SUMIFS(Input!$G:$G,Input!$E:$E,'2.CC Trans-BB.RE collateral'!F$3,Input!$C:$C,'2.CC Trans-BB.RE collateral'!$A$9,Input!$L:$L,"PEPS3",Input!$K:$K,"NBF3")),0)</f>
        <v>10542929</v>
      </c>
      <c r="G54" s="104">
        <f>ROUND(SUM(SUMIFS(Input!$G:$G,Input!$E:$E,'2.CC Trans-BB.RE collateral'!G$3,Input!$C:$C,'2.CC Trans-BB.RE collateral'!$A$9,Input!$L:$L,"PEPS3",Input!$K:$K,"NBF3")),0)</f>
        <v>264669174</v>
      </c>
      <c r="H54" s="104">
        <f>ROUND(SUM(SUMIFS(Input!$G:$G,Input!$E:$E,'2.CC Trans-BB.RE collateral'!H$3,Input!$C:$C,'2.CC Trans-BB.RE collateral'!$A$9,Input!$L:$L,"PEPS3",Input!$K:$K,"NBF3")),0)</f>
        <v>943605</v>
      </c>
      <c r="I54" s="104">
        <f>ROUND(SUM(SUMIFS(Input!$G:$G,Input!$E:$E,'2.CC Trans-BB.RE collateral'!I$3,Input!$C:$C,'2.CC Trans-BB.RE collateral'!$A$9,Input!$L:$L,"PEPS3",Input!$K:$K,"NBF3")),0)</f>
        <v>0</v>
      </c>
      <c r="J54" s="104">
        <f>ROUND(SUM(SUMIFS(Input!$G:$G,Input!$E:$E,'2.CC Trans-BB.RE collateral'!J$3,Input!$C:$C,'2.CC Trans-BB.RE collateral'!$A$9,Input!$L:$L,"PEPS3",Input!$K:$K,"NBF3")),0)</f>
        <v>0</v>
      </c>
      <c r="K54" s="85"/>
      <c r="L54" s="93" t="s">
        <v>21</v>
      </c>
      <c r="M54" s="104">
        <f>ROUND(SUM(SUMIFS(Input!$G:$G,Input!$D:$D,'2.CC Trans-BB.RE collateral'!M$7&amp;"*",Input!$C:$C,'2.CC Trans-BB.RE collateral'!$A$9,Input!$M:$M,"PEPC3",Input!$H:$H,{"1-REAL";"SANTANDER"},Input!$K:$K,"NBF3")),0)</f>
        <v>0</v>
      </c>
      <c r="N54" s="104">
        <f>ROUND(SUM(SUMIFS(Input!$G:$G,Input!$D:$D,'2.CC Trans-BB.RE collateral'!N$7&amp;"*",Input!$C:$C,'2.CC Trans-BB.RE collateral'!$A$9,Input!$M:$M,"PEPC3",Input!$H:$H,{"1-REAL";"SANTANDER"},Input!$K:$K,"NBF3")),0)</f>
        <v>8289706</v>
      </c>
      <c r="O54" s="104">
        <f>ROUND(SUM(SUMIFS(Input!$G:$G,Input!$D:$D,'2.CC Trans-BB.RE collateral'!O$7&amp;"*",Input!$C:$C,'2.CC Trans-BB.RE collateral'!$A$9,Input!$M:$M,"PEPC3",Input!$H:$H,{"1-REAL";"SANTANDER"},Input!$K:$K,"NBF3")),0)</f>
        <v>160202076</v>
      </c>
      <c r="P54" s="104">
        <f>ROUND(SUM(SUMIFS(Input!$G:$G,Input!$D:$D,'2.CC Trans-BB.RE collateral'!P$7&amp;"*",Input!$C:$C,'2.CC Trans-BB.RE collateral'!$A$9,Input!$M:$M,"PEPC3",Input!$H:$H,{"1-REAL";"SANTANDER"},Input!$K:$K,"NBF3")),0)</f>
        <v>0</v>
      </c>
      <c r="Q54" s="104">
        <f>ROUND(SUM(SUMIFS(Input!$G:$G,Input!$D:$D,'2.CC Trans-BB.RE collateral'!Q$7&amp;"*",Input!$C:$C,'2.CC Trans-BB.RE collateral'!$A$9,Input!$M:$M,"PEPC3",Input!$H:$H,{"1-REAL";"SANTANDER"},Input!$K:$K,"NBF3")),0)</f>
        <v>14078</v>
      </c>
      <c r="R54" s="104">
        <f>ROUND(SUM(SUMIFS(Input!$G:$G,Input!$D:$D,'2.CC Trans-BB.RE collateral'!R$7&amp;"*",Input!$C:$C,'2.CC Trans-BB.RE collateral'!$A$9,Input!$M:$M,"PEPC3",Input!$H:$H,{"1-REAL";"SANTANDER"},Input!$K:$K,"NBF3")),0)</f>
        <v>1042177</v>
      </c>
      <c r="S54" s="104">
        <f>ROUND(SUM(SUMIFS(Input!$G:$G,Input!$D:$D,'2.CC Trans-BB.RE collateral'!S$7&amp;"*",Input!$C:$C,'2.CC Trans-BB.RE collateral'!$A$9,Input!$M:$M,"PEPC3",Input!$H:$H,{"1-REAL";"SANTANDER"},Input!$K:$K,"NBF3")),0)</f>
        <v>0</v>
      </c>
      <c r="T54" s="87"/>
      <c r="U54" s="86"/>
      <c r="V54" s="64"/>
    </row>
    <row r="55" spans="2:22" s="59" customFormat="1" ht="13" x14ac:dyDescent="0.3">
      <c r="B55" s="62">
        <v>39</v>
      </c>
      <c r="C55" s="84"/>
      <c r="D55" s="93" t="s">
        <v>16</v>
      </c>
      <c r="E55" s="104">
        <f>ROUND(SUM(SUMIFS(Input!$G:$G,Input!$E:$E,'2.CC Trans-BB.RE collateral'!E$3,Input!$C:$C,'2.CC Trans-BB.RE collateral'!$A$9,Input!$L:$L,"PEPS4",Input!$K:$K,"NBF3")),0)</f>
        <v>0</v>
      </c>
      <c r="F55" s="104">
        <f>ROUND(SUM(SUMIFS(Input!$G:$G,Input!$E:$E,'2.CC Trans-BB.RE collateral'!F$3,Input!$C:$C,'2.CC Trans-BB.RE collateral'!$A$9,Input!$L:$L,"PEPS4",Input!$K:$K,"NBF3")),0)</f>
        <v>0</v>
      </c>
      <c r="G55" s="104">
        <f>ROUND(SUM(SUMIFS(Input!$G:$G,Input!$E:$E,'2.CC Trans-BB.RE collateral'!G$3,Input!$C:$C,'2.CC Trans-BB.RE collateral'!$A$9,Input!$L:$L,"PEPS4",Input!$K:$K,"NBF3")),0)</f>
        <v>0</v>
      </c>
      <c r="H55" s="104">
        <f>ROUND(SUM(SUMIFS(Input!$G:$G,Input!$E:$E,'2.CC Trans-BB.RE collateral'!H$3,Input!$C:$C,'2.CC Trans-BB.RE collateral'!$A$9,Input!$L:$L,"PEPS4",Input!$K:$K,"NBF3")),0)</f>
        <v>12574829</v>
      </c>
      <c r="I55" s="104">
        <f>ROUND(SUM(SUMIFS(Input!$G:$G,Input!$E:$E,'2.CC Trans-BB.RE collateral'!I$3,Input!$C:$C,'2.CC Trans-BB.RE collateral'!$A$9,Input!$L:$L,"PEPS4",Input!$K:$K,"NBF3")),0)</f>
        <v>0</v>
      </c>
      <c r="J55" s="104">
        <f>ROUND(SUM(SUMIFS(Input!$G:$G,Input!$E:$E,'2.CC Trans-BB.RE collateral'!J$3,Input!$C:$C,'2.CC Trans-BB.RE collateral'!$A$9,Input!$L:$L,"PEPS4",Input!$K:$K,"NBF3")),0)</f>
        <v>0</v>
      </c>
      <c r="K55" s="85"/>
      <c r="L55" s="93" t="s">
        <v>22</v>
      </c>
      <c r="M55" s="104">
        <f>ROUND(SUM(SUMIFS(Input!$G:$G,Input!$D:$D,'2.CC Trans-BB.RE collateral'!M$7&amp;"*",Input!$C:$C,'2.CC Trans-BB.RE collateral'!$A$9,Input!$M:$M,"PEPC4",Input!$H:$H,{"1-REAL";"SANTANDER"},Input!$K:$K,"NBF3")),0)</f>
        <v>0</v>
      </c>
      <c r="N55" s="104">
        <f>ROUND(SUM(SUMIFS(Input!$G:$G,Input!$D:$D,'2.CC Trans-BB.RE collateral'!N$7&amp;"*",Input!$C:$C,'2.CC Trans-BB.RE collateral'!$A$9,Input!$M:$M,"PEPC4",Input!$H:$H,{"1-REAL";"SANTANDER"},Input!$K:$K,"NBF3")),0)</f>
        <v>0</v>
      </c>
      <c r="O55" s="104">
        <f>ROUND(SUM(SUMIFS(Input!$G:$G,Input!$D:$D,'2.CC Trans-BB.RE collateral'!O$7&amp;"*",Input!$C:$C,'2.CC Trans-BB.RE collateral'!$A$9,Input!$M:$M,"PEPC4",Input!$H:$H,{"1-REAL";"SANTANDER"},Input!$K:$K,"NBF3")),0)</f>
        <v>0</v>
      </c>
      <c r="P55" s="104">
        <f>ROUND(SUM(SUMIFS(Input!$G:$G,Input!$D:$D,'2.CC Trans-BB.RE collateral'!P$7&amp;"*",Input!$C:$C,'2.CC Trans-BB.RE collateral'!$A$9,Input!$M:$M,"PEPC4",Input!$H:$H,{"1-REAL";"SANTANDER"},Input!$K:$K,"NBF3")),0)</f>
        <v>31147751</v>
      </c>
      <c r="Q55" s="104">
        <f>ROUND(SUM(SUMIFS(Input!$G:$G,Input!$D:$D,'2.CC Trans-BB.RE collateral'!Q$7&amp;"*",Input!$C:$C,'2.CC Trans-BB.RE collateral'!$A$9,Input!$M:$M,"PEPC4",Input!$H:$H,{"1-REAL";"SANTANDER"},Input!$K:$K,"NBF3")),0)</f>
        <v>0</v>
      </c>
      <c r="R55" s="104">
        <f>ROUND(SUM(SUMIFS(Input!$G:$G,Input!$D:$D,'2.CC Trans-BB.RE collateral'!R$7&amp;"*",Input!$C:$C,'2.CC Trans-BB.RE collateral'!$A$9,Input!$M:$M,"PEPC4",Input!$H:$H,{"1-REAL";"SANTANDER"},Input!$K:$K,"NBF3")),0)</f>
        <v>0</v>
      </c>
      <c r="S55" s="104">
        <f>ROUND(SUM(SUMIFS(Input!$G:$G,Input!$D:$D,'2.CC Trans-BB.RE collateral'!S$7&amp;"*",Input!$C:$C,'2.CC Trans-BB.RE collateral'!$A$9,Input!$M:$M,"PEPC4",Input!$H:$H,{"1-REAL";"SANTANDER"},Input!$K:$K,"NBF3")),0)</f>
        <v>0</v>
      </c>
      <c r="T55" s="87"/>
      <c r="U55" s="86"/>
      <c r="V55" s="64"/>
    </row>
    <row r="56" spans="2:22" s="59" customFormat="1" ht="13" x14ac:dyDescent="0.3">
      <c r="B56" s="62">
        <v>40</v>
      </c>
      <c r="C56" s="84"/>
      <c r="D56" s="93" t="s">
        <v>17</v>
      </c>
      <c r="E56" s="104">
        <f>ROUND(SUM(SUMIFS(Input!$G:$G,Input!$E:$E,'2.CC Trans-BB.RE collateral'!E$3,Input!$C:$C,'2.CC Trans-BB.RE collateral'!$A$9,Input!$L:$L,"PEPS5",Input!$K:$K,"NBF3")),0)</f>
        <v>0</v>
      </c>
      <c r="F56" s="104">
        <f>ROUND(SUM(SUMIFS(Input!$G:$G,Input!$E:$E,'2.CC Trans-BB.RE collateral'!F$3,Input!$C:$C,'2.CC Trans-BB.RE collateral'!$A$9,Input!$L:$L,"PEPS5",Input!$K:$K,"NBF3")),0)</f>
        <v>0</v>
      </c>
      <c r="G56" s="104">
        <f>ROUND(SUM(SUMIFS(Input!$G:$G,Input!$E:$E,'2.CC Trans-BB.RE collateral'!G$3,Input!$C:$C,'2.CC Trans-BB.RE collateral'!$A$9,Input!$L:$L,"PEPS5",Input!$K:$K,"NBF3")),0)</f>
        <v>0</v>
      </c>
      <c r="H56" s="104">
        <f>ROUND(SUM(SUMIFS(Input!$G:$G,Input!$E:$E,'2.CC Trans-BB.RE collateral'!H$3,Input!$C:$C,'2.CC Trans-BB.RE collateral'!$A$9,Input!$L:$L,"PEPS5",Input!$K:$K,"NBF3")),0)</f>
        <v>0</v>
      </c>
      <c r="I56" s="104">
        <f>ROUND(SUM(SUMIFS(Input!$G:$G,Input!$E:$E,'2.CC Trans-BB.RE collateral'!I$3,Input!$C:$C,'2.CC Trans-BB.RE collateral'!$A$9,Input!$L:$L,"PEPS5",Input!$K:$K,"NBF3")),0)</f>
        <v>9142310</v>
      </c>
      <c r="J56" s="104">
        <f>ROUND(SUM(SUMIFS(Input!$G:$G,Input!$E:$E,'2.CC Trans-BB.RE collateral'!J$3,Input!$C:$C,'2.CC Trans-BB.RE collateral'!$A$9,Input!$L:$L,"PEPS5",Input!$K:$K,"NBF3")),0)</f>
        <v>0</v>
      </c>
      <c r="K56" s="85"/>
      <c r="L56" s="93" t="s">
        <v>23</v>
      </c>
      <c r="M56" s="104">
        <f>ROUND(SUM(SUMIFS(Input!$G:$G,Input!$D:$D,'2.CC Trans-BB.RE collateral'!M$7&amp;"*",Input!$C:$C,'2.CC Trans-BB.RE collateral'!$A$9,Input!$M:$M,"PEPC5",Input!$H:$H,{"1-REAL";"SANTANDER"},Input!$K:$K,"NBF3")),0)</f>
        <v>0</v>
      </c>
      <c r="N56" s="104">
        <f>ROUND(SUM(SUMIFS(Input!$G:$G,Input!$D:$D,'2.CC Trans-BB.RE collateral'!N$7&amp;"*",Input!$C:$C,'2.CC Trans-BB.RE collateral'!$A$9,Input!$M:$M,"PEPC5",Input!$H:$H,{"1-REAL";"SANTANDER"},Input!$K:$K,"NBF3")),0)</f>
        <v>0</v>
      </c>
      <c r="O56" s="104">
        <f>ROUND(SUM(SUMIFS(Input!$G:$G,Input!$D:$D,'2.CC Trans-BB.RE collateral'!O$7&amp;"*",Input!$C:$C,'2.CC Trans-BB.RE collateral'!$A$9,Input!$M:$M,"PEPC5",Input!$H:$H,{"1-REAL";"SANTANDER"},Input!$K:$K,"NBF3")),0)</f>
        <v>0</v>
      </c>
      <c r="P56" s="104">
        <f>ROUND(SUM(SUMIFS(Input!$G:$G,Input!$D:$D,'2.CC Trans-BB.RE collateral'!P$7&amp;"*",Input!$C:$C,'2.CC Trans-BB.RE collateral'!$A$9,Input!$M:$M,"PEPC5",Input!$H:$H,{"1-REAL";"SANTANDER"},Input!$K:$K,"NBF3")),0)</f>
        <v>0</v>
      </c>
      <c r="Q56" s="104">
        <f>ROUND(SUM(SUMIFS(Input!$G:$G,Input!$D:$D,'2.CC Trans-BB.RE collateral'!Q$7&amp;"*",Input!$C:$C,'2.CC Trans-BB.RE collateral'!$A$9,Input!$M:$M,"PEPC5",Input!$H:$H,{"1-REAL";"SANTANDER"},Input!$K:$K,"NBF3")),0)</f>
        <v>44569545</v>
      </c>
      <c r="R56" s="104">
        <f>ROUND(SUM(SUMIFS(Input!$G:$G,Input!$D:$D,'2.CC Trans-BB.RE collateral'!R$7&amp;"*",Input!$C:$C,'2.CC Trans-BB.RE collateral'!$A$9,Input!$M:$M,"PEPC5",Input!$H:$H,{"1-REAL";"SANTANDER"},Input!$K:$K,"NBF3")),0)</f>
        <v>0</v>
      </c>
      <c r="S56" s="104">
        <f>ROUND(SUM(SUMIFS(Input!$G:$G,Input!$D:$D,'2.CC Trans-BB.RE collateral'!S$7&amp;"*",Input!$C:$C,'2.CC Trans-BB.RE collateral'!$A$9,Input!$M:$M,"PEPC5",Input!$H:$H,{"1-REAL";"SANTANDER"},Input!$K:$K,"NBF3")),0)</f>
        <v>0</v>
      </c>
      <c r="T56" s="87"/>
      <c r="U56" s="86"/>
      <c r="V56" s="64"/>
    </row>
    <row r="57" spans="2:22" s="59" customFormat="1" ht="13" x14ac:dyDescent="0.3">
      <c r="B57" s="62">
        <v>41</v>
      </c>
      <c r="C57" s="84"/>
      <c r="D57" s="93" t="s">
        <v>18</v>
      </c>
      <c r="E57" s="104">
        <f>ROUND(SUM(SUMIFS(Input!$G:$G,Input!$E:$E,'2.CC Trans-BB.RE collateral'!E$3,Input!$C:$C,'2.CC Trans-BB.RE collateral'!$A$9,Input!$L:$L,"PEPS6",Input!$K:$K,"NBF3")),0)</f>
        <v>0</v>
      </c>
      <c r="F57" s="104">
        <f>ROUND(SUM(SUMIFS(Input!$G:$G,Input!$E:$E,'2.CC Trans-BB.RE collateral'!F$3,Input!$C:$C,'2.CC Trans-BB.RE collateral'!$A$9,Input!$L:$L,"PEPS6",Input!$K:$K,"NBF3")),0)</f>
        <v>0</v>
      </c>
      <c r="G57" s="104">
        <f>ROUND(SUM(SUMIFS(Input!$G:$G,Input!$E:$E,'2.CC Trans-BB.RE collateral'!G$3,Input!$C:$C,'2.CC Trans-BB.RE collateral'!$A$9,Input!$L:$L,"PEPS6",Input!$K:$K,"NBF3")),0)</f>
        <v>0</v>
      </c>
      <c r="H57" s="104">
        <f>ROUND(SUM(SUMIFS(Input!$G:$G,Input!$E:$E,'2.CC Trans-BB.RE collateral'!H$3,Input!$C:$C,'2.CC Trans-BB.RE collateral'!$A$9,Input!$L:$L,"PEPS6",Input!$K:$K,"NBF3")),0)</f>
        <v>0</v>
      </c>
      <c r="I57" s="104">
        <f>ROUND(SUM(SUMIFS(Input!$G:$G,Input!$E:$E,'2.CC Trans-BB.RE collateral'!I$3,Input!$C:$C,'2.CC Trans-BB.RE collateral'!$A$9,Input!$L:$L,"PEPS6",Input!$K:$K,"NBF3")),0)</f>
        <v>0</v>
      </c>
      <c r="J57" s="104">
        <f>ROUND(SUM(SUMIFS(Input!$G:$G,Input!$E:$E,'2.CC Trans-BB.RE collateral'!J$3,Input!$C:$C,'2.CC Trans-BB.RE collateral'!$A$9,Input!$L:$L,"PEPS6",Input!$K:$K,"NBF3")),0)</f>
        <v>4721169</v>
      </c>
      <c r="K57" s="85"/>
      <c r="L57" s="93" t="s">
        <v>24</v>
      </c>
      <c r="M57" s="104">
        <f>ROUND(SUM(SUMIFS(Input!$G:$G,Input!$D:$D,'2.CC Trans-BB.RE collateral'!M$7&amp;"*",Input!$C:$C,'2.CC Trans-BB.RE collateral'!$A$9,Input!$M:$M,"PEPC6",Input!$H:$H,{"1-REAL";"SANTANDER"},Input!$K:$K,"NBF3")),0)</f>
        <v>0</v>
      </c>
      <c r="N57" s="104">
        <f>ROUND(SUM(SUMIFS(Input!$G:$G,Input!$D:$D,'2.CC Trans-BB.RE collateral'!N$7&amp;"*",Input!$C:$C,'2.CC Trans-BB.RE collateral'!$A$9,Input!$M:$M,"PEPC6",Input!$H:$H,{"1-REAL";"SANTANDER"},Input!$K:$K,"NBF3")),0)</f>
        <v>0</v>
      </c>
      <c r="O57" s="104">
        <f>ROUND(SUM(SUMIFS(Input!$G:$G,Input!$D:$D,'2.CC Trans-BB.RE collateral'!O$7&amp;"*",Input!$C:$C,'2.CC Trans-BB.RE collateral'!$A$9,Input!$M:$M,"PEPC6",Input!$H:$H,{"1-REAL";"SANTANDER"},Input!$K:$K,"NBF3")),0)</f>
        <v>0</v>
      </c>
      <c r="P57" s="104">
        <f>ROUND(SUM(SUMIFS(Input!$G:$G,Input!$D:$D,'2.CC Trans-BB.RE collateral'!P$7&amp;"*",Input!$C:$C,'2.CC Trans-BB.RE collateral'!$A$9,Input!$M:$M,"PEPC6",Input!$H:$H,{"1-REAL";"SANTANDER"},Input!$K:$K,"NBF3")),0)</f>
        <v>0</v>
      </c>
      <c r="Q57" s="104">
        <f>ROUND(SUM(SUMIFS(Input!$G:$G,Input!$D:$D,'2.CC Trans-BB.RE collateral'!Q$7&amp;"*",Input!$C:$C,'2.CC Trans-BB.RE collateral'!$A$9,Input!$M:$M,"PEPC6",Input!$H:$H,{"1-REAL";"SANTANDER"},Input!$K:$K,"NBF3")),0)</f>
        <v>0</v>
      </c>
      <c r="R57" s="104">
        <f>ROUND(SUM(SUMIFS(Input!$G:$G,Input!$D:$D,'2.CC Trans-BB.RE collateral'!R$7&amp;"*",Input!$C:$C,'2.CC Trans-BB.RE collateral'!$A$9,Input!$M:$M,"PEPC6",Input!$H:$H,{"1-REAL";"SANTANDER"},Input!$K:$K,"NBF3")),0)</f>
        <v>21006618</v>
      </c>
      <c r="S57" s="104">
        <f>ROUND(SUM(SUMIFS(Input!$G:$G,Input!$D:$D,'2.CC Trans-BB.RE collateral'!S$7&amp;"*",Input!$C:$C,'2.CC Trans-BB.RE collateral'!$A$9,Input!$M:$M,"PEPC6",Input!$H:$H,{"1-REAL";"SANTANDER"},Input!$K:$K,"NBF3")),0)</f>
        <v>0</v>
      </c>
      <c r="T57" s="87"/>
      <c r="U57" s="86"/>
      <c r="V57" s="64"/>
    </row>
    <row r="58" spans="2:22" s="59" customFormat="1" ht="14.5" x14ac:dyDescent="0.35">
      <c r="B58" s="62">
        <v>42</v>
      </c>
      <c r="C58" s="81"/>
      <c r="D58" s="81"/>
      <c r="E58" s="81"/>
      <c r="F58" s="94"/>
      <c r="G58" s="81"/>
      <c r="H58" s="81"/>
      <c r="I58" s="81"/>
      <c r="J58" s="85"/>
      <c r="K58" s="85"/>
      <c r="L58" s="93" t="s">
        <v>25</v>
      </c>
      <c r="M58" s="104">
        <f>ROUND(SUM(SUMIFS(Input!$G:$G,Input!$D:$D,'2.CC Trans-BB.RE collateral'!M$7&amp;"*",Input!$C:$C,'2.CC Trans-BB.RE collateral'!$A$9,Input!$M:$M,"PEPC7",Input!$H:$H,{"1-REAL";"SANTANDER"},Input!$K:$K,"NBF3")),0)</f>
        <v>0</v>
      </c>
      <c r="N58" s="104">
        <f>ROUND(SUM(SUMIFS(Input!$G:$G,Input!$D:$D,'2.CC Trans-BB.RE collateral'!N$7&amp;"*",Input!$C:$C,'2.CC Trans-BB.RE collateral'!$A$9,Input!$M:$M,"PEPC7",Input!$H:$H,{"1-REAL";"SANTANDER"},Input!$K:$K,"NBF3")),0)</f>
        <v>0</v>
      </c>
      <c r="O58" s="104">
        <f>ROUND(SUM(SUMIFS(Input!$G:$G,Input!$D:$D,'2.CC Trans-BB.RE collateral'!O$7&amp;"*",Input!$C:$C,'2.CC Trans-BB.RE collateral'!$A$9,Input!$M:$M,"PEPC7",Input!$H:$H,{"1-REAL";"SANTANDER"},Input!$K:$K,"NBF3")),0)</f>
        <v>0</v>
      </c>
      <c r="P58" s="104">
        <f>ROUND(SUM(SUMIFS(Input!$G:$G,Input!$D:$D,'2.CC Trans-BB.RE collateral'!P$7&amp;"*",Input!$C:$C,'2.CC Trans-BB.RE collateral'!$A$9,Input!$M:$M,"PEPC7",Input!$H:$H,{"1-REAL";"SANTANDER"},Input!$K:$K,"NBF3")),0)</f>
        <v>0</v>
      </c>
      <c r="Q58" s="104">
        <f>ROUND(SUM(SUMIFS(Input!$G:$G,Input!$D:$D,'2.CC Trans-BB.RE collateral'!Q$7&amp;"*",Input!$C:$C,'2.CC Trans-BB.RE collateral'!$A$9,Input!$M:$M,"PEPC7",Input!$H:$H,{"1-REAL";"SANTANDER"},Input!$K:$K,"NBF3")),0)</f>
        <v>0</v>
      </c>
      <c r="R58" s="104">
        <f>ROUND(SUM(SUMIFS(Input!$G:$G,Input!$D:$D,'2.CC Trans-BB.RE collateral'!R$7&amp;"*",Input!$C:$C,'2.CC Trans-BB.RE collateral'!$A$9,Input!$M:$M,"PEPC7",Input!$H:$H,{"1-REAL";"SANTANDER"},Input!$K:$K,"NBF3")),0)</f>
        <v>0</v>
      </c>
      <c r="S58" s="104">
        <f>ROUND(SUM(SUMIFS(Input!$G:$G,Input!$D:$D,'2.CC Trans-BB.RE collateral'!S$7&amp;"*",Input!$C:$C,'2.CC Trans-BB.RE collateral'!$A$9,Input!$M:$M,"PEPC7",Input!$H:$H,{"1-REAL";"SANTANDER"},Input!$K:$K,"NBF3")),0)</f>
        <v>145658</v>
      </c>
      <c r="T58" s="87"/>
      <c r="U58" s="86"/>
      <c r="V58" s="64"/>
    </row>
    <row r="59" spans="2:22" ht="14.5" x14ac:dyDescent="0.35"/>
    <row r="60" spans="2:22" s="59" customFormat="1" ht="13" x14ac:dyDescent="0.3">
      <c r="B60" s="88" t="s">
        <v>156</v>
      </c>
      <c r="C60" s="84"/>
      <c r="D60" s="85"/>
      <c r="E60" s="85"/>
      <c r="F60" s="85"/>
      <c r="G60" s="85"/>
      <c r="H60" s="85"/>
      <c r="I60" s="85"/>
      <c r="J60" s="85"/>
      <c r="K60" s="85"/>
      <c r="L60" s="86"/>
      <c r="M60" s="89"/>
      <c r="N60" s="89"/>
      <c r="O60" s="89"/>
      <c r="P60" s="89"/>
      <c r="Q60" s="89"/>
      <c r="R60" s="89"/>
      <c r="S60" s="89"/>
      <c r="T60" s="87"/>
      <c r="U60" s="86"/>
      <c r="V60" s="64"/>
    </row>
    <row r="61" spans="2:22" s="59" customFormat="1" ht="13" x14ac:dyDescent="0.3">
      <c r="B61" s="90"/>
      <c r="C61" s="84"/>
      <c r="D61" s="85"/>
      <c r="E61" s="115" t="s">
        <v>154</v>
      </c>
      <c r="F61" s="115"/>
      <c r="G61" s="115"/>
      <c r="H61" s="115"/>
      <c r="I61" s="115"/>
      <c r="J61" s="115"/>
      <c r="K61" s="85"/>
      <c r="L61" s="85"/>
      <c r="M61" s="115" t="s">
        <v>154</v>
      </c>
      <c r="N61" s="115"/>
      <c r="O61" s="115"/>
      <c r="P61" s="115"/>
      <c r="Q61" s="115"/>
      <c r="R61" s="115"/>
      <c r="S61" s="115"/>
      <c r="T61" s="87"/>
      <c r="U61" s="86"/>
      <c r="V61" s="64"/>
    </row>
    <row r="62" spans="2:22" s="59" customFormat="1" ht="14.25" customHeight="1" x14ac:dyDescent="0.3">
      <c r="C62" s="84"/>
      <c r="D62" s="85"/>
      <c r="E62" s="91" t="s">
        <v>13</v>
      </c>
      <c r="F62" s="91" t="s">
        <v>14</v>
      </c>
      <c r="G62" s="91" t="s">
        <v>15</v>
      </c>
      <c r="H62" s="91" t="s">
        <v>16</v>
      </c>
      <c r="I62" s="91" t="s">
        <v>17</v>
      </c>
      <c r="J62" s="91" t="s">
        <v>18</v>
      </c>
      <c r="K62" s="85"/>
      <c r="M62" s="91" t="s">
        <v>19</v>
      </c>
      <c r="N62" s="91" t="s">
        <v>20</v>
      </c>
      <c r="O62" s="91" t="s">
        <v>21</v>
      </c>
      <c r="P62" s="91" t="s">
        <v>22</v>
      </c>
      <c r="Q62" s="91" t="s">
        <v>23</v>
      </c>
      <c r="R62" s="91" t="s">
        <v>24</v>
      </c>
      <c r="S62" s="91" t="s">
        <v>25</v>
      </c>
      <c r="T62" s="87"/>
      <c r="U62" s="86"/>
      <c r="V62" s="64"/>
    </row>
    <row r="63" spans="2:22" s="59" customFormat="1" ht="14.25" customHeight="1" x14ac:dyDescent="0.3">
      <c r="B63" s="62">
        <v>43</v>
      </c>
      <c r="C63" s="84"/>
      <c r="D63" s="85" t="s">
        <v>155</v>
      </c>
      <c r="E63" s="104">
        <f>ROUND(SUM(SUMIFS(Input!$G:$G,Input!$E:$E,'2.CC Trans-BB.RE collateral'!E$3,Input!$C:$C,'2.CC Trans-BB.RE collateral'!$A$10,Input!$K:$K,{"NBF1";"NBF2"})),0)</f>
        <v>1753103921</v>
      </c>
      <c r="F63" s="104">
        <f>ROUND(SUM(SUMIFS(Input!$G:$G,Input!$E:$E,'2.CC Trans-BB.RE collateral'!F$3,Input!$C:$C,'2.CC Trans-BB.RE collateral'!$A$10,Input!$K:$K,{"NBF1";"NBF2"})),0)</f>
        <v>1309580477</v>
      </c>
      <c r="G63" s="104">
        <f>ROUND(SUM(SUMIFS(Input!$G:$G,Input!$E:$E,'2.CC Trans-BB.RE collateral'!G$3,Input!$C:$C,'2.CC Trans-BB.RE collateral'!$A$10,Input!$K:$K,{"NBF1";"NBF2"})),0)</f>
        <v>733148589</v>
      </c>
      <c r="H63" s="104">
        <f>ROUND(SUM(SUMIFS(Input!$G:$G,Input!$E:$E,'2.CC Trans-BB.RE collateral'!H$3,Input!$C:$C,'2.CC Trans-BB.RE collateral'!$A$10,Input!$K:$K,{"NBF1";"NBF2"})),0)</f>
        <v>322378436</v>
      </c>
      <c r="I63" s="104">
        <f>ROUND(SUM(SUMIFS(Input!$G:$G,Input!$E:$E,'2.CC Trans-BB.RE collateral'!I$3,Input!$C:$C,'2.CC Trans-BB.RE collateral'!$A$10,Input!$K:$K,{"NBF1";"NBF2"})),0)</f>
        <v>144478292</v>
      </c>
      <c r="J63" s="104">
        <f>ROUND(SUM(SUMIFS(Input!$G:$G,Input!$E:$E,'2.CC Trans-BB.RE collateral'!J$3,Input!$C:$C,'2.CC Trans-BB.RE collateral'!$A$10,Input!$K:$K,{"NBF1";"NBF2"})),0)</f>
        <v>131721826</v>
      </c>
      <c r="K63" s="85"/>
      <c r="L63" s="85" t="s">
        <v>155</v>
      </c>
      <c r="M63" s="104">
        <f>ROUND((SUM(SUMIFS(Input!$G:$G,Input!$D:$D,'2.CC Trans-BB.RE collateral'!M$7&amp;"*",Input!$C:$C,'2.CC Trans-BB.RE collateral'!$A$10,Input!$H:$H,{"1-REAL";"SANTANDER"},Input!$K:$K,"NBF2"))+
SUM(SUMIFS(Input!$G:$G,Input!$D:$D,'2.CC Trans-BB.RE collateral'!M$7&amp;"*",Input!$C:$C,'2.CC Trans-BB.RE collateral'!$A$10,Input!$H:$H,{"1-REAL";"SANTANDER"},Input!$K:$K,"NBF1"))),0)</f>
        <v>586816868</v>
      </c>
      <c r="N63" s="104">
        <f>ROUND((SUM(SUMIFS(Input!$G:$G,Input!$D:$D,'2.CC Trans-BB.RE collateral'!N$7&amp;"*",Input!$C:$C,'2.CC Trans-BB.RE collateral'!$A$10,Input!$H:$H,{"1-REAL";"SANTANDER"},Input!$K:$K,"NBF2"))+
SUM(SUMIFS(Input!$G:$G,Input!$D:$D,'2.CC Trans-BB.RE collateral'!N$7&amp;"*",Input!$C:$C,'2.CC Trans-BB.RE collateral'!$A$10,Input!$H:$H,{"1-REAL";"SANTANDER"},Input!$K:$K,"NBF1"))),0)</f>
        <v>351149999</v>
      </c>
      <c r="O63" s="104">
        <f>ROUND((SUM(SUMIFS(Input!$G:$G,Input!$D:$D,'2.CC Trans-BB.RE collateral'!O$7&amp;"*",Input!$C:$C,'2.CC Trans-BB.RE collateral'!$A$10,Input!$H:$H,{"1-REAL";"SANTANDER"},Input!$K:$K,"NBF2"))+
SUM(SUMIFS(Input!$G:$G,Input!$D:$D,'2.CC Trans-BB.RE collateral'!O$7&amp;"*",Input!$C:$C,'2.CC Trans-BB.RE collateral'!$A$10,Input!$H:$H,{"1-REAL";"SANTANDER"},Input!$K:$K,"NBF1"))),0)</f>
        <v>913373274</v>
      </c>
      <c r="P63" s="104">
        <f>ROUND((SUM(SUMIFS(Input!$G:$G,Input!$D:$D,'2.CC Trans-BB.RE collateral'!P$7&amp;"*",Input!$C:$C,'2.CC Trans-BB.RE collateral'!$A$10,Input!$H:$H,{"1-REAL";"SANTANDER"},Input!$K:$K,"NBF2"))+
SUM(SUMIFS(Input!$G:$G,Input!$D:$D,'2.CC Trans-BB.RE collateral'!P$7&amp;"*",Input!$C:$C,'2.CC Trans-BB.RE collateral'!$A$10,Input!$H:$H,{"1-REAL";"SANTANDER"},Input!$K:$K,"NBF1"))),0)</f>
        <v>929261124</v>
      </c>
      <c r="Q63" s="104">
        <f>ROUND((SUM(SUMIFS(Input!$G:$G,Input!$D:$D,'2.CC Trans-BB.RE collateral'!Q$7&amp;"*",Input!$C:$C,'2.CC Trans-BB.RE collateral'!$A$10,Input!$H:$H,{"1-REAL";"SANTANDER"},Input!$K:$K,"NBF2"))+
SUM(SUMIFS(Input!$G:$G,Input!$D:$D,'2.CC Trans-BB.RE collateral'!Q$7&amp;"*",Input!$C:$C,'2.CC Trans-BB.RE collateral'!$A$10,Input!$H:$H,{"1-REAL";"SANTANDER"},Input!$K:$K,"NBF1"))),0)</f>
        <v>543468875</v>
      </c>
      <c r="R63" s="104">
        <f>ROUND((SUM(SUMIFS(Input!$G:$G,Input!$D:$D,'2.CC Trans-BB.RE collateral'!R$7&amp;"*",Input!$C:$C,'2.CC Trans-BB.RE collateral'!$A$10,Input!$H:$H,{"1-REAL";"SANTANDER"},Input!$K:$K,"NBF2"))+
SUM(SUMIFS(Input!$G:$G,Input!$D:$D,'2.CC Trans-BB.RE collateral'!R$7&amp;"*",Input!$C:$C,'2.CC Trans-BB.RE collateral'!$A$10,Input!$H:$H,{"1-REAL";"SANTANDER"},Input!$K:$K,"NBF1"))),0)</f>
        <v>227820166</v>
      </c>
      <c r="S63" s="104">
        <f>ROUND((SUM(SUMIFS(Input!$G:$G,Input!$D:$D,'2.CC Trans-BB.RE collateral'!S$7&amp;"*",Input!$C:$C,'2.CC Trans-BB.RE collateral'!$A$10,Input!$H:$H,{"1-REAL";"SANTANDER"},Input!$K:$K,"NBF2"))+
SUM(SUMIFS(Input!$G:$G,Input!$D:$D,'2.CC Trans-BB.RE collateral'!S$7&amp;"*",Input!$C:$C,'2.CC Trans-BB.RE collateral'!$A$10,Input!$H:$H,{"1-REAL";"SANTANDER"},Input!$K:$K,"NBF1"))),0)</f>
        <v>0</v>
      </c>
      <c r="T63" s="87"/>
      <c r="U63" s="86"/>
      <c r="V63" s="64"/>
    </row>
    <row r="64" spans="2:22" s="59" customFormat="1" ht="3" customHeight="1" x14ac:dyDescent="0.3">
      <c r="B64" s="92"/>
      <c r="C64" s="84"/>
      <c r="D64" s="85"/>
      <c r="E64" s="106"/>
      <c r="F64" s="106"/>
      <c r="G64" s="106"/>
      <c r="H64" s="106"/>
      <c r="I64" s="106"/>
      <c r="J64" s="106"/>
      <c r="K64" s="85"/>
      <c r="L64" s="85"/>
      <c r="M64" s="106"/>
      <c r="N64" s="106"/>
      <c r="O64" s="106"/>
      <c r="P64" s="106"/>
      <c r="Q64" s="106"/>
      <c r="R64" s="106"/>
      <c r="S64" s="106"/>
      <c r="T64" s="87"/>
      <c r="U64" s="86"/>
      <c r="V64" s="64"/>
    </row>
    <row r="65" spans="2:22" s="59" customFormat="1" ht="13" x14ac:dyDescent="0.3">
      <c r="B65" s="62">
        <v>44</v>
      </c>
      <c r="C65" s="84"/>
      <c r="D65" s="93" t="s">
        <v>13</v>
      </c>
      <c r="E65" s="104">
        <f>ROUND(SUM(SUMIFS(Input!$G:$G,Input!$E:$E,'2.CC Trans-BB.RE collateral'!E$3,Input!$C:$C,'2.CC Trans-BB.RE collateral'!$A$10,Input!$L:$L,"PEPS1",Input!$K:$K,"NBF3")),0)</f>
        <v>23956626930</v>
      </c>
      <c r="F65" s="104">
        <f>ROUND(SUM(SUMIFS(Input!$G:$G,Input!$E:$E,'2.CC Trans-BB.RE collateral'!F$3,Input!$C:$C,'2.CC Trans-BB.RE collateral'!$A$10,Input!$L:$L,"PEPS1",Input!$K:$K,"NBF3")),0)</f>
        <v>233618658</v>
      </c>
      <c r="G65" s="104">
        <f>ROUND(SUM(SUMIFS(Input!$G:$G,Input!$E:$E,'2.CC Trans-BB.RE collateral'!G$3,Input!$C:$C,'2.CC Trans-BB.RE collateral'!$A$10,Input!$L:$L,"PEPS1",Input!$K:$K,"NBF3")),0)</f>
        <v>52332071</v>
      </c>
      <c r="H65" s="104">
        <f>ROUND(SUM(SUMIFS(Input!$G:$G,Input!$E:$E,'2.CC Trans-BB.RE collateral'!H$3,Input!$C:$C,'2.CC Trans-BB.RE collateral'!$A$10,Input!$L:$L,"PEPS1",Input!$K:$K,"NBF3")),0)</f>
        <v>10590869</v>
      </c>
      <c r="I65" s="104">
        <f>ROUND(SUM(SUMIFS(Input!$G:$G,Input!$E:$E,'2.CC Trans-BB.RE collateral'!I$3,Input!$C:$C,'2.CC Trans-BB.RE collateral'!$A$10,Input!$L:$L,"PEPS1",Input!$K:$K,"NBF3")),0)</f>
        <v>2022698</v>
      </c>
      <c r="J65" s="104">
        <f>ROUND(SUM(SUMIFS(Input!$G:$G,Input!$E:$E,'2.CC Trans-BB.RE collateral'!J$3,Input!$C:$C,'2.CC Trans-BB.RE collateral'!$A$10,Input!$L:$L,"PEPS1",Input!$K:$K,"NBF3")),0)</f>
        <v>1536639</v>
      </c>
      <c r="K65" s="85"/>
      <c r="L65" s="93" t="s">
        <v>19</v>
      </c>
      <c r="M65" s="104">
        <f>ROUND(SUM(SUMIFS(Input!$G:$G,Input!$D:$D,'2.CC Trans-BB.RE collateral'!M$7&amp;"*",Input!$C:$C,'2.CC Trans-BB.RE collateral'!$A$10,Input!$M:$M,"PEPC1",Input!$H:$H,{"1-REAL";"SANTANDER"},Input!$K:$K,"NBF3")),0)</f>
        <v>3323263041</v>
      </c>
      <c r="N65" s="104">
        <f>ROUND(SUM(SUMIFS(Input!$G:$G,Input!$D:$D,'2.CC Trans-BB.RE collateral'!N$7&amp;"*",Input!$C:$C,'2.CC Trans-BB.RE collateral'!$A$10,Input!$M:$M,"PEPC1",Input!$H:$H,{"1-REAL";"SANTANDER"},Input!$K:$K,"NBF3")),0)</f>
        <v>4433425</v>
      </c>
      <c r="O65" s="104">
        <f>ROUND(SUM(SUMIFS(Input!$G:$G,Input!$D:$D,'2.CC Trans-BB.RE collateral'!O$7&amp;"*",Input!$C:$C,'2.CC Trans-BB.RE collateral'!$A$10,Input!$M:$M,"PEPC1",Input!$H:$H,{"1-REAL";"SANTANDER"},Input!$K:$K,"NBF3")),0)</f>
        <v>4171636</v>
      </c>
      <c r="P65" s="104">
        <f>ROUND(SUM(SUMIFS(Input!$G:$G,Input!$D:$D,'2.CC Trans-BB.RE collateral'!P$7&amp;"*",Input!$C:$C,'2.CC Trans-BB.RE collateral'!$A$10,Input!$M:$M,"PEPC1",Input!$H:$H,{"1-REAL";"SANTANDER"},Input!$K:$K,"NBF3")),0)</f>
        <v>1641808</v>
      </c>
      <c r="Q65" s="104">
        <f>ROUND(SUM(SUMIFS(Input!$G:$G,Input!$D:$D,'2.CC Trans-BB.RE collateral'!Q$7&amp;"*",Input!$C:$C,'2.CC Trans-BB.RE collateral'!$A$10,Input!$M:$M,"PEPC1",Input!$H:$H,{"1-REAL";"SANTANDER"},Input!$K:$K,"NBF3")),0)</f>
        <v>994927</v>
      </c>
      <c r="R65" s="104">
        <f>ROUND(SUM(SUMIFS(Input!$G:$G,Input!$D:$D,'2.CC Trans-BB.RE collateral'!R$7&amp;"*",Input!$C:$C,'2.CC Trans-BB.RE collateral'!$A$10,Input!$M:$M,"PEPC1",Input!$H:$H,{"1-REAL";"SANTANDER"},Input!$K:$K,"NBF3")),0)</f>
        <v>511201</v>
      </c>
      <c r="S65" s="104">
        <f>ROUND(SUM(SUMIFS(Input!$G:$G,Input!$D:$D,'2.CC Trans-BB.RE collateral'!S$7&amp;"*",Input!$C:$C,'2.CC Trans-BB.RE collateral'!$A$10,Input!$M:$M,"PEPC1",Input!$H:$H,{"1-REAL";"SANTANDER"},Input!$K:$K,"NBF3")),0)</f>
        <v>0</v>
      </c>
      <c r="T65" s="87"/>
      <c r="U65" s="86"/>
      <c r="V65" s="64"/>
    </row>
    <row r="66" spans="2:22" s="59" customFormat="1" ht="13" x14ac:dyDescent="0.3">
      <c r="B66" s="62">
        <v>45</v>
      </c>
      <c r="C66" s="84"/>
      <c r="D66" s="93" t="s">
        <v>14</v>
      </c>
      <c r="E66" s="104">
        <f>ROUND(SUM(SUMIFS(Input!$G:$G,Input!$E:$E,'2.CC Trans-BB.RE collateral'!E$3,Input!$C:$C,'2.CC Trans-BB.RE collateral'!$A$10,Input!$L:$L,"PEPS2",Input!$K:$K,"NBF3")),0)</f>
        <v>252596404</v>
      </c>
      <c r="F66" s="104">
        <f>ROUND(SUM(SUMIFS(Input!$G:$G,Input!$E:$E,'2.CC Trans-BB.RE collateral'!F$3,Input!$C:$C,'2.CC Trans-BB.RE collateral'!$A$10,Input!$L:$L,"PEPS2",Input!$K:$K,"NBF3")),0)</f>
        <v>15713617815</v>
      </c>
      <c r="G66" s="104">
        <f>ROUND(SUM(SUMIFS(Input!$G:$G,Input!$E:$E,'2.CC Trans-BB.RE collateral'!G$3,Input!$C:$C,'2.CC Trans-BB.RE collateral'!$A$10,Input!$L:$L,"PEPS2",Input!$K:$K,"NBF3")),0)</f>
        <v>157997498</v>
      </c>
      <c r="H66" s="104">
        <f>ROUND(SUM(SUMIFS(Input!$G:$G,Input!$E:$E,'2.CC Trans-BB.RE collateral'!H$3,Input!$C:$C,'2.CC Trans-BB.RE collateral'!$A$10,Input!$L:$L,"PEPS2",Input!$K:$K,"NBF3")),0)</f>
        <v>35377328</v>
      </c>
      <c r="I66" s="104">
        <f>ROUND(SUM(SUMIFS(Input!$G:$G,Input!$E:$E,'2.CC Trans-BB.RE collateral'!I$3,Input!$C:$C,'2.CC Trans-BB.RE collateral'!$A$10,Input!$L:$L,"PEPS2",Input!$K:$K,"NBF3")),0)</f>
        <v>8603772</v>
      </c>
      <c r="J66" s="104">
        <f>ROUND(SUM(SUMIFS(Input!$G:$G,Input!$E:$E,'2.CC Trans-BB.RE collateral'!J$3,Input!$C:$C,'2.CC Trans-BB.RE collateral'!$A$10,Input!$L:$L,"PEPS2",Input!$K:$K,"NBF3")),0)</f>
        <v>2712627</v>
      </c>
      <c r="K66" s="85"/>
      <c r="L66" s="93" t="s">
        <v>20</v>
      </c>
      <c r="M66" s="104">
        <f>ROUND(SUM(SUMIFS(Input!$G:$G,Input!$D:$D,'2.CC Trans-BB.RE collateral'!M$7&amp;"*",Input!$C:$C,'2.CC Trans-BB.RE collateral'!$A$10,Input!$M:$M,"PEPC2",Input!$H:$H,{"1-REAL";"SANTANDER"},Input!$K:$K,"NBF3")),0)</f>
        <v>6934167</v>
      </c>
      <c r="N66" s="104">
        <f>ROUND(SUM(SUMIFS(Input!$G:$G,Input!$D:$D,'2.CC Trans-BB.RE collateral'!N$7&amp;"*",Input!$C:$C,'2.CC Trans-BB.RE collateral'!$A$10,Input!$M:$M,"PEPC2",Input!$H:$H,{"1-REAL";"SANTANDER"},Input!$K:$K,"NBF3")),0)</f>
        <v>3223906839</v>
      </c>
      <c r="O66" s="104">
        <f>ROUND(SUM(SUMIFS(Input!$G:$G,Input!$D:$D,'2.CC Trans-BB.RE collateral'!O$7&amp;"*",Input!$C:$C,'2.CC Trans-BB.RE collateral'!$A$10,Input!$M:$M,"PEPC2",Input!$H:$H,{"1-REAL";"SANTANDER"},Input!$K:$K,"NBF3")),0)</f>
        <v>4572380</v>
      </c>
      <c r="P66" s="104">
        <f>ROUND(SUM(SUMIFS(Input!$G:$G,Input!$D:$D,'2.CC Trans-BB.RE collateral'!P$7&amp;"*",Input!$C:$C,'2.CC Trans-BB.RE collateral'!$A$10,Input!$M:$M,"PEPC2",Input!$H:$H,{"1-REAL";"SANTANDER"},Input!$K:$K,"NBF3")),0)</f>
        <v>1472223</v>
      </c>
      <c r="Q66" s="104">
        <f>ROUND(SUM(SUMIFS(Input!$G:$G,Input!$D:$D,'2.CC Trans-BB.RE collateral'!Q$7&amp;"*",Input!$C:$C,'2.CC Trans-BB.RE collateral'!$A$10,Input!$M:$M,"PEPC2",Input!$H:$H,{"1-REAL";"SANTANDER"},Input!$K:$K,"NBF3")),0)</f>
        <v>735125</v>
      </c>
      <c r="R66" s="104">
        <f>ROUND(SUM(SUMIFS(Input!$G:$G,Input!$D:$D,'2.CC Trans-BB.RE collateral'!R$7&amp;"*",Input!$C:$C,'2.CC Trans-BB.RE collateral'!$A$10,Input!$M:$M,"PEPC2",Input!$H:$H,{"1-REAL";"SANTANDER"},Input!$K:$K,"NBF3")),0)</f>
        <v>925083</v>
      </c>
      <c r="S66" s="104">
        <f>ROUND(SUM(SUMIFS(Input!$G:$G,Input!$D:$D,'2.CC Trans-BB.RE collateral'!S$7&amp;"*",Input!$C:$C,'2.CC Trans-BB.RE collateral'!$A$10,Input!$M:$M,"PEPC2",Input!$H:$H,{"1-REAL";"SANTANDER"},Input!$K:$K,"NBF3")),0)</f>
        <v>0</v>
      </c>
      <c r="T66" s="87"/>
      <c r="U66" s="86"/>
      <c r="V66" s="64"/>
    </row>
    <row r="67" spans="2:22" s="59" customFormat="1" ht="13" x14ac:dyDescent="0.3">
      <c r="B67" s="62">
        <v>46</v>
      </c>
      <c r="C67" s="84"/>
      <c r="D67" s="93" t="s">
        <v>15</v>
      </c>
      <c r="E67" s="104">
        <f>ROUND(SUM(SUMIFS(Input!$G:$G,Input!$E:$E,'2.CC Trans-BB.RE collateral'!E$3,Input!$C:$C,'2.CC Trans-BB.RE collateral'!$A$10,Input!$L:$L,"PEPS3",Input!$K:$K,"NBF3")),0)</f>
        <v>62475802</v>
      </c>
      <c r="F67" s="104">
        <f>ROUND(SUM(SUMIFS(Input!$G:$G,Input!$E:$E,'2.CC Trans-BB.RE collateral'!F$3,Input!$C:$C,'2.CC Trans-BB.RE collateral'!$A$10,Input!$L:$L,"PEPS3",Input!$K:$K,"NBF3")),0)</f>
        <v>52944756</v>
      </c>
      <c r="G67" s="104">
        <f>ROUND(SUM(SUMIFS(Input!$G:$G,Input!$E:$E,'2.CC Trans-BB.RE collateral'!G$3,Input!$C:$C,'2.CC Trans-BB.RE collateral'!$A$10,Input!$L:$L,"PEPS3",Input!$K:$K,"NBF3")),0)</f>
        <v>4271722692</v>
      </c>
      <c r="H67" s="104">
        <f>ROUND(SUM(SUMIFS(Input!$G:$G,Input!$E:$E,'2.CC Trans-BB.RE collateral'!H$3,Input!$C:$C,'2.CC Trans-BB.RE collateral'!$A$10,Input!$L:$L,"PEPS3",Input!$K:$K,"NBF3")),0)</f>
        <v>17763017</v>
      </c>
      <c r="I67" s="104">
        <f>ROUND(SUM(SUMIFS(Input!$G:$G,Input!$E:$E,'2.CC Trans-BB.RE collateral'!I$3,Input!$C:$C,'2.CC Trans-BB.RE collateral'!$A$10,Input!$L:$L,"PEPS3",Input!$K:$K,"NBF3")),0)</f>
        <v>7668713</v>
      </c>
      <c r="J67" s="104">
        <f>ROUND(SUM(SUMIFS(Input!$G:$G,Input!$E:$E,'2.CC Trans-BB.RE collateral'!J$3,Input!$C:$C,'2.CC Trans-BB.RE collateral'!$A$10,Input!$L:$L,"PEPS3",Input!$K:$K,"NBF3")),0)</f>
        <v>8730227</v>
      </c>
      <c r="K67" s="85"/>
      <c r="L67" s="93" t="s">
        <v>21</v>
      </c>
      <c r="M67" s="104">
        <f>ROUND(SUM(SUMIFS(Input!$G:$G,Input!$D:$D,'2.CC Trans-BB.RE collateral'!M$7&amp;"*",Input!$C:$C,'2.CC Trans-BB.RE collateral'!$A$10,Input!$M:$M,"PEPC3",Input!$H:$H,{"1-REAL";"SANTANDER"},Input!$K:$K,"NBF3")),0)</f>
        <v>12665334</v>
      </c>
      <c r="N67" s="104">
        <f>ROUND(SUM(SUMIFS(Input!$G:$G,Input!$D:$D,'2.CC Trans-BB.RE collateral'!N$7&amp;"*",Input!$C:$C,'2.CC Trans-BB.RE collateral'!$A$10,Input!$M:$M,"PEPC3",Input!$H:$H,{"1-REAL";"SANTANDER"},Input!$K:$K,"NBF3")),0)</f>
        <v>25992447</v>
      </c>
      <c r="O67" s="104">
        <f>ROUND(SUM(SUMIFS(Input!$G:$G,Input!$D:$D,'2.CC Trans-BB.RE collateral'!O$7&amp;"*",Input!$C:$C,'2.CC Trans-BB.RE collateral'!$A$10,Input!$M:$M,"PEPC3",Input!$H:$H,{"1-REAL";"SANTANDER"},Input!$K:$K,"NBF3")),0)</f>
        <v>6098023485</v>
      </c>
      <c r="P67" s="104">
        <f>ROUND(SUM(SUMIFS(Input!$G:$G,Input!$D:$D,'2.CC Trans-BB.RE collateral'!P$7&amp;"*",Input!$C:$C,'2.CC Trans-BB.RE collateral'!$A$10,Input!$M:$M,"PEPC3",Input!$H:$H,{"1-REAL";"SANTANDER"},Input!$K:$K,"NBF3")),0)</f>
        <v>8584977</v>
      </c>
      <c r="Q67" s="104">
        <f>ROUND(SUM(SUMIFS(Input!$G:$G,Input!$D:$D,'2.CC Trans-BB.RE collateral'!Q$7&amp;"*",Input!$C:$C,'2.CC Trans-BB.RE collateral'!$A$10,Input!$M:$M,"PEPC3",Input!$H:$H,{"1-REAL";"SANTANDER"},Input!$K:$K,"NBF3")),0)</f>
        <v>4021929</v>
      </c>
      <c r="R67" s="104">
        <f>ROUND(SUM(SUMIFS(Input!$G:$G,Input!$D:$D,'2.CC Trans-BB.RE collateral'!R$7&amp;"*",Input!$C:$C,'2.CC Trans-BB.RE collateral'!$A$10,Input!$M:$M,"PEPC3",Input!$H:$H,{"1-REAL";"SANTANDER"},Input!$K:$K,"NBF3")),0)</f>
        <v>1231840</v>
      </c>
      <c r="S67" s="104">
        <f>ROUND(SUM(SUMIFS(Input!$G:$G,Input!$D:$D,'2.CC Trans-BB.RE collateral'!S$7&amp;"*",Input!$C:$C,'2.CC Trans-BB.RE collateral'!$A$10,Input!$M:$M,"PEPC3",Input!$H:$H,{"1-REAL";"SANTANDER"},Input!$K:$K,"NBF3")),0)</f>
        <v>0</v>
      </c>
      <c r="T67" s="87"/>
      <c r="U67" s="86"/>
      <c r="V67" s="64"/>
    </row>
    <row r="68" spans="2:22" s="59" customFormat="1" ht="13" x14ac:dyDescent="0.3">
      <c r="B68" s="62">
        <v>47</v>
      </c>
      <c r="C68" s="84"/>
      <c r="D68" s="93" t="s">
        <v>16</v>
      </c>
      <c r="E68" s="104">
        <f>ROUND(SUM(SUMIFS(Input!$G:$G,Input!$E:$E,'2.CC Trans-BB.RE collateral'!E$3,Input!$C:$C,'2.CC Trans-BB.RE collateral'!$A$10,Input!$L:$L,"PEPS4",Input!$K:$K,"NBF3")),0)</f>
        <v>5266257</v>
      </c>
      <c r="F68" s="104">
        <f>ROUND(SUM(SUMIFS(Input!$G:$G,Input!$E:$E,'2.CC Trans-BB.RE collateral'!F$3,Input!$C:$C,'2.CC Trans-BB.RE collateral'!$A$10,Input!$L:$L,"PEPS4",Input!$K:$K,"NBF3")),0)</f>
        <v>4176333</v>
      </c>
      <c r="G68" s="104">
        <f>ROUND(SUM(SUMIFS(Input!$G:$G,Input!$E:$E,'2.CC Trans-BB.RE collateral'!G$3,Input!$C:$C,'2.CC Trans-BB.RE collateral'!$A$10,Input!$L:$L,"PEPS4",Input!$K:$K,"NBF3")),0)</f>
        <v>3679703</v>
      </c>
      <c r="H68" s="104">
        <f>ROUND(SUM(SUMIFS(Input!$G:$G,Input!$E:$E,'2.CC Trans-BB.RE collateral'!H$3,Input!$C:$C,'2.CC Trans-BB.RE collateral'!$A$10,Input!$L:$L,"PEPS4",Input!$K:$K,"NBF3")),0)</f>
        <v>576003649</v>
      </c>
      <c r="I68" s="104">
        <f>ROUND(SUM(SUMIFS(Input!$G:$G,Input!$E:$E,'2.CC Trans-BB.RE collateral'!I$3,Input!$C:$C,'2.CC Trans-BB.RE collateral'!$A$10,Input!$L:$L,"PEPS4",Input!$K:$K,"NBF3")),0)</f>
        <v>356557</v>
      </c>
      <c r="J68" s="104">
        <f>ROUND(SUM(SUMIFS(Input!$G:$G,Input!$E:$E,'2.CC Trans-BB.RE collateral'!J$3,Input!$C:$C,'2.CC Trans-BB.RE collateral'!$A$10,Input!$L:$L,"PEPS4",Input!$K:$K,"NBF3")),0)</f>
        <v>2129458</v>
      </c>
      <c r="K68" s="85"/>
      <c r="L68" s="93" t="s">
        <v>22</v>
      </c>
      <c r="M68" s="104">
        <f>ROUND(SUM(SUMIFS(Input!$G:$G,Input!$D:$D,'2.CC Trans-BB.RE collateral'!M$7&amp;"*",Input!$C:$C,'2.CC Trans-BB.RE collateral'!$A$10,Input!$M:$M,"PEPC4",Input!$H:$H,{"1-REAL";"SANTANDER"},Input!$K:$K,"NBF3")),0)</f>
        <v>25737403</v>
      </c>
      <c r="N68" s="104">
        <f>ROUND(SUM(SUMIFS(Input!$G:$G,Input!$D:$D,'2.CC Trans-BB.RE collateral'!N$7&amp;"*",Input!$C:$C,'2.CC Trans-BB.RE collateral'!$A$10,Input!$M:$M,"PEPC4",Input!$H:$H,{"1-REAL";"SANTANDER"},Input!$K:$K,"NBF3")),0)</f>
        <v>16027550</v>
      </c>
      <c r="O68" s="104">
        <f>ROUND(SUM(SUMIFS(Input!$G:$G,Input!$D:$D,'2.CC Trans-BB.RE collateral'!O$7&amp;"*",Input!$C:$C,'2.CC Trans-BB.RE collateral'!$A$10,Input!$M:$M,"PEPC4",Input!$H:$H,{"1-REAL";"SANTANDER"},Input!$K:$K,"NBF3")),0)</f>
        <v>16809399</v>
      </c>
      <c r="P68" s="104">
        <f>ROUND(SUM(SUMIFS(Input!$G:$G,Input!$D:$D,'2.CC Trans-BB.RE collateral'!P$7&amp;"*",Input!$C:$C,'2.CC Trans-BB.RE collateral'!$A$10,Input!$M:$M,"PEPC4",Input!$H:$H,{"1-REAL";"SANTANDER"},Input!$K:$K,"NBF3")),0)</f>
        <v>6144084350</v>
      </c>
      <c r="Q68" s="104">
        <f>ROUND(SUM(SUMIFS(Input!$G:$G,Input!$D:$D,'2.CC Trans-BB.RE collateral'!Q$7&amp;"*",Input!$C:$C,'2.CC Trans-BB.RE collateral'!$A$10,Input!$M:$M,"PEPC4",Input!$H:$H,{"1-REAL";"SANTANDER"},Input!$K:$K,"NBF3")),0)</f>
        <v>5463019</v>
      </c>
      <c r="R68" s="104">
        <f>ROUND(SUM(SUMIFS(Input!$G:$G,Input!$D:$D,'2.CC Trans-BB.RE collateral'!R$7&amp;"*",Input!$C:$C,'2.CC Trans-BB.RE collateral'!$A$10,Input!$M:$M,"PEPC4",Input!$H:$H,{"1-REAL";"SANTANDER"},Input!$K:$K,"NBF3")),0)</f>
        <v>1946563</v>
      </c>
      <c r="S68" s="104">
        <f>ROUND(SUM(SUMIFS(Input!$G:$G,Input!$D:$D,'2.CC Trans-BB.RE collateral'!S$7&amp;"*",Input!$C:$C,'2.CC Trans-BB.RE collateral'!$A$10,Input!$M:$M,"PEPC4",Input!$H:$H,{"1-REAL";"SANTANDER"},Input!$K:$K,"NBF3")),0)</f>
        <v>0</v>
      </c>
      <c r="T68" s="87"/>
      <c r="U68" s="86"/>
      <c r="V68" s="64"/>
    </row>
    <row r="69" spans="2:22" s="59" customFormat="1" ht="13" x14ac:dyDescent="0.3">
      <c r="B69" s="62">
        <v>48</v>
      </c>
      <c r="C69" s="84"/>
      <c r="D69" s="93" t="s">
        <v>17</v>
      </c>
      <c r="E69" s="104">
        <f>ROUND(SUM(SUMIFS(Input!$G:$G,Input!$E:$E,'2.CC Trans-BB.RE collateral'!E$3,Input!$C:$C,'2.CC Trans-BB.RE collateral'!$A$10,Input!$L:$L,"PEPS5",Input!$K:$K,"NBF3")),0)</f>
        <v>0</v>
      </c>
      <c r="F69" s="104">
        <f>ROUND(SUM(SUMIFS(Input!$G:$G,Input!$E:$E,'2.CC Trans-BB.RE collateral'!F$3,Input!$C:$C,'2.CC Trans-BB.RE collateral'!$A$10,Input!$L:$L,"PEPS5",Input!$K:$K,"NBF3")),0)</f>
        <v>0</v>
      </c>
      <c r="G69" s="104">
        <f>ROUND(SUM(SUMIFS(Input!$G:$G,Input!$E:$E,'2.CC Trans-BB.RE collateral'!G$3,Input!$C:$C,'2.CC Trans-BB.RE collateral'!$A$10,Input!$L:$L,"PEPS5",Input!$K:$K,"NBF3")),0)</f>
        <v>307285</v>
      </c>
      <c r="H69" s="104">
        <f>ROUND(SUM(SUMIFS(Input!$G:$G,Input!$E:$E,'2.CC Trans-BB.RE collateral'!H$3,Input!$C:$C,'2.CC Trans-BB.RE collateral'!$A$10,Input!$L:$L,"PEPS5",Input!$K:$K,"NBF3")),0)</f>
        <v>0</v>
      </c>
      <c r="I69" s="104">
        <f>ROUND(SUM(SUMIFS(Input!$G:$G,Input!$E:$E,'2.CC Trans-BB.RE collateral'!I$3,Input!$C:$C,'2.CC Trans-BB.RE collateral'!$A$10,Input!$L:$L,"PEPS5",Input!$K:$K,"NBF3")),0)</f>
        <v>131540237</v>
      </c>
      <c r="J69" s="104">
        <f>ROUND(SUM(SUMIFS(Input!$G:$G,Input!$E:$E,'2.CC Trans-BB.RE collateral'!J$3,Input!$C:$C,'2.CC Trans-BB.RE collateral'!$A$10,Input!$L:$L,"PEPS5",Input!$K:$K,"NBF3")),0)</f>
        <v>0</v>
      </c>
      <c r="K69" s="85"/>
      <c r="L69" s="93" t="s">
        <v>23</v>
      </c>
      <c r="M69" s="104">
        <f>ROUND(SUM(SUMIFS(Input!$G:$G,Input!$D:$D,'2.CC Trans-BB.RE collateral'!M$7&amp;"*",Input!$C:$C,'2.CC Trans-BB.RE collateral'!$A$10,Input!$M:$M,"PEPC5",Input!$H:$H,{"1-REAL";"SANTANDER"},Input!$K:$K,"NBF3")),0)</f>
        <v>9580264</v>
      </c>
      <c r="N69" s="104">
        <f>ROUND(SUM(SUMIFS(Input!$G:$G,Input!$D:$D,'2.CC Trans-BB.RE collateral'!N$7&amp;"*",Input!$C:$C,'2.CC Trans-BB.RE collateral'!$A$10,Input!$M:$M,"PEPC5",Input!$H:$H,{"1-REAL";"SANTANDER"},Input!$K:$K,"NBF3")),0)</f>
        <v>4416672</v>
      </c>
      <c r="O69" s="104">
        <f>ROUND(SUM(SUMIFS(Input!$G:$G,Input!$D:$D,'2.CC Trans-BB.RE collateral'!O$7&amp;"*",Input!$C:$C,'2.CC Trans-BB.RE collateral'!$A$10,Input!$M:$M,"PEPC5",Input!$H:$H,{"1-REAL";"SANTANDER"},Input!$K:$K,"NBF3")),0)</f>
        <v>8288960</v>
      </c>
      <c r="P69" s="104">
        <f>ROUND(SUM(SUMIFS(Input!$G:$G,Input!$D:$D,'2.CC Trans-BB.RE collateral'!P$7&amp;"*",Input!$C:$C,'2.CC Trans-BB.RE collateral'!$A$10,Input!$M:$M,"PEPC5",Input!$H:$H,{"1-REAL";"SANTANDER"},Input!$K:$K,"NBF3")),0)</f>
        <v>3818389</v>
      </c>
      <c r="Q69" s="104">
        <f>ROUND(SUM(SUMIFS(Input!$G:$G,Input!$D:$D,'2.CC Trans-BB.RE collateral'!Q$7&amp;"*",Input!$C:$C,'2.CC Trans-BB.RE collateral'!$A$10,Input!$M:$M,"PEPC5",Input!$H:$H,{"1-REAL";"SANTANDER"},Input!$K:$K,"NBF3")),0)</f>
        <v>3390742918</v>
      </c>
      <c r="R69" s="104">
        <f>ROUND(SUM(SUMIFS(Input!$G:$G,Input!$D:$D,'2.CC Trans-BB.RE collateral'!R$7&amp;"*",Input!$C:$C,'2.CC Trans-BB.RE collateral'!$A$10,Input!$M:$M,"PEPC5",Input!$H:$H,{"1-REAL";"SANTANDER"},Input!$K:$K,"NBF3")),0)</f>
        <v>1080890</v>
      </c>
      <c r="S69" s="104">
        <f>ROUND(SUM(SUMIFS(Input!$G:$G,Input!$D:$D,'2.CC Trans-BB.RE collateral'!S$7&amp;"*",Input!$C:$C,'2.CC Trans-BB.RE collateral'!$A$10,Input!$M:$M,"PEPC5",Input!$H:$H,{"1-REAL";"SANTANDER"},Input!$K:$K,"NBF3")),0)</f>
        <v>472704</v>
      </c>
      <c r="T69" s="87"/>
      <c r="U69" s="86"/>
      <c r="V69" s="64"/>
    </row>
    <row r="70" spans="2:22" s="59" customFormat="1" ht="13" x14ac:dyDescent="0.3">
      <c r="B70" s="62">
        <v>49</v>
      </c>
      <c r="C70" s="84"/>
      <c r="D70" s="93" t="s">
        <v>18</v>
      </c>
      <c r="E70" s="104">
        <f>ROUND(SUM(SUMIFS(Input!$G:$G,Input!$E:$E,'2.CC Trans-BB.RE collateral'!E$3,Input!$C:$C,'2.CC Trans-BB.RE collateral'!$A$10,Input!$L:$L,"PEPS6",Input!$K:$K,"NBF3")),0)</f>
        <v>0</v>
      </c>
      <c r="F70" s="104">
        <f>ROUND(SUM(SUMIFS(Input!$G:$G,Input!$E:$E,'2.CC Trans-BB.RE collateral'!F$3,Input!$C:$C,'2.CC Trans-BB.RE collateral'!$A$10,Input!$L:$L,"PEPS6",Input!$K:$K,"NBF3")),0)</f>
        <v>0</v>
      </c>
      <c r="G70" s="104">
        <f>ROUND(SUM(SUMIFS(Input!$G:$G,Input!$E:$E,'2.CC Trans-BB.RE collateral'!G$3,Input!$C:$C,'2.CC Trans-BB.RE collateral'!$A$10,Input!$L:$L,"PEPS6",Input!$K:$K,"NBF3")),0)</f>
        <v>350456</v>
      </c>
      <c r="H70" s="104">
        <f>ROUND(SUM(SUMIFS(Input!$G:$G,Input!$E:$E,'2.CC Trans-BB.RE collateral'!H$3,Input!$C:$C,'2.CC Trans-BB.RE collateral'!$A$10,Input!$L:$L,"PEPS6",Input!$K:$K,"NBF3")),0)</f>
        <v>0</v>
      </c>
      <c r="I70" s="104">
        <f>ROUND(SUM(SUMIFS(Input!$G:$G,Input!$E:$E,'2.CC Trans-BB.RE collateral'!I$3,Input!$C:$C,'2.CC Trans-BB.RE collateral'!$A$10,Input!$L:$L,"PEPS6",Input!$K:$K,"NBF3")),0)</f>
        <v>0</v>
      </c>
      <c r="J70" s="104">
        <f>ROUND(SUM(SUMIFS(Input!$G:$G,Input!$E:$E,'2.CC Trans-BB.RE collateral'!J$3,Input!$C:$C,'2.CC Trans-BB.RE collateral'!$A$10,Input!$L:$L,"PEPS6",Input!$K:$K,"NBF3")),0)</f>
        <v>162494472</v>
      </c>
      <c r="K70" s="85"/>
      <c r="L70" s="93" t="s">
        <v>24</v>
      </c>
      <c r="M70" s="104">
        <f>ROUND(SUM(SUMIFS(Input!$G:$G,Input!$D:$D,'2.CC Trans-BB.RE collateral'!M$7&amp;"*",Input!$C:$C,'2.CC Trans-BB.RE collateral'!$A$10,Input!$M:$M,"PEPC6",Input!$H:$H,{"1-REAL";"SANTANDER"},Input!$K:$K,"NBF3")),0)</f>
        <v>9261919</v>
      </c>
      <c r="N70" s="104">
        <f>ROUND(SUM(SUMIFS(Input!$G:$G,Input!$D:$D,'2.CC Trans-BB.RE collateral'!N$7&amp;"*",Input!$C:$C,'2.CC Trans-BB.RE collateral'!$A$10,Input!$M:$M,"PEPC6",Input!$H:$H,{"1-REAL";"SANTANDER"},Input!$K:$K,"NBF3")),0)</f>
        <v>1723159</v>
      </c>
      <c r="O70" s="104">
        <f>ROUND(SUM(SUMIFS(Input!$G:$G,Input!$D:$D,'2.CC Trans-BB.RE collateral'!O$7&amp;"*",Input!$C:$C,'2.CC Trans-BB.RE collateral'!$A$10,Input!$M:$M,"PEPC6",Input!$H:$H,{"1-REAL";"SANTANDER"},Input!$K:$K,"NBF3")),0)</f>
        <v>3116779</v>
      </c>
      <c r="P70" s="104">
        <f>ROUND(SUM(SUMIFS(Input!$G:$G,Input!$D:$D,'2.CC Trans-BB.RE collateral'!P$7&amp;"*",Input!$C:$C,'2.CC Trans-BB.RE collateral'!$A$10,Input!$M:$M,"PEPC6",Input!$H:$H,{"1-REAL";"SANTANDER"},Input!$K:$K,"NBF3")),0)</f>
        <v>1812944</v>
      </c>
      <c r="Q70" s="104">
        <f>ROUND(SUM(SUMIFS(Input!$G:$G,Input!$D:$D,'2.CC Trans-BB.RE collateral'!Q$7&amp;"*",Input!$C:$C,'2.CC Trans-BB.RE collateral'!$A$10,Input!$M:$M,"PEPC6",Input!$H:$H,{"1-REAL";"SANTANDER"},Input!$K:$K,"NBF3")),0)</f>
        <v>1181200</v>
      </c>
      <c r="R70" s="104">
        <f>ROUND(SUM(SUMIFS(Input!$G:$G,Input!$D:$D,'2.CC Trans-BB.RE collateral'!R$7&amp;"*",Input!$C:$C,'2.CC Trans-BB.RE collateral'!$A$10,Input!$M:$M,"PEPC6",Input!$H:$H,{"1-REAL";"SANTANDER"},Input!$K:$K,"NBF3")),0)</f>
        <v>1542809482</v>
      </c>
      <c r="S70" s="104">
        <f>ROUND(SUM(SUMIFS(Input!$G:$G,Input!$D:$D,'2.CC Trans-BB.RE collateral'!S$7&amp;"*",Input!$C:$C,'2.CC Trans-BB.RE collateral'!$A$10,Input!$M:$M,"PEPC6",Input!$H:$H,{"1-REAL";"SANTANDER"},Input!$K:$K,"NBF3")),0)</f>
        <v>111720</v>
      </c>
      <c r="T70" s="87"/>
      <c r="U70" s="86"/>
      <c r="V70" s="64"/>
    </row>
    <row r="71" spans="2:22" s="59" customFormat="1" ht="14.5" x14ac:dyDescent="0.35">
      <c r="B71" s="62">
        <v>50</v>
      </c>
      <c r="C71" s="81"/>
      <c r="D71" s="81"/>
      <c r="E71" s="81"/>
      <c r="F71" s="81"/>
      <c r="G71" s="81"/>
      <c r="H71" s="81"/>
      <c r="I71" s="81"/>
      <c r="J71" s="85"/>
      <c r="K71" s="85"/>
      <c r="L71" s="93" t="s">
        <v>25</v>
      </c>
      <c r="M71" s="104">
        <f>ROUND(SUM(SUMIFS(Input!$G:$G,Input!$D:$D,'2.CC Trans-BB.RE collateral'!M$7&amp;"*",Input!$C:$C,'2.CC Trans-BB.RE collateral'!$A$10,Input!$M:$M,"PEPC7",Input!$H:$H,{"1-REAL";"SANTANDER"},Input!$K:$K,"NBF3")),0)</f>
        <v>0</v>
      </c>
      <c r="N71" s="104">
        <f>ROUND(SUM(SUMIFS(Input!$G:$G,Input!$D:$D,'2.CC Trans-BB.RE collateral'!N$7&amp;"*",Input!$C:$C,'2.CC Trans-BB.RE collateral'!$A$10,Input!$M:$M,"PEPC7",Input!$H:$H,{"1-REAL";"SANTANDER"},Input!$K:$K,"NBF3")),0)</f>
        <v>0</v>
      </c>
      <c r="O71" s="104">
        <f>ROUND(SUM(SUMIFS(Input!$G:$G,Input!$D:$D,'2.CC Trans-BB.RE collateral'!O$7&amp;"*",Input!$C:$C,'2.CC Trans-BB.RE collateral'!$A$10,Input!$M:$M,"PEPC7",Input!$H:$H,{"1-REAL";"SANTANDER"},Input!$K:$K,"NBF3")),0)</f>
        <v>93421</v>
      </c>
      <c r="P71" s="104">
        <f>ROUND(SUM(SUMIFS(Input!$G:$G,Input!$D:$D,'2.CC Trans-BB.RE collateral'!P$7&amp;"*",Input!$C:$C,'2.CC Trans-BB.RE collateral'!$A$10,Input!$M:$M,"PEPC7",Input!$H:$H,{"1-REAL";"SANTANDER"},Input!$K:$K,"NBF3")),0)</f>
        <v>0</v>
      </c>
      <c r="Q71" s="104">
        <f>ROUND(SUM(SUMIFS(Input!$G:$G,Input!$D:$D,'2.CC Trans-BB.RE collateral'!Q$7&amp;"*",Input!$C:$C,'2.CC Trans-BB.RE collateral'!$A$10,Input!$M:$M,"PEPC7",Input!$H:$H,{"1-REAL";"SANTANDER"},Input!$K:$K,"NBF3")),0)</f>
        <v>0</v>
      </c>
      <c r="R71" s="104">
        <f>ROUND(SUM(SUMIFS(Input!$G:$G,Input!$D:$D,'2.CC Trans-BB.RE collateral'!R$7&amp;"*",Input!$C:$C,'2.CC Trans-BB.RE collateral'!$A$10,Input!$M:$M,"PEPC7",Input!$H:$H,{"1-REAL";"SANTANDER"},Input!$K:$K,"NBF3")),0)</f>
        <v>0</v>
      </c>
      <c r="S71" s="104">
        <f>ROUND(SUM(SUMIFS(Input!$G:$G,Input!$D:$D,'2.CC Trans-BB.RE collateral'!S$7&amp;"*",Input!$C:$C,'2.CC Trans-BB.RE collateral'!$A$10,Input!$M:$M,"PEPC7",Input!$H:$H,{"1-REAL";"SANTANDER"},Input!$K:$K,"NBF3")),0)</f>
        <v>4179792</v>
      </c>
      <c r="T71" s="87"/>
      <c r="U71" s="86"/>
      <c r="V71" s="64"/>
    </row>
    <row r="72" spans="2:22" ht="14.5" x14ac:dyDescent="0.35"/>
    <row r="81" ht="14.5" hidden="1" x14ac:dyDescent="0.35"/>
    <row r="82" ht="14.5" hidden="1" x14ac:dyDescent="0.35"/>
    <row r="83" ht="14.5" hidden="1" x14ac:dyDescent="0.35"/>
    <row r="84" ht="14.5" hidden="1" x14ac:dyDescent="0.35"/>
    <row r="85" ht="14.5" hidden="1" x14ac:dyDescent="0.35"/>
  </sheetData>
  <mergeCells count="13">
    <mergeCell ref="E61:J61"/>
    <mergeCell ref="M61:S61"/>
    <mergeCell ref="D5:U5"/>
    <mergeCell ref="E6:J6"/>
    <mergeCell ref="K6:L6"/>
    <mergeCell ref="M6:S6"/>
    <mergeCell ref="T6:U6"/>
    <mergeCell ref="C13:U13"/>
    <mergeCell ref="C20:U20"/>
    <mergeCell ref="C32:U32"/>
    <mergeCell ref="C39:U39"/>
    <mergeCell ref="E48:J48"/>
    <mergeCell ref="M48:S48"/>
  </mergeCells>
  <dataValidations count="3">
    <dataValidation type="decimal" allowBlank="1" showInputMessage="1" showErrorMessage="1" error="Numeric values &gt;=0 formatted in percentage." sqref="D33:K33 D40:K40 D14:K14 D21:K21 M21:T21 M40:T40 M33:T33 M14:T14">
      <formula1>0</formula1>
      <formula2>5</formula2>
    </dataValidation>
    <dataValidation type="decimal" allowBlank="1" showInputMessage="1" showErrorMessage="1" error="Input value should be between 0&lt;=X&lt;=1 formatted as percentage." sqref="U60:U71 L60 L40:L47 U40:U58 L21:L31 L14:L19 U14:U19 L8:L12 U21:U31 L33:L38 U33:U38 U8:U12">
      <formula1>0</formula1>
      <formula2>1</formula2>
    </dataValidation>
    <dataValidation type="decimal" operator="greaterThanOrEqual" allowBlank="1" showInputMessage="1" showErrorMessage="1" error="Only numeric values." sqref="J58:K58 K60:K70 J71:K71 K46:K57 K8:K12 K27:K31">
      <formula1>-1000000000000000000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31c357d3320844a5f2610cbf3834eaa2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01488c391752b06d336738650b54da81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FA5A671D-F04D-443E-99FD-95DF402C7DF5}"/>
</file>

<file path=customXml/itemProps2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schemas.microsoft.com/office/2006/documentManagement/types"/>
    <ds:schemaRef ds:uri="http://schemas.openxmlformats.org/package/2006/metadata/core-properties"/>
    <ds:schemaRef ds:uri="http://schemas.microsoft.com/sharepoint/v3"/>
    <ds:schemaRef ds:uri="http://www.w3.org/XML/1998/namespace"/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metadata/properties"/>
    <ds:schemaRef ds:uri="691f81de-e01a-4b25-b573-c3f90f157691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2.CC Trans-BB.RE collateral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Ana Rita Geraldo de Caguerelho</cp:lastModifiedBy>
  <dcterms:created xsi:type="dcterms:W3CDTF">2021-09-06T12:20:44Z</dcterms:created>
  <dcterms:modified xsi:type="dcterms:W3CDTF">2025-08-27T18:59:15Z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</Properties>
</file>